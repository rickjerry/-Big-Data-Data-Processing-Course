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上(交流道)北上」的副本" sheetId="1" r:id="rId4"/>
    <sheet state="visible" name="上(交流道)北上" sheetId="2" r:id="rId5"/>
    <sheet state="visible" name="「上(交流道)南下」925-1008" sheetId="3" r:id="rId6"/>
    <sheet state="visible" name="「上(交流道)南下」1009-1022" sheetId="4" r:id="rId7"/>
    <sheet state="visible" name="「下(交流道)南下」0925-1008" sheetId="5" r:id="rId8"/>
    <sheet state="visible" name="下(交流道)南下1009-1022" sheetId="6" r:id="rId9"/>
    <sheet state="visible" name="「下(交流道)北上」的0925-1008" sheetId="7" r:id="rId10"/>
    <sheet state="visible" name="下(交流道)北上 1009-1022" sheetId="8" r:id="rId11"/>
    <sheet state="visible" name="下(交流道)北上" sheetId="9" r:id="rId12"/>
    <sheet state="visible" name="「下(交流道)北上」的副本" sheetId="10" r:id="rId13"/>
    <sheet state="visible" name="「下(交流道)南下」的副本" sheetId="11" r:id="rId14"/>
    <sheet state="visible" name="下(交流道)南下" sheetId="12" r:id="rId15"/>
    <sheet state="visible" name="上(交流道)南下" sheetId="13" r:id="rId16"/>
    <sheet state="visible" name="工作表1" sheetId="14" r:id="rId17"/>
  </sheets>
  <definedNames/>
  <calcPr/>
  <extLst>
    <ext uri="GoogleSheetsCustomDataVersion2">
      <go:sheetsCustomData xmlns:go="http://customooxmlschemas.google.com/" r:id="rId18" roundtripDataChecksum="2zMEiJguyeCA9P47ChAW5U5+cwIyxv5rGL8yZERiYAQ="/>
    </ext>
  </extLst>
</workbook>
</file>

<file path=xl/sharedStrings.xml><?xml version="1.0" encoding="utf-8"?>
<sst xmlns="http://schemas.openxmlformats.org/spreadsheetml/2006/main" count="1349" uniqueCount="319">
  <si>
    <t>學號</t>
  </si>
  <si>
    <t>姓名</t>
  </si>
  <si>
    <t>趙建核</t>
  </si>
  <si>
    <t>上(交流道)(電子匝道代碼）
gantryid_o</t>
  </si>
  <si>
    <t>下(交流道)(電子匝道代碼）
gantryid_D</t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</si>
  <si>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</si>
  <si>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t>交流道名稱</t>
  </si>
  <si>
    <t>北上</t>
  </si>
  <si>
    <t>南下</t>
  </si>
  <si>
    <t>gantryid_o = '03F4232N'</t>
  </si>
  <si>
    <t>南州交流道</t>
  </si>
  <si>
    <t>03F4232N</t>
  </si>
  <si>
    <t>03F4263S</t>
  </si>
  <si>
    <t>03F4259N</t>
  </si>
  <si>
    <t>03F4232S</t>
  </si>
  <si>
    <t>VehicleType (VT)</t>
  </si>
  <si>
    <t>292,54,7,5,4</t>
  </si>
  <si>
    <t>168,43,0,4,4</t>
  </si>
  <si>
    <t>122,18,2,2,4</t>
  </si>
  <si>
    <t>81,20,1,3,3</t>
  </si>
  <si>
    <t>93,24,5,3,4</t>
  </si>
  <si>
    <t>125,42,0,4,6</t>
  </si>
  <si>
    <t>244,134,0,9,11</t>
  </si>
  <si>
    <t>280,120,1,17,3</t>
  </si>
  <si>
    <t>324,106,2,20,9</t>
  </si>
  <si>
    <t>461,168,8,18,32</t>
  </si>
  <si>
    <t>667,208,8,19,14</t>
  </si>
  <si>
    <t>764,208,0,13,17</t>
  </si>
  <si>
    <t>1018,238,11,21,12</t>
  </si>
  <si>
    <t>1122,272,11,13,13</t>
  </si>
  <si>
    <t>1173,286,4,18,12</t>
  </si>
  <si>
    <t>1264,337,6,11,10</t>
  </si>
  <si>
    <t>1234,291,6,16,5</t>
  </si>
  <si>
    <t>1175,333,8,11,2</t>
  </si>
  <si>
    <t>996,264,11,7,2</t>
  </si>
  <si>
    <t>876,229,4,13,5</t>
  </si>
  <si>
    <t>695,153,6,9,7</t>
  </si>
  <si>
    <t>494,110,32,11,7</t>
  </si>
  <si>
    <t>327,95,8,4,8</t>
  </si>
  <si>
    <t>187,64,3,2,6</t>
  </si>
  <si>
    <t>100,27,2,1,10</t>
  </si>
  <si>
    <t>69,19,1,7,4</t>
  </si>
  <si>
    <t>36,11,0,3,5</t>
  </si>
  <si>
    <t>26,14,0,1,10</t>
  </si>
  <si>
    <t>39,18,1,7,13</t>
  </si>
  <si>
    <t>93,56,2,12,29</t>
  </si>
  <si>
    <t>300,168,4,13,14</t>
  </si>
  <si>
    <t>428,175,1,16,35</t>
  </si>
  <si>
    <t>330,142,8,34,46</t>
  </si>
  <si>
    <t>375,154,3,36,53</t>
  </si>
  <si>
    <t>389,171,1,37,53</t>
  </si>
  <si>
    <t>375,176,0,41,62</t>
  </si>
  <si>
    <t>433,188,4,40,68</t>
  </si>
  <si>
    <t>504,220,10,48,62</t>
  </si>
  <si>
    <t>520,226,8,38,51</t>
  </si>
  <si>
    <t>532,250,3,52,49</t>
  </si>
  <si>
    <t>615,268,5,47,46</t>
  </si>
  <si>
    <t>619,235,13,29,20</t>
  </si>
  <si>
    <t>513,159,4,29,20</t>
  </si>
  <si>
    <t>337,107,4,22,17</t>
  </si>
  <si>
    <t>255,93,1,18,12</t>
  </si>
  <si>
    <t>183,60,0,12,16</t>
  </si>
  <si>
    <t>127,40,0,5,7</t>
  </si>
  <si>
    <t>97,36,0,8,11</t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</si>
  <si>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</si>
  <si>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</si>
  <si>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</si>
  <si>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t>gantryid_o = '03F4263S'</t>
  </si>
  <si>
    <t>6,1,0,0,0</t>
  </si>
  <si>
    <t>2,1,0,0,0</t>
  </si>
  <si>
    <t>2,0,0,0,0</t>
  </si>
  <si>
    <t>2,1,0,1,0</t>
  </si>
  <si>
    <t>4,1,1,0,0</t>
  </si>
  <si>
    <t>3,1,0,0,0</t>
  </si>
  <si>
    <t>5,2,0,0,0</t>
  </si>
  <si>
    <t>5,4,0,0,2</t>
  </si>
  <si>
    <t>9,3,0,3,1</t>
  </si>
  <si>
    <t>17,1,0,0,2</t>
  </si>
  <si>
    <t>16,7,0,1,1</t>
  </si>
  <si>
    <t>21,8,0,2,1</t>
  </si>
  <si>
    <t>15,7,1,2,1</t>
  </si>
  <si>
    <t>14,2,0,1,5</t>
  </si>
  <si>
    <t>8,6,0,1,1</t>
  </si>
  <si>
    <t>26,6,4,0,0</t>
  </si>
  <si>
    <t>20,6,0,0,1</t>
  </si>
  <si>
    <t>23,5,0,0,0</t>
  </si>
  <si>
    <t>25,5,0,0,1</t>
  </si>
  <si>
    <t>12,4,0,2,0</t>
  </si>
  <si>
    <t>6,3,0,0,0</t>
  </si>
  <si>
    <t>14,7,0,0,0</t>
  </si>
  <si>
    <t>10,1,0,0,0</t>
  </si>
  <si>
    <t>7,1,0,1,0</t>
  </si>
  <si>
    <t>1,2,0,0,0</t>
  </si>
  <si>
    <t>0,1,0,0,0</t>
  </si>
  <si>
    <t>1,0,0,0,0</t>
  </si>
  <si>
    <t>1,4,0,1,0</t>
  </si>
  <si>
    <t>2,2,0,0,0</t>
  </si>
  <si>
    <t>3,3,0,0,1</t>
  </si>
  <si>
    <t>31,5,0,2,1</t>
  </si>
  <si>
    <t>12,4,0,0,1</t>
  </si>
  <si>
    <t>15,5,0,0,3</t>
  </si>
  <si>
    <t>9,6,0,1,0</t>
  </si>
  <si>
    <t>21,11,0,0,1</t>
  </si>
  <si>
    <t>10,7,0,1,1</t>
  </si>
  <si>
    <t>5,5,0,0,3</t>
  </si>
  <si>
    <t>17,5,0,3,1</t>
  </si>
  <si>
    <t>13,8,0,1,2</t>
  </si>
  <si>
    <t>19,12,0,0,1</t>
  </si>
  <si>
    <t>29,11,1,1,0</t>
  </si>
  <si>
    <t>21,6,0,0,0</t>
  </si>
  <si>
    <t>13,7,0,0,0</t>
  </si>
  <si>
    <t>9,8,0,0,0</t>
  </si>
  <si>
    <t>9,1,0,0,0</t>
  </si>
  <si>
    <t>5,1,0,0,0</t>
  </si>
  <si>
    <t>4,0,0,0,0</t>
  </si>
  <si>
    <t>4,3,0,1,0</t>
  </si>
  <si>
    <t>4,1,0,1,0</t>
  </si>
  <si>
    <t>2,3,1,0,0</t>
  </si>
  <si>
    <t>28,4,0,1,2</t>
  </si>
  <si>
    <t>14,9,0,2,0</t>
  </si>
  <si>
    <t>11,8,0,1,4</t>
  </si>
  <si>
    <t>10,4,0,2,3</t>
  </si>
  <si>
    <t>12,4,0,1,4</t>
  </si>
  <si>
    <t>13,5,0,2,2</t>
  </si>
  <si>
    <t>12,1,0,0,3</t>
  </si>
  <si>
    <t>10,8,0,0,2</t>
  </si>
  <si>
    <t>15,6,0,0,1</t>
  </si>
  <si>
    <t>19,14,1,0,1</t>
  </si>
  <si>
    <t>32,8,1,0,1</t>
  </si>
  <si>
    <t>20,2,0,1,0</t>
  </si>
  <si>
    <t>13,5,0,0,0</t>
  </si>
  <si>
    <t>13,3,0,0,0</t>
  </si>
  <si>
    <t>12,0,0,0,0</t>
  </si>
  <si>
    <t>6,2,0,0,0</t>
  </si>
  <si>
    <t>4,0,0,0,1</t>
  </si>
  <si>
    <t>0,2,0,0,0</t>
  </si>
  <si>
    <t>1,0,0,0,1</t>
  </si>
  <si>
    <t>0,1,0,1,1</t>
  </si>
  <si>
    <t>2,2,0,1,0</t>
  </si>
  <si>
    <t>5,3,0,1,0</t>
  </si>
  <si>
    <t>5,2,0,0,2</t>
  </si>
  <si>
    <t>12,3,0,0,1</t>
  </si>
  <si>
    <t>15,6,0,1,1</t>
  </si>
  <si>
    <t>16,1,1,0,1</t>
  </si>
  <si>
    <t>20,8,0,0,2</t>
  </si>
  <si>
    <t>19,10,0,0,1</t>
  </si>
  <si>
    <t>16,8,3,1,3</t>
  </si>
  <si>
    <t>11,5,0,1,2</t>
  </si>
  <si>
    <t>21,9,0,0,0</t>
  </si>
  <si>
    <t>17,11,0,1,0</t>
  </si>
  <si>
    <t>29,14,0,0,0</t>
  </si>
  <si>
    <t>28,5,0,0,0</t>
  </si>
  <si>
    <t>22,6,0,0,0</t>
  </si>
  <si>
    <t>15,6,0,0,0</t>
  </si>
  <si>
    <t>12,4,0,0,0</t>
  </si>
  <si>
    <t>9,0,1,0,0</t>
  </si>
  <si>
    <t>9,0,0,0,0</t>
  </si>
  <si>
    <t>4,1,0,0,0</t>
  </si>
  <si>
    <t>3,1,0,1,0</t>
  </si>
  <si>
    <t>1,3,0,0,0</t>
  </si>
  <si>
    <t>10,2,1,0,0</t>
  </si>
  <si>
    <t>12,6,0,0,0</t>
  </si>
  <si>
    <t>11,2,0,0,0</t>
  </si>
  <si>
    <t>16,7,0,0,0</t>
  </si>
  <si>
    <t>14,2,0,0,0</t>
  </si>
  <si>
    <t>21,4,0,1,0</t>
  </si>
  <si>
    <t>22,6,0,0,1</t>
  </si>
  <si>
    <t>16,9,0,0,0</t>
  </si>
  <si>
    <t>48,8,0,0,1</t>
  </si>
  <si>
    <t>30,6,0,0,0</t>
  </si>
  <si>
    <t>22,12,0,0,0</t>
  </si>
  <si>
    <t>11,4,0,0,0</t>
  </si>
  <si>
    <t>13,4,0,0,0</t>
  </si>
  <si>
    <t>11,0,0,0,0</t>
  </si>
  <si>
    <t>03F1022S</t>
  </si>
  <si>
    <t>1,1,0,0,0</t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</si>
  <si>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</si>
  <si>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'03F1022S'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</si>
  <si>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</si>
  <si>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'03F1022S'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</si>
  <si>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</si>
  <si>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'03F0996N'</t>
    </r>
  </si>
  <si>
    <t>3,4,0,0,0</t>
  </si>
  <si>
    <t>3,0,0,0,0</t>
  </si>
  <si>
    <t>3,2,0,0,0</t>
  </si>
  <si>
    <t>3,1,1,0,0</t>
  </si>
  <si>
    <t>5,0,0,0,1</t>
  </si>
  <si>
    <t>12,6,0,2,1</t>
  </si>
  <si>
    <t>15,7,0,1,2</t>
  </si>
  <si>
    <t>17,2,0,2,1</t>
  </si>
  <si>
    <t>21,12,0,3,4</t>
  </si>
  <si>
    <t>22,6,0,5,0</t>
  </si>
  <si>
    <t>30,5,0,4,2</t>
  </si>
  <si>
    <t>34,7,0,0,0</t>
  </si>
  <si>
    <t>37,13,0,1,1</t>
  </si>
  <si>
    <t>41,13,0,2,0</t>
  </si>
  <si>
    <t>40,12,0,1,2</t>
  </si>
  <si>
    <t>39,14,0,2,1</t>
  </si>
  <si>
    <t>37,9,1,0,1</t>
  </si>
  <si>
    <t>20,6,0,0,0</t>
  </si>
  <si>
    <t>12,2,0,0,1</t>
  </si>
  <si>
    <t>4,2,0,1,1</t>
  </si>
  <si>
    <t>5,2,0,0,1</t>
  </si>
  <si>
    <t>3,1,0,1,1</t>
  </si>
  <si>
    <t>7,2,0,0,1</t>
  </si>
  <si>
    <t>8,4,0,0,0</t>
  </si>
  <si>
    <t>12,4,0,2,2</t>
  </si>
  <si>
    <t>15,5,0,6,0</t>
  </si>
  <si>
    <t>24,3,0,3,3</t>
  </si>
  <si>
    <t>23,7,0,5,2</t>
  </si>
  <si>
    <t>25,7,0,2,2</t>
  </si>
  <si>
    <t>27,4,0,5,2</t>
  </si>
  <si>
    <t>26,7,0,0,3</t>
  </si>
  <si>
    <t>20,10,0,0,1</t>
  </si>
  <si>
    <t>27,4,0,0,0</t>
  </si>
  <si>
    <t>18,9,0,0,2</t>
  </si>
  <si>
    <t>20,10,0,1,0</t>
  </si>
  <si>
    <t>18,6,0,0,1</t>
  </si>
  <si>
    <t>15,2,0,0,0</t>
  </si>
  <si>
    <t>9,3,0,0,0</t>
  </si>
  <si>
    <t>0,0,0,0,0</t>
  </si>
  <si>
    <t>4,4,0,0,0</t>
  </si>
  <si>
    <t>24,9,1,0,1</t>
  </si>
  <si>
    <t>21,3,0,1,2</t>
  </si>
  <si>
    <t>17,4,0,1,3</t>
  </si>
  <si>
    <t>14,13,0,0,0</t>
  </si>
  <si>
    <t>20,4,0,1,5</t>
  </si>
  <si>
    <t>9,4,1,0,2</t>
  </si>
  <si>
    <t>15,6,0,0,2</t>
  </si>
  <si>
    <t>14,7,0,1,3</t>
  </si>
  <si>
    <t>21,5,1,0,1</t>
  </si>
  <si>
    <t>25,10,0,1,2</t>
  </si>
  <si>
    <t>16,14,0,1,1</t>
  </si>
  <si>
    <t>20,8,0,1,1</t>
  </si>
  <si>
    <t>21,9,0,1,0</t>
  </si>
  <si>
    <t>7,0,0,0,0</t>
  </si>
  <si>
    <t>6,2,0,1,0</t>
  </si>
  <si>
    <t>1,0,0,1,0</t>
  </si>
  <si>
    <t>6,1,0,1,2</t>
  </si>
  <si>
    <t>10,3,0,0,0</t>
  </si>
  <si>
    <t>28,6,1,0,1</t>
  </si>
  <si>
    <t>17,8,0,1,2</t>
  </si>
  <si>
    <t>10,8,0,0,3</t>
  </si>
  <si>
    <t>14,9,2,0,5</t>
  </si>
  <si>
    <t>17,9,0,1,5</t>
  </si>
  <si>
    <t>13,3,0,0,5</t>
  </si>
  <si>
    <t>11,5,0,2,1</t>
  </si>
  <si>
    <t>8,7,0,0,2</t>
  </si>
  <si>
    <t>13,6,0,1,1</t>
  </si>
  <si>
    <t>21,5,2,0,4</t>
  </si>
  <si>
    <t>22,6,0,1,0</t>
  </si>
  <si>
    <t>9,4,0,0,0</t>
  </si>
  <si>
    <t>11,1,0,0,1</t>
  </si>
  <si>
    <t>12,2,0,0,0</t>
  </si>
  <si>
    <t>2,0,0,0,1</t>
  </si>
  <si>
    <t>0,0,0,0,1</t>
  </si>
  <si>
    <t>10,2,0,0,2</t>
  </si>
  <si>
    <t>26,6,1,0,1</t>
  </si>
  <si>
    <t>23,7,0,0,1</t>
  </si>
  <si>
    <t>15,5,0,3,3</t>
  </si>
  <si>
    <t>17,9,0,0,2</t>
  </si>
  <si>
    <t>12,11,1,1,3</t>
  </si>
  <si>
    <t>11,9,0,2,1</t>
  </si>
  <si>
    <t>12,7,0,2,1</t>
  </si>
  <si>
    <t>10,8,0,1,0</t>
  </si>
  <si>
    <t>14,7,1,0,0</t>
  </si>
  <si>
    <t>21,10,1,0,1</t>
  </si>
  <si>
    <t>25,5,0,1,1</t>
  </si>
  <si>
    <t>14,5,0,1,0</t>
  </si>
  <si>
    <t>22,5,0,0,0</t>
  </si>
  <si>
    <t>10,2,0,0,1</t>
  </si>
  <si>
    <t>5,5,0,1,1</t>
  </si>
  <si>
    <t>8,0,0,0,0</t>
  </si>
  <si>
    <t>2,1,0,0,1</t>
  </si>
  <si>
    <t>2,2,0,0,1</t>
  </si>
  <si>
    <t>1,0,0,2,0</t>
  </si>
  <si>
    <t>7,0,0,0,1</t>
  </si>
  <si>
    <t>8,0,1,1,2</t>
  </si>
  <si>
    <t>12,7,0,0,1</t>
  </si>
  <si>
    <t>31,8,0,2,2</t>
  </si>
  <si>
    <t>19,8,0,1,1</t>
  </si>
  <si>
    <t>22,14,0,0,2</t>
  </si>
  <si>
    <t>17,7,0,1,3</t>
  </si>
  <si>
    <t>14,9,0,0,0</t>
  </si>
  <si>
    <t>23,6,0,0,1</t>
  </si>
  <si>
    <t>31,7,0,0,1</t>
  </si>
  <si>
    <t>27,11,0,1,1</t>
  </si>
  <si>
    <t>24,5,0,0,1</t>
  </si>
  <si>
    <t>16,1,0,0,0</t>
  </si>
  <si>
    <t>14,3,0,0,0</t>
  </si>
  <si>
    <t>4,4,0,1,0</t>
  </si>
  <si>
    <t>5,0,0,0,0</t>
  </si>
  <si>
    <t>7,1,0,0,0</t>
  </si>
  <si>
    <t>0,0,0,1,1</t>
  </si>
  <si>
    <t>5,4,0,0,0</t>
  </si>
  <si>
    <t>6,5,0,0,0</t>
  </si>
  <si>
    <t>9,5,0,0,0</t>
  </si>
  <si>
    <t>21,5,0,0,0</t>
  </si>
  <si>
    <t>24,6,0,0,0</t>
  </si>
  <si>
    <t>27,4,0,0,1</t>
  </si>
  <si>
    <t>30,7,0,0,0</t>
  </si>
  <si>
    <t>21,7,0,0,1</t>
  </si>
  <si>
    <t>29,9,0,1,1</t>
  </si>
  <si>
    <t>29,6,1,0,1</t>
  </si>
  <si>
    <t>29,7,0,0,0</t>
  </si>
  <si>
    <t>15,6,1,0,0</t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</si>
  <si>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</si>
  <si>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'03F0996N'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</si>
  <si>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</si>
  <si>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'03F0996N'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</si>
  <si>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</si>
  <si>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'03F0996N'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</si>
  <si>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</si>
  <si>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'03F1022S'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</si>
  <si>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</si>
  <si>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'03F1022S'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</si>
  <si>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</si>
  <si>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 xml:space="preserve">Datatime = </t>
    </r>
    <r>
      <rPr>
        <rFont val="Arial"/>
        <color rgb="FFFF0000"/>
        <sz val="10.0"/>
      </rPr>
      <t>2023/10/19</t>
    </r>
  </si>
  <si>
    <r>
      <rPr>
        <rFont val="Arial"/>
        <color theme="1"/>
        <sz val="10.0"/>
      </rPr>
      <t>gantryid_D =</t>
    </r>
    <r>
      <rPr>
        <rFont val="Arial"/>
        <color rgb="FFFF0000"/>
        <sz val="10.0"/>
      </rPr>
      <t xml:space="preserve"> '03F1022S'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</si>
</sst>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%"/>
  </numFmts>
  <fonts count="29">
    <font>
      <sz val="10.0"/>
      <color rgb="FF000000"/>
      <name val="Arial"/>
      <scheme val="minor"/>
    </font>
    <font>
      <sz val="12.0"/>
      <color theme="1"/>
      <name val="Microsoft JhengHei"/>
    </font>
    <font>
      <sz val="10.0"/>
      <color theme="1"/>
      <name val="Arial"/>
    </font>
    <font/>
    <font>
      <sz val="12.0"/>
      <color rgb="FF1F1F1F"/>
      <name val="Arial"/>
    </font>
    <font>
      <sz val="12.0"/>
      <color theme="1"/>
      <name val="Arial"/>
    </font>
    <font>
      <sz val="12.0"/>
      <color rgb="FF000000"/>
      <name val="Calibri"/>
    </font>
    <font>
      <sz val="12.0"/>
      <color theme="1"/>
      <name val="Calibri"/>
    </font>
    <font>
      <sz val="10.0"/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sz val="12.0"/>
      <color rgb="FF000000"/>
      <name val="PMingLiu"/>
    </font>
    <font>
      <sz val="9.0"/>
      <color rgb="FF1F1F1F"/>
      <name val="Arial"/>
    </font>
    <font>
      <sz val="11.0"/>
      <color rgb="FF000000"/>
      <name val="Monospace"/>
    </font>
    <font>
      <sz val="12.0"/>
      <color theme="1"/>
      <name val="PMingLiu"/>
    </font>
    <font>
      <b/>
      <sz val="12.0"/>
      <color theme="1"/>
      <name val="Arial"/>
    </font>
    <font>
      <b/>
      <i/>
      <sz val="14.0"/>
      <color theme="1"/>
      <name val="Arial"/>
    </font>
    <font>
      <sz val="12.0"/>
      <color rgb="FFFFFFFF"/>
      <name val="Roboto"/>
    </font>
    <font>
      <sz val="10.0"/>
      <color theme="1"/>
      <name val="Microsoft JhengHei"/>
    </font>
    <font>
      <sz val="10.0"/>
      <color rgb="FF1F1F1F"/>
      <name val="Arial"/>
    </font>
    <font>
      <sz val="10.0"/>
      <color rgb="FF000000"/>
      <name val="Calibri"/>
    </font>
    <font>
      <sz val="10.0"/>
      <color theme="1"/>
      <name val="Calibri"/>
    </font>
    <font>
      <b/>
      <sz val="10.0"/>
      <color theme="1"/>
      <name val="Arial"/>
    </font>
    <font>
      <sz val="10.0"/>
      <color rgb="FF000000"/>
      <name val="PMingLiu"/>
    </font>
    <font>
      <sz val="12.0"/>
      <color rgb="FF000000"/>
      <name val="Arial"/>
    </font>
    <font>
      <sz val="10.0"/>
      <color theme="1"/>
      <name val="PMingLiu"/>
    </font>
    <font>
      <b/>
      <i/>
      <sz val="10.0"/>
      <color theme="1"/>
      <name val="Arial"/>
    </font>
    <font>
      <b/>
      <sz val="12.0"/>
      <color theme="1"/>
      <name val="Roboto"/>
    </font>
    <font>
      <sz val="10.0"/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B4437"/>
        <bgColor rgb="FFDB4437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right/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ill="1" applyFont="1">
      <alignment horizontal="left"/>
    </xf>
    <xf borderId="2" fillId="0" fontId="1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2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0" fontId="4" numFmtId="0" xfId="0" applyBorder="1" applyFont="1"/>
    <xf borderId="1" fillId="0" fontId="1" numFmtId="9" xfId="0" applyAlignment="1" applyBorder="1" applyFont="1" applyNumberFormat="1">
      <alignment horizontal="center" shrinkToFit="0" wrapText="1"/>
    </xf>
    <xf borderId="1" fillId="0" fontId="5" numFmtId="9" xfId="0" applyAlignment="1" applyBorder="1" applyFont="1" applyNumberFormat="1">
      <alignment horizontal="center" shrinkToFit="0" wrapText="1"/>
    </xf>
    <xf borderId="1" fillId="0" fontId="6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Font="1"/>
    <xf borderId="1" fillId="0" fontId="5" numFmtId="0" xfId="0" applyAlignment="1" applyBorder="1" applyFont="1">
      <alignment horizontal="right"/>
    </xf>
    <xf borderId="7" fillId="3" fontId="2" numFmtId="164" xfId="0" applyAlignment="1" applyBorder="1" applyFill="1" applyFont="1" applyNumberFormat="1">
      <alignment vertical="center"/>
    </xf>
    <xf borderId="1" fillId="0" fontId="2" numFmtId="0" xfId="0" applyAlignment="1" applyBorder="1" applyFont="1">
      <alignment horizontal="right"/>
    </xf>
    <xf borderId="3" fillId="0" fontId="2" numFmtId="0" xfId="0" applyBorder="1" applyFont="1"/>
    <xf borderId="8" fillId="3" fontId="2" numFmtId="164" xfId="0" applyAlignment="1" applyBorder="1" applyFont="1" applyNumberFormat="1">
      <alignment vertical="center"/>
    </xf>
    <xf borderId="0" fillId="0" fontId="8" numFmtId="10" xfId="0" applyFont="1" applyNumberFormat="1"/>
    <xf borderId="9" fillId="0" fontId="2" numFmtId="0" xfId="0" applyBorder="1" applyFont="1"/>
    <xf borderId="9" fillId="0" fontId="3" numFmtId="0" xfId="0" applyBorder="1" applyFont="1"/>
    <xf borderId="6" fillId="0" fontId="5" numFmtId="0" xfId="0" applyAlignment="1" applyBorder="1" applyFont="1">
      <alignment horizontal="right"/>
    </xf>
    <xf borderId="0" fillId="0" fontId="9" numFmtId="0" xfId="0" applyFont="1"/>
    <xf borderId="10" fillId="0" fontId="2" numFmtId="0" xfId="0" applyBorder="1" applyFont="1"/>
    <xf borderId="10" fillId="0" fontId="3" numFmtId="0" xfId="0" applyBorder="1" applyFont="1"/>
    <xf borderId="7" fillId="3" fontId="10" numFmtId="164" xfId="0" applyAlignment="1" applyBorder="1" applyFont="1" applyNumberFormat="1">
      <alignment vertical="center"/>
    </xf>
    <xf borderId="11" fillId="3" fontId="10" numFmtId="164" xfId="0" applyAlignment="1" applyBorder="1" applyFont="1" applyNumberFormat="1">
      <alignment vertical="center"/>
    </xf>
    <xf borderId="3" fillId="0" fontId="2" numFmtId="0" xfId="0" applyAlignment="1" applyBorder="1" applyFont="1">
      <alignment horizontal="right"/>
    </xf>
    <xf borderId="3" fillId="0" fontId="2" numFmtId="10" xfId="0" applyAlignment="1" applyBorder="1" applyFont="1" applyNumberFormat="1">
      <alignment horizontal="right"/>
    </xf>
    <xf borderId="12" fillId="0" fontId="3" numFmtId="0" xfId="0" applyBorder="1" applyFont="1"/>
    <xf borderId="1" fillId="0" fontId="2" numFmtId="0" xfId="0" applyBorder="1" applyFont="1"/>
    <xf borderId="13" fillId="0" fontId="3" numFmtId="0" xfId="0" applyBorder="1" applyFont="1"/>
    <xf borderId="11" fillId="3" fontId="2" numFmtId="164" xfId="0" applyAlignment="1" applyBorder="1" applyFont="1" applyNumberFormat="1">
      <alignment vertical="center"/>
    </xf>
    <xf borderId="14" fillId="0" fontId="3" numFmtId="0" xfId="0" applyBorder="1" applyFont="1"/>
    <xf borderId="0" fillId="0" fontId="11" numFmtId="0" xfId="0" applyAlignment="1" applyFont="1">
      <alignment horizontal="right"/>
    </xf>
    <xf borderId="8" fillId="0" fontId="10" numFmtId="164" xfId="0" applyAlignment="1" applyBorder="1" applyFont="1" applyNumberFormat="1">
      <alignment vertical="center"/>
    </xf>
    <xf borderId="3" fillId="0" fontId="2" numFmtId="10" xfId="0" applyBorder="1" applyFont="1" applyNumberFormat="1"/>
    <xf borderId="15" fillId="4" fontId="12" numFmtId="0" xfId="0" applyBorder="1" applyFill="1" applyFont="1"/>
    <xf borderId="0" fillId="0" fontId="13" numFmtId="0" xfId="0" applyFont="1"/>
    <xf borderId="0" fillId="0" fontId="5" numFmtId="0" xfId="0" applyFont="1"/>
    <xf borderId="1" fillId="0" fontId="2" numFmtId="10" xfId="0" applyAlignment="1" applyBorder="1" applyFont="1" applyNumberFormat="1">
      <alignment horizontal="right"/>
    </xf>
    <xf borderId="10" fillId="0" fontId="2" numFmtId="0" xfId="0" applyAlignment="1" applyBorder="1" applyFont="1">
      <alignment horizontal="right"/>
    </xf>
    <xf borderId="10" fillId="0" fontId="14" numFmtId="0" xfId="0" applyAlignment="1" applyBorder="1" applyFont="1">
      <alignment horizontal="right"/>
    </xf>
    <xf borderId="1" fillId="0" fontId="15" numFmtId="0" xfId="0" applyAlignment="1" applyBorder="1" applyFont="1">
      <alignment horizontal="right"/>
    </xf>
    <xf borderId="0" fillId="0" fontId="16" numFmtId="0" xfId="0" applyFont="1"/>
    <xf borderId="0" fillId="0" fontId="15" numFmtId="0" xfId="0" applyAlignment="1" applyFont="1">
      <alignment horizontal="right"/>
    </xf>
    <xf borderId="0" fillId="0" fontId="10" numFmtId="164" xfId="0" applyAlignment="1" applyFont="1" applyNumberFormat="1">
      <alignment vertical="center"/>
    </xf>
    <xf borderId="0" fillId="0" fontId="2" numFmtId="0" xfId="0" applyAlignment="1" applyFont="1">
      <alignment horizontal="right"/>
    </xf>
    <xf borderId="0" fillId="0" fontId="2" numFmtId="10" xfId="0" applyFont="1" applyNumberFormat="1"/>
    <xf borderId="0" fillId="0" fontId="12" numFmtId="0" xfId="0" applyFont="1"/>
    <xf borderId="0" fillId="0" fontId="5" numFmtId="0" xfId="0" applyAlignment="1" applyFont="1">
      <alignment horizontal="right"/>
    </xf>
    <xf borderId="0" fillId="0" fontId="2" numFmtId="164" xfId="0" applyAlignment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2" fillId="0" fontId="2" numFmtId="0" xfId="0" applyBorder="1" applyFont="1"/>
    <xf borderId="9" fillId="0" fontId="2" numFmtId="164" xfId="0" applyAlignment="1" applyBorder="1" applyFont="1" applyNumberFormat="1">
      <alignment vertical="center"/>
    </xf>
    <xf borderId="0" fillId="0" fontId="17" numFmtId="0" xfId="0" applyFont="1"/>
    <xf borderId="6" fillId="0" fontId="2" numFmtId="0" xfId="0" applyAlignment="1" applyBorder="1" applyFont="1">
      <alignment horizontal="right"/>
    </xf>
    <xf borderId="3" fillId="0" fontId="14" numFmtId="0" xfId="0" applyAlignment="1" applyBorder="1" applyFont="1">
      <alignment horizontal="right"/>
    </xf>
    <xf borderId="0" fillId="0" fontId="18" numFmtId="0" xfId="0" applyAlignment="1" applyFont="1">
      <alignment horizontal="center" shrinkToFit="0" wrapText="1"/>
    </xf>
    <xf borderId="0" fillId="0" fontId="8" numFmtId="0" xfId="0" applyFont="1"/>
    <xf borderId="2" fillId="0" fontId="18" numFmtId="0" xfId="0" applyAlignment="1" applyBorder="1" applyFont="1">
      <alignment horizontal="center" shrinkToFit="0" wrapText="1"/>
    </xf>
    <xf borderId="1" fillId="0" fontId="19" numFmtId="0" xfId="0" applyBorder="1" applyFont="1"/>
    <xf borderId="1" fillId="0" fontId="18" numFmtId="9" xfId="0" applyAlignment="1" applyBorder="1" applyFont="1" applyNumberFormat="1">
      <alignment horizontal="center" shrinkToFit="0" wrapText="1"/>
    </xf>
    <xf borderId="1" fillId="0" fontId="2" numFmtId="9" xfId="0" applyAlignment="1" applyBorder="1" applyFont="1" applyNumberFormat="1">
      <alignment horizontal="center" shrinkToFit="0" wrapText="1"/>
    </xf>
    <xf borderId="1" fillId="0" fontId="20" numFmtId="0" xfId="0" applyBorder="1" applyFont="1"/>
    <xf borderId="1" fillId="0" fontId="21" numFmtId="0" xfId="0" applyBorder="1" applyFont="1"/>
    <xf borderId="1" fillId="2" fontId="8" numFmtId="0" xfId="0" applyAlignment="1" applyBorder="1" applyFont="1">
      <alignment horizontal="center"/>
    </xf>
    <xf borderId="8" fillId="0" fontId="2" numFmtId="0" xfId="0" applyAlignment="1" applyBorder="1" applyFont="1">
      <alignment horizontal="right"/>
    </xf>
    <xf borderId="4" fillId="0" fontId="2" numFmtId="0" xfId="0" applyAlignment="1" applyBorder="1" applyFont="1">
      <alignment horizontal="right"/>
    </xf>
    <xf borderId="0" fillId="0" fontId="22" numFmtId="0" xfId="0" applyFont="1"/>
    <xf borderId="0" fillId="0" fontId="23" numFmtId="0" xfId="0" applyAlignment="1" applyFont="1">
      <alignment horizontal="right"/>
    </xf>
    <xf borderId="16" fillId="0" fontId="24" numFmtId="0" xfId="0" applyAlignment="1" applyBorder="1" applyFont="1">
      <alignment horizontal="right" shrinkToFit="0" wrapText="1"/>
    </xf>
    <xf borderId="17" fillId="0" fontId="24" numFmtId="0" xfId="0" applyAlignment="1" applyBorder="1" applyFont="1">
      <alignment horizontal="right" shrinkToFit="0" wrapText="1"/>
    </xf>
    <xf borderId="18" fillId="0" fontId="24" numFmtId="0" xfId="0" applyAlignment="1" applyBorder="1" applyFont="1">
      <alignment horizontal="right" shrinkToFit="0" wrapText="1"/>
    </xf>
    <xf borderId="19" fillId="0" fontId="24" numFmtId="0" xfId="0" applyAlignment="1" applyBorder="1" applyFont="1">
      <alignment horizontal="right" shrinkToFit="0" wrapText="1"/>
    </xf>
    <xf borderId="20" fillId="0" fontId="8" numFmtId="0" xfId="0" applyAlignment="1" applyBorder="1" applyFont="1">
      <alignment horizontal="right" shrinkToFit="0" wrapText="1"/>
    </xf>
    <xf borderId="21" fillId="0" fontId="8" numFmtId="0" xfId="0" applyAlignment="1" applyBorder="1" applyFont="1">
      <alignment horizontal="right" shrinkToFit="0" wrapText="1"/>
    </xf>
    <xf borderId="22" fillId="0" fontId="8" numFmtId="0" xfId="0" applyAlignment="1" applyBorder="1" applyFont="1">
      <alignment horizontal="right" shrinkToFit="0" wrapText="1"/>
    </xf>
    <xf borderId="23" fillId="0" fontId="8" numFmtId="0" xfId="0" applyAlignment="1" applyBorder="1" applyFont="1">
      <alignment horizontal="right" shrinkToFit="0" wrapText="1"/>
    </xf>
    <xf borderId="18" fillId="0" fontId="8" numFmtId="0" xfId="0" applyAlignment="1" applyBorder="1" applyFont="1">
      <alignment horizontal="right" shrinkToFit="0" wrapText="1"/>
    </xf>
    <xf borderId="19" fillId="0" fontId="8" numFmtId="0" xfId="0" applyAlignment="1" applyBorder="1" applyFont="1">
      <alignment horizontal="right" shrinkToFit="0" wrapText="1"/>
    </xf>
    <xf borderId="1" fillId="0" fontId="23" numFmtId="0" xfId="0" applyAlignment="1" applyBorder="1" applyFont="1">
      <alignment horizontal="right"/>
    </xf>
    <xf borderId="15" fillId="4" fontId="19" numFmtId="0" xfId="0" applyBorder="1" applyFont="1"/>
    <xf borderId="10" fillId="0" fontId="25" numFmtId="0" xfId="0" applyAlignment="1" applyBorder="1" applyFont="1">
      <alignment horizontal="right"/>
    </xf>
    <xf borderId="1" fillId="0" fontId="22" numFmtId="0" xfId="0" applyAlignment="1" applyBorder="1" applyFont="1">
      <alignment horizontal="right"/>
    </xf>
    <xf borderId="0" fillId="0" fontId="26" numFmtId="0" xfId="0" applyFont="1"/>
    <xf borderId="3" fillId="0" fontId="1" numFmtId="9" xfId="0" applyAlignment="1" applyBorder="1" applyFont="1" applyNumberFormat="1">
      <alignment horizontal="center" shrinkToFit="0" wrapText="1"/>
    </xf>
    <xf borderId="3" fillId="0" fontId="5" numFmtId="9" xfId="0" applyAlignment="1" applyBorder="1" applyFont="1" applyNumberFormat="1">
      <alignment horizontal="center" shrinkToFit="0" wrapText="1"/>
    </xf>
    <xf borderId="1" fillId="4" fontId="7" numFmtId="0" xfId="0" applyBorder="1" applyFont="1"/>
    <xf borderId="1" fillId="4" fontId="8" numFmtId="0" xfId="0" applyAlignment="1" applyBorder="1" applyFont="1">
      <alignment horizontal="center"/>
    </xf>
    <xf borderId="15" fillId="4" fontId="27" numFmtId="0" xfId="0" applyBorder="1" applyFont="1"/>
    <xf borderId="24" fillId="4" fontId="12" numFmtId="0" xfId="0" applyBorder="1" applyFont="1"/>
    <xf borderId="25" fillId="0" fontId="2" numFmtId="0" xfId="0" applyBorder="1" applyFont="1"/>
    <xf borderId="15" fillId="5" fontId="17" numFmtId="0" xfId="0" applyBorder="1" applyFill="1" applyFont="1"/>
    <xf borderId="6" fillId="0" fontId="2" numFmtId="0" xfId="0" applyBorder="1" applyFont="1"/>
    <xf borderId="3" fillId="0" fontId="18" numFmtId="9" xfId="0" applyAlignment="1" applyBorder="1" applyFont="1" applyNumberFormat="1">
      <alignment horizontal="center" shrinkToFit="0" wrapText="1"/>
    </xf>
    <xf borderId="3" fillId="0" fontId="2" numFmtId="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center"/>
    </xf>
    <xf borderId="15" fillId="2" fontId="8" numFmtId="0" xfId="0" applyAlignment="1" applyBorder="1" applyFont="1">
      <alignment horizontal="center"/>
    </xf>
    <xf borderId="0" fillId="0" fontId="28" numFmtId="0" xfId="0" applyFont="1"/>
    <xf borderId="3" fillId="0" fontId="2" numFmtId="165" xfId="0" applyBorder="1" applyFont="1" applyNumberFormat="1"/>
    <xf borderId="1" fillId="0" fontId="8" numFmtId="0" xfId="0" applyAlignment="1" applyBorder="1" applyFont="1">
      <alignment horizontal="right"/>
    </xf>
    <xf borderId="1" fillId="0" fontId="8" numFmtId="10" xfId="0" applyAlignment="1" applyBorder="1" applyFont="1" applyNumberFormat="1">
      <alignment horizontal="right"/>
    </xf>
    <xf borderId="1" fillId="0" fontId="7" numFmtId="0" xfId="0" applyBorder="1" applyFont="1"/>
    <xf borderId="8" fillId="3" fontId="10" numFmtId="164" xfId="0" applyAlignment="1" applyBorder="1" applyFont="1" applyNumberFormat="1">
      <alignment vertical="center"/>
    </xf>
    <xf borderId="26" fillId="0" fontId="14" numFmtId="0" xfId="0" applyAlignment="1" applyBorder="1" applyFont="1">
      <alignment horizontal="right"/>
    </xf>
    <xf borderId="2" fillId="0" fontId="14" numFmtId="0" xfId="0" applyAlignment="1" applyBorder="1" applyFont="1">
      <alignment horizontal="right"/>
    </xf>
    <xf borderId="27" fillId="4" fontId="12" numFmtId="0" xfId="0" applyBorder="1" applyFont="1"/>
    <xf borderId="28" fillId="0" fontId="3" numFmtId="0" xfId="0" applyBorder="1" applyFont="1"/>
    <xf borderId="29" fillId="4" fontId="12" numFmtId="0" xfId="0" applyBorder="1" applyFont="1"/>
    <xf borderId="3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「上(交流道)北上」9/25-1001 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'「上(交流道)北上」的副本'!$O$8:$O$175</c:f>
              <c:numCache/>
            </c:numRef>
          </c:val>
          <c:smooth val="0"/>
        </c:ser>
        <c:ser>
          <c:idx val="1"/>
          <c:order val="1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'「上(交流道)北上」的副本'!$S$8:$S$175</c:f>
              <c:numCache/>
            </c:numRef>
          </c:val>
          <c:smooth val="0"/>
        </c:ser>
        <c:ser>
          <c:idx val="2"/>
          <c:order val="2"/>
          <c:tx>
            <c:strRef>
              <c:f>'「上(交流道)北上」的副本'!$T$7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'「上(交流道)北上」的副本'!$N$8:$N$175</c:f>
            </c:strRef>
          </c:cat>
          <c:val>
            <c:numRef>
              <c:f>'「上(交流道)北上」的副本'!$T$8:$T$175</c:f>
              <c:numCache/>
            </c:numRef>
          </c:val>
          <c:smooth val="0"/>
        </c:ser>
        <c:axId val="1780743449"/>
        <c:axId val="1345755050"/>
      </c:lineChart>
      <c:catAx>
        <c:axId val="1780743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5755050"/>
      </c:catAx>
      <c:valAx>
        <c:axId val="1345755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07434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「上(交流道)北上」10/02-1008 正規化
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'「上(交流道)北上」的副本'!$O$178:$O$345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'「上(交流道)北上」的副本'!$P$178:$P$345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'「上(交流道)北上」的副本'!$Q$178:$Q$345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'「上(交流道)北上」的副本'!$R$178:$R$345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'「上(交流道)北上」的副本'!$S$178:$S$345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'「上(交流道)北上」的副本'!$T$177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'「上(交流道)北上」的副本'!$N$178:$N$345</c:f>
            </c:strRef>
          </c:cat>
          <c:val>
            <c:numRef>
              <c:f>'「上(交流道)北上」的副本'!$T$178:$T$345</c:f>
              <c:numCache/>
            </c:numRef>
          </c:val>
          <c:smooth val="0"/>
        </c:ser>
        <c:axId val="1853775774"/>
        <c:axId val="779013347"/>
      </c:lineChart>
      <c:catAx>
        <c:axId val="1853775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9013347"/>
      </c:catAx>
      <c:valAx>
        <c:axId val="779013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37757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「上(交流道)北上」10/02-1008
</a:t>
            </a:r>
          </a:p>
        </c:rich>
      </c:tx>
      <c:layout>
        <c:manualLayout>
          <c:xMode val="edge"/>
          <c:yMode val="edge"/>
          <c:x val="0.222038180814695"/>
          <c:y val="0.044834250072149605"/>
        </c:manualLayout>
      </c:layout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'「上(交流道)北上」的副本'!$G$190:$G$357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'「上(交流道)北上」的副本'!$H$190:$H$357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'「上(交流道)北上」的副本'!$I$190:$I$357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'「上(交流道)北上」的副本'!$J$190:$J$357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'「上(交流道)北上」的副本'!$K$190:$K$357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'「上(交流道)北上」的副本'!$L$189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'「上(交流道)北上」的副本'!$F$190:$F$357</c:f>
            </c:strRef>
          </c:cat>
          <c:val>
            <c:numRef>
              <c:f>'「上(交流道)北上」的副本'!$L$190:$L$357</c:f>
              <c:numCache/>
            </c:numRef>
          </c:val>
          <c:smooth val="0"/>
        </c:ser>
        <c:axId val="806833256"/>
        <c:axId val="50922978"/>
      </c:lineChart>
      <c:catAx>
        <c:axId val="80683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922978"/>
      </c:catAx>
      <c:valAx>
        <c:axId val="50922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68332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「上(交流道)北上」9/25-1001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'「上(交流道)北上」的副本'!$K$8:$K$175</c:f>
              <c:numCache/>
            </c:numRef>
          </c:val>
          <c:smooth val="0"/>
        </c:ser>
        <c:ser>
          <c:idx val="5"/>
          <c:order val="5"/>
          <c:tx>
            <c:strRef>
              <c:f>'「上(交流道)北上」的副本'!$L$7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'「上(交流道)北上」的副本'!$F$8:$F$175</c:f>
            </c:strRef>
          </c:cat>
          <c:val>
            <c:numRef>
              <c:f>'「上(交流道)北上」的副本'!$L$8:$L$175</c:f>
              <c:numCache/>
            </c:numRef>
          </c:val>
          <c:smooth val="0"/>
        </c:ser>
        <c:axId val="1224014345"/>
        <c:axId val="1236178333"/>
      </c:lineChart>
      <c:catAx>
        <c:axId val="1224014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6178333"/>
      </c:catAx>
      <c:valAx>
        <c:axId val="123617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401434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「上(交流道)北上」1009-1015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'上(交流道)北上'!$G$34:$G$201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'上(交流道)北上'!$H$34:$H$201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'上(交流道)北上'!$I$34:$I$201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'上(交流道)北上'!$J$34:$J$201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'上(交流道)北上'!$K$34:$K$201</c:f>
              <c:numCache/>
            </c:numRef>
          </c:val>
          <c:smooth val="0"/>
        </c:ser>
        <c:ser>
          <c:idx val="5"/>
          <c:order val="5"/>
          <c:tx>
            <c:strRef>
              <c:f>'上(交流道)北上'!$L$33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'上(交流道)北上'!$F$34:$F$201</c:f>
            </c:strRef>
          </c:cat>
          <c:val>
            <c:numRef>
              <c:f>'上(交流道)北上'!$L$34:$L$201</c:f>
              <c:numCache/>
            </c:numRef>
          </c:val>
          <c:smooth val="0"/>
        </c:ser>
        <c:axId val="367257862"/>
        <c:axId val="313974760"/>
      </c:lineChart>
      <c:catAx>
        <c:axId val="367257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3974760"/>
      </c:catAx>
      <c:valAx>
        <c:axId val="313974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72578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「上(交流道)北上」1016-1022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'上(交流道)北上'!$G$216:$G$383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'上(交流道)北上'!$H$216:$H$383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'上(交流道)北上'!$I$216:$I$383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'上(交流道)北上'!$J$216:$J$383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'上(交流道)北上'!$K$216:$K$383</c:f>
              <c:numCache/>
            </c:numRef>
          </c:val>
          <c:smooth val="0"/>
        </c:ser>
        <c:ser>
          <c:idx val="5"/>
          <c:order val="5"/>
          <c:tx>
            <c:strRef>
              <c:f>'上(交流道)北上'!$L$215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'上(交流道)北上'!$F$216:$F$383</c:f>
            </c:strRef>
          </c:cat>
          <c:val>
            <c:numRef>
              <c:f>'上(交流道)北上'!$L$216:$L$383</c:f>
              <c:numCache/>
            </c:numRef>
          </c:val>
          <c:smooth val="0"/>
        </c:ser>
        <c:axId val="1953349279"/>
        <c:axId val="884968898"/>
      </c:lineChart>
      <c:catAx>
        <c:axId val="1953349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4968898"/>
      </c:catAx>
      <c:valAx>
        <c:axId val="884968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33492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「上(交流道)北上」1016-1022 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'上(交流道)北上'!$O$216:$O$383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'上(交流道)北上'!$P$216:$P$383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'上(交流道)北上'!$Q$216:$Q$383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'上(交流道)北上'!$R$216:$R$383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'上(交流道)北上'!$S$216:$S$383</c:f>
              <c:numCache/>
            </c:numRef>
          </c:val>
          <c:smooth val="0"/>
        </c:ser>
        <c:ser>
          <c:idx val="5"/>
          <c:order val="5"/>
          <c:tx>
            <c:strRef>
              <c:f>'上(交流道)北上'!$T$215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'上(交流道)北上'!$N$216:$N$383</c:f>
            </c:strRef>
          </c:cat>
          <c:val>
            <c:numRef>
              <c:f>'上(交流道)北上'!$T$216:$T$383</c:f>
              <c:numCache/>
            </c:numRef>
          </c:val>
          <c:smooth val="0"/>
        </c:ser>
        <c:axId val="21455625"/>
        <c:axId val="1492266021"/>
      </c:lineChart>
      <c:catAx>
        <c:axId val="21455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2266021"/>
      </c:catAx>
      <c:valAx>
        <c:axId val="1492266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556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「上(交流道)北上」1009-1015 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'上(交流道)北上'!$O$34:$O$201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'上(交流道)北上'!$P$34:$P$201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'上(交流道)北上'!$Q$34:$Q$201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'上(交流道)北上'!$R$34:$R$201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'上(交流道)北上'!$S$34:$S$201</c:f>
              <c:numCache/>
            </c:numRef>
          </c:val>
          <c:smooth val="0"/>
        </c:ser>
        <c:ser>
          <c:idx val="5"/>
          <c:order val="5"/>
          <c:tx>
            <c:strRef>
              <c:f>'上(交流道)北上'!$T$33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'上(交流道)北上'!$N$34:$N$201</c:f>
            </c:strRef>
          </c:cat>
          <c:val>
            <c:numRef>
              <c:f>'上(交流道)北上'!$T$34:$T$201</c:f>
              <c:numCache/>
            </c:numRef>
          </c:val>
          <c:smooth val="0"/>
        </c:ser>
        <c:axId val="719009400"/>
        <c:axId val="1456375640"/>
      </c:lineChart>
      <c:catAx>
        <c:axId val="71900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6375640"/>
      </c:catAx>
      <c:valAx>
        <c:axId val="1456375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90094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「上(交流道)南下」1002-1008
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'「上(交流道)南下」925-1008'!$O$154:$O$345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'「上(交流道)南下」925-1008'!$P$154:$P$345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'「上(交流道)南下」925-1008'!$Q$154:$Q$345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'「上(交流道)南下」925-1008'!$R$154:$R$345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'「上(交流道)南下」925-1008'!$S$154:$S$345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'「上(交流道)南下」925-1008'!$T$153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'「上(交流道)南下」925-1008'!$N$154:$N$345</c:f>
            </c:strRef>
          </c:cat>
          <c:val>
            <c:numRef>
              <c:f>'「上(交流道)南下」925-1008'!$T$154:$T$345</c:f>
              <c:numCache/>
            </c:numRef>
          </c:val>
          <c:smooth val="0"/>
        </c:ser>
        <c:axId val="27365240"/>
        <c:axId val="712424870"/>
      </c:lineChart>
      <c:catAx>
        <c:axId val="27365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2424870"/>
      </c:catAx>
      <c:valAx>
        <c:axId val="712424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36524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「上(交流道)南下」925-1001
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'「上(交流道)南下」925-1008'!$O$8:$O$151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'「上(交流道)南下」925-1008'!$P$8:$P$151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'「上(交流道)南下」925-1008'!$Q$8:$Q$151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'「上(交流道)南下」925-1008'!$R$8:$R$151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'「上(交流道)南下」925-1008'!$S$8:$S$151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'「上(交流道)南下」925-1008'!$T$7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'「上(交流道)南下」925-1008'!$N$8:$N$151</c:f>
            </c:strRef>
          </c:cat>
          <c:val>
            <c:numRef>
              <c:f>'「上(交流道)南下」925-1008'!$T$8:$T$151</c:f>
              <c:numCache/>
            </c:numRef>
          </c:val>
          <c:smooth val="0"/>
        </c:ser>
        <c:axId val="1271063089"/>
        <c:axId val="1577611087"/>
      </c:lineChart>
      <c:catAx>
        <c:axId val="1271063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7611087"/>
      </c:catAx>
      <c:valAx>
        <c:axId val="1577611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10630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「上(交流道)南下」1002-1008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'「上(交流道)南下」925-1008'!$G$190:$G$357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'「上(交流道)南下」925-1008'!$H$190:$H$357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'「上(交流道)南下」925-1008'!$I$190:$I$357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'「上(交流道)南下」925-1008'!$J$190:$J$357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'「上(交流道)南下」925-1008'!$K$190:$K$357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'「上(交流道)南下」925-1008'!$L$189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'「上(交流道)南下」925-1008'!$F$190:$F$357</c:f>
            </c:strRef>
          </c:cat>
          <c:val>
            <c:numRef>
              <c:f>'「上(交流道)南下」925-1008'!$L$190:$L$357</c:f>
              <c:numCache/>
            </c:numRef>
          </c:val>
          <c:smooth val="0"/>
        </c:ser>
        <c:axId val="1462221251"/>
        <c:axId val="2096546244"/>
      </c:lineChart>
      <c:catAx>
        <c:axId val="1462221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6546244"/>
      </c:catAx>
      <c:valAx>
        <c:axId val="2096546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22212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「上(交流道)南下」925-1001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'「上(交流道)南下」925-1008'!$K$8:$K$175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'「上(交流道)南下」925-1008'!$L$7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'「上(交流道)南下」925-1008'!$F$8:$F$175</c:f>
            </c:strRef>
          </c:cat>
          <c:val>
            <c:numRef>
              <c:f>'「上(交流道)南下」925-1008'!$L$8:$L$175</c:f>
              <c:numCache/>
            </c:numRef>
          </c:val>
          <c:smooth val="0"/>
        </c:ser>
        <c:axId val="561467470"/>
        <c:axId val="453438770"/>
      </c:lineChart>
      <c:catAx>
        <c:axId val="561467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3438770"/>
      </c:catAx>
      <c:valAx>
        <c:axId val="453438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146747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「上(交流道)南下」1016-1022
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'「上(交流道)南下」1009-1022'!$O$216:$O$383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'「上(交流道)南下」1009-1022'!$P$216:$P$383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'「上(交流道)南下」1009-1022'!$Q$216:$Q$383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'「上(交流道)南下」1009-1022'!$R$216:$R$383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'「上(交流道)南下」1009-1022'!$S$216:$S$383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'「上(交流道)南下」1009-1022'!$T$215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'「上(交流道)南下」1009-1022'!$N$216:$N$383</c:f>
            </c:strRef>
          </c:cat>
          <c:val>
            <c:numRef>
              <c:f>'「上(交流道)南下」1009-1022'!$T$216:$T$383</c:f>
              <c:numCache/>
            </c:numRef>
          </c:val>
          <c:smooth val="0"/>
        </c:ser>
        <c:axId val="742619830"/>
        <c:axId val="1910792043"/>
      </c:lineChart>
      <c:catAx>
        <c:axId val="742619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0792043"/>
      </c:catAx>
      <c:valAx>
        <c:axId val="1910792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26198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「上(交流道)南下」1016-1022
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'「上(交流道)南下」1009-1022'!$G$216:$G$383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'「上(交流道)南下」1009-1022'!$H$216:$H$383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'「上(交流道)南下」1009-1022'!$I$216:$I$383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'「上(交流道)南下」1009-1022'!$J$216:$J$383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'「上(交流道)南下」1009-1022'!$K$216:$K$383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'「上(交流道)南下」1009-1022'!$L$215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'「上(交流道)南下」1009-1022'!$F$216:$F$383</c:f>
            </c:strRef>
          </c:cat>
          <c:val>
            <c:numRef>
              <c:f>'「上(交流道)南下」1009-1022'!$L$216:$L$383</c:f>
              <c:numCache/>
            </c:numRef>
          </c:val>
          <c:smooth val="0"/>
        </c:ser>
        <c:axId val="242426352"/>
        <c:axId val="1015641155"/>
      </c:lineChart>
      <c:catAx>
        <c:axId val="24242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5641155"/>
      </c:catAx>
      <c:valAx>
        <c:axId val="1015641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242635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「上(交流道)南下」1009-1015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'「上(交流道)南下」1009-1022'!$G$34:$G$201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'「上(交流道)南下」1009-1022'!$H$34:$H$201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'「上(交流道)南下」1009-1022'!$I$34:$I$201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'「上(交流道)南下」1009-1022'!$J$34:$J$201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'「上(交流道)南下」1009-1022'!$K$34:$K$201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'「上(交流道)南下」1009-1022'!$L$33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'「上(交流道)南下」1009-1022'!$F$34:$F$201</c:f>
            </c:strRef>
          </c:cat>
          <c:val>
            <c:numRef>
              <c:f>'「上(交流道)南下」1009-1022'!$L$34:$L$201</c:f>
              <c:numCache/>
            </c:numRef>
          </c:val>
          <c:smooth val="0"/>
        </c:ser>
        <c:axId val="55738077"/>
        <c:axId val="1852295141"/>
      </c:lineChart>
      <c:catAx>
        <c:axId val="55738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2295141"/>
      </c:catAx>
      <c:valAx>
        <c:axId val="1852295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73807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rPr b="0" i="0" sz="1400">
                <a:solidFill>
                  <a:srgbClr val="595959"/>
                </a:solidFill>
                <a:latin typeface="+mn-lt"/>
              </a:rPr>
              <a:t>「上(交流道)南下」1009-1015正規化
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'「上(交流道)南下」1009-1022'!$O$34:$O$201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'「上(交流道)南下」1009-1022'!$P$34:$P$201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'「上(交流道)南下」1009-1022'!$Q$34:$Q$201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'「上(交流道)南下」1009-1022'!$R$34:$R$201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'「上(交流道)南下」1009-1022'!$S$34:$S$201</c:f>
              <c:numCache/>
            </c:numRef>
          </c:val>
          <c:smooth val="0"/>
        </c:ser>
        <c:ser>
          <c:idx val="5"/>
          <c:order val="5"/>
          <c:tx>
            <c:strRef>
              <c:f>'「上(交流道)南下」1009-1022'!$T$33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'「上(交流道)南下」1009-1022'!$N$34:$N$201</c:f>
            </c:strRef>
          </c:cat>
          <c:val>
            <c:numRef>
              <c:f>'「上(交流道)南下」1009-1022'!$T$34:$T$201</c:f>
              <c:numCache/>
            </c:numRef>
          </c:val>
          <c:smooth val="0"/>
        </c:ser>
        <c:axId val="537697278"/>
        <c:axId val="1617462442"/>
      </c:lineChart>
      <c:catAx>
        <c:axId val="537697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7462442"/>
      </c:catAx>
      <c:valAx>
        <c:axId val="1617462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76972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「下(交流道)南下」0925-1001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'「下(交流道)南下」0925-1008'!$K$8:$K$175</c:f>
              <c:numCache/>
            </c:numRef>
          </c:val>
          <c:smooth val="0"/>
        </c:ser>
        <c:ser>
          <c:idx val="5"/>
          <c:order val="5"/>
          <c:tx>
            <c:strRef>
              <c:f>'「下(交流道)南下」0925-1008'!$L$7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'「下(交流道)南下」0925-1008'!$F$8:$F$175</c:f>
            </c:strRef>
          </c:cat>
          <c:val>
            <c:numRef>
              <c:f>'「下(交流道)南下」0925-1008'!$L$8:$L$175</c:f>
              <c:numCache/>
            </c:numRef>
          </c:val>
          <c:smooth val="0"/>
        </c:ser>
        <c:axId val="1602265560"/>
        <c:axId val="2030891329"/>
      </c:lineChart>
      <c:catAx>
        <c:axId val="1602265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0891329"/>
      </c:catAx>
      <c:valAx>
        <c:axId val="2030891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22655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「下(交流道)南下」1002-1008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'「下(交流道)南下」0925-1008'!$G$177:$G$344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'「下(交流道)南下」0925-1008'!$H$177:$H$344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'「下(交流道)南下」0925-1008'!$I$177:$I$344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'「下(交流道)南下」0925-1008'!$J$177:$J$344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'「下(交流道)南下」0925-1008'!$K$177:$K$344</c:f>
              <c:numCache/>
            </c:numRef>
          </c:val>
          <c:smooth val="0"/>
        </c:ser>
        <c:ser>
          <c:idx val="5"/>
          <c:order val="5"/>
          <c:tx>
            <c:strRef>
              <c:f>'「下(交流道)南下」0925-1008'!$L$176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'「下(交流道)南下」0925-1008'!$F$177:$F$344</c:f>
            </c:strRef>
          </c:cat>
          <c:val>
            <c:numRef>
              <c:f>'「下(交流道)南下」0925-1008'!$L$177:$L$344</c:f>
              <c:numCache/>
            </c:numRef>
          </c:val>
          <c:smooth val="0"/>
        </c:ser>
        <c:axId val="685880787"/>
        <c:axId val="1672869003"/>
      </c:lineChart>
      <c:catAx>
        <c:axId val="685880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2869003"/>
      </c:catAx>
      <c:valAx>
        <c:axId val="1672869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58807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「下(交流道)南下」1002-1008正規化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'「下(交流道)南下」0925-1008'!$N$177:$N$344</c:f>
            </c:strRef>
          </c:cat>
          <c:val>
            <c:numRef>
              <c:f>'「下(交流道)南下」0925-1008'!$O$177:$O$344</c:f>
              <c:numCache/>
            </c:numRef>
          </c:val>
          <c:smooth val="0"/>
        </c:ser>
        <c:ser>
          <c:idx val="1"/>
          <c:order val="1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'「下(交流道)南下」0925-1008'!$N$177:$N$344</c:f>
            </c:strRef>
          </c:cat>
          <c:val>
            <c:numRef>
              <c:f>'「下(交流道)南下」0925-1008'!$S$177:$S$344</c:f>
              <c:numCache/>
            </c:numRef>
          </c:val>
          <c:smooth val="0"/>
        </c:ser>
        <c:ser>
          <c:idx val="2"/>
          <c:order val="2"/>
          <c:tx>
            <c:strRef>
              <c:f>'「下(交流道)南下」0925-1008'!$T$176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'「下(交流道)南下」0925-1008'!$N$177:$N$344</c:f>
            </c:strRef>
          </c:cat>
          <c:val>
            <c:numRef>
              <c:f>'「下(交流道)南下」0925-1008'!$T$177:$T$344</c:f>
              <c:numCache/>
            </c:numRef>
          </c:val>
          <c:smooth val="0"/>
        </c:ser>
        <c:axId val="2002389163"/>
        <c:axId val="1946826064"/>
      </c:lineChart>
      <c:catAx>
        <c:axId val="2002389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6826064"/>
      </c:catAx>
      <c:valAx>
        <c:axId val="1946826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23891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「下(交流道)南下」0925-1001正規化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'「下(交流道)南下」0925-1008'!$N$8:$N$175</c:f>
            </c:strRef>
          </c:cat>
          <c:val>
            <c:numRef>
              <c:f>'「下(交流道)南下」0925-1008'!$O$8:$O$175</c:f>
              <c:numCache/>
            </c:numRef>
          </c:val>
          <c:smooth val="0"/>
        </c:ser>
        <c:ser>
          <c:idx val="1"/>
          <c:order val="1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'「下(交流道)南下」0925-1008'!$N$8:$N$175</c:f>
            </c:strRef>
          </c:cat>
          <c:val>
            <c:numRef>
              <c:f>'「下(交流道)南下」0925-1008'!$S$8:$S$175</c:f>
              <c:numCache/>
            </c:numRef>
          </c:val>
          <c:smooth val="0"/>
        </c:ser>
        <c:ser>
          <c:idx val="2"/>
          <c:order val="2"/>
          <c:tx>
            <c:strRef>
              <c:f>'「下(交流道)南下」0925-1008'!$T$7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'「下(交流道)南下」0925-1008'!$N$8:$N$175</c:f>
            </c:strRef>
          </c:cat>
          <c:val>
            <c:numRef>
              <c:f>'「下(交流道)南下」0925-1008'!$T$8:$T$175</c:f>
              <c:numCache/>
            </c:numRef>
          </c:val>
          <c:smooth val="0"/>
        </c:ser>
        <c:axId val="2020392812"/>
        <c:axId val="2137962833"/>
      </c:lineChart>
      <c:catAx>
        <c:axId val="2020392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7962833"/>
      </c:catAx>
      <c:valAx>
        <c:axId val="2137962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03928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下(交流道)南下1016-1022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'下(交流道)南下1009-1022'!$G$177:$G$344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'下(交流道)南下1009-1022'!$H$177:$H$344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'下(交流道)南下1009-1022'!$I$177:$I$344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'下(交流道)南下1009-1022'!$J$177:$J$344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'下(交流道)南下1009-1022'!$K$177:$K$344</c:f>
              <c:numCache/>
            </c:numRef>
          </c:val>
          <c:smooth val="0"/>
        </c:ser>
        <c:ser>
          <c:idx val="5"/>
          <c:order val="5"/>
          <c:tx>
            <c:strRef>
              <c:f>'下(交流道)南下1009-1022'!$L$176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'下(交流道)南下1009-1022'!$F$177:$F$344</c:f>
            </c:strRef>
          </c:cat>
          <c:val>
            <c:numRef>
              <c:f>'下(交流道)南下1009-1022'!$L$177:$L$344</c:f>
              <c:numCache/>
            </c:numRef>
          </c:val>
          <c:smooth val="0"/>
        </c:ser>
        <c:axId val="702340213"/>
        <c:axId val="1228540866"/>
      </c:lineChart>
      <c:catAx>
        <c:axId val="702340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8540866"/>
      </c:catAx>
      <c:valAx>
        <c:axId val="12285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234021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下(交流道)南下1009-1015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'下(交流道)南下1009-1022'!$K$8:$K$175</c:f>
              <c:numCache/>
            </c:numRef>
          </c:val>
          <c:smooth val="0"/>
        </c:ser>
        <c:ser>
          <c:idx val="5"/>
          <c:order val="5"/>
          <c:tx>
            <c:strRef>
              <c:f>'下(交流道)南下1009-1022'!$L$7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'下(交流道)南下1009-1022'!$F$8:$F$175</c:f>
            </c:strRef>
          </c:cat>
          <c:val>
            <c:numRef>
              <c:f>'下(交流道)南下1009-1022'!$L$8:$L$175</c:f>
              <c:numCache/>
            </c:numRef>
          </c:val>
          <c:smooth val="0"/>
        </c:ser>
        <c:axId val="902363201"/>
        <c:axId val="161350245"/>
      </c:lineChart>
      <c:catAx>
        <c:axId val="902363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350245"/>
      </c:catAx>
      <c:valAx>
        <c:axId val="161350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23632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下(交流道)南下1009-1015正規化</a:t>
            </a:r>
          </a:p>
        </c:rich>
      </c:tx>
      <c:overlay val="0"/>
    </c:title>
    <c:plotArea>
      <c:layout>
        <c:manualLayout>
          <c:xMode val="edge"/>
          <c:yMode val="edge"/>
          <c:x val="0.09941284458061689"/>
          <c:y val="0.20467592592592593"/>
          <c:w val="0.8645777795658056"/>
          <c:h val="0.6376190312774468"/>
        </c:manualLayout>
      </c:layout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'下(交流道)南下1009-1022'!$O$8:$O$175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'下(交流道)南下1009-1022'!$P$8:$P$175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'下(交流道)南下1009-1022'!$Q$8:$Q$175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'下(交流道)南下1009-1022'!$R$8:$R$175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'下(交流道)南下1009-1022'!$S$8:$S$175</c:f>
              <c:numCache/>
            </c:numRef>
          </c:val>
          <c:smooth val="0"/>
        </c:ser>
        <c:ser>
          <c:idx val="5"/>
          <c:order val="5"/>
          <c:tx>
            <c:strRef>
              <c:f>'下(交流道)南下1009-1022'!$T$7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'下(交流道)南下1009-1022'!$N$8:$N$175</c:f>
            </c:strRef>
          </c:cat>
          <c:val>
            <c:numRef>
              <c:f>'下(交流道)南下1009-1022'!$T$8:$T$175</c:f>
              <c:numCache/>
            </c:numRef>
          </c:val>
          <c:smooth val="0"/>
        </c:ser>
        <c:axId val="1131917048"/>
        <c:axId val="811829378"/>
      </c:lineChart>
      <c:catAx>
        <c:axId val="1131917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1829378"/>
      </c:catAx>
      <c:valAx>
        <c:axId val="811829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19170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下(交流道)南下1016-1022正規化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'下(交流道)南下1009-1022'!$O$177:$O$344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'下(交流道)南下1009-1022'!$P$177:$P$344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'下(交流道)南下1009-1022'!$Q$177:$Q$344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'下(交流道)南下1009-1022'!$R$177:$R$344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'下(交流道)南下1009-1022'!$S$177:$S$344</c:f>
              <c:numCache/>
            </c:numRef>
          </c:val>
          <c:smooth val="0"/>
        </c:ser>
        <c:ser>
          <c:idx val="5"/>
          <c:order val="5"/>
          <c:tx>
            <c:strRef>
              <c:f>'下(交流道)南下1009-1022'!$T$176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'下(交流道)南下1009-1022'!$N$177:$N$344</c:f>
            </c:strRef>
          </c:cat>
          <c:val>
            <c:numRef>
              <c:f>'下(交流道)南下1009-1022'!$T$177:$T$344</c:f>
              <c:numCache/>
            </c:numRef>
          </c:val>
          <c:smooth val="0"/>
        </c:ser>
        <c:axId val="539771508"/>
        <c:axId val="451966185"/>
      </c:lineChart>
      <c:catAx>
        <c:axId val="539771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1966185"/>
      </c:catAx>
      <c:valAx>
        <c:axId val="451966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97715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「下(交流道)北上」9/25-10/1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'「下(交流道)北上」的0925-1008'!$G$8:$G$175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'「下(交流道)北上」的0925-1008'!$H$8:$H$175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'「下(交流道)北上」的0925-1008'!$I$8:$I$175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'「下(交流道)北上」的0925-1008'!$J$8:$J$175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'「下(交流道)北上」的0925-1008'!$K$8:$K$175</c:f>
              <c:numCache/>
            </c:numRef>
          </c:val>
          <c:smooth val="0"/>
        </c:ser>
        <c:ser>
          <c:idx val="5"/>
          <c:order val="5"/>
          <c:tx>
            <c:strRef>
              <c:f>'「下(交流道)北上」的0925-1008'!$L$7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'「下(交流道)北上」的0925-1008'!$F$8:$F$175</c:f>
            </c:strRef>
          </c:cat>
          <c:val>
            <c:numRef>
              <c:f>'「下(交流道)北上」的0925-1008'!$L$8:$L$175</c:f>
              <c:numCache/>
            </c:numRef>
          </c:val>
          <c:smooth val="0"/>
        </c:ser>
        <c:axId val="1222189387"/>
        <c:axId val="1752652724"/>
      </c:lineChart>
      <c:catAx>
        <c:axId val="1222189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2652724"/>
      </c:catAx>
      <c:valAx>
        <c:axId val="1752652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21893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「下(交流道)北上」9/25-10/1
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'「下(交流道)北上」的0925-1008'!$O$8:$O$175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'「下(交流道)北上」的0925-1008'!$P$8:$P$175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'「下(交流道)北上」的0925-1008'!$Q$8:$Q$175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'「下(交流道)北上」的0925-1008'!$R$8:$R$175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'「下(交流道)北上」的0925-1008'!$S$8:$S$175</c:f>
              <c:numCache/>
            </c:numRef>
          </c:val>
          <c:smooth val="0"/>
        </c:ser>
        <c:ser>
          <c:idx val="5"/>
          <c:order val="5"/>
          <c:tx>
            <c:strRef>
              <c:f>'「下(交流道)北上」的0925-1008'!$T$7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'「下(交流道)北上」的0925-1008'!$N$8:$N$175</c:f>
            </c:strRef>
          </c:cat>
          <c:val>
            <c:numRef>
              <c:f>'「下(交流道)北上」的0925-1008'!$T$8:$T$175</c:f>
              <c:numCache/>
            </c:numRef>
          </c:val>
          <c:smooth val="0"/>
        </c:ser>
        <c:axId val="1284684014"/>
        <c:axId val="1989256514"/>
      </c:lineChart>
      <c:catAx>
        <c:axId val="1284684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9256514"/>
      </c:catAx>
      <c:valAx>
        <c:axId val="1989256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46840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「下(交流道)北上」10/2-10/8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'「下(交流道)北上」的0925-1008'!$G$177:$G$344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'「下(交流道)北上」的0925-1008'!$H$177:$H$344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'「下(交流道)北上」的0925-1008'!$I$177:$I$344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'「下(交流道)北上」的0925-1008'!$J$177:$J$344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'「下(交流道)北上」的0925-1008'!$K$177:$K$344</c:f>
              <c:numCache/>
            </c:numRef>
          </c:val>
          <c:smooth val="0"/>
        </c:ser>
        <c:ser>
          <c:idx val="5"/>
          <c:order val="5"/>
          <c:tx>
            <c:strRef>
              <c:f>'「下(交流道)北上」的0925-1008'!$L$176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'「下(交流道)北上」的0925-1008'!$F$177:$F$344</c:f>
            </c:strRef>
          </c:cat>
          <c:val>
            <c:numRef>
              <c:f>'「下(交流道)北上」的0925-1008'!$L$177:$L$344</c:f>
              <c:numCache/>
            </c:numRef>
          </c:val>
          <c:smooth val="0"/>
        </c:ser>
        <c:axId val="990664644"/>
        <c:axId val="781929429"/>
      </c:lineChart>
      <c:catAx>
        <c:axId val="990664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1929429"/>
      </c:catAx>
      <c:valAx>
        <c:axId val="781929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066464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「下(交流道)北上」10/2-10/8正規化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'「下(交流道)北上」的0925-1008'!$O$177:$O$344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'「下(交流道)北上」的0925-1008'!$P$177:$P$344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'「下(交流道)北上」的0925-1008'!$Q$177:$Q$344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'「下(交流道)北上」的0925-1008'!$R$177:$R$344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'「下(交流道)北上」的0925-1008'!$S$177:$S$344</c:f>
              <c:numCache/>
            </c:numRef>
          </c:val>
          <c:smooth val="0"/>
        </c:ser>
        <c:ser>
          <c:idx val="5"/>
          <c:order val="5"/>
          <c:tx>
            <c:strRef>
              <c:f>'「下(交流道)北上」的0925-1008'!$T$176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'「下(交流道)北上」的0925-1008'!$N$177:$N$344</c:f>
            </c:strRef>
          </c:cat>
          <c:val>
            <c:numRef>
              <c:f>'「下(交流道)北上」的0925-1008'!$T$177:$T$344</c:f>
              <c:numCache/>
            </c:numRef>
          </c:val>
          <c:smooth val="0"/>
        </c:ser>
        <c:axId val="1237948093"/>
        <c:axId val="880929898"/>
      </c:lineChart>
      <c:catAx>
        <c:axId val="1237948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0929898"/>
      </c:catAx>
      <c:valAx>
        <c:axId val="880929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79480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下(交流道)北上 1009-1015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1009-1022'!$G$7:$G$174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1009-1022'!$H$7:$H$174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1009-1022'!$I$7:$I$174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1009-1022'!$J$7:$J$174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1009-1022'!$K$7:$K$174</c:f>
              <c:numCache/>
            </c:numRef>
          </c:val>
          <c:smooth val="0"/>
        </c:ser>
        <c:ser>
          <c:idx val="5"/>
          <c:order val="5"/>
          <c:tx>
            <c:strRef>
              <c:f>'下(交流道)北上 1009-1022'!$L$6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'下(交流道)北上 1009-1022'!$F$7:$F$174</c:f>
            </c:strRef>
          </c:cat>
          <c:val>
            <c:numRef>
              <c:f>'下(交流道)北上 1009-1022'!$L$7:$L$174</c:f>
              <c:numCache/>
            </c:numRef>
          </c:val>
          <c:smooth val="0"/>
        </c:ser>
        <c:axId val="1134484629"/>
        <c:axId val="1736031482"/>
      </c:lineChart>
      <c:catAx>
        <c:axId val="1134484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6031482"/>
      </c:catAx>
      <c:valAx>
        <c:axId val="1736031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44846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下(交流道)北上 1016-1022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1009-1022'!$G$176:$G$343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1009-1022'!$H$176:$H$343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1009-1022'!$I$176:$I$343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1009-1022'!$J$176:$J$343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1009-1022'!$K$176:$K$343</c:f>
              <c:numCache/>
            </c:numRef>
          </c:val>
          <c:smooth val="0"/>
        </c:ser>
        <c:ser>
          <c:idx val="5"/>
          <c:order val="5"/>
          <c:tx>
            <c:strRef>
              <c:f>'下(交流道)北上 1009-1022'!$L$175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'下(交流道)北上 1009-1022'!$F$176:$F$343</c:f>
            </c:strRef>
          </c:cat>
          <c:val>
            <c:numRef>
              <c:f>'下(交流道)北上 1009-1022'!$L$176:$L$343</c:f>
              <c:numCache/>
            </c:numRef>
          </c:val>
          <c:smooth val="0"/>
        </c:ser>
        <c:axId val="1390408514"/>
        <c:axId val="1517046701"/>
      </c:lineChart>
      <c:catAx>
        <c:axId val="1390408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7046701"/>
      </c:catAx>
      <c:valAx>
        <c:axId val="1517046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4085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下(交流道)北上 1009-1015正規化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1009-1022'!$O$7:$O$174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1009-1022'!$P$7:$P$174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1009-1022'!$Q$7:$Q$174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1009-1022'!$R$7:$R$174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1009-1022'!$S$7:$S$174</c:f>
              <c:numCache/>
            </c:numRef>
          </c:val>
          <c:smooth val="0"/>
        </c:ser>
        <c:ser>
          <c:idx val="5"/>
          <c:order val="5"/>
          <c:tx>
            <c:strRef>
              <c:f>'下(交流道)北上 1009-1022'!$T$6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'下(交流道)北上 1009-1022'!$N$7:$N$174</c:f>
            </c:strRef>
          </c:cat>
          <c:val>
            <c:numRef>
              <c:f>'下(交流道)北上 1009-1022'!$T$7:$T$174</c:f>
              <c:numCache/>
            </c:numRef>
          </c:val>
          <c:smooth val="0"/>
        </c:ser>
        <c:axId val="2069394322"/>
        <c:axId val="540669396"/>
      </c:lineChart>
      <c:catAx>
        <c:axId val="2069394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0669396"/>
      </c:catAx>
      <c:valAx>
        <c:axId val="540669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939432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下(交流道)北上 1016-1022正規化</a:t>
            </a:r>
          </a:p>
        </c:rich>
      </c:tx>
      <c:overlay val="0"/>
    </c:title>
    <c:plotArea>
      <c:layout/>
      <c:lineChart>
        <c:ser>
          <c:idx val="0"/>
          <c:order val="0"/>
          <c:tx>
            <c:v>31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1009-1022'!$O$176:$O$343</c:f>
              <c:numCache/>
            </c:numRef>
          </c:val>
          <c:smooth val="0"/>
        </c:ser>
        <c:ser>
          <c:idx val="1"/>
          <c:order val="1"/>
          <c:tx>
            <c:v>32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1009-1022'!$P$176:$P$343</c:f>
              <c:numCache/>
            </c:numRef>
          </c:val>
          <c:smooth val="0"/>
        </c:ser>
        <c:ser>
          <c:idx val="2"/>
          <c:order val="2"/>
          <c:tx>
            <c:v>41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1009-1022'!$Q$176:$Q$343</c:f>
              <c:numCache/>
            </c:numRef>
          </c:val>
          <c:smooth val="0"/>
        </c:ser>
        <c:ser>
          <c:idx val="3"/>
          <c:order val="3"/>
          <c:tx>
            <c:v>42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1009-1022'!$R$176:$R$343</c:f>
              <c:numCache/>
            </c:numRef>
          </c:val>
          <c:smooth val="0"/>
        </c:ser>
        <c:ser>
          <c:idx val="4"/>
          <c:order val="4"/>
          <c:tx>
            <c:v>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1009-1022'!$S$176:$S$343</c:f>
              <c:numCache/>
            </c:numRef>
          </c:val>
          <c:smooth val="0"/>
        </c:ser>
        <c:ser>
          <c:idx val="5"/>
          <c:order val="5"/>
          <c:tx>
            <c:strRef>
              <c:f>'下(交流道)北上 1009-1022'!$T$175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'下(交流道)北上 1009-1022'!$N$176:$N$343</c:f>
            </c:strRef>
          </c:cat>
          <c:val>
            <c:numRef>
              <c:f>'下(交流道)北上 1009-1022'!$T$176:$T$343</c:f>
              <c:numCache/>
            </c:numRef>
          </c:val>
          <c:smooth val="0"/>
        </c:ser>
        <c:axId val="141414274"/>
        <c:axId val="1466629026"/>
      </c:lineChart>
      <c:catAx>
        <c:axId val="141414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6629026"/>
      </c:catAx>
      <c:valAx>
        <c:axId val="1466629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4142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514350</xdr:colOff>
      <xdr:row>85</xdr:row>
      <xdr:rowOff>28575</xdr:rowOff>
    </xdr:from>
    <xdr:ext cx="5495925" cy="3886200"/>
    <xdr:graphicFrame>
      <xdr:nvGraphicFramePr>
        <xdr:cNvPr id="16084034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390525</xdr:colOff>
      <xdr:row>106</xdr:row>
      <xdr:rowOff>104775</xdr:rowOff>
    </xdr:from>
    <xdr:ext cx="6143625" cy="3505200"/>
    <xdr:graphicFrame>
      <xdr:nvGraphicFramePr>
        <xdr:cNvPr id="17176457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352425</xdr:colOff>
      <xdr:row>106</xdr:row>
      <xdr:rowOff>85725</xdr:rowOff>
    </xdr:from>
    <xdr:ext cx="4629150" cy="3448050"/>
    <xdr:graphicFrame>
      <xdr:nvGraphicFramePr>
        <xdr:cNvPr id="143447028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238125</xdr:colOff>
      <xdr:row>85</xdr:row>
      <xdr:rowOff>190500</xdr:rowOff>
    </xdr:from>
    <xdr:ext cx="5057775" cy="3590925"/>
    <xdr:graphicFrame>
      <xdr:nvGraphicFramePr>
        <xdr:cNvPr id="9622998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409575</xdr:colOff>
      <xdr:row>21</xdr:row>
      <xdr:rowOff>9525</xdr:rowOff>
    </xdr:from>
    <xdr:ext cx="4867275" cy="4152900"/>
    <xdr:graphicFrame>
      <xdr:nvGraphicFramePr>
        <xdr:cNvPr id="190491460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352425</xdr:colOff>
      <xdr:row>42</xdr:row>
      <xdr:rowOff>19050</xdr:rowOff>
    </xdr:from>
    <xdr:ext cx="4895850" cy="4067175"/>
    <xdr:graphicFrame>
      <xdr:nvGraphicFramePr>
        <xdr:cNvPr id="201739284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457200</xdr:colOff>
      <xdr:row>42</xdr:row>
      <xdr:rowOff>76200</xdr:rowOff>
    </xdr:from>
    <xdr:ext cx="4591050" cy="4048125"/>
    <xdr:graphicFrame>
      <xdr:nvGraphicFramePr>
        <xdr:cNvPr id="52290448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447675</xdr:colOff>
      <xdr:row>21</xdr:row>
      <xdr:rowOff>19050</xdr:rowOff>
    </xdr:from>
    <xdr:ext cx="5305425" cy="4162425"/>
    <xdr:graphicFrame>
      <xdr:nvGraphicFramePr>
        <xdr:cNvPr id="1630936251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323850</xdr:colOff>
      <xdr:row>127</xdr:row>
      <xdr:rowOff>76200</xdr:rowOff>
    </xdr:from>
    <xdr:ext cx="4314825" cy="2819400"/>
    <xdr:graphicFrame>
      <xdr:nvGraphicFramePr>
        <xdr:cNvPr id="193058477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47625</xdr:colOff>
      <xdr:row>112</xdr:row>
      <xdr:rowOff>38100</xdr:rowOff>
    </xdr:from>
    <xdr:ext cx="4581525" cy="2981325"/>
    <xdr:graphicFrame>
      <xdr:nvGraphicFramePr>
        <xdr:cNvPr id="42370333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323850</xdr:colOff>
      <xdr:row>127</xdr:row>
      <xdr:rowOff>47625</xdr:rowOff>
    </xdr:from>
    <xdr:ext cx="4343400" cy="2771775"/>
    <xdr:graphicFrame>
      <xdr:nvGraphicFramePr>
        <xdr:cNvPr id="51527104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495300</xdr:colOff>
      <xdr:row>112</xdr:row>
      <xdr:rowOff>0</xdr:rowOff>
    </xdr:from>
    <xdr:ext cx="4343400" cy="2752725"/>
    <xdr:graphicFrame>
      <xdr:nvGraphicFramePr>
        <xdr:cNvPr id="350431488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742950</xdr:colOff>
      <xdr:row>33</xdr:row>
      <xdr:rowOff>0</xdr:rowOff>
    </xdr:from>
    <xdr:ext cx="4343400" cy="2800350"/>
    <xdr:graphicFrame>
      <xdr:nvGraphicFramePr>
        <xdr:cNvPr id="186718309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438150</xdr:colOff>
      <xdr:row>33</xdr:row>
      <xdr:rowOff>0</xdr:rowOff>
    </xdr:from>
    <xdr:ext cx="4343400" cy="2800350"/>
    <xdr:graphicFrame>
      <xdr:nvGraphicFramePr>
        <xdr:cNvPr id="159528186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504825</xdr:colOff>
      <xdr:row>18</xdr:row>
      <xdr:rowOff>38100</xdr:rowOff>
    </xdr:from>
    <xdr:ext cx="4343400" cy="2800350"/>
    <xdr:graphicFrame>
      <xdr:nvGraphicFramePr>
        <xdr:cNvPr id="158515970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457200</xdr:colOff>
      <xdr:row>17</xdr:row>
      <xdr:rowOff>190500</xdr:rowOff>
    </xdr:from>
    <xdr:ext cx="4343400" cy="2800350"/>
    <xdr:graphicFrame>
      <xdr:nvGraphicFramePr>
        <xdr:cNvPr id="229149294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38100</xdr:rowOff>
    </xdr:from>
    <xdr:ext cx="5238750" cy="5086350"/>
    <xdr:graphicFrame>
      <xdr:nvGraphicFramePr>
        <xdr:cNvPr id="945908352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523875</xdr:colOff>
      <xdr:row>31</xdr:row>
      <xdr:rowOff>66675</xdr:rowOff>
    </xdr:from>
    <xdr:ext cx="7953375" cy="4772025"/>
    <xdr:graphicFrame>
      <xdr:nvGraphicFramePr>
        <xdr:cNvPr id="142812220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647700</xdr:colOff>
      <xdr:row>31</xdr:row>
      <xdr:rowOff>152400</xdr:rowOff>
    </xdr:from>
    <xdr:ext cx="5572125" cy="4600575"/>
    <xdr:graphicFrame>
      <xdr:nvGraphicFramePr>
        <xdr:cNvPr id="1859851997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657225</xdr:colOff>
      <xdr:row>0</xdr:row>
      <xdr:rowOff>0</xdr:rowOff>
    </xdr:from>
    <xdr:ext cx="6534150" cy="5143500"/>
    <xdr:graphicFrame>
      <xdr:nvGraphicFramePr>
        <xdr:cNvPr id="113957597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173</xdr:row>
      <xdr:rowOff>38100</xdr:rowOff>
    </xdr:from>
    <xdr:ext cx="6334125" cy="3457575"/>
    <xdr:graphicFrame>
      <xdr:nvGraphicFramePr>
        <xdr:cNvPr id="172584317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149</xdr:row>
      <xdr:rowOff>114300</xdr:rowOff>
    </xdr:from>
    <xdr:ext cx="6057900" cy="4724400"/>
    <xdr:graphicFrame>
      <xdr:nvGraphicFramePr>
        <xdr:cNvPr id="198527018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38100</xdr:colOff>
      <xdr:row>149</xdr:row>
      <xdr:rowOff>95250</xdr:rowOff>
    </xdr:from>
    <xdr:ext cx="6467475" cy="4619625"/>
    <xdr:graphicFrame>
      <xdr:nvGraphicFramePr>
        <xdr:cNvPr id="1395815981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781050</xdr:colOff>
      <xdr:row>172</xdr:row>
      <xdr:rowOff>190500</xdr:rowOff>
    </xdr:from>
    <xdr:ext cx="6105525" cy="3371850"/>
    <xdr:graphicFrame>
      <xdr:nvGraphicFramePr>
        <xdr:cNvPr id="1813755633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161925</xdr:colOff>
      <xdr:row>40</xdr:row>
      <xdr:rowOff>180975</xdr:rowOff>
    </xdr:from>
    <xdr:ext cx="6324600" cy="3943350"/>
    <xdr:graphicFrame>
      <xdr:nvGraphicFramePr>
        <xdr:cNvPr id="99299873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581025</xdr:colOff>
      <xdr:row>41</xdr:row>
      <xdr:rowOff>38100</xdr:rowOff>
    </xdr:from>
    <xdr:ext cx="6229350" cy="3829050"/>
    <xdr:graphicFrame>
      <xdr:nvGraphicFramePr>
        <xdr:cNvPr id="1154202295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314325</xdr:colOff>
      <xdr:row>61</xdr:row>
      <xdr:rowOff>133350</xdr:rowOff>
    </xdr:from>
    <xdr:ext cx="6200775" cy="3419475"/>
    <xdr:graphicFrame>
      <xdr:nvGraphicFramePr>
        <xdr:cNvPr id="763743781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542925</xdr:colOff>
      <xdr:row>61</xdr:row>
      <xdr:rowOff>161925</xdr:rowOff>
    </xdr:from>
    <xdr:ext cx="6210300" cy="3181350"/>
    <xdr:graphicFrame>
      <xdr:nvGraphicFramePr>
        <xdr:cNvPr id="889389333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695325</xdr:colOff>
      <xdr:row>5</xdr:row>
      <xdr:rowOff>180975</xdr:rowOff>
    </xdr:from>
    <xdr:ext cx="4772025" cy="3238500"/>
    <xdr:graphicFrame>
      <xdr:nvGraphicFramePr>
        <xdr:cNvPr id="610751998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628650</xdr:colOff>
      <xdr:row>25</xdr:row>
      <xdr:rowOff>0</xdr:rowOff>
    </xdr:from>
    <xdr:ext cx="4905375" cy="3067050"/>
    <xdr:graphicFrame>
      <xdr:nvGraphicFramePr>
        <xdr:cNvPr id="1348272629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495300</xdr:colOff>
      <xdr:row>6</xdr:row>
      <xdr:rowOff>76200</xdr:rowOff>
    </xdr:from>
    <xdr:ext cx="5143500" cy="3543300"/>
    <xdr:graphicFrame>
      <xdr:nvGraphicFramePr>
        <xdr:cNvPr id="742009768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457200</xdr:colOff>
      <xdr:row>25</xdr:row>
      <xdr:rowOff>28575</xdr:rowOff>
    </xdr:from>
    <xdr:ext cx="5191125" cy="2876550"/>
    <xdr:graphicFrame>
      <xdr:nvGraphicFramePr>
        <xdr:cNvPr id="1254322481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8" width="8.75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5</v>
      </c>
      <c r="I3" s="7"/>
      <c r="J3" s="7"/>
      <c r="K3" s="7"/>
      <c r="L3" s="8"/>
    </row>
    <row r="4" ht="15.75" customHeight="1">
      <c r="A4" s="9" t="s">
        <v>6</v>
      </c>
      <c r="B4" s="10" t="s">
        <v>7</v>
      </c>
      <c r="C4" s="11" t="s">
        <v>8</v>
      </c>
      <c r="D4" s="10" t="s">
        <v>7</v>
      </c>
      <c r="E4" s="11" t="s">
        <v>8</v>
      </c>
      <c r="H4" s="6" t="s">
        <v>9</v>
      </c>
      <c r="I4" s="7"/>
      <c r="J4" s="7"/>
      <c r="K4" s="7"/>
      <c r="L4" s="8"/>
    </row>
    <row r="5" ht="15.75" customHeight="1">
      <c r="A5" s="12" t="s">
        <v>10</v>
      </c>
      <c r="B5" s="13" t="s">
        <v>11</v>
      </c>
      <c r="C5" s="14" t="s">
        <v>12</v>
      </c>
      <c r="D5" s="14" t="s">
        <v>13</v>
      </c>
      <c r="E5" s="14" t="s">
        <v>14</v>
      </c>
    </row>
    <row r="6" ht="15.75" customHeight="1"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18">
        <v>45194.0</v>
      </c>
      <c r="G8" s="19">
        <v>0.0</v>
      </c>
      <c r="H8" s="20">
        <v>100.0</v>
      </c>
      <c r="I8" s="20">
        <v>46.0</v>
      </c>
      <c r="J8" s="20">
        <v>1.0</v>
      </c>
      <c r="K8" s="20">
        <v>8.0</v>
      </c>
      <c r="L8" s="20">
        <v>9.0</v>
      </c>
      <c r="N8" s="21">
        <v>45194.0</v>
      </c>
      <c r="O8" s="19">
        <v>0.0</v>
      </c>
      <c r="P8" s="22">
        <f t="shared" ref="P8:T8" si="1">H8/A$31</f>
        <v>0.01280901755</v>
      </c>
      <c r="Q8" s="22">
        <f t="shared" si="1"/>
        <v>0.01559850797</v>
      </c>
      <c r="R8" s="22">
        <f t="shared" si="1"/>
        <v>0.006802721088</v>
      </c>
      <c r="S8" s="22">
        <f t="shared" si="1"/>
        <v>0.01731601732</v>
      </c>
      <c r="T8" s="22">
        <f t="shared" si="1"/>
        <v>0.01578947368</v>
      </c>
    </row>
    <row r="9" ht="15.75" customHeight="1">
      <c r="F9" s="23"/>
      <c r="G9" s="19">
        <v>1.0</v>
      </c>
      <c r="H9" s="20">
        <v>52.0</v>
      </c>
      <c r="I9" s="20">
        <v>16.0</v>
      </c>
      <c r="J9" s="20">
        <v>1.0</v>
      </c>
      <c r="K9" s="20">
        <v>3.0</v>
      </c>
      <c r="L9" s="20">
        <v>5.0</v>
      </c>
      <c r="N9" s="24"/>
      <c r="O9" s="19">
        <v>1.0</v>
      </c>
      <c r="P9" s="22">
        <f t="shared" ref="P9:T9" si="2">H9/A$31</f>
        <v>0.006660689125</v>
      </c>
      <c r="Q9" s="22">
        <f t="shared" si="2"/>
        <v>0.005425567989</v>
      </c>
      <c r="R9" s="22">
        <f t="shared" si="2"/>
        <v>0.006802721088</v>
      </c>
      <c r="S9" s="22">
        <f t="shared" si="2"/>
        <v>0.006493506494</v>
      </c>
      <c r="T9" s="22">
        <f t="shared" si="2"/>
        <v>0.008771929825</v>
      </c>
    </row>
    <row r="10" ht="15.75" customHeight="1">
      <c r="F10" s="23"/>
      <c r="G10" s="19">
        <v>2.0</v>
      </c>
      <c r="H10" s="16">
        <v>43.0</v>
      </c>
      <c r="I10" s="16">
        <v>20.0</v>
      </c>
      <c r="J10" s="16">
        <v>0.0</v>
      </c>
      <c r="K10" s="16">
        <v>2.0</v>
      </c>
      <c r="L10" s="16">
        <v>9.0</v>
      </c>
      <c r="N10" s="24"/>
      <c r="O10" s="19">
        <v>2.0</v>
      </c>
      <c r="P10" s="22">
        <f t="shared" ref="P10:T10" si="3">H10/A$31</f>
        <v>0.005507877546</v>
      </c>
      <c r="Q10" s="22">
        <f t="shared" si="3"/>
        <v>0.006781959986</v>
      </c>
      <c r="R10" s="22">
        <f t="shared" si="3"/>
        <v>0</v>
      </c>
      <c r="S10" s="22">
        <f t="shared" si="3"/>
        <v>0.004329004329</v>
      </c>
      <c r="T10" s="22">
        <f t="shared" si="3"/>
        <v>0.01578947368</v>
      </c>
    </row>
    <row r="11" ht="15.75" customHeight="1">
      <c r="F11" s="23"/>
      <c r="G11" s="19">
        <v>3.0</v>
      </c>
      <c r="H11" s="20">
        <v>24.0</v>
      </c>
      <c r="I11" s="20">
        <v>8.0</v>
      </c>
      <c r="J11" s="20">
        <v>0.0</v>
      </c>
      <c r="K11" s="20">
        <v>5.0</v>
      </c>
      <c r="L11" s="20">
        <v>8.0</v>
      </c>
      <c r="N11" s="24"/>
      <c r="O11" s="19">
        <v>3.0</v>
      </c>
      <c r="P11" s="22">
        <f t="shared" ref="P11:T11" si="4">H11/A$31</f>
        <v>0.003074164212</v>
      </c>
      <c r="Q11" s="22">
        <f t="shared" si="4"/>
        <v>0.002712783995</v>
      </c>
      <c r="R11" s="22">
        <f t="shared" si="4"/>
        <v>0</v>
      </c>
      <c r="S11" s="22">
        <f t="shared" si="4"/>
        <v>0.01082251082</v>
      </c>
      <c r="T11" s="22">
        <f t="shared" si="4"/>
        <v>0.01403508772</v>
      </c>
    </row>
    <row r="12" ht="15.75" customHeight="1">
      <c r="F12" s="23"/>
      <c r="G12" s="19">
        <v>4.0</v>
      </c>
      <c r="H12" s="20">
        <v>31.0</v>
      </c>
      <c r="I12" s="20">
        <v>13.0</v>
      </c>
      <c r="J12" s="20">
        <v>1.0</v>
      </c>
      <c r="K12" s="20">
        <v>7.0</v>
      </c>
      <c r="L12" s="20">
        <v>15.0</v>
      </c>
      <c r="N12" s="24"/>
      <c r="O12" s="19">
        <v>4.0</v>
      </c>
      <c r="P12" s="22">
        <f t="shared" ref="P12:T12" si="5">H12/A$31</f>
        <v>0.00397079544</v>
      </c>
      <c r="Q12" s="22">
        <f t="shared" si="5"/>
        <v>0.004408273991</v>
      </c>
      <c r="R12" s="22">
        <f t="shared" si="5"/>
        <v>0.006802721088</v>
      </c>
      <c r="S12" s="22">
        <f t="shared" si="5"/>
        <v>0.01515151515</v>
      </c>
      <c r="T12" s="22">
        <f t="shared" si="5"/>
        <v>0.02631578947</v>
      </c>
    </row>
    <row r="13" ht="15.75" customHeight="1">
      <c r="F13" s="23"/>
      <c r="G13" s="19">
        <v>5.0</v>
      </c>
      <c r="H13" s="20">
        <v>84.0</v>
      </c>
      <c r="I13" s="20">
        <v>33.0</v>
      </c>
      <c r="J13" s="20">
        <v>0.0</v>
      </c>
      <c r="K13" s="20">
        <v>5.0</v>
      </c>
      <c r="L13" s="20">
        <v>22.0</v>
      </c>
      <c r="N13" s="24"/>
      <c r="O13" s="19">
        <v>5.0</v>
      </c>
      <c r="P13" s="22">
        <f t="shared" ref="P13:T13" si="6">H13/A$31</f>
        <v>0.01075957474</v>
      </c>
      <c r="Q13" s="22">
        <f t="shared" si="6"/>
        <v>0.01119023398</v>
      </c>
      <c r="R13" s="22">
        <f t="shared" si="6"/>
        <v>0</v>
      </c>
      <c r="S13" s="22">
        <f t="shared" si="6"/>
        <v>0.01082251082</v>
      </c>
      <c r="T13" s="22">
        <f t="shared" si="6"/>
        <v>0.03859649123</v>
      </c>
    </row>
    <row r="14" ht="15.75" customHeight="1">
      <c r="F14" s="23"/>
      <c r="G14" s="19">
        <v>6.0</v>
      </c>
      <c r="H14" s="20">
        <v>276.0</v>
      </c>
      <c r="I14" s="20">
        <v>153.0</v>
      </c>
      <c r="J14" s="20">
        <v>1.0</v>
      </c>
      <c r="K14" s="20">
        <v>11.0</v>
      </c>
      <c r="L14" s="20">
        <v>20.0</v>
      </c>
      <c r="N14" s="24"/>
      <c r="O14" s="19">
        <v>6.0</v>
      </c>
      <c r="P14" s="22">
        <f t="shared" ref="P14:T14" si="7">H14/A$31</f>
        <v>0.03535288843</v>
      </c>
      <c r="Q14" s="22">
        <f t="shared" si="7"/>
        <v>0.0518819939</v>
      </c>
      <c r="R14" s="22">
        <f t="shared" si="7"/>
        <v>0.006802721088</v>
      </c>
      <c r="S14" s="22">
        <f t="shared" si="7"/>
        <v>0.02380952381</v>
      </c>
      <c r="T14" s="22">
        <f t="shared" si="7"/>
        <v>0.0350877193</v>
      </c>
    </row>
    <row r="15" ht="15.75" customHeight="1">
      <c r="F15" s="23"/>
      <c r="G15" s="19">
        <v>7.0</v>
      </c>
      <c r="H15" s="20">
        <v>378.0</v>
      </c>
      <c r="I15" s="20">
        <v>169.0</v>
      </c>
      <c r="J15" s="20">
        <v>7.0</v>
      </c>
      <c r="K15" s="20">
        <v>20.0</v>
      </c>
      <c r="L15" s="20">
        <v>31.0</v>
      </c>
      <c r="N15" s="24"/>
      <c r="O15" s="19">
        <v>7.0</v>
      </c>
      <c r="P15" s="22">
        <f t="shared" ref="P15:T15" si="8">H15/A$31</f>
        <v>0.04841808633</v>
      </c>
      <c r="Q15" s="22">
        <f t="shared" si="8"/>
        <v>0.05730756189</v>
      </c>
      <c r="R15" s="22">
        <f t="shared" si="8"/>
        <v>0.04761904762</v>
      </c>
      <c r="S15" s="22">
        <f t="shared" si="8"/>
        <v>0.04329004329</v>
      </c>
      <c r="T15" s="22">
        <f t="shared" si="8"/>
        <v>0.05438596491</v>
      </c>
    </row>
    <row r="16" ht="15.75" customHeight="1">
      <c r="F16" s="23"/>
      <c r="G16" s="19">
        <v>8.0</v>
      </c>
      <c r="H16" s="20">
        <v>355.0</v>
      </c>
      <c r="I16" s="20">
        <v>144.0</v>
      </c>
      <c r="J16" s="20">
        <v>7.0</v>
      </c>
      <c r="K16" s="20">
        <v>26.0</v>
      </c>
      <c r="L16" s="20">
        <v>34.0</v>
      </c>
      <c r="N16" s="24"/>
      <c r="O16" s="19">
        <v>8.0</v>
      </c>
      <c r="P16" s="22">
        <f t="shared" ref="P16:T16" si="9">H16/A$31</f>
        <v>0.0454720123</v>
      </c>
      <c r="Q16" s="22">
        <f t="shared" si="9"/>
        <v>0.0488301119</v>
      </c>
      <c r="R16" s="22">
        <f t="shared" si="9"/>
        <v>0.04761904762</v>
      </c>
      <c r="S16" s="22">
        <f t="shared" si="9"/>
        <v>0.05627705628</v>
      </c>
      <c r="T16" s="22">
        <f t="shared" si="9"/>
        <v>0.05964912281</v>
      </c>
    </row>
    <row r="17" ht="15.75" customHeight="1">
      <c r="F17" s="23"/>
      <c r="G17" s="19">
        <v>9.0</v>
      </c>
      <c r="H17" s="20">
        <v>302.0</v>
      </c>
      <c r="I17" s="20">
        <v>133.0</v>
      </c>
      <c r="J17" s="20">
        <v>4.0</v>
      </c>
      <c r="K17" s="20">
        <v>33.0</v>
      </c>
      <c r="L17" s="20">
        <v>44.0</v>
      </c>
      <c r="N17" s="24"/>
      <c r="O17" s="19">
        <v>9.0</v>
      </c>
      <c r="P17" s="22">
        <f t="shared" ref="P17:T17" si="10">H17/A$31</f>
        <v>0.038683233</v>
      </c>
      <c r="Q17" s="22">
        <f t="shared" si="10"/>
        <v>0.04510003391</v>
      </c>
      <c r="R17" s="22">
        <f t="shared" si="10"/>
        <v>0.02721088435</v>
      </c>
      <c r="S17" s="22">
        <f t="shared" si="10"/>
        <v>0.07142857143</v>
      </c>
      <c r="T17" s="22">
        <f t="shared" si="10"/>
        <v>0.07719298246</v>
      </c>
    </row>
    <row r="18" ht="15.75" customHeight="1">
      <c r="F18" s="23"/>
      <c r="G18" s="19">
        <v>10.0</v>
      </c>
      <c r="H18" s="20">
        <v>346.0</v>
      </c>
      <c r="I18" s="20">
        <v>143.0</v>
      </c>
      <c r="J18" s="20">
        <v>9.0</v>
      </c>
      <c r="K18" s="20">
        <v>42.0</v>
      </c>
      <c r="L18" s="20">
        <v>46.0</v>
      </c>
      <c r="N18" s="24"/>
      <c r="O18" s="19">
        <v>10.0</v>
      </c>
      <c r="P18" s="22">
        <f t="shared" ref="P18:T18" si="11">H18/A$31</f>
        <v>0.04431920072</v>
      </c>
      <c r="Q18" s="22">
        <f t="shared" si="11"/>
        <v>0.0484910139</v>
      </c>
      <c r="R18" s="22">
        <f t="shared" si="11"/>
        <v>0.0612244898</v>
      </c>
      <c r="S18" s="22">
        <f t="shared" si="11"/>
        <v>0.09090909091</v>
      </c>
      <c r="T18" s="22">
        <f t="shared" si="11"/>
        <v>0.08070175439</v>
      </c>
    </row>
    <row r="19" ht="15.75" customHeight="1">
      <c r="F19" s="23"/>
      <c r="G19" s="19">
        <v>11.0</v>
      </c>
      <c r="H19" s="20">
        <v>392.0</v>
      </c>
      <c r="I19" s="20">
        <v>182.0</v>
      </c>
      <c r="J19" s="20">
        <v>6.0</v>
      </c>
      <c r="K19" s="20">
        <v>31.0</v>
      </c>
      <c r="L19" s="20">
        <v>31.0</v>
      </c>
      <c r="N19" s="24"/>
      <c r="O19" s="19">
        <v>11.0</v>
      </c>
      <c r="P19" s="22">
        <f t="shared" ref="P19:T19" si="12">H19/A$31</f>
        <v>0.05021134879</v>
      </c>
      <c r="Q19" s="22">
        <f t="shared" si="12"/>
        <v>0.06171583588</v>
      </c>
      <c r="R19" s="22">
        <f t="shared" si="12"/>
        <v>0.04081632653</v>
      </c>
      <c r="S19" s="22">
        <f t="shared" si="12"/>
        <v>0.0670995671</v>
      </c>
      <c r="T19" s="22">
        <f t="shared" si="12"/>
        <v>0.05438596491</v>
      </c>
    </row>
    <row r="20" ht="15.75" customHeight="1">
      <c r="F20" s="23"/>
      <c r="G20" s="19">
        <v>12.0</v>
      </c>
      <c r="H20" s="20">
        <v>493.0</v>
      </c>
      <c r="I20" s="20">
        <v>169.0</v>
      </c>
      <c r="J20" s="20">
        <v>7.0</v>
      </c>
      <c r="K20" s="20">
        <v>37.0</v>
      </c>
      <c r="L20" s="20">
        <v>33.0</v>
      </c>
      <c r="N20" s="24"/>
      <c r="O20" s="19">
        <v>12.0</v>
      </c>
      <c r="P20" s="22">
        <f t="shared" ref="P20:T20" si="13">H20/A$31</f>
        <v>0.06314845651</v>
      </c>
      <c r="Q20" s="22">
        <f t="shared" si="13"/>
        <v>0.05730756189</v>
      </c>
      <c r="R20" s="22">
        <f t="shared" si="13"/>
        <v>0.04761904762</v>
      </c>
      <c r="S20" s="22">
        <f t="shared" si="13"/>
        <v>0.08008658009</v>
      </c>
      <c r="T20" s="22">
        <f t="shared" si="13"/>
        <v>0.05789473684</v>
      </c>
    </row>
    <row r="21" ht="15.75" customHeight="1">
      <c r="F21" s="23"/>
      <c r="G21" s="19">
        <v>13.0</v>
      </c>
      <c r="H21" s="20">
        <v>503.0</v>
      </c>
      <c r="I21" s="20">
        <v>187.0</v>
      </c>
      <c r="J21" s="20">
        <v>15.0</v>
      </c>
      <c r="K21" s="20">
        <v>33.0</v>
      </c>
      <c r="L21" s="20">
        <v>38.0</v>
      </c>
      <c r="N21" s="24"/>
      <c r="O21" s="19">
        <v>13.0</v>
      </c>
      <c r="P21" s="22">
        <f t="shared" ref="P21:T21" si="14">H21/A$31</f>
        <v>0.06442935827</v>
      </c>
      <c r="Q21" s="22">
        <f t="shared" si="14"/>
        <v>0.06341132587</v>
      </c>
      <c r="R21" s="22">
        <f t="shared" si="14"/>
        <v>0.1020408163</v>
      </c>
      <c r="S21" s="22">
        <f t="shared" si="14"/>
        <v>0.07142857143</v>
      </c>
      <c r="T21" s="22">
        <f t="shared" si="14"/>
        <v>0.06666666667</v>
      </c>
    </row>
    <row r="22" ht="15.75" customHeight="1">
      <c r="F22" s="23"/>
      <c r="G22" s="19">
        <v>14.0</v>
      </c>
      <c r="H22" s="20">
        <v>603.0</v>
      </c>
      <c r="I22" s="20">
        <v>227.0</v>
      </c>
      <c r="J22" s="20">
        <v>12.0</v>
      </c>
      <c r="K22" s="20">
        <v>24.0</v>
      </c>
      <c r="L22" s="20">
        <v>45.0</v>
      </c>
      <c r="N22" s="24"/>
      <c r="O22" s="19">
        <v>14.0</v>
      </c>
      <c r="P22" s="22">
        <f t="shared" ref="P22:T22" si="15">H22/A$31</f>
        <v>0.07723837582</v>
      </c>
      <c r="Q22" s="22">
        <f t="shared" si="15"/>
        <v>0.07697524585</v>
      </c>
      <c r="R22" s="22">
        <f t="shared" si="15"/>
        <v>0.08163265306</v>
      </c>
      <c r="S22" s="22">
        <f t="shared" si="15"/>
        <v>0.05194805195</v>
      </c>
      <c r="T22" s="22">
        <f t="shared" si="15"/>
        <v>0.07894736842</v>
      </c>
    </row>
    <row r="23" ht="15.75" customHeight="1">
      <c r="F23" s="23"/>
      <c r="G23" s="19">
        <v>15.0</v>
      </c>
      <c r="H23" s="20">
        <v>653.0</v>
      </c>
      <c r="I23" s="20">
        <v>243.0</v>
      </c>
      <c r="J23" s="20">
        <v>4.0</v>
      </c>
      <c r="K23" s="20">
        <v>28.0</v>
      </c>
      <c r="L23" s="20">
        <v>45.0</v>
      </c>
      <c r="N23" s="24"/>
      <c r="O23" s="19">
        <v>15.0</v>
      </c>
      <c r="P23" s="22">
        <f t="shared" ref="P23:T23" si="16">H23/A$31</f>
        <v>0.08364288459</v>
      </c>
      <c r="Q23" s="22">
        <f t="shared" si="16"/>
        <v>0.08240081384</v>
      </c>
      <c r="R23" s="22">
        <f t="shared" si="16"/>
        <v>0.02721088435</v>
      </c>
      <c r="S23" s="22">
        <f t="shared" si="16"/>
        <v>0.06060606061</v>
      </c>
      <c r="T23" s="22">
        <f t="shared" si="16"/>
        <v>0.07894736842</v>
      </c>
    </row>
    <row r="24" ht="15.75" customHeight="1">
      <c r="F24" s="23"/>
      <c r="G24" s="19">
        <v>16.0</v>
      </c>
      <c r="H24" s="20">
        <v>737.0</v>
      </c>
      <c r="I24" s="20">
        <v>279.0</v>
      </c>
      <c r="J24" s="20">
        <v>14.0</v>
      </c>
      <c r="K24" s="20">
        <v>44.0</v>
      </c>
      <c r="L24" s="20">
        <v>34.0</v>
      </c>
      <c r="N24" s="24"/>
      <c r="O24" s="19">
        <v>16.0</v>
      </c>
      <c r="P24" s="22">
        <f t="shared" ref="P24:T24" si="17">H24/A$31</f>
        <v>0.09440245933</v>
      </c>
      <c r="Q24" s="22">
        <f t="shared" si="17"/>
        <v>0.09460834181</v>
      </c>
      <c r="R24" s="22">
        <f t="shared" si="17"/>
        <v>0.09523809524</v>
      </c>
      <c r="S24" s="22">
        <f t="shared" si="17"/>
        <v>0.09523809524</v>
      </c>
      <c r="T24" s="22">
        <f t="shared" si="17"/>
        <v>0.05964912281</v>
      </c>
    </row>
    <row r="25" ht="15.75" customHeight="1">
      <c r="F25" s="23"/>
      <c r="G25" s="19">
        <v>17.0</v>
      </c>
      <c r="H25" s="20">
        <v>735.0</v>
      </c>
      <c r="I25" s="20">
        <v>269.0</v>
      </c>
      <c r="J25" s="20">
        <v>18.0</v>
      </c>
      <c r="K25" s="20">
        <v>31.0</v>
      </c>
      <c r="L25" s="20">
        <v>18.0</v>
      </c>
      <c r="N25" s="24"/>
      <c r="O25" s="19">
        <v>17.0</v>
      </c>
      <c r="P25" s="22">
        <f t="shared" ref="P25:T25" si="18">H25/A$31</f>
        <v>0.09414627898</v>
      </c>
      <c r="Q25" s="22">
        <f t="shared" si="18"/>
        <v>0.09121736182</v>
      </c>
      <c r="R25" s="22">
        <f t="shared" si="18"/>
        <v>0.1224489796</v>
      </c>
      <c r="S25" s="22">
        <f t="shared" si="18"/>
        <v>0.0670995671</v>
      </c>
      <c r="T25" s="22">
        <f t="shared" si="18"/>
        <v>0.03157894737</v>
      </c>
    </row>
    <row r="26" ht="15.75" customHeight="1">
      <c r="F26" s="23"/>
      <c r="G26" s="19">
        <v>18.0</v>
      </c>
      <c r="H26" s="20">
        <v>500.0</v>
      </c>
      <c r="I26" s="20">
        <v>170.0</v>
      </c>
      <c r="J26" s="20">
        <v>8.0</v>
      </c>
      <c r="K26" s="20">
        <v>13.0</v>
      </c>
      <c r="L26" s="20">
        <v>8.0</v>
      </c>
      <c r="N26" s="24"/>
      <c r="O26" s="19">
        <v>18.0</v>
      </c>
      <c r="P26" s="22">
        <f t="shared" ref="P26:T26" si="19">H26/A$31</f>
        <v>0.06404508774</v>
      </c>
      <c r="Q26" s="22">
        <f t="shared" si="19"/>
        <v>0.05764665988</v>
      </c>
      <c r="R26" s="22">
        <f t="shared" si="19"/>
        <v>0.05442176871</v>
      </c>
      <c r="S26" s="22">
        <f t="shared" si="19"/>
        <v>0.02813852814</v>
      </c>
      <c r="T26" s="22">
        <f t="shared" si="19"/>
        <v>0.01403508772</v>
      </c>
    </row>
    <row r="27" ht="15.75" customHeight="1">
      <c r="F27" s="23"/>
      <c r="G27" s="19">
        <v>19.0</v>
      </c>
      <c r="H27" s="20">
        <v>421.0</v>
      </c>
      <c r="I27" s="20">
        <v>127.0</v>
      </c>
      <c r="J27" s="20">
        <v>8.0</v>
      </c>
      <c r="K27" s="20">
        <v>12.0</v>
      </c>
      <c r="L27" s="20">
        <v>11.0</v>
      </c>
      <c r="N27" s="24"/>
      <c r="O27" s="19">
        <v>19.0</v>
      </c>
      <c r="P27" s="22">
        <f t="shared" ref="P27:T27" si="20">H27/A$31</f>
        <v>0.05392596388</v>
      </c>
      <c r="Q27" s="22">
        <f t="shared" si="20"/>
        <v>0.04306544591</v>
      </c>
      <c r="R27" s="22">
        <f t="shared" si="20"/>
        <v>0.05442176871</v>
      </c>
      <c r="S27" s="22">
        <f t="shared" si="20"/>
        <v>0.02597402597</v>
      </c>
      <c r="T27" s="22">
        <f t="shared" si="20"/>
        <v>0.01929824561</v>
      </c>
    </row>
    <row r="28" ht="15.75" customHeight="1">
      <c r="F28" s="23"/>
      <c r="G28" s="19">
        <v>20.0</v>
      </c>
      <c r="H28" s="20">
        <v>345.0</v>
      </c>
      <c r="I28" s="20">
        <v>91.0</v>
      </c>
      <c r="J28" s="20">
        <v>7.0</v>
      </c>
      <c r="K28" s="20">
        <v>16.0</v>
      </c>
      <c r="L28" s="20">
        <v>19.0</v>
      </c>
      <c r="N28" s="24"/>
      <c r="O28" s="19">
        <v>20.0</v>
      </c>
      <c r="P28" s="22">
        <f t="shared" ref="P28:T28" si="21">H28/A$31</f>
        <v>0.04419111054</v>
      </c>
      <c r="Q28" s="22">
        <f t="shared" si="21"/>
        <v>0.03085791794</v>
      </c>
      <c r="R28" s="22">
        <f t="shared" si="21"/>
        <v>0.04761904762</v>
      </c>
      <c r="S28" s="22">
        <f t="shared" si="21"/>
        <v>0.03463203463</v>
      </c>
      <c r="T28" s="22">
        <f t="shared" si="21"/>
        <v>0.03333333333</v>
      </c>
    </row>
    <row r="29" ht="15.75" customHeight="1">
      <c r="F29" s="23"/>
      <c r="G29" s="19">
        <v>21.0</v>
      </c>
      <c r="H29" s="20">
        <v>193.0</v>
      </c>
      <c r="I29" s="20">
        <v>58.0</v>
      </c>
      <c r="J29" s="20">
        <v>15.0</v>
      </c>
      <c r="K29" s="20">
        <v>9.0</v>
      </c>
      <c r="L29" s="20">
        <v>15.0</v>
      </c>
      <c r="N29" s="24"/>
      <c r="O29" s="19">
        <v>21.0</v>
      </c>
      <c r="P29" s="22">
        <f t="shared" ref="P29:T29" si="22">H29/A$31</f>
        <v>0.02472140387</v>
      </c>
      <c r="Q29" s="22">
        <f t="shared" si="22"/>
        <v>0.01966768396</v>
      </c>
      <c r="R29" s="22">
        <f t="shared" si="22"/>
        <v>0.1020408163</v>
      </c>
      <c r="S29" s="22">
        <f t="shared" si="22"/>
        <v>0.01948051948</v>
      </c>
      <c r="T29" s="22">
        <f t="shared" si="22"/>
        <v>0.02631578947</v>
      </c>
      <c r="U29" s="25">
        <f>$H$7</f>
        <v>31</v>
      </c>
      <c r="V29" s="25">
        <f>$I$7</f>
        <v>32</v>
      </c>
      <c r="W29" s="25">
        <f>$J$7</f>
        <v>41</v>
      </c>
      <c r="X29" s="25">
        <f>$K$7</f>
        <v>42</v>
      </c>
      <c r="Y29" s="25">
        <f>$L$7</f>
        <v>5</v>
      </c>
    </row>
    <row r="30" ht="15.75" customHeight="1">
      <c r="F30" s="23"/>
      <c r="G30" s="19">
        <v>22.0</v>
      </c>
      <c r="H30" s="20">
        <v>152.0</v>
      </c>
      <c r="I30" s="20">
        <v>37.0</v>
      </c>
      <c r="J30" s="20">
        <v>2.0</v>
      </c>
      <c r="K30" s="20">
        <v>17.0</v>
      </c>
      <c r="L30" s="20">
        <v>13.0</v>
      </c>
      <c r="N30" s="24"/>
      <c r="O30" s="19">
        <v>22.0</v>
      </c>
      <c r="P30" s="22">
        <f t="shared" ref="P30:T30" si="23">H30/A$31</f>
        <v>0.01946970667</v>
      </c>
      <c r="Q30" s="22">
        <f t="shared" si="23"/>
        <v>0.01254662597</v>
      </c>
      <c r="R30" s="22">
        <f t="shared" si="23"/>
        <v>0.01360544218</v>
      </c>
      <c r="S30" s="22">
        <f t="shared" si="23"/>
        <v>0.0367965368</v>
      </c>
      <c r="T30" s="22">
        <f t="shared" si="23"/>
        <v>0.02280701754</v>
      </c>
    </row>
    <row r="31" ht="15.75" customHeight="1">
      <c r="A31" s="26">
        <f t="shared" ref="A31:E31" si="24">SUM(H8:H31)</f>
        <v>7807</v>
      </c>
      <c r="B31" s="26">
        <f t="shared" si="24"/>
        <v>2949</v>
      </c>
      <c r="C31" s="26">
        <f t="shared" si="24"/>
        <v>147</v>
      </c>
      <c r="D31" s="26">
        <f t="shared" si="24"/>
        <v>462</v>
      </c>
      <c r="E31" s="26">
        <f t="shared" si="24"/>
        <v>570</v>
      </c>
      <c r="F31" s="27"/>
      <c r="G31" s="19">
        <v>23.0</v>
      </c>
      <c r="H31" s="20">
        <v>89.0</v>
      </c>
      <c r="I31" s="20">
        <v>32.0</v>
      </c>
      <c r="J31" s="20">
        <v>0.0</v>
      </c>
      <c r="K31" s="20">
        <v>5.0</v>
      </c>
      <c r="L31" s="20">
        <v>17.0</v>
      </c>
      <c r="N31" s="28"/>
      <c r="O31" s="19">
        <v>23.0</v>
      </c>
      <c r="P31" s="22">
        <f t="shared" ref="P31:T31" si="25">H31/A$31</f>
        <v>0.01140002562</v>
      </c>
      <c r="Q31" s="22">
        <f t="shared" si="25"/>
        <v>0.01085113598</v>
      </c>
      <c r="R31" s="22">
        <f t="shared" si="25"/>
        <v>0</v>
      </c>
      <c r="S31" s="22">
        <f t="shared" si="25"/>
        <v>0.01082251082</v>
      </c>
      <c r="T31" s="22">
        <f t="shared" si="25"/>
        <v>0.0298245614</v>
      </c>
    </row>
    <row r="32" ht="15.75" customHeight="1">
      <c r="F32" s="29">
        <v>45195.0</v>
      </c>
      <c r="G32" s="19">
        <f>$G$8</f>
        <v>0</v>
      </c>
      <c r="H32" s="20">
        <v>60.0</v>
      </c>
      <c r="I32" s="20">
        <v>13.0</v>
      </c>
      <c r="J32" s="20">
        <v>1.0</v>
      </c>
      <c r="K32" s="20">
        <v>8.0</v>
      </c>
      <c r="L32" s="20">
        <v>4.0</v>
      </c>
      <c r="N32" s="30">
        <v>45195.0</v>
      </c>
      <c r="O32" s="31">
        <f>$G$8</f>
        <v>0</v>
      </c>
      <c r="P32" s="32">
        <f t="shared" ref="P32:T32" si="26">H32/A$56</f>
        <v>0.008332176087</v>
      </c>
      <c r="Q32" s="32">
        <f t="shared" si="26"/>
        <v>0.004506065858</v>
      </c>
      <c r="R32" s="32">
        <f t="shared" si="26"/>
        <v>0.008547008547</v>
      </c>
      <c r="S32" s="32">
        <f t="shared" si="26"/>
        <v>0.01388888889</v>
      </c>
      <c r="T32" s="32">
        <f t="shared" si="26"/>
        <v>0.006546644845</v>
      </c>
    </row>
    <row r="33" ht="15.75" customHeight="1">
      <c r="F33" s="23"/>
      <c r="G33" s="19">
        <f>$G$9</f>
        <v>1</v>
      </c>
      <c r="H33" s="20">
        <v>40.0</v>
      </c>
      <c r="I33" s="20">
        <v>12.0</v>
      </c>
      <c r="J33" s="20">
        <v>0.0</v>
      </c>
      <c r="K33" s="20">
        <v>7.0</v>
      </c>
      <c r="L33" s="20">
        <v>8.0</v>
      </c>
      <c r="N33" s="33"/>
      <c r="O33" s="31">
        <f>$G$9</f>
        <v>1</v>
      </c>
      <c r="P33" s="32">
        <f t="shared" ref="P33:T33" si="27">H33/A$56</f>
        <v>0.005554784058</v>
      </c>
      <c r="Q33" s="32">
        <f t="shared" si="27"/>
        <v>0.004159445407</v>
      </c>
      <c r="R33" s="32">
        <f t="shared" si="27"/>
        <v>0</v>
      </c>
      <c r="S33" s="32">
        <f t="shared" si="27"/>
        <v>0.01215277778</v>
      </c>
      <c r="T33" s="32">
        <f t="shared" si="27"/>
        <v>0.01309328969</v>
      </c>
    </row>
    <row r="34" ht="15.75" customHeight="1">
      <c r="F34" s="23"/>
      <c r="G34" s="19">
        <f>$G$10</f>
        <v>2</v>
      </c>
      <c r="H34" s="34">
        <v>22.0</v>
      </c>
      <c r="I34" s="34">
        <v>6.0</v>
      </c>
      <c r="J34" s="34">
        <v>0.0</v>
      </c>
      <c r="K34" s="34">
        <v>4.0</v>
      </c>
      <c r="L34" s="34">
        <v>6.0</v>
      </c>
      <c r="N34" s="33"/>
      <c r="O34" s="31">
        <f>$G$10</f>
        <v>2</v>
      </c>
      <c r="P34" s="32">
        <f t="shared" ref="P34:T34" si="28">H34/A$56</f>
        <v>0.003055131232</v>
      </c>
      <c r="Q34" s="32">
        <f t="shared" si="28"/>
        <v>0.002079722704</v>
      </c>
      <c r="R34" s="32">
        <f t="shared" si="28"/>
        <v>0</v>
      </c>
      <c r="S34" s="32">
        <f t="shared" si="28"/>
        <v>0.006944444444</v>
      </c>
      <c r="T34" s="32">
        <f t="shared" si="28"/>
        <v>0.009819967267</v>
      </c>
    </row>
    <row r="35" ht="15.75" customHeight="1">
      <c r="F35" s="23"/>
      <c r="G35" s="19">
        <f>$G$11</f>
        <v>3</v>
      </c>
      <c r="H35" s="20">
        <v>23.0</v>
      </c>
      <c r="I35" s="20">
        <v>11.0</v>
      </c>
      <c r="J35" s="20">
        <v>1.0</v>
      </c>
      <c r="K35" s="20">
        <v>6.0</v>
      </c>
      <c r="L35" s="20">
        <v>8.0</v>
      </c>
      <c r="N35" s="33"/>
      <c r="O35" s="31">
        <f>$G$11</f>
        <v>3</v>
      </c>
      <c r="P35" s="32">
        <f t="shared" ref="P35:T35" si="29">H35/A$56</f>
        <v>0.003194000833</v>
      </c>
      <c r="Q35" s="32">
        <f t="shared" si="29"/>
        <v>0.003812824957</v>
      </c>
      <c r="R35" s="32">
        <f t="shared" si="29"/>
        <v>0.008547008547</v>
      </c>
      <c r="S35" s="32">
        <f t="shared" si="29"/>
        <v>0.01041666667</v>
      </c>
      <c r="T35" s="32">
        <f t="shared" si="29"/>
        <v>0.01309328969</v>
      </c>
    </row>
    <row r="36" ht="15.75" customHeight="1">
      <c r="F36" s="23"/>
      <c r="G36" s="19">
        <f>$G$12</f>
        <v>4</v>
      </c>
      <c r="H36" s="20">
        <v>24.0</v>
      </c>
      <c r="I36" s="20">
        <v>10.0</v>
      </c>
      <c r="J36" s="20">
        <v>0.0</v>
      </c>
      <c r="K36" s="20">
        <v>6.0</v>
      </c>
      <c r="L36" s="20">
        <v>13.0</v>
      </c>
      <c r="N36" s="33"/>
      <c r="O36" s="31">
        <f>$G$12</f>
        <v>4</v>
      </c>
      <c r="P36" s="32">
        <f t="shared" ref="P36:T36" si="30">H36/A$56</f>
        <v>0.003332870435</v>
      </c>
      <c r="Q36" s="32">
        <f t="shared" si="30"/>
        <v>0.003466204506</v>
      </c>
      <c r="R36" s="32">
        <f t="shared" si="30"/>
        <v>0</v>
      </c>
      <c r="S36" s="32">
        <f t="shared" si="30"/>
        <v>0.01041666667</v>
      </c>
      <c r="T36" s="32">
        <f t="shared" si="30"/>
        <v>0.02127659574</v>
      </c>
    </row>
    <row r="37" ht="15.75" customHeight="1">
      <c r="F37" s="23"/>
      <c r="G37" s="19">
        <f>$G$13</f>
        <v>5</v>
      </c>
      <c r="H37" s="20">
        <v>72.0</v>
      </c>
      <c r="I37" s="20">
        <v>30.0</v>
      </c>
      <c r="J37" s="20">
        <v>0.0</v>
      </c>
      <c r="K37" s="20">
        <v>9.0</v>
      </c>
      <c r="L37" s="20">
        <v>30.0</v>
      </c>
      <c r="N37" s="33"/>
      <c r="O37" s="31">
        <f>$G$13</f>
        <v>5</v>
      </c>
      <c r="P37" s="32">
        <f t="shared" ref="P37:T37" si="31">H37/A$56</f>
        <v>0.009998611304</v>
      </c>
      <c r="Q37" s="32">
        <f t="shared" si="31"/>
        <v>0.01039861352</v>
      </c>
      <c r="R37" s="32">
        <f t="shared" si="31"/>
        <v>0</v>
      </c>
      <c r="S37" s="32">
        <f t="shared" si="31"/>
        <v>0.015625</v>
      </c>
      <c r="T37" s="32">
        <f t="shared" si="31"/>
        <v>0.04909983633</v>
      </c>
    </row>
    <row r="38" ht="15.75" customHeight="1">
      <c r="F38" s="23"/>
      <c r="G38" s="19">
        <f>$G$14</f>
        <v>6</v>
      </c>
      <c r="H38" s="20">
        <v>255.0</v>
      </c>
      <c r="I38" s="20">
        <v>148.0</v>
      </c>
      <c r="J38" s="20">
        <v>1.0</v>
      </c>
      <c r="K38" s="20">
        <v>16.0</v>
      </c>
      <c r="L38" s="20">
        <v>28.0</v>
      </c>
      <c r="N38" s="33"/>
      <c r="O38" s="31">
        <f>$G$14</f>
        <v>6</v>
      </c>
      <c r="P38" s="32">
        <f t="shared" ref="P38:T38" si="32">H38/A$56</f>
        <v>0.03541174837</v>
      </c>
      <c r="Q38" s="32">
        <f t="shared" si="32"/>
        <v>0.05129982669</v>
      </c>
      <c r="R38" s="32">
        <f t="shared" si="32"/>
        <v>0.008547008547</v>
      </c>
      <c r="S38" s="32">
        <f t="shared" si="32"/>
        <v>0.02777777778</v>
      </c>
      <c r="T38" s="32">
        <f t="shared" si="32"/>
        <v>0.04582651391</v>
      </c>
    </row>
    <row r="39" ht="15.75" customHeight="1">
      <c r="F39" s="23"/>
      <c r="G39" s="19">
        <f>$G$15</f>
        <v>7</v>
      </c>
      <c r="H39" s="20">
        <v>376.0</v>
      </c>
      <c r="I39" s="20">
        <v>177.0</v>
      </c>
      <c r="J39" s="20">
        <v>12.0</v>
      </c>
      <c r="K39" s="20">
        <v>24.0</v>
      </c>
      <c r="L39" s="20">
        <v>25.0</v>
      </c>
      <c r="N39" s="33"/>
      <c r="O39" s="31">
        <f>$G$15</f>
        <v>7</v>
      </c>
      <c r="P39" s="32">
        <f t="shared" ref="P39:T39" si="33">H39/A$56</f>
        <v>0.05221497014</v>
      </c>
      <c r="Q39" s="32">
        <f t="shared" si="33"/>
        <v>0.06135181976</v>
      </c>
      <c r="R39" s="32">
        <f t="shared" si="33"/>
        <v>0.1025641026</v>
      </c>
      <c r="S39" s="32">
        <f t="shared" si="33"/>
        <v>0.04166666667</v>
      </c>
      <c r="T39" s="32">
        <f t="shared" si="33"/>
        <v>0.04091653028</v>
      </c>
    </row>
    <row r="40" ht="15.75" customHeight="1">
      <c r="F40" s="23"/>
      <c r="G40" s="19">
        <f>$G$16</f>
        <v>8</v>
      </c>
      <c r="H40" s="20">
        <v>325.0</v>
      </c>
      <c r="I40" s="20">
        <v>135.0</v>
      </c>
      <c r="J40" s="20">
        <v>14.0</v>
      </c>
      <c r="K40" s="20">
        <v>47.0</v>
      </c>
      <c r="L40" s="20">
        <v>40.0</v>
      </c>
      <c r="N40" s="33"/>
      <c r="O40" s="31">
        <f>$G$16</f>
        <v>8</v>
      </c>
      <c r="P40" s="32">
        <f t="shared" ref="P40:T40" si="34">H40/A$56</f>
        <v>0.04513262047</v>
      </c>
      <c r="Q40" s="32">
        <f t="shared" si="34"/>
        <v>0.04679376083</v>
      </c>
      <c r="R40" s="32">
        <f t="shared" si="34"/>
        <v>0.1196581197</v>
      </c>
      <c r="S40" s="32">
        <f t="shared" si="34"/>
        <v>0.08159722222</v>
      </c>
      <c r="T40" s="32">
        <f t="shared" si="34"/>
        <v>0.06546644845</v>
      </c>
    </row>
    <row r="41" ht="15.75" customHeight="1">
      <c r="F41" s="23"/>
      <c r="G41" s="19">
        <f>$G$17</f>
        <v>9</v>
      </c>
      <c r="H41" s="20">
        <v>330.0</v>
      </c>
      <c r="I41" s="20">
        <v>161.0</v>
      </c>
      <c r="J41" s="20">
        <v>9.0</v>
      </c>
      <c r="K41" s="20">
        <v>30.0</v>
      </c>
      <c r="L41" s="20">
        <v>60.0</v>
      </c>
      <c r="N41" s="33"/>
      <c r="O41" s="31">
        <f>$G$17</f>
        <v>9</v>
      </c>
      <c r="P41" s="32">
        <f t="shared" ref="P41:T41" si="35">H41/A$56</f>
        <v>0.04582696848</v>
      </c>
      <c r="Q41" s="32">
        <f t="shared" si="35"/>
        <v>0.05580589255</v>
      </c>
      <c r="R41" s="32">
        <f t="shared" si="35"/>
        <v>0.07692307692</v>
      </c>
      <c r="S41" s="32">
        <f t="shared" si="35"/>
        <v>0.05208333333</v>
      </c>
      <c r="T41" s="32">
        <f t="shared" si="35"/>
        <v>0.09819967267</v>
      </c>
    </row>
    <row r="42" ht="15.75" customHeight="1">
      <c r="F42" s="23"/>
      <c r="G42" s="19">
        <f>$G$18</f>
        <v>10</v>
      </c>
      <c r="H42" s="20">
        <v>331.0</v>
      </c>
      <c r="I42" s="20">
        <v>146.0</v>
      </c>
      <c r="J42" s="20">
        <v>5.0</v>
      </c>
      <c r="K42" s="20">
        <v>43.0</v>
      </c>
      <c r="L42" s="20">
        <v>51.0</v>
      </c>
      <c r="N42" s="33"/>
      <c r="O42" s="31">
        <f>$G$18</f>
        <v>10</v>
      </c>
      <c r="P42" s="32">
        <f t="shared" ref="P42:T42" si="36">H42/A$56</f>
        <v>0.04596583808</v>
      </c>
      <c r="Q42" s="32">
        <f t="shared" si="36"/>
        <v>0.05060658579</v>
      </c>
      <c r="R42" s="32">
        <f t="shared" si="36"/>
        <v>0.04273504274</v>
      </c>
      <c r="S42" s="32">
        <f t="shared" si="36"/>
        <v>0.07465277778</v>
      </c>
      <c r="T42" s="32">
        <f t="shared" si="36"/>
        <v>0.08346972177</v>
      </c>
    </row>
    <row r="43" ht="15.75" customHeight="1">
      <c r="F43" s="23"/>
      <c r="G43" s="19">
        <f>$G$19</f>
        <v>11</v>
      </c>
      <c r="H43" s="20">
        <v>362.0</v>
      </c>
      <c r="I43" s="20">
        <v>167.0</v>
      </c>
      <c r="J43" s="20">
        <v>5.0</v>
      </c>
      <c r="K43" s="20">
        <v>44.0</v>
      </c>
      <c r="L43" s="20">
        <v>43.0</v>
      </c>
      <c r="N43" s="33"/>
      <c r="O43" s="31">
        <f>$G$19</f>
        <v>11</v>
      </c>
      <c r="P43" s="32">
        <f t="shared" ref="P43:T43" si="37">H43/A$56</f>
        <v>0.05027079572</v>
      </c>
      <c r="Q43" s="32">
        <f t="shared" si="37"/>
        <v>0.05788561525</v>
      </c>
      <c r="R43" s="32">
        <f t="shared" si="37"/>
        <v>0.04273504274</v>
      </c>
      <c r="S43" s="32">
        <f t="shared" si="37"/>
        <v>0.07638888889</v>
      </c>
      <c r="T43" s="32">
        <f t="shared" si="37"/>
        <v>0.07037643208</v>
      </c>
    </row>
    <row r="44" ht="15.75" customHeight="1">
      <c r="F44" s="23"/>
      <c r="G44" s="19">
        <f>$G$20</f>
        <v>12</v>
      </c>
      <c r="H44" s="20">
        <v>412.0</v>
      </c>
      <c r="I44" s="20">
        <v>150.0</v>
      </c>
      <c r="J44" s="20">
        <v>7.0</v>
      </c>
      <c r="K44" s="20">
        <v>23.0</v>
      </c>
      <c r="L44" s="20">
        <v>41.0</v>
      </c>
      <c r="N44" s="33"/>
      <c r="O44" s="31">
        <f>$G$20</f>
        <v>12</v>
      </c>
      <c r="P44" s="32">
        <f t="shared" ref="P44:T44" si="38">H44/A$56</f>
        <v>0.0572142758</v>
      </c>
      <c r="Q44" s="32">
        <f t="shared" si="38"/>
        <v>0.05199306759</v>
      </c>
      <c r="R44" s="32">
        <f t="shared" si="38"/>
        <v>0.05982905983</v>
      </c>
      <c r="S44" s="32">
        <f t="shared" si="38"/>
        <v>0.03993055556</v>
      </c>
      <c r="T44" s="32">
        <f t="shared" si="38"/>
        <v>0.06710310966</v>
      </c>
    </row>
    <row r="45" ht="15.75" customHeight="1">
      <c r="F45" s="23"/>
      <c r="G45" s="19">
        <f>$G$21</f>
        <v>13</v>
      </c>
      <c r="H45" s="20">
        <v>507.0</v>
      </c>
      <c r="I45" s="20">
        <v>193.0</v>
      </c>
      <c r="J45" s="20">
        <v>3.0</v>
      </c>
      <c r="K45" s="20">
        <v>52.0</v>
      </c>
      <c r="L45" s="20">
        <v>33.0</v>
      </c>
      <c r="N45" s="33"/>
      <c r="O45" s="31">
        <f>$G$21</f>
        <v>13</v>
      </c>
      <c r="P45" s="32">
        <f t="shared" ref="P45:T45" si="39">H45/A$56</f>
        <v>0.07040688793</v>
      </c>
      <c r="Q45" s="32">
        <f t="shared" si="39"/>
        <v>0.06689774697</v>
      </c>
      <c r="R45" s="32">
        <f t="shared" si="39"/>
        <v>0.02564102564</v>
      </c>
      <c r="S45" s="32">
        <f t="shared" si="39"/>
        <v>0.09027777778</v>
      </c>
      <c r="T45" s="32">
        <f t="shared" si="39"/>
        <v>0.05400981997</v>
      </c>
    </row>
    <row r="46" ht="15.75" customHeight="1">
      <c r="F46" s="23"/>
      <c r="G46" s="19">
        <f>$G$22</f>
        <v>14</v>
      </c>
      <c r="H46" s="20">
        <v>532.0</v>
      </c>
      <c r="I46" s="20">
        <v>196.0</v>
      </c>
      <c r="J46" s="20">
        <v>7.0</v>
      </c>
      <c r="K46" s="20">
        <v>48.0</v>
      </c>
      <c r="L46" s="20">
        <v>45.0</v>
      </c>
      <c r="N46" s="33"/>
      <c r="O46" s="31">
        <f>$G$22</f>
        <v>14</v>
      </c>
      <c r="P46" s="32">
        <f t="shared" ref="P46:T46" si="40">H46/A$56</f>
        <v>0.07387862797</v>
      </c>
      <c r="Q46" s="32">
        <f t="shared" si="40"/>
        <v>0.06793760832</v>
      </c>
      <c r="R46" s="32">
        <f t="shared" si="40"/>
        <v>0.05982905983</v>
      </c>
      <c r="S46" s="32">
        <f t="shared" si="40"/>
        <v>0.08333333333</v>
      </c>
      <c r="T46" s="32">
        <f t="shared" si="40"/>
        <v>0.0736497545</v>
      </c>
    </row>
    <row r="47" ht="15.75" customHeight="1">
      <c r="F47" s="23"/>
      <c r="G47" s="19">
        <f>$G$23</f>
        <v>15</v>
      </c>
      <c r="H47" s="20">
        <v>587.0</v>
      </c>
      <c r="I47" s="20">
        <v>259.0</v>
      </c>
      <c r="J47" s="20">
        <v>11.0</v>
      </c>
      <c r="K47" s="20">
        <v>43.0</v>
      </c>
      <c r="L47" s="20">
        <v>38.0</v>
      </c>
      <c r="N47" s="33"/>
      <c r="O47" s="31">
        <f>$G$23</f>
        <v>15</v>
      </c>
      <c r="P47" s="32">
        <f t="shared" ref="P47:T47" si="41">H47/A$56</f>
        <v>0.08151645605</v>
      </c>
      <c r="Q47" s="32">
        <f t="shared" si="41"/>
        <v>0.08977469671</v>
      </c>
      <c r="R47" s="32">
        <f t="shared" si="41"/>
        <v>0.09401709402</v>
      </c>
      <c r="S47" s="32">
        <f t="shared" si="41"/>
        <v>0.07465277778</v>
      </c>
      <c r="T47" s="32">
        <f t="shared" si="41"/>
        <v>0.06219312602</v>
      </c>
    </row>
    <row r="48" ht="15.75" customHeight="1">
      <c r="F48" s="23"/>
      <c r="G48" s="19">
        <f>$G$24</f>
        <v>16</v>
      </c>
      <c r="H48" s="20">
        <v>650.0</v>
      </c>
      <c r="I48" s="20">
        <v>277.0</v>
      </c>
      <c r="J48" s="20">
        <v>12.0</v>
      </c>
      <c r="K48" s="20">
        <v>39.0</v>
      </c>
      <c r="L48" s="20">
        <v>36.0</v>
      </c>
      <c r="N48" s="33"/>
      <c r="O48" s="31">
        <f>$G$24</f>
        <v>16</v>
      </c>
      <c r="P48" s="32">
        <f t="shared" ref="P48:T48" si="42">H48/A$56</f>
        <v>0.09026524094</v>
      </c>
      <c r="Q48" s="32">
        <f t="shared" si="42"/>
        <v>0.09601386482</v>
      </c>
      <c r="R48" s="32">
        <f t="shared" si="42"/>
        <v>0.1025641026</v>
      </c>
      <c r="S48" s="32">
        <f t="shared" si="42"/>
        <v>0.06770833333</v>
      </c>
      <c r="T48" s="32">
        <f t="shared" si="42"/>
        <v>0.0589198036</v>
      </c>
    </row>
    <row r="49" ht="15.75" customHeight="1">
      <c r="F49" s="23"/>
      <c r="G49" s="19">
        <f>$G$25</f>
        <v>17</v>
      </c>
      <c r="H49" s="20">
        <v>681.0</v>
      </c>
      <c r="I49" s="20">
        <v>246.0</v>
      </c>
      <c r="J49" s="20">
        <v>17.0</v>
      </c>
      <c r="K49" s="20">
        <v>40.0</v>
      </c>
      <c r="L49" s="20">
        <v>27.0</v>
      </c>
      <c r="N49" s="33"/>
      <c r="O49" s="31">
        <f>$G$25</f>
        <v>17</v>
      </c>
      <c r="P49" s="32">
        <f t="shared" ref="P49:T49" si="43">H49/A$56</f>
        <v>0.09457019858</v>
      </c>
      <c r="Q49" s="32">
        <f t="shared" si="43"/>
        <v>0.08526863085</v>
      </c>
      <c r="R49" s="32">
        <f t="shared" si="43"/>
        <v>0.1452991453</v>
      </c>
      <c r="S49" s="32">
        <f t="shared" si="43"/>
        <v>0.06944444444</v>
      </c>
      <c r="T49" s="32">
        <f t="shared" si="43"/>
        <v>0.0441898527</v>
      </c>
    </row>
    <row r="50" ht="15.75" customHeight="1">
      <c r="F50" s="23"/>
      <c r="G50" s="19">
        <f>$G$26</f>
        <v>18</v>
      </c>
      <c r="H50" s="20">
        <v>527.0</v>
      </c>
      <c r="I50" s="20">
        <v>197.0</v>
      </c>
      <c r="J50" s="20">
        <v>7.0</v>
      </c>
      <c r="K50" s="20">
        <v>24.0</v>
      </c>
      <c r="L50" s="20">
        <v>9.0</v>
      </c>
      <c r="N50" s="33"/>
      <c r="O50" s="31">
        <f>$G$26</f>
        <v>18</v>
      </c>
      <c r="P50" s="32">
        <f t="shared" ref="P50:T50" si="44">H50/A$56</f>
        <v>0.07318427996</v>
      </c>
      <c r="Q50" s="32">
        <f t="shared" si="44"/>
        <v>0.06828422877</v>
      </c>
      <c r="R50" s="32">
        <f t="shared" si="44"/>
        <v>0.05982905983</v>
      </c>
      <c r="S50" s="32">
        <f t="shared" si="44"/>
        <v>0.04166666667</v>
      </c>
      <c r="T50" s="32">
        <f t="shared" si="44"/>
        <v>0.0147299509</v>
      </c>
    </row>
    <row r="51" ht="15.75" customHeight="1">
      <c r="F51" s="23"/>
      <c r="G51" s="19">
        <f>$G$27</f>
        <v>19</v>
      </c>
      <c r="H51" s="20">
        <v>381.0</v>
      </c>
      <c r="I51" s="20">
        <v>114.0</v>
      </c>
      <c r="J51" s="20">
        <v>2.0</v>
      </c>
      <c r="K51" s="20">
        <v>13.0</v>
      </c>
      <c r="L51" s="20">
        <v>10.0</v>
      </c>
      <c r="N51" s="33"/>
      <c r="O51" s="31">
        <f>$G$27</f>
        <v>19</v>
      </c>
      <c r="P51" s="32">
        <f t="shared" ref="P51:T51" si="45">H51/A$56</f>
        <v>0.05290931815</v>
      </c>
      <c r="Q51" s="32">
        <f t="shared" si="45"/>
        <v>0.03951473137</v>
      </c>
      <c r="R51" s="32">
        <f t="shared" si="45"/>
        <v>0.01709401709</v>
      </c>
      <c r="S51" s="32">
        <f t="shared" si="45"/>
        <v>0.02256944444</v>
      </c>
      <c r="T51" s="32">
        <f t="shared" si="45"/>
        <v>0.01636661211</v>
      </c>
    </row>
    <row r="52" ht="15.75" customHeight="1">
      <c r="F52" s="23"/>
      <c r="G52" s="19">
        <f>$G$28</f>
        <v>20</v>
      </c>
      <c r="H52" s="20">
        <v>296.0</v>
      </c>
      <c r="I52" s="20">
        <v>92.0</v>
      </c>
      <c r="J52" s="20">
        <v>2.0</v>
      </c>
      <c r="K52" s="20">
        <v>17.0</v>
      </c>
      <c r="L52" s="20">
        <v>14.0</v>
      </c>
      <c r="N52" s="33"/>
      <c r="O52" s="31">
        <f>$G$28</f>
        <v>20</v>
      </c>
      <c r="P52" s="32">
        <f t="shared" ref="P52:T52" si="46">H52/A$56</f>
        <v>0.04110540203</v>
      </c>
      <c r="Q52" s="32">
        <f t="shared" si="46"/>
        <v>0.03188908146</v>
      </c>
      <c r="R52" s="32">
        <f t="shared" si="46"/>
        <v>0.01709401709</v>
      </c>
      <c r="S52" s="32">
        <f t="shared" si="46"/>
        <v>0.02951388889</v>
      </c>
      <c r="T52" s="32">
        <f t="shared" si="46"/>
        <v>0.02291325696</v>
      </c>
    </row>
    <row r="53" ht="15.75" customHeight="1">
      <c r="F53" s="23"/>
      <c r="G53" s="19">
        <f>$G$29</f>
        <v>21</v>
      </c>
      <c r="H53" s="20">
        <v>199.0</v>
      </c>
      <c r="I53" s="20">
        <v>69.0</v>
      </c>
      <c r="J53" s="20">
        <v>0.0</v>
      </c>
      <c r="K53" s="20">
        <v>14.0</v>
      </c>
      <c r="L53" s="20">
        <v>16.0</v>
      </c>
      <c r="N53" s="33"/>
      <c r="O53" s="31">
        <f>$G$29</f>
        <v>21</v>
      </c>
      <c r="P53" s="32">
        <f t="shared" ref="P53:T53" si="47">H53/A$56</f>
        <v>0.02763505069</v>
      </c>
      <c r="Q53" s="32">
        <f t="shared" si="47"/>
        <v>0.02391681109</v>
      </c>
      <c r="R53" s="32">
        <f t="shared" si="47"/>
        <v>0</v>
      </c>
      <c r="S53" s="32">
        <f t="shared" si="47"/>
        <v>0.02430555556</v>
      </c>
      <c r="T53" s="32">
        <f t="shared" si="47"/>
        <v>0.02618657938</v>
      </c>
    </row>
    <row r="54" ht="15.75" customHeight="1">
      <c r="F54" s="23"/>
      <c r="G54" s="19">
        <f>$G$30</f>
        <v>22</v>
      </c>
      <c r="H54" s="20">
        <v>136.0</v>
      </c>
      <c r="I54" s="20">
        <v>47.0</v>
      </c>
      <c r="J54" s="20">
        <v>0.0</v>
      </c>
      <c r="K54" s="20">
        <v>12.0</v>
      </c>
      <c r="L54" s="20">
        <v>10.0</v>
      </c>
      <c r="N54" s="33"/>
      <c r="O54" s="31">
        <f>$G$30</f>
        <v>22</v>
      </c>
      <c r="P54" s="32">
        <f t="shared" ref="P54:T54" si="48">H54/A$56</f>
        <v>0.0188862658</v>
      </c>
      <c r="Q54" s="32">
        <f t="shared" si="48"/>
        <v>0.01629116118</v>
      </c>
      <c r="R54" s="32">
        <f t="shared" si="48"/>
        <v>0</v>
      </c>
      <c r="S54" s="32">
        <f t="shared" si="48"/>
        <v>0.02083333333</v>
      </c>
      <c r="T54" s="32">
        <f t="shared" si="48"/>
        <v>0.01636661211</v>
      </c>
    </row>
    <row r="55" ht="15.75" customHeight="1">
      <c r="F55" s="27"/>
      <c r="G55" s="19">
        <f>$G$31</f>
        <v>23</v>
      </c>
      <c r="H55" s="20">
        <v>73.0</v>
      </c>
      <c r="I55" s="20">
        <v>29.0</v>
      </c>
      <c r="J55" s="20">
        <v>1.0</v>
      </c>
      <c r="K55" s="20">
        <v>7.0</v>
      </c>
      <c r="L55" s="20">
        <v>16.0</v>
      </c>
      <c r="N55" s="35"/>
      <c r="O55" s="31">
        <f>$G$31</f>
        <v>23</v>
      </c>
      <c r="P55" s="32">
        <f t="shared" ref="P55:T55" si="49">H55/A$56</f>
        <v>0.01013748091</v>
      </c>
      <c r="Q55" s="32">
        <f t="shared" si="49"/>
        <v>0.01005199307</v>
      </c>
      <c r="R55" s="32">
        <f t="shared" si="49"/>
        <v>0.008547008547</v>
      </c>
      <c r="S55" s="32">
        <f t="shared" si="49"/>
        <v>0.01215277778</v>
      </c>
      <c r="T55" s="32">
        <f t="shared" si="49"/>
        <v>0.02618657938</v>
      </c>
    </row>
    <row r="56" ht="15.75" customHeight="1">
      <c r="A56" s="26">
        <f t="shared" ref="A56:E56" si="50">SUM(H32:H55)</f>
        <v>7201</v>
      </c>
      <c r="B56" s="26">
        <f t="shared" si="50"/>
        <v>2885</v>
      </c>
      <c r="C56" s="26">
        <f t="shared" si="50"/>
        <v>117</v>
      </c>
      <c r="D56" s="26">
        <f t="shared" si="50"/>
        <v>576</v>
      </c>
      <c r="E56" s="26">
        <f t="shared" si="50"/>
        <v>611</v>
      </c>
      <c r="F56" s="18">
        <v>45196.0</v>
      </c>
      <c r="G56" s="19">
        <f>$G$8</f>
        <v>0</v>
      </c>
      <c r="H56" s="20">
        <v>50.0</v>
      </c>
      <c r="I56" s="20">
        <v>15.0</v>
      </c>
      <c r="J56" s="20">
        <v>1.0</v>
      </c>
      <c r="K56" s="20">
        <v>10.0</v>
      </c>
      <c r="L56" s="20">
        <v>10.0</v>
      </c>
      <c r="N56" s="36">
        <v>45196.0</v>
      </c>
      <c r="O56" s="31">
        <f>$G$8</f>
        <v>0</v>
      </c>
      <c r="P56" s="32">
        <f t="shared" ref="P56:T56" si="51">H56/A$84</f>
        <v>0.006928086463</v>
      </c>
      <c r="Q56" s="32">
        <f t="shared" si="51"/>
        <v>0.004978426817</v>
      </c>
      <c r="R56" s="32">
        <f t="shared" si="51"/>
        <v>0.0125</v>
      </c>
      <c r="S56" s="32">
        <f t="shared" si="51"/>
        <v>0.01680672269</v>
      </c>
      <c r="T56" s="32">
        <f t="shared" si="51"/>
        <v>0.01488095238</v>
      </c>
    </row>
    <row r="57" ht="15.75" customHeight="1">
      <c r="F57" s="23"/>
      <c r="G57" s="19">
        <f>$G$9</f>
        <v>1</v>
      </c>
      <c r="H57" s="20">
        <v>37.0</v>
      </c>
      <c r="I57" s="20">
        <v>13.0</v>
      </c>
      <c r="J57" s="20">
        <v>1.0</v>
      </c>
      <c r="K57" s="20">
        <v>8.0</v>
      </c>
      <c r="L57" s="20">
        <v>10.0</v>
      </c>
      <c r="N57" s="33"/>
      <c r="O57" s="31">
        <f>$G$9</f>
        <v>1</v>
      </c>
      <c r="P57" s="32">
        <f t="shared" ref="P57:T57" si="52">H57/A$84</f>
        <v>0.005126783982</v>
      </c>
      <c r="Q57" s="32">
        <f t="shared" si="52"/>
        <v>0.004314636575</v>
      </c>
      <c r="R57" s="32">
        <f t="shared" si="52"/>
        <v>0.0125</v>
      </c>
      <c r="S57" s="32">
        <f t="shared" si="52"/>
        <v>0.01344537815</v>
      </c>
      <c r="T57" s="32">
        <f t="shared" si="52"/>
        <v>0.01488095238</v>
      </c>
    </row>
    <row r="58" ht="15.75" customHeight="1">
      <c r="F58" s="23"/>
      <c r="G58" s="19">
        <f>$G$10</f>
        <v>2</v>
      </c>
      <c r="H58" s="16">
        <v>20.0</v>
      </c>
      <c r="I58" s="16">
        <v>9.0</v>
      </c>
      <c r="J58" s="16">
        <v>0.0</v>
      </c>
      <c r="K58" s="16">
        <v>9.0</v>
      </c>
      <c r="L58" s="16">
        <v>11.0</v>
      </c>
      <c r="N58" s="33"/>
      <c r="O58" s="31">
        <f>$G$10</f>
        <v>2</v>
      </c>
      <c r="P58" s="32">
        <f t="shared" ref="P58:T58" si="53">H58/A$84</f>
        <v>0.002771234585</v>
      </c>
      <c r="Q58" s="32">
        <f t="shared" si="53"/>
        <v>0.00298705609</v>
      </c>
      <c r="R58" s="32">
        <f t="shared" si="53"/>
        <v>0</v>
      </c>
      <c r="S58" s="32">
        <f t="shared" si="53"/>
        <v>0.01512605042</v>
      </c>
      <c r="T58" s="32">
        <f t="shared" si="53"/>
        <v>0.01636904762</v>
      </c>
    </row>
    <row r="59" ht="15.75" customHeight="1">
      <c r="F59" s="23"/>
      <c r="G59" s="19">
        <f>$G$11</f>
        <v>3</v>
      </c>
      <c r="H59" s="20">
        <v>22.0</v>
      </c>
      <c r="I59" s="20">
        <v>9.0</v>
      </c>
      <c r="J59" s="20">
        <v>1.0</v>
      </c>
      <c r="K59" s="20">
        <v>4.0</v>
      </c>
      <c r="L59" s="20">
        <v>7.0</v>
      </c>
      <c r="N59" s="33"/>
      <c r="O59" s="31">
        <f>$G$11</f>
        <v>3</v>
      </c>
      <c r="P59" s="32">
        <f t="shared" ref="P59:T59" si="54">H59/A$84</f>
        <v>0.003048358044</v>
      </c>
      <c r="Q59" s="32">
        <f t="shared" si="54"/>
        <v>0.00298705609</v>
      </c>
      <c r="R59" s="32">
        <f t="shared" si="54"/>
        <v>0.0125</v>
      </c>
      <c r="S59" s="32">
        <f t="shared" si="54"/>
        <v>0.006722689076</v>
      </c>
      <c r="T59" s="32">
        <f t="shared" si="54"/>
        <v>0.01041666667</v>
      </c>
      <c r="U59" s="25">
        <f>$H$7</f>
        <v>31</v>
      </c>
      <c r="V59" s="25">
        <f>$I$7</f>
        <v>32</v>
      </c>
      <c r="W59" s="25">
        <f>$J$7</f>
        <v>41</v>
      </c>
      <c r="X59" s="25">
        <f>$K$7</f>
        <v>42</v>
      </c>
      <c r="Y59" s="25">
        <f>$L$7</f>
        <v>5</v>
      </c>
    </row>
    <row r="60" ht="15.75" customHeight="1">
      <c r="A60" s="16" t="s">
        <v>16</v>
      </c>
      <c r="F60" s="23"/>
      <c r="G60" s="19">
        <f>$G$12</f>
        <v>4</v>
      </c>
      <c r="H60" s="20">
        <v>23.0</v>
      </c>
      <c r="I60" s="20">
        <v>8.0</v>
      </c>
      <c r="J60" s="20">
        <v>0.0</v>
      </c>
      <c r="K60" s="20">
        <v>7.0</v>
      </c>
      <c r="L60" s="20">
        <v>16.0</v>
      </c>
      <c r="N60" s="33"/>
      <c r="O60" s="31">
        <f>$G$12</f>
        <v>4</v>
      </c>
      <c r="P60" s="32">
        <f t="shared" ref="P60:T60" si="55">H60/A$84</f>
        <v>0.003186919773</v>
      </c>
      <c r="Q60" s="32">
        <f t="shared" si="55"/>
        <v>0.002655160969</v>
      </c>
      <c r="R60" s="32">
        <f t="shared" si="55"/>
        <v>0</v>
      </c>
      <c r="S60" s="32">
        <f t="shared" si="55"/>
        <v>0.01176470588</v>
      </c>
      <c r="T60" s="32">
        <f t="shared" si="55"/>
        <v>0.02380952381</v>
      </c>
    </row>
    <row r="61" ht="15.75" customHeight="1">
      <c r="A61" s="16" t="s">
        <v>17</v>
      </c>
      <c r="F61" s="23"/>
      <c r="G61" s="19">
        <f>$G$13</f>
        <v>5</v>
      </c>
      <c r="H61" s="20">
        <v>60.0</v>
      </c>
      <c r="I61" s="20">
        <v>41.0</v>
      </c>
      <c r="J61" s="20">
        <v>0.0</v>
      </c>
      <c r="K61" s="20">
        <v>10.0</v>
      </c>
      <c r="L61" s="20">
        <v>21.0</v>
      </c>
      <c r="N61" s="33"/>
      <c r="O61" s="31">
        <f>$G$13</f>
        <v>5</v>
      </c>
      <c r="P61" s="32">
        <f t="shared" ref="P61:T61" si="56">H61/A$84</f>
        <v>0.008313703755</v>
      </c>
      <c r="Q61" s="32">
        <f t="shared" si="56"/>
        <v>0.01360769997</v>
      </c>
      <c r="R61" s="32">
        <f t="shared" si="56"/>
        <v>0</v>
      </c>
      <c r="S61" s="32">
        <f t="shared" si="56"/>
        <v>0.01680672269</v>
      </c>
      <c r="T61" s="32">
        <f t="shared" si="56"/>
        <v>0.03125</v>
      </c>
    </row>
    <row r="62" ht="15.75" customHeight="1">
      <c r="A62" s="16" t="s">
        <v>18</v>
      </c>
      <c r="F62" s="23"/>
      <c r="G62" s="19">
        <f>$G$14</f>
        <v>6</v>
      </c>
      <c r="H62" s="20">
        <v>216.0</v>
      </c>
      <c r="I62" s="20">
        <v>132.0</v>
      </c>
      <c r="J62" s="20">
        <v>0.0</v>
      </c>
      <c r="K62" s="20">
        <v>12.0</v>
      </c>
      <c r="L62" s="20">
        <v>19.0</v>
      </c>
      <c r="N62" s="33"/>
      <c r="O62" s="31">
        <f>$G$14</f>
        <v>6</v>
      </c>
      <c r="P62" s="32">
        <f t="shared" ref="P62:T62" si="57">H62/A$84</f>
        <v>0.02992933352</v>
      </c>
      <c r="Q62" s="32">
        <f t="shared" si="57"/>
        <v>0.04381015599</v>
      </c>
      <c r="R62" s="32">
        <f t="shared" si="57"/>
        <v>0</v>
      </c>
      <c r="S62" s="32">
        <f t="shared" si="57"/>
        <v>0.02016806723</v>
      </c>
      <c r="T62" s="32">
        <f t="shared" si="57"/>
        <v>0.02827380952</v>
      </c>
    </row>
    <row r="63" ht="15.75" customHeight="1">
      <c r="A63" s="16" t="s">
        <v>19</v>
      </c>
      <c r="F63" s="23"/>
      <c r="G63" s="19">
        <f>$G$15</f>
        <v>7</v>
      </c>
      <c r="H63" s="20">
        <v>342.0</v>
      </c>
      <c r="I63" s="20">
        <v>122.0</v>
      </c>
      <c r="J63" s="20">
        <v>4.0</v>
      </c>
      <c r="K63" s="20">
        <v>12.0</v>
      </c>
      <c r="L63" s="20">
        <v>30.0</v>
      </c>
      <c r="N63" s="33"/>
      <c r="O63" s="31">
        <f>$G$15</f>
        <v>7</v>
      </c>
      <c r="P63" s="32">
        <f t="shared" ref="P63:T63" si="58">H63/A$84</f>
        <v>0.0473881114</v>
      </c>
      <c r="Q63" s="32">
        <f t="shared" si="58"/>
        <v>0.04049120478</v>
      </c>
      <c r="R63" s="32">
        <f t="shared" si="58"/>
        <v>0.05</v>
      </c>
      <c r="S63" s="32">
        <f t="shared" si="58"/>
        <v>0.02016806723</v>
      </c>
      <c r="T63" s="32">
        <f t="shared" si="58"/>
        <v>0.04464285714</v>
      </c>
    </row>
    <row r="64" ht="15.75" customHeight="1">
      <c r="A64" s="16" t="s">
        <v>20</v>
      </c>
      <c r="F64" s="23"/>
      <c r="G64" s="19">
        <f>$G$16</f>
        <v>8</v>
      </c>
      <c r="H64" s="20">
        <v>288.0</v>
      </c>
      <c r="I64" s="20">
        <v>145.0</v>
      </c>
      <c r="J64" s="20">
        <v>4.0</v>
      </c>
      <c r="K64" s="20">
        <v>37.0</v>
      </c>
      <c r="L64" s="20">
        <v>50.0</v>
      </c>
      <c r="N64" s="33"/>
      <c r="O64" s="31">
        <f>$G$16</f>
        <v>8</v>
      </c>
      <c r="P64" s="32">
        <f t="shared" ref="P64:T64" si="59">H64/A$84</f>
        <v>0.03990577802</v>
      </c>
      <c r="Q64" s="32">
        <f t="shared" si="59"/>
        <v>0.04812479257</v>
      </c>
      <c r="R64" s="32">
        <f t="shared" si="59"/>
        <v>0.05</v>
      </c>
      <c r="S64" s="32">
        <f t="shared" si="59"/>
        <v>0.06218487395</v>
      </c>
      <c r="T64" s="32">
        <f t="shared" si="59"/>
        <v>0.0744047619</v>
      </c>
    </row>
    <row r="65" ht="15.75" customHeight="1">
      <c r="A65" s="16" t="s">
        <v>21</v>
      </c>
      <c r="F65" s="23"/>
      <c r="G65" s="19">
        <f>$G$17</f>
        <v>9</v>
      </c>
      <c r="H65" s="20">
        <v>340.0</v>
      </c>
      <c r="I65" s="20">
        <v>142.0</v>
      </c>
      <c r="J65" s="20">
        <v>3.0</v>
      </c>
      <c r="K65" s="20">
        <v>38.0</v>
      </c>
      <c r="L65" s="20">
        <v>72.0</v>
      </c>
      <c r="N65" s="33"/>
      <c r="O65" s="31">
        <f>$G$17</f>
        <v>9</v>
      </c>
      <c r="P65" s="32">
        <f t="shared" ref="P65:T65" si="60">H65/A$84</f>
        <v>0.04711098795</v>
      </c>
      <c r="Q65" s="32">
        <f t="shared" si="60"/>
        <v>0.0471291072</v>
      </c>
      <c r="R65" s="32">
        <f t="shared" si="60"/>
        <v>0.0375</v>
      </c>
      <c r="S65" s="32">
        <f t="shared" si="60"/>
        <v>0.06386554622</v>
      </c>
      <c r="T65" s="32">
        <f t="shared" si="60"/>
        <v>0.1071428571</v>
      </c>
    </row>
    <row r="66" ht="15.75" customHeight="1">
      <c r="A66" s="16" t="s">
        <v>22</v>
      </c>
      <c r="F66" s="23"/>
      <c r="G66" s="19">
        <f>$G$18</f>
        <v>10</v>
      </c>
      <c r="H66" s="20">
        <v>334.0</v>
      </c>
      <c r="I66" s="20">
        <v>161.0</v>
      </c>
      <c r="J66" s="20">
        <v>6.0</v>
      </c>
      <c r="K66" s="20">
        <v>46.0</v>
      </c>
      <c r="L66" s="20">
        <v>47.0</v>
      </c>
      <c r="N66" s="33"/>
      <c r="O66" s="31">
        <f>$G$18</f>
        <v>10</v>
      </c>
      <c r="P66" s="32">
        <f t="shared" ref="P66:T66" si="61">H66/A$84</f>
        <v>0.04627961757</v>
      </c>
      <c r="Q66" s="32">
        <f t="shared" si="61"/>
        <v>0.0534351145</v>
      </c>
      <c r="R66" s="32">
        <f t="shared" si="61"/>
        <v>0.075</v>
      </c>
      <c r="S66" s="32">
        <f t="shared" si="61"/>
        <v>0.07731092437</v>
      </c>
      <c r="T66" s="32">
        <f t="shared" si="61"/>
        <v>0.06994047619</v>
      </c>
    </row>
    <row r="67" ht="15.75" customHeight="1">
      <c r="A67" s="16" t="s">
        <v>23</v>
      </c>
      <c r="F67" s="23"/>
      <c r="G67" s="19">
        <f>$G$19</f>
        <v>11</v>
      </c>
      <c r="H67" s="20">
        <v>379.0</v>
      </c>
      <c r="I67" s="20">
        <v>151.0</v>
      </c>
      <c r="J67" s="20">
        <v>1.0</v>
      </c>
      <c r="K67" s="20">
        <v>48.0</v>
      </c>
      <c r="L67" s="20">
        <v>56.0</v>
      </c>
      <c r="N67" s="33"/>
      <c r="O67" s="31">
        <f>$G$19</f>
        <v>11</v>
      </c>
      <c r="P67" s="32">
        <f t="shared" ref="P67:T67" si="62">H67/A$84</f>
        <v>0.05251489539</v>
      </c>
      <c r="Q67" s="32">
        <f t="shared" si="62"/>
        <v>0.05011616329</v>
      </c>
      <c r="R67" s="32">
        <f t="shared" si="62"/>
        <v>0.0125</v>
      </c>
      <c r="S67" s="32">
        <f t="shared" si="62"/>
        <v>0.08067226891</v>
      </c>
      <c r="T67" s="32">
        <f t="shared" si="62"/>
        <v>0.08333333333</v>
      </c>
    </row>
    <row r="68" ht="15.75" customHeight="1">
      <c r="A68" s="16" t="s">
        <v>24</v>
      </c>
      <c r="F68" s="23"/>
      <c r="G68" s="19">
        <f>$G$20</f>
        <v>12</v>
      </c>
      <c r="H68" s="20">
        <v>492.0</v>
      </c>
      <c r="I68" s="20">
        <v>163.0</v>
      </c>
      <c r="J68" s="20">
        <v>4.0</v>
      </c>
      <c r="K68" s="20">
        <v>37.0</v>
      </c>
      <c r="L68" s="20">
        <v>41.0</v>
      </c>
      <c r="N68" s="33"/>
      <c r="O68" s="31">
        <f>$G$20</f>
        <v>12</v>
      </c>
      <c r="P68" s="32">
        <f t="shared" ref="P68:T68" si="63">H68/A$84</f>
        <v>0.06817237079</v>
      </c>
      <c r="Q68" s="32">
        <f t="shared" si="63"/>
        <v>0.05409890475</v>
      </c>
      <c r="R68" s="32">
        <f t="shared" si="63"/>
        <v>0.05</v>
      </c>
      <c r="S68" s="32">
        <f t="shared" si="63"/>
        <v>0.06218487395</v>
      </c>
      <c r="T68" s="32">
        <f t="shared" si="63"/>
        <v>0.06101190476</v>
      </c>
    </row>
    <row r="69" ht="15.75" customHeight="1">
      <c r="A69" s="16" t="s">
        <v>25</v>
      </c>
      <c r="F69" s="23"/>
      <c r="G69" s="19">
        <f>$G$21</f>
        <v>13</v>
      </c>
      <c r="H69" s="20">
        <v>492.0</v>
      </c>
      <c r="I69" s="20">
        <v>202.0</v>
      </c>
      <c r="J69" s="20">
        <v>4.0</v>
      </c>
      <c r="K69" s="20">
        <v>44.0</v>
      </c>
      <c r="L69" s="20">
        <v>37.0</v>
      </c>
      <c r="N69" s="33"/>
      <c r="O69" s="31">
        <f>$G$21</f>
        <v>13</v>
      </c>
      <c r="P69" s="32">
        <f t="shared" ref="P69:T69" si="64">H69/A$84</f>
        <v>0.06817237079</v>
      </c>
      <c r="Q69" s="32">
        <f t="shared" si="64"/>
        <v>0.06704281447</v>
      </c>
      <c r="R69" s="32">
        <f t="shared" si="64"/>
        <v>0.05</v>
      </c>
      <c r="S69" s="32">
        <f t="shared" si="64"/>
        <v>0.07394957983</v>
      </c>
      <c r="T69" s="32">
        <f t="shared" si="64"/>
        <v>0.05505952381</v>
      </c>
    </row>
    <row r="70" ht="15.75" customHeight="1">
      <c r="A70" s="16" t="s">
        <v>26</v>
      </c>
      <c r="F70" s="23"/>
      <c r="G70" s="19">
        <f>$G$22</f>
        <v>14</v>
      </c>
      <c r="H70" s="20">
        <v>516.0</v>
      </c>
      <c r="I70" s="20">
        <v>289.0</v>
      </c>
      <c r="J70" s="20">
        <v>0.0</v>
      </c>
      <c r="K70" s="20">
        <v>44.0</v>
      </c>
      <c r="L70" s="20">
        <v>46.0</v>
      </c>
      <c r="N70" s="33"/>
      <c r="O70" s="31">
        <f>$G$22</f>
        <v>14</v>
      </c>
      <c r="P70" s="32">
        <f t="shared" ref="P70:T70" si="65">H70/A$84</f>
        <v>0.07149785229</v>
      </c>
      <c r="Q70" s="32">
        <f t="shared" si="65"/>
        <v>0.09591769001</v>
      </c>
      <c r="R70" s="32">
        <f t="shared" si="65"/>
        <v>0</v>
      </c>
      <c r="S70" s="32">
        <f t="shared" si="65"/>
        <v>0.07394957983</v>
      </c>
      <c r="T70" s="32">
        <f t="shared" si="65"/>
        <v>0.06845238095</v>
      </c>
    </row>
    <row r="71" ht="15.75" customHeight="1">
      <c r="A71" s="16" t="s">
        <v>27</v>
      </c>
      <c r="F71" s="23"/>
      <c r="G71" s="19">
        <f>$G$23</f>
        <v>15</v>
      </c>
      <c r="H71" s="20">
        <v>579.0</v>
      </c>
      <c r="I71" s="20">
        <v>244.0</v>
      </c>
      <c r="J71" s="20">
        <v>11.0</v>
      </c>
      <c r="K71" s="20">
        <v>49.0</v>
      </c>
      <c r="L71" s="20">
        <v>43.0</v>
      </c>
      <c r="N71" s="33"/>
      <c r="O71" s="31">
        <f>$G$23</f>
        <v>15</v>
      </c>
      <c r="P71" s="32">
        <f t="shared" ref="P71:T71" si="66">H71/A$84</f>
        <v>0.08022724124</v>
      </c>
      <c r="Q71" s="32">
        <f t="shared" si="66"/>
        <v>0.08098240956</v>
      </c>
      <c r="R71" s="32">
        <f t="shared" si="66"/>
        <v>0.1375</v>
      </c>
      <c r="S71" s="32">
        <f t="shared" si="66"/>
        <v>0.08235294118</v>
      </c>
      <c r="T71" s="32">
        <f t="shared" si="66"/>
        <v>0.06398809524</v>
      </c>
    </row>
    <row r="72" ht="15.75" customHeight="1">
      <c r="A72" s="16" t="s">
        <v>28</v>
      </c>
      <c r="F72" s="23"/>
      <c r="G72" s="19">
        <f>$G$24</f>
        <v>16</v>
      </c>
      <c r="H72" s="20">
        <v>663.0</v>
      </c>
      <c r="I72" s="20">
        <v>305.0</v>
      </c>
      <c r="J72" s="20">
        <v>7.0</v>
      </c>
      <c r="K72" s="20">
        <v>39.0</v>
      </c>
      <c r="L72" s="20">
        <v>22.0</v>
      </c>
      <c r="N72" s="33"/>
      <c r="O72" s="31">
        <f>$G$24</f>
        <v>16</v>
      </c>
      <c r="P72" s="32">
        <f t="shared" ref="P72:T72" si="67">H72/A$84</f>
        <v>0.09186642649</v>
      </c>
      <c r="Q72" s="32">
        <f t="shared" si="67"/>
        <v>0.1012280119</v>
      </c>
      <c r="R72" s="32">
        <f t="shared" si="67"/>
        <v>0.0875</v>
      </c>
      <c r="S72" s="32">
        <f t="shared" si="67"/>
        <v>0.06554621849</v>
      </c>
      <c r="T72" s="32">
        <f t="shared" si="67"/>
        <v>0.03273809524</v>
      </c>
    </row>
    <row r="73" ht="15.75" customHeight="1">
      <c r="A73" s="16" t="s">
        <v>29</v>
      </c>
      <c r="F73" s="23"/>
      <c r="G73" s="19">
        <f>$G$25</f>
        <v>17</v>
      </c>
      <c r="H73" s="20">
        <v>655.0</v>
      </c>
      <c r="I73" s="20">
        <v>281.0</v>
      </c>
      <c r="J73" s="20">
        <v>13.0</v>
      </c>
      <c r="K73" s="20">
        <v>24.0</v>
      </c>
      <c r="L73" s="20">
        <v>24.0</v>
      </c>
      <c r="N73" s="33"/>
      <c r="O73" s="31">
        <f>$G$25</f>
        <v>17</v>
      </c>
      <c r="P73" s="32">
        <f t="shared" ref="P73:T73" si="68">H73/A$84</f>
        <v>0.09075793266</v>
      </c>
      <c r="Q73" s="32">
        <f t="shared" si="68"/>
        <v>0.09326252904</v>
      </c>
      <c r="R73" s="32">
        <f t="shared" si="68"/>
        <v>0.1625</v>
      </c>
      <c r="S73" s="32">
        <f t="shared" si="68"/>
        <v>0.04033613445</v>
      </c>
      <c r="T73" s="32">
        <f t="shared" si="68"/>
        <v>0.03571428571</v>
      </c>
    </row>
    <row r="74" ht="15.75" customHeight="1">
      <c r="A74" s="16" t="s">
        <v>30</v>
      </c>
      <c r="F74" s="23"/>
      <c r="G74" s="19">
        <f>$G$26</f>
        <v>18</v>
      </c>
      <c r="H74" s="20">
        <v>568.0</v>
      </c>
      <c r="I74" s="20">
        <v>195.0</v>
      </c>
      <c r="J74" s="20">
        <v>8.0</v>
      </c>
      <c r="K74" s="20">
        <v>24.0</v>
      </c>
      <c r="L74" s="20">
        <v>27.0</v>
      </c>
      <c r="N74" s="33"/>
      <c r="O74" s="31">
        <f>$G$26</f>
        <v>18</v>
      </c>
      <c r="P74" s="32">
        <f t="shared" ref="P74:T74" si="69">H74/A$84</f>
        <v>0.07870306221</v>
      </c>
      <c r="Q74" s="32">
        <f t="shared" si="69"/>
        <v>0.06471954862</v>
      </c>
      <c r="R74" s="32">
        <f t="shared" si="69"/>
        <v>0.1</v>
      </c>
      <c r="S74" s="32">
        <f t="shared" si="69"/>
        <v>0.04033613445</v>
      </c>
      <c r="T74" s="32">
        <f t="shared" si="69"/>
        <v>0.04017857143</v>
      </c>
    </row>
    <row r="75" ht="15.75" customHeight="1">
      <c r="A75" s="16" t="s">
        <v>31</v>
      </c>
      <c r="F75" s="23"/>
      <c r="G75" s="19">
        <f>$G$27</f>
        <v>19</v>
      </c>
      <c r="H75" s="20">
        <v>357.0</v>
      </c>
      <c r="I75" s="20">
        <v>134.0</v>
      </c>
      <c r="J75" s="20">
        <v>7.0</v>
      </c>
      <c r="K75" s="20">
        <v>27.0</v>
      </c>
      <c r="L75" s="20">
        <v>18.0</v>
      </c>
      <c r="N75" s="33"/>
      <c r="O75" s="31">
        <f>$G$27</f>
        <v>19</v>
      </c>
      <c r="P75" s="32">
        <f t="shared" ref="P75:T75" si="70">H75/A$84</f>
        <v>0.04946653734</v>
      </c>
      <c r="Q75" s="32">
        <f t="shared" si="70"/>
        <v>0.04447394623</v>
      </c>
      <c r="R75" s="32">
        <f t="shared" si="70"/>
        <v>0.0875</v>
      </c>
      <c r="S75" s="32">
        <f t="shared" si="70"/>
        <v>0.04537815126</v>
      </c>
      <c r="T75" s="32">
        <f t="shared" si="70"/>
        <v>0.02678571429</v>
      </c>
    </row>
    <row r="76" ht="15.75" customHeight="1">
      <c r="A76" s="16" t="s">
        <v>32</v>
      </c>
      <c r="F76" s="23"/>
      <c r="G76" s="19">
        <f>$G$28</f>
        <v>20</v>
      </c>
      <c r="H76" s="20">
        <v>304.0</v>
      </c>
      <c r="I76" s="20">
        <v>98.0</v>
      </c>
      <c r="J76" s="20">
        <v>2.0</v>
      </c>
      <c r="K76" s="20">
        <v>22.0</v>
      </c>
      <c r="L76" s="20">
        <v>21.0</v>
      </c>
      <c r="N76" s="33"/>
      <c r="O76" s="31">
        <f>$G$28</f>
        <v>20</v>
      </c>
      <c r="P76" s="32">
        <f t="shared" ref="P76:T76" si="71">H76/A$84</f>
        <v>0.04212276569</v>
      </c>
      <c r="Q76" s="32">
        <f t="shared" si="71"/>
        <v>0.03252572187</v>
      </c>
      <c r="R76" s="32">
        <f t="shared" si="71"/>
        <v>0.025</v>
      </c>
      <c r="S76" s="32">
        <f t="shared" si="71"/>
        <v>0.03697478992</v>
      </c>
      <c r="T76" s="32">
        <f t="shared" si="71"/>
        <v>0.03125</v>
      </c>
    </row>
    <row r="77" ht="15.75" customHeight="1">
      <c r="A77" s="16" t="s">
        <v>33</v>
      </c>
      <c r="F77" s="23"/>
      <c r="G77" s="19">
        <f>$G$29</f>
        <v>21</v>
      </c>
      <c r="H77" s="20">
        <v>230.0</v>
      </c>
      <c r="I77" s="20">
        <v>64.0</v>
      </c>
      <c r="J77" s="20">
        <v>2.0</v>
      </c>
      <c r="K77" s="20">
        <v>27.0</v>
      </c>
      <c r="L77" s="20">
        <v>10.0</v>
      </c>
      <c r="N77" s="33"/>
      <c r="O77" s="31">
        <f>$G$29</f>
        <v>21</v>
      </c>
      <c r="P77" s="32">
        <f t="shared" ref="P77:T77" si="72">H77/A$84</f>
        <v>0.03186919773</v>
      </c>
      <c r="Q77" s="32">
        <f t="shared" si="72"/>
        <v>0.02124128775</v>
      </c>
      <c r="R77" s="32">
        <f t="shared" si="72"/>
        <v>0.025</v>
      </c>
      <c r="S77" s="32">
        <f t="shared" si="72"/>
        <v>0.04537815126</v>
      </c>
      <c r="T77" s="32">
        <f t="shared" si="72"/>
        <v>0.01488095238</v>
      </c>
    </row>
    <row r="78" ht="15.75" customHeight="1">
      <c r="A78" s="16" t="s">
        <v>34</v>
      </c>
      <c r="F78" s="23"/>
      <c r="G78" s="19">
        <f>$G$30</f>
        <v>22</v>
      </c>
      <c r="H78" s="20">
        <v>150.0</v>
      </c>
      <c r="I78" s="20">
        <v>55.0</v>
      </c>
      <c r="J78" s="20">
        <v>1.0</v>
      </c>
      <c r="K78" s="20">
        <v>6.0</v>
      </c>
      <c r="L78" s="20">
        <v>11.0</v>
      </c>
      <c r="N78" s="33"/>
      <c r="O78" s="31">
        <f>$G$30</f>
        <v>22</v>
      </c>
      <c r="P78" s="32">
        <f t="shared" ref="P78:T78" si="73">H78/A$84</f>
        <v>0.02078425939</v>
      </c>
      <c r="Q78" s="32">
        <f t="shared" si="73"/>
        <v>0.01825423166</v>
      </c>
      <c r="R78" s="32">
        <f t="shared" si="73"/>
        <v>0.0125</v>
      </c>
      <c r="S78" s="32">
        <f t="shared" si="73"/>
        <v>0.01008403361</v>
      </c>
      <c r="T78" s="32">
        <f t="shared" si="73"/>
        <v>0.01636904762</v>
      </c>
    </row>
    <row r="79" ht="15.75" customHeight="1">
      <c r="A79" s="16" t="s">
        <v>35</v>
      </c>
      <c r="F79" s="27"/>
      <c r="G79" s="19">
        <f>$G$31</f>
        <v>23</v>
      </c>
      <c r="H79" s="20">
        <v>100.0</v>
      </c>
      <c r="I79" s="20">
        <v>35.0</v>
      </c>
      <c r="J79" s="20">
        <v>0.0</v>
      </c>
      <c r="K79" s="20">
        <v>11.0</v>
      </c>
      <c r="L79" s="20">
        <v>23.0</v>
      </c>
      <c r="N79" s="37"/>
      <c r="O79" s="31">
        <f>$G$31</f>
        <v>23</v>
      </c>
      <c r="P79" s="32">
        <f t="shared" ref="P79:T79" si="74">H79/A$84</f>
        <v>0.01385617293</v>
      </c>
      <c r="Q79" s="32">
        <f t="shared" si="74"/>
        <v>0.01161632924</v>
      </c>
      <c r="R79" s="32">
        <f t="shared" si="74"/>
        <v>0</v>
      </c>
      <c r="S79" s="32">
        <f t="shared" si="74"/>
        <v>0.01848739496</v>
      </c>
      <c r="T79" s="32">
        <f t="shared" si="74"/>
        <v>0.03422619048</v>
      </c>
    </row>
    <row r="80" ht="15.75" customHeight="1">
      <c r="A80" s="16" t="s">
        <v>36</v>
      </c>
      <c r="F80" s="18">
        <v>45197.0</v>
      </c>
      <c r="G80" s="19">
        <f>$G$8</f>
        <v>0</v>
      </c>
      <c r="H80" s="38">
        <v>66.0</v>
      </c>
      <c r="I80" s="38">
        <v>19.0</v>
      </c>
      <c r="J80" s="38">
        <v>1.0</v>
      </c>
      <c r="K80" s="38">
        <v>13.0</v>
      </c>
      <c r="L80" s="38">
        <v>7.0</v>
      </c>
      <c r="N80" s="18">
        <v>45197.0</v>
      </c>
      <c r="O80" s="31">
        <f>$G$8</f>
        <v>0</v>
      </c>
      <c r="P80" s="32">
        <f t="shared" ref="P80:T80" si="75">H80/A$111</f>
        <v>0.007421567525</v>
      </c>
      <c r="Q80" s="32">
        <f t="shared" si="75"/>
        <v>0.005743651753</v>
      </c>
      <c r="R80" s="32">
        <f t="shared" si="75"/>
        <v>0.005235602094</v>
      </c>
      <c r="S80" s="32">
        <f t="shared" si="75"/>
        <v>0.02476190476</v>
      </c>
      <c r="T80" s="32">
        <f t="shared" si="75"/>
        <v>0.0128440367</v>
      </c>
    </row>
    <row r="81" ht="15.75" customHeight="1">
      <c r="A81" s="16" t="s">
        <v>37</v>
      </c>
      <c r="F81" s="23"/>
      <c r="G81" s="19">
        <f>$G$9</f>
        <v>1</v>
      </c>
      <c r="H81" s="38">
        <v>45.0</v>
      </c>
      <c r="I81" s="38">
        <v>13.0</v>
      </c>
      <c r="J81" s="38">
        <v>0.0</v>
      </c>
      <c r="K81" s="38">
        <v>7.0</v>
      </c>
      <c r="L81" s="38">
        <v>8.0</v>
      </c>
      <c r="N81" s="23"/>
      <c r="O81" s="31">
        <f>$G$9</f>
        <v>1</v>
      </c>
      <c r="P81" s="32">
        <f t="shared" ref="P81:T81" si="76">H81/A$111</f>
        <v>0.005060159676</v>
      </c>
      <c r="Q81" s="32">
        <f t="shared" si="76"/>
        <v>0.003929866989</v>
      </c>
      <c r="R81" s="32">
        <f t="shared" si="76"/>
        <v>0</v>
      </c>
      <c r="S81" s="32">
        <f t="shared" si="76"/>
        <v>0.01333333333</v>
      </c>
      <c r="T81" s="32">
        <f t="shared" si="76"/>
        <v>0.01467889908</v>
      </c>
    </row>
    <row r="82" ht="15.75" customHeight="1">
      <c r="A82" s="16" t="s">
        <v>38</v>
      </c>
      <c r="F82" s="23"/>
      <c r="G82" s="19">
        <f>$G$10</f>
        <v>2</v>
      </c>
      <c r="H82" s="38">
        <v>23.0</v>
      </c>
      <c r="I82" s="38">
        <v>10.0</v>
      </c>
      <c r="J82" s="38">
        <v>0.0</v>
      </c>
      <c r="K82" s="38">
        <v>8.0</v>
      </c>
      <c r="L82" s="38">
        <v>7.0</v>
      </c>
      <c r="N82" s="23"/>
      <c r="O82" s="31">
        <f>$G$10</f>
        <v>2</v>
      </c>
      <c r="P82" s="32">
        <f t="shared" ref="P82:T82" si="77">H82/A$111</f>
        <v>0.002586303834</v>
      </c>
      <c r="Q82" s="32">
        <f t="shared" si="77"/>
        <v>0.003022974607</v>
      </c>
      <c r="R82" s="32">
        <f t="shared" si="77"/>
        <v>0</v>
      </c>
      <c r="S82" s="32">
        <f t="shared" si="77"/>
        <v>0.01523809524</v>
      </c>
      <c r="T82" s="32">
        <f t="shared" si="77"/>
        <v>0.0128440367</v>
      </c>
    </row>
    <row r="83" ht="15.75" customHeight="1">
      <c r="A83" s="16" t="s">
        <v>39</v>
      </c>
      <c r="F83" s="23"/>
      <c r="G83" s="19">
        <f>$G$11</f>
        <v>3</v>
      </c>
      <c r="H83" s="38">
        <v>16.0</v>
      </c>
      <c r="I83" s="38">
        <v>12.0</v>
      </c>
      <c r="J83" s="38">
        <v>0.0</v>
      </c>
      <c r="K83" s="38">
        <v>3.0</v>
      </c>
      <c r="L83" s="38">
        <v>15.0</v>
      </c>
      <c r="N83" s="23"/>
      <c r="O83" s="31">
        <f>$G$11</f>
        <v>3</v>
      </c>
      <c r="P83" s="32">
        <f t="shared" ref="P83:T83" si="78">H83/A$111</f>
        <v>0.001799167885</v>
      </c>
      <c r="Q83" s="32">
        <f t="shared" si="78"/>
        <v>0.003627569528</v>
      </c>
      <c r="R83" s="32">
        <f t="shared" si="78"/>
        <v>0</v>
      </c>
      <c r="S83" s="32">
        <f t="shared" si="78"/>
        <v>0.005714285714</v>
      </c>
      <c r="T83" s="32">
        <f t="shared" si="78"/>
        <v>0.02752293578</v>
      </c>
    </row>
    <row r="84" ht="15.75" customHeight="1">
      <c r="A84" s="26">
        <f t="shared" ref="A84:E84" si="79">SUM(H56:H79)</f>
        <v>7217</v>
      </c>
      <c r="B84" s="26">
        <f t="shared" si="79"/>
        <v>3013</v>
      </c>
      <c r="C84" s="26">
        <f t="shared" si="79"/>
        <v>80</v>
      </c>
      <c r="D84" s="26">
        <f t="shared" si="79"/>
        <v>595</v>
      </c>
      <c r="E84" s="26">
        <f t="shared" si="79"/>
        <v>672</v>
      </c>
      <c r="F84" s="23"/>
      <c r="G84" s="19">
        <f>$G$12</f>
        <v>4</v>
      </c>
      <c r="H84" s="38">
        <v>32.0</v>
      </c>
      <c r="I84" s="38">
        <v>17.0</v>
      </c>
      <c r="J84" s="38">
        <v>0.0</v>
      </c>
      <c r="K84" s="38">
        <v>5.0</v>
      </c>
      <c r="L84" s="38">
        <v>12.0</v>
      </c>
      <c r="N84" s="23"/>
      <c r="O84" s="31">
        <f>$G$12</f>
        <v>4</v>
      </c>
      <c r="P84" s="32">
        <f t="shared" ref="P84:T84" si="80">H84/A$111</f>
        <v>0.00359833577</v>
      </c>
      <c r="Q84" s="32">
        <f t="shared" si="80"/>
        <v>0.005139056832</v>
      </c>
      <c r="R84" s="32">
        <f t="shared" si="80"/>
        <v>0</v>
      </c>
      <c r="S84" s="32">
        <f t="shared" si="80"/>
        <v>0.009523809524</v>
      </c>
      <c r="T84" s="32">
        <f t="shared" si="80"/>
        <v>0.02201834862</v>
      </c>
    </row>
    <row r="85" ht="15.75" customHeight="1">
      <c r="F85" s="23"/>
      <c r="G85" s="19">
        <f>$G$13</f>
        <v>5</v>
      </c>
      <c r="H85" s="38">
        <v>78.0</v>
      </c>
      <c r="I85" s="38">
        <v>29.0</v>
      </c>
      <c r="J85" s="38">
        <v>0.0</v>
      </c>
      <c r="K85" s="38">
        <v>7.0</v>
      </c>
      <c r="L85" s="38">
        <v>26.0</v>
      </c>
      <c r="N85" s="23"/>
      <c r="O85" s="31">
        <f>$G$13</f>
        <v>5</v>
      </c>
      <c r="P85" s="32">
        <f t="shared" ref="P85:T85" si="81">H85/A$111</f>
        <v>0.008770943439</v>
      </c>
      <c r="Q85" s="32">
        <f t="shared" si="81"/>
        <v>0.00876662636</v>
      </c>
      <c r="R85" s="32">
        <f t="shared" si="81"/>
        <v>0</v>
      </c>
      <c r="S85" s="32">
        <f t="shared" si="81"/>
        <v>0.01333333333</v>
      </c>
      <c r="T85" s="32">
        <f t="shared" si="81"/>
        <v>0.04770642202</v>
      </c>
      <c r="V85" s="25">
        <f>$H$7</f>
        <v>31</v>
      </c>
      <c r="W85" s="25">
        <f>$I$7</f>
        <v>32</v>
      </c>
      <c r="X85" s="25">
        <f>$J$7</f>
        <v>41</v>
      </c>
      <c r="Y85" s="25">
        <f>$K$7</f>
        <v>42</v>
      </c>
      <c r="Z85" s="25">
        <f>$L$7</f>
        <v>5</v>
      </c>
    </row>
    <row r="86" ht="15.75" customHeight="1">
      <c r="A86" s="16" t="s">
        <v>40</v>
      </c>
      <c r="F86" s="23"/>
      <c r="G86" s="19">
        <f>$G$14</f>
        <v>6</v>
      </c>
      <c r="H86" s="38">
        <v>246.0</v>
      </c>
      <c r="I86" s="38">
        <v>150.0</v>
      </c>
      <c r="J86" s="38">
        <v>0.0</v>
      </c>
      <c r="K86" s="38">
        <v>7.0</v>
      </c>
      <c r="L86" s="38">
        <v>21.0</v>
      </c>
      <c r="N86" s="23"/>
      <c r="O86" s="31">
        <f>$G$14</f>
        <v>6</v>
      </c>
      <c r="P86" s="32">
        <f t="shared" ref="P86:T86" si="82">H86/A$111</f>
        <v>0.02766220623</v>
      </c>
      <c r="Q86" s="32">
        <f t="shared" si="82"/>
        <v>0.04534461911</v>
      </c>
      <c r="R86" s="32">
        <f t="shared" si="82"/>
        <v>0</v>
      </c>
      <c r="S86" s="32">
        <f t="shared" si="82"/>
        <v>0.01333333333</v>
      </c>
      <c r="T86" s="32">
        <f t="shared" si="82"/>
        <v>0.03853211009</v>
      </c>
    </row>
    <row r="87" ht="15.75" customHeight="1">
      <c r="A87" s="16" t="s">
        <v>41</v>
      </c>
      <c r="F87" s="23"/>
      <c r="G87" s="19">
        <f>$G$15</f>
        <v>7</v>
      </c>
      <c r="H87" s="38">
        <v>370.0</v>
      </c>
      <c r="I87" s="38">
        <v>167.0</v>
      </c>
      <c r="J87" s="38">
        <v>3.0</v>
      </c>
      <c r="K87" s="38">
        <v>22.0</v>
      </c>
      <c r="L87" s="38">
        <v>28.0</v>
      </c>
      <c r="N87" s="23"/>
      <c r="O87" s="31">
        <f>$G$15</f>
        <v>7</v>
      </c>
      <c r="P87" s="32">
        <f t="shared" ref="P87:T87" si="83">H87/A$111</f>
        <v>0.04160575734</v>
      </c>
      <c r="Q87" s="32">
        <f t="shared" si="83"/>
        <v>0.05048367594</v>
      </c>
      <c r="R87" s="32">
        <f t="shared" si="83"/>
        <v>0.01570680628</v>
      </c>
      <c r="S87" s="32">
        <f t="shared" si="83"/>
        <v>0.0419047619</v>
      </c>
      <c r="T87" s="32">
        <f t="shared" si="83"/>
        <v>0.05137614679</v>
      </c>
    </row>
    <row r="88" ht="15.75" customHeight="1">
      <c r="A88" s="16" t="s">
        <v>42</v>
      </c>
      <c r="F88" s="23"/>
      <c r="G88" s="19">
        <f>$G$16</f>
        <v>8</v>
      </c>
      <c r="H88" s="38">
        <v>355.0</v>
      </c>
      <c r="I88" s="38">
        <v>138.0</v>
      </c>
      <c r="J88" s="38">
        <v>17.0</v>
      </c>
      <c r="K88" s="38">
        <v>25.0</v>
      </c>
      <c r="L88" s="38">
        <v>32.0</v>
      </c>
      <c r="N88" s="23"/>
      <c r="O88" s="31">
        <f>$G$16</f>
        <v>8</v>
      </c>
      <c r="P88" s="32">
        <f t="shared" ref="P88:T88" si="84">H88/A$111</f>
        <v>0.03991903745</v>
      </c>
      <c r="Q88" s="32">
        <f t="shared" si="84"/>
        <v>0.04171704958</v>
      </c>
      <c r="R88" s="32">
        <f t="shared" si="84"/>
        <v>0.0890052356</v>
      </c>
      <c r="S88" s="32">
        <f t="shared" si="84"/>
        <v>0.04761904762</v>
      </c>
      <c r="T88" s="32">
        <f t="shared" si="84"/>
        <v>0.05871559633</v>
      </c>
    </row>
    <row r="89" ht="15.75" customHeight="1">
      <c r="A89" s="16" t="s">
        <v>43</v>
      </c>
      <c r="F89" s="23"/>
      <c r="G89" s="19">
        <f>$G$17</f>
        <v>9</v>
      </c>
      <c r="H89" s="38">
        <v>369.0</v>
      </c>
      <c r="I89" s="38">
        <v>165.0</v>
      </c>
      <c r="J89" s="38">
        <v>23.0</v>
      </c>
      <c r="K89" s="38">
        <v>41.0</v>
      </c>
      <c r="L89" s="38">
        <v>48.0</v>
      </c>
      <c r="N89" s="23"/>
      <c r="O89" s="31">
        <f>$G$17</f>
        <v>9</v>
      </c>
      <c r="P89" s="32">
        <f t="shared" ref="P89:T89" si="85">H89/A$111</f>
        <v>0.04149330934</v>
      </c>
      <c r="Q89" s="32">
        <f t="shared" si="85"/>
        <v>0.04987908102</v>
      </c>
      <c r="R89" s="32">
        <f t="shared" si="85"/>
        <v>0.1204188482</v>
      </c>
      <c r="S89" s="32">
        <f t="shared" si="85"/>
        <v>0.0780952381</v>
      </c>
      <c r="T89" s="32">
        <f t="shared" si="85"/>
        <v>0.0880733945</v>
      </c>
    </row>
    <row r="90" ht="15.75" customHeight="1">
      <c r="A90" s="16" t="s">
        <v>44</v>
      </c>
      <c r="F90" s="23"/>
      <c r="G90" s="19">
        <f>$G$18</f>
        <v>10</v>
      </c>
      <c r="H90" s="38">
        <v>379.0</v>
      </c>
      <c r="I90" s="38">
        <v>183.0</v>
      </c>
      <c r="J90" s="38">
        <v>8.0</v>
      </c>
      <c r="K90" s="38">
        <v>43.0</v>
      </c>
      <c r="L90" s="38">
        <v>52.0</v>
      </c>
      <c r="N90" s="23"/>
      <c r="O90" s="31">
        <f>$G$18</f>
        <v>10</v>
      </c>
      <c r="P90" s="32">
        <f t="shared" ref="P90:T90" si="86">H90/A$111</f>
        <v>0.04261778927</v>
      </c>
      <c r="Q90" s="32">
        <f t="shared" si="86"/>
        <v>0.05532043531</v>
      </c>
      <c r="R90" s="32">
        <f t="shared" si="86"/>
        <v>0.04188481675</v>
      </c>
      <c r="S90" s="32">
        <f t="shared" si="86"/>
        <v>0.0819047619</v>
      </c>
      <c r="T90" s="32">
        <f t="shared" si="86"/>
        <v>0.09541284404</v>
      </c>
    </row>
    <row r="91" ht="15.75" customHeight="1">
      <c r="A91" s="16" t="s">
        <v>45</v>
      </c>
      <c r="F91" s="23"/>
      <c r="G91" s="19">
        <f>$G$19</f>
        <v>11</v>
      </c>
      <c r="H91" s="38">
        <v>414.0</v>
      </c>
      <c r="I91" s="38">
        <v>161.0</v>
      </c>
      <c r="J91" s="38">
        <v>3.0</v>
      </c>
      <c r="K91" s="38">
        <v>32.0</v>
      </c>
      <c r="L91" s="38">
        <v>42.0</v>
      </c>
      <c r="N91" s="23"/>
      <c r="O91" s="31">
        <f>$G$19</f>
        <v>11</v>
      </c>
      <c r="P91" s="32">
        <f t="shared" ref="P91:T91" si="87">H91/A$111</f>
        <v>0.04655346902</v>
      </c>
      <c r="Q91" s="32">
        <f t="shared" si="87"/>
        <v>0.04866989117</v>
      </c>
      <c r="R91" s="32">
        <f t="shared" si="87"/>
        <v>0.01570680628</v>
      </c>
      <c r="S91" s="32">
        <f t="shared" si="87"/>
        <v>0.06095238095</v>
      </c>
      <c r="T91" s="32">
        <f t="shared" si="87"/>
        <v>0.07706422018</v>
      </c>
    </row>
    <row r="92" ht="15.75" customHeight="1">
      <c r="A92" s="16" t="s">
        <v>46</v>
      </c>
      <c r="F92" s="23"/>
      <c r="G92" s="19">
        <f>$G$20</f>
        <v>12</v>
      </c>
      <c r="H92" s="38">
        <v>466.0</v>
      </c>
      <c r="I92" s="38">
        <v>179.0</v>
      </c>
      <c r="J92" s="38">
        <v>24.0</v>
      </c>
      <c r="K92" s="38">
        <v>31.0</v>
      </c>
      <c r="L92" s="38">
        <v>48.0</v>
      </c>
      <c r="N92" s="23"/>
      <c r="O92" s="31">
        <f>$G$20</f>
        <v>12</v>
      </c>
      <c r="P92" s="32">
        <f t="shared" ref="P92:T92" si="88">H92/A$111</f>
        <v>0.05240076465</v>
      </c>
      <c r="Q92" s="32">
        <f t="shared" si="88"/>
        <v>0.05411124547</v>
      </c>
      <c r="R92" s="32">
        <f t="shared" si="88"/>
        <v>0.1256544503</v>
      </c>
      <c r="S92" s="32">
        <f t="shared" si="88"/>
        <v>0.05904761905</v>
      </c>
      <c r="T92" s="32">
        <f t="shared" si="88"/>
        <v>0.0880733945</v>
      </c>
    </row>
    <row r="93" ht="15.75" customHeight="1">
      <c r="A93" s="16" t="s">
        <v>47</v>
      </c>
      <c r="F93" s="23"/>
      <c r="G93" s="19">
        <f>$G$21</f>
        <v>13</v>
      </c>
      <c r="H93" s="38">
        <v>516.0</v>
      </c>
      <c r="I93" s="38">
        <v>235.0</v>
      </c>
      <c r="J93" s="38">
        <v>37.0</v>
      </c>
      <c r="K93" s="38">
        <v>50.0</v>
      </c>
      <c r="L93" s="38">
        <v>30.0</v>
      </c>
      <c r="N93" s="23"/>
      <c r="O93" s="31">
        <f>$G$21</f>
        <v>13</v>
      </c>
      <c r="P93" s="32">
        <f t="shared" ref="P93:T93" si="89">H93/A$111</f>
        <v>0.05802316429</v>
      </c>
      <c r="Q93" s="32">
        <f t="shared" si="89"/>
        <v>0.07103990326</v>
      </c>
      <c r="R93" s="32">
        <f t="shared" si="89"/>
        <v>0.1937172775</v>
      </c>
      <c r="S93" s="32">
        <f t="shared" si="89"/>
        <v>0.09523809524</v>
      </c>
      <c r="T93" s="32">
        <f t="shared" si="89"/>
        <v>0.05504587156</v>
      </c>
    </row>
    <row r="94" ht="15.75" customHeight="1">
      <c r="A94" s="16" t="s">
        <v>48</v>
      </c>
      <c r="F94" s="23"/>
      <c r="G94" s="19">
        <f>$G$22</f>
        <v>14</v>
      </c>
      <c r="H94" s="38">
        <v>590.0</v>
      </c>
      <c r="I94" s="38">
        <v>248.0</v>
      </c>
      <c r="J94" s="38">
        <v>2.0</v>
      </c>
      <c r="K94" s="38">
        <v>38.0</v>
      </c>
      <c r="L94" s="38">
        <v>37.0</v>
      </c>
      <c r="N94" s="23"/>
      <c r="O94" s="31">
        <f>$G$22</f>
        <v>14</v>
      </c>
      <c r="P94" s="32">
        <f t="shared" ref="P94:T94" si="90">H94/A$111</f>
        <v>0.06634431575</v>
      </c>
      <c r="Q94" s="32">
        <f t="shared" si="90"/>
        <v>0.07496977025</v>
      </c>
      <c r="R94" s="32">
        <f t="shared" si="90"/>
        <v>0.01047120419</v>
      </c>
      <c r="S94" s="32">
        <f t="shared" si="90"/>
        <v>0.07238095238</v>
      </c>
      <c r="T94" s="32">
        <f t="shared" si="90"/>
        <v>0.06788990826</v>
      </c>
    </row>
    <row r="95" ht="15.75" customHeight="1">
      <c r="A95" s="16" t="s">
        <v>49</v>
      </c>
      <c r="F95" s="23"/>
      <c r="G95" s="19">
        <f>$G$23</f>
        <v>15</v>
      </c>
      <c r="H95" s="38">
        <v>771.0</v>
      </c>
      <c r="I95" s="38">
        <v>305.0</v>
      </c>
      <c r="J95" s="38">
        <v>14.0</v>
      </c>
      <c r="K95" s="38">
        <v>31.0</v>
      </c>
      <c r="L95" s="38">
        <v>37.0</v>
      </c>
      <c r="N95" s="23"/>
      <c r="O95" s="31">
        <f>$G$23</f>
        <v>15</v>
      </c>
      <c r="P95" s="32">
        <f t="shared" ref="P95:T95" si="91">H95/A$111</f>
        <v>0.08669740245</v>
      </c>
      <c r="Q95" s="32">
        <f t="shared" si="91"/>
        <v>0.09220072551</v>
      </c>
      <c r="R95" s="32">
        <f t="shared" si="91"/>
        <v>0.07329842932</v>
      </c>
      <c r="S95" s="32">
        <f t="shared" si="91"/>
        <v>0.05904761905</v>
      </c>
      <c r="T95" s="32">
        <f t="shared" si="91"/>
        <v>0.06788990826</v>
      </c>
    </row>
    <row r="96" ht="15.75" customHeight="1">
      <c r="A96" s="16" t="s">
        <v>50</v>
      </c>
      <c r="F96" s="23"/>
      <c r="G96" s="19">
        <f>$G$24</f>
        <v>16</v>
      </c>
      <c r="H96" s="38">
        <v>793.0</v>
      </c>
      <c r="I96" s="38">
        <v>290.0</v>
      </c>
      <c r="J96" s="38">
        <v>13.0</v>
      </c>
      <c r="K96" s="38">
        <v>35.0</v>
      </c>
      <c r="L96" s="38">
        <v>26.0</v>
      </c>
      <c r="N96" s="23"/>
      <c r="O96" s="31">
        <f>$G$24</f>
        <v>16</v>
      </c>
      <c r="P96" s="32">
        <f t="shared" ref="P96:T96" si="92">H96/A$111</f>
        <v>0.08917125829</v>
      </c>
      <c r="Q96" s="32">
        <f t="shared" si="92"/>
        <v>0.0876662636</v>
      </c>
      <c r="R96" s="32">
        <f t="shared" si="92"/>
        <v>0.06806282723</v>
      </c>
      <c r="S96" s="32">
        <f t="shared" si="92"/>
        <v>0.06666666667</v>
      </c>
      <c r="T96" s="32">
        <f t="shared" si="92"/>
        <v>0.04770642202</v>
      </c>
    </row>
    <row r="97" ht="15.75" customHeight="1">
      <c r="A97" s="16" t="s">
        <v>51</v>
      </c>
      <c r="F97" s="23"/>
      <c r="G97" s="19">
        <f>$G$25</f>
        <v>17</v>
      </c>
      <c r="H97" s="38">
        <v>828.0</v>
      </c>
      <c r="I97" s="38">
        <v>284.0</v>
      </c>
      <c r="J97" s="38">
        <v>19.0</v>
      </c>
      <c r="K97" s="38">
        <v>24.0</v>
      </c>
      <c r="L97" s="38">
        <v>13.0</v>
      </c>
      <c r="N97" s="23"/>
      <c r="O97" s="31">
        <f>$G$25</f>
        <v>17</v>
      </c>
      <c r="P97" s="32">
        <f t="shared" ref="P97:T97" si="93">H97/A$111</f>
        <v>0.09310693804</v>
      </c>
      <c r="Q97" s="32">
        <f t="shared" si="93"/>
        <v>0.08585247884</v>
      </c>
      <c r="R97" s="32">
        <f t="shared" si="93"/>
        <v>0.09947643979</v>
      </c>
      <c r="S97" s="32">
        <f t="shared" si="93"/>
        <v>0.04571428571</v>
      </c>
      <c r="T97" s="32">
        <f t="shared" si="93"/>
        <v>0.02385321101</v>
      </c>
    </row>
    <row r="98" ht="15.75" customHeight="1">
      <c r="A98" s="16" t="s">
        <v>52</v>
      </c>
      <c r="F98" s="23"/>
      <c r="G98" s="19">
        <f>$G$26</f>
        <v>18</v>
      </c>
      <c r="H98" s="38">
        <v>752.0</v>
      </c>
      <c r="I98" s="38">
        <v>205.0</v>
      </c>
      <c r="J98" s="38">
        <v>6.0</v>
      </c>
      <c r="K98" s="38">
        <v>29.0</v>
      </c>
      <c r="L98" s="38">
        <v>12.0</v>
      </c>
      <c r="N98" s="23"/>
      <c r="O98" s="31">
        <f>$G$26</f>
        <v>18</v>
      </c>
      <c r="P98" s="32">
        <f t="shared" ref="P98:T98" si="94">H98/A$111</f>
        <v>0.08456089059</v>
      </c>
      <c r="Q98" s="32">
        <f t="shared" si="94"/>
        <v>0.06197097944</v>
      </c>
      <c r="R98" s="32">
        <f t="shared" si="94"/>
        <v>0.03141361257</v>
      </c>
      <c r="S98" s="32">
        <f t="shared" si="94"/>
        <v>0.05523809524</v>
      </c>
      <c r="T98" s="32">
        <f t="shared" si="94"/>
        <v>0.02201834862</v>
      </c>
    </row>
    <row r="99" ht="15.75" customHeight="1">
      <c r="A99" s="16" t="s">
        <v>53</v>
      </c>
      <c r="F99" s="23"/>
      <c r="G99" s="19">
        <f>$G$27</f>
        <v>19</v>
      </c>
      <c r="H99" s="38">
        <v>546.0</v>
      </c>
      <c r="I99" s="38">
        <v>130.0</v>
      </c>
      <c r="J99" s="38">
        <v>9.0</v>
      </c>
      <c r="K99" s="38">
        <v>15.0</v>
      </c>
      <c r="L99" s="38">
        <v>11.0</v>
      </c>
      <c r="N99" s="23"/>
      <c r="O99" s="31">
        <f>$G$27</f>
        <v>19</v>
      </c>
      <c r="P99" s="32">
        <f t="shared" ref="P99:T99" si="95">H99/A$111</f>
        <v>0.06139660407</v>
      </c>
      <c r="Q99" s="32">
        <f t="shared" si="95"/>
        <v>0.03929866989</v>
      </c>
      <c r="R99" s="32">
        <f t="shared" si="95"/>
        <v>0.04712041885</v>
      </c>
      <c r="S99" s="32">
        <f t="shared" si="95"/>
        <v>0.02857142857</v>
      </c>
      <c r="T99" s="32">
        <f t="shared" si="95"/>
        <v>0.02018348624</v>
      </c>
    </row>
    <row r="100" ht="15.75" customHeight="1">
      <c r="A100" s="16" t="s">
        <v>54</v>
      </c>
      <c r="F100" s="23"/>
      <c r="G100" s="19">
        <f>$G$28</f>
        <v>20</v>
      </c>
      <c r="H100" s="38">
        <v>434.0</v>
      </c>
      <c r="I100" s="38">
        <v>123.0</v>
      </c>
      <c r="J100" s="38">
        <v>9.0</v>
      </c>
      <c r="K100" s="38">
        <v>20.0</v>
      </c>
      <c r="L100" s="38">
        <v>16.0</v>
      </c>
      <c r="N100" s="23"/>
      <c r="O100" s="31">
        <f>$G$28</f>
        <v>20</v>
      </c>
      <c r="P100" s="32">
        <f t="shared" ref="P100:T100" si="96">H100/A$111</f>
        <v>0.04880242888</v>
      </c>
      <c r="Q100" s="32">
        <f t="shared" si="96"/>
        <v>0.03718258767</v>
      </c>
      <c r="R100" s="32">
        <f t="shared" si="96"/>
        <v>0.04712041885</v>
      </c>
      <c r="S100" s="32">
        <f t="shared" si="96"/>
        <v>0.0380952381</v>
      </c>
      <c r="T100" s="32">
        <f t="shared" si="96"/>
        <v>0.02935779817</v>
      </c>
    </row>
    <row r="101" ht="15.75" customHeight="1">
      <c r="A101" s="16" t="s">
        <v>55</v>
      </c>
      <c r="F101" s="23"/>
      <c r="G101" s="19">
        <f>$G$29</f>
        <v>21</v>
      </c>
      <c r="H101" s="38">
        <v>355.0</v>
      </c>
      <c r="I101" s="38">
        <v>80.0</v>
      </c>
      <c r="J101" s="38">
        <v>2.0</v>
      </c>
      <c r="K101" s="38">
        <v>18.0</v>
      </c>
      <c r="L101" s="38">
        <v>8.0</v>
      </c>
      <c r="N101" s="23"/>
      <c r="O101" s="31">
        <f>$G$29</f>
        <v>21</v>
      </c>
      <c r="P101" s="32">
        <f t="shared" ref="P101:T101" si="97">H101/A$111</f>
        <v>0.03991903745</v>
      </c>
      <c r="Q101" s="32">
        <f t="shared" si="97"/>
        <v>0.02418379686</v>
      </c>
      <c r="R101" s="32">
        <f t="shared" si="97"/>
        <v>0.01047120419</v>
      </c>
      <c r="S101" s="32">
        <f t="shared" si="97"/>
        <v>0.03428571429</v>
      </c>
      <c r="T101" s="32">
        <f t="shared" si="97"/>
        <v>0.01467889908</v>
      </c>
    </row>
    <row r="102" ht="15.75" customHeight="1">
      <c r="A102" s="16" t="s">
        <v>56</v>
      </c>
      <c r="F102" s="23"/>
      <c r="G102" s="19">
        <f>$G$30</f>
        <v>22</v>
      </c>
      <c r="H102" s="38">
        <v>268.0</v>
      </c>
      <c r="I102" s="38">
        <v>81.0</v>
      </c>
      <c r="J102" s="38">
        <v>1.0</v>
      </c>
      <c r="K102" s="38">
        <v>13.0</v>
      </c>
      <c r="L102" s="38">
        <v>8.0</v>
      </c>
      <c r="N102" s="23"/>
      <c r="O102" s="31">
        <f>$G$30</f>
        <v>22</v>
      </c>
      <c r="P102" s="32">
        <f t="shared" ref="P102:T102" si="98">H102/A$111</f>
        <v>0.03013606207</v>
      </c>
      <c r="Q102" s="32">
        <f t="shared" si="98"/>
        <v>0.02448609432</v>
      </c>
      <c r="R102" s="32">
        <f t="shared" si="98"/>
        <v>0.005235602094</v>
      </c>
      <c r="S102" s="32">
        <f t="shared" si="98"/>
        <v>0.02476190476</v>
      </c>
      <c r="T102" s="32">
        <f t="shared" si="98"/>
        <v>0.01467889908</v>
      </c>
    </row>
    <row r="103" ht="15.75" customHeight="1">
      <c r="A103" s="16" t="s">
        <v>57</v>
      </c>
      <c r="F103" s="27"/>
      <c r="G103" s="19">
        <f>$G$31</f>
        <v>23</v>
      </c>
      <c r="H103" s="38">
        <v>181.0</v>
      </c>
      <c r="I103" s="38">
        <v>84.0</v>
      </c>
      <c r="J103" s="38">
        <v>0.0</v>
      </c>
      <c r="K103" s="38">
        <v>8.0</v>
      </c>
      <c r="L103" s="38">
        <v>1.0</v>
      </c>
      <c r="N103" s="27"/>
      <c r="O103" s="31">
        <f>$G$31</f>
        <v>23</v>
      </c>
      <c r="P103" s="32">
        <f t="shared" ref="P103:T103" si="99">H103/A$111</f>
        <v>0.0203530867</v>
      </c>
      <c r="Q103" s="32">
        <f t="shared" si="99"/>
        <v>0.0253929867</v>
      </c>
      <c r="R103" s="32">
        <f t="shared" si="99"/>
        <v>0</v>
      </c>
      <c r="S103" s="32">
        <f t="shared" si="99"/>
        <v>0.01523809524</v>
      </c>
      <c r="T103" s="32">
        <f t="shared" si="99"/>
        <v>0.001834862385</v>
      </c>
    </row>
    <row r="104" ht="15.75" customHeight="1">
      <c r="A104" s="16" t="s">
        <v>58</v>
      </c>
      <c r="F104" s="39">
        <v>45198.0</v>
      </c>
      <c r="G104" s="19">
        <f>$G$8</f>
        <v>0</v>
      </c>
      <c r="H104" s="38">
        <v>144.0</v>
      </c>
      <c r="I104" s="38">
        <v>28.0</v>
      </c>
      <c r="J104" s="38">
        <v>5.0</v>
      </c>
      <c r="K104" s="38">
        <v>2.0</v>
      </c>
      <c r="L104" s="38">
        <v>4.0</v>
      </c>
      <c r="N104" s="39">
        <v>45198.0</v>
      </c>
      <c r="O104" s="31">
        <f>$G$8</f>
        <v>0</v>
      </c>
      <c r="P104" s="32">
        <f t="shared" ref="P104:T104" si="100">H104/A$135</f>
        <v>0.01486528337</v>
      </c>
      <c r="Q104" s="32">
        <f t="shared" si="100"/>
        <v>0.009985734665</v>
      </c>
      <c r="R104" s="32">
        <f t="shared" si="100"/>
        <v>0.08333333333</v>
      </c>
      <c r="S104" s="32">
        <f t="shared" si="100"/>
        <v>0.00826446281</v>
      </c>
      <c r="T104" s="32">
        <f t="shared" si="100"/>
        <v>0.02469135802</v>
      </c>
    </row>
    <row r="105" ht="15.75" customHeight="1">
      <c r="A105" s="16" t="s">
        <v>59</v>
      </c>
      <c r="F105" s="23"/>
      <c r="G105" s="19">
        <f>$G$9</f>
        <v>1</v>
      </c>
      <c r="H105" s="38">
        <v>105.0</v>
      </c>
      <c r="I105" s="38">
        <v>30.0</v>
      </c>
      <c r="J105" s="38">
        <v>3.0</v>
      </c>
      <c r="K105" s="38">
        <v>6.0</v>
      </c>
      <c r="L105" s="38">
        <v>3.0</v>
      </c>
      <c r="N105" s="23"/>
      <c r="O105" s="31">
        <f>$G$9</f>
        <v>1</v>
      </c>
      <c r="P105" s="32">
        <f t="shared" ref="P105:T105" si="101">H105/A$135</f>
        <v>0.01083926912</v>
      </c>
      <c r="Q105" s="32">
        <f t="shared" si="101"/>
        <v>0.01069900143</v>
      </c>
      <c r="R105" s="32">
        <f t="shared" si="101"/>
        <v>0.05</v>
      </c>
      <c r="S105" s="32">
        <f t="shared" si="101"/>
        <v>0.02479338843</v>
      </c>
      <c r="T105" s="32">
        <f t="shared" si="101"/>
        <v>0.01851851852</v>
      </c>
    </row>
    <row r="106" ht="15.75" customHeight="1">
      <c r="A106" s="16" t="s">
        <v>60</v>
      </c>
      <c r="F106" s="23"/>
      <c r="G106" s="19">
        <f>$G$10</f>
        <v>2</v>
      </c>
      <c r="H106" s="38">
        <v>67.0</v>
      </c>
      <c r="I106" s="38">
        <v>16.0</v>
      </c>
      <c r="J106" s="38">
        <v>2.0</v>
      </c>
      <c r="K106" s="38">
        <v>6.0</v>
      </c>
      <c r="L106" s="38">
        <v>2.0</v>
      </c>
      <c r="N106" s="23"/>
      <c r="O106" s="31">
        <f>$G$10</f>
        <v>2</v>
      </c>
      <c r="P106" s="32">
        <f t="shared" ref="P106:T106" si="102">H106/A$135</f>
        <v>0.006916486012</v>
      </c>
      <c r="Q106" s="32">
        <f t="shared" si="102"/>
        <v>0.005706134094</v>
      </c>
      <c r="R106" s="32">
        <f t="shared" si="102"/>
        <v>0.03333333333</v>
      </c>
      <c r="S106" s="32">
        <f t="shared" si="102"/>
        <v>0.02479338843</v>
      </c>
      <c r="T106" s="32">
        <f t="shared" si="102"/>
        <v>0.01234567901</v>
      </c>
    </row>
    <row r="107" ht="15.75" customHeight="1">
      <c r="A107" s="16" t="s">
        <v>61</v>
      </c>
      <c r="F107" s="23"/>
      <c r="G107" s="19">
        <f>$G$11</f>
        <v>3</v>
      </c>
      <c r="H107" s="38">
        <v>43.0</v>
      </c>
      <c r="I107" s="38">
        <v>9.0</v>
      </c>
      <c r="J107" s="38">
        <v>0.0</v>
      </c>
      <c r="K107" s="38">
        <v>2.0</v>
      </c>
      <c r="L107" s="38">
        <v>11.0</v>
      </c>
      <c r="N107" s="23"/>
      <c r="O107" s="31">
        <f>$G$11</f>
        <v>3</v>
      </c>
      <c r="P107" s="32">
        <f t="shared" ref="P107:T107" si="103">H107/A$135</f>
        <v>0.004438938784</v>
      </c>
      <c r="Q107" s="32">
        <f t="shared" si="103"/>
        <v>0.003209700428</v>
      </c>
      <c r="R107" s="32">
        <f t="shared" si="103"/>
        <v>0</v>
      </c>
      <c r="S107" s="32">
        <f t="shared" si="103"/>
        <v>0.00826446281</v>
      </c>
      <c r="T107" s="32">
        <f t="shared" si="103"/>
        <v>0.06790123457</v>
      </c>
    </row>
    <row r="108" ht="15.75" customHeight="1">
      <c r="A108" s="16" t="s">
        <v>62</v>
      </c>
      <c r="F108" s="23"/>
      <c r="G108" s="19">
        <f>$G$12</f>
        <v>4</v>
      </c>
      <c r="H108" s="38">
        <v>36.0</v>
      </c>
      <c r="I108" s="38">
        <v>11.0</v>
      </c>
      <c r="J108" s="38">
        <v>2.0</v>
      </c>
      <c r="K108" s="38">
        <v>2.0</v>
      </c>
      <c r="L108" s="38">
        <v>8.0</v>
      </c>
      <c r="N108" s="23"/>
      <c r="O108" s="31">
        <f>$G$12</f>
        <v>4</v>
      </c>
      <c r="P108" s="32">
        <f t="shared" ref="P108:T108" si="104">H108/A$135</f>
        <v>0.003716320842</v>
      </c>
      <c r="Q108" s="32">
        <f t="shared" si="104"/>
        <v>0.00392296719</v>
      </c>
      <c r="R108" s="32">
        <f t="shared" si="104"/>
        <v>0.03333333333</v>
      </c>
      <c r="S108" s="32">
        <f t="shared" si="104"/>
        <v>0.00826446281</v>
      </c>
      <c r="T108" s="32">
        <f t="shared" si="104"/>
        <v>0.04938271605</v>
      </c>
    </row>
    <row r="109" ht="15.75" customHeight="1">
      <c r="A109" s="16" t="s">
        <v>63</v>
      </c>
      <c r="F109" s="23"/>
      <c r="G109" s="19">
        <f>$G$13</f>
        <v>5</v>
      </c>
      <c r="H109" s="38">
        <v>74.0</v>
      </c>
      <c r="I109" s="38">
        <v>24.0</v>
      </c>
      <c r="J109" s="38">
        <v>0.0</v>
      </c>
      <c r="K109" s="38">
        <v>2.0</v>
      </c>
      <c r="L109" s="38">
        <v>13.0</v>
      </c>
      <c r="N109" s="23"/>
      <c r="O109" s="31">
        <f>$G$13</f>
        <v>5</v>
      </c>
      <c r="P109" s="32">
        <f t="shared" ref="P109:T109" si="105">H109/A$135</f>
        <v>0.007639103954</v>
      </c>
      <c r="Q109" s="32">
        <f t="shared" si="105"/>
        <v>0.008559201141</v>
      </c>
      <c r="R109" s="32">
        <f t="shared" si="105"/>
        <v>0</v>
      </c>
      <c r="S109" s="32">
        <f t="shared" si="105"/>
        <v>0.00826446281</v>
      </c>
      <c r="T109" s="32">
        <f t="shared" si="105"/>
        <v>0.08024691358</v>
      </c>
    </row>
    <row r="110" ht="15.75" customHeight="1">
      <c r="F110" s="23"/>
      <c r="G110" s="19">
        <f>$G$14</f>
        <v>6</v>
      </c>
      <c r="H110" s="38">
        <v>182.0</v>
      </c>
      <c r="I110" s="38">
        <v>103.0</v>
      </c>
      <c r="J110" s="38">
        <v>1.0</v>
      </c>
      <c r="K110" s="38">
        <v>8.0</v>
      </c>
      <c r="L110" s="38">
        <v>6.0</v>
      </c>
      <c r="N110" s="23"/>
      <c r="O110" s="31">
        <f>$G$14</f>
        <v>6</v>
      </c>
      <c r="P110" s="32">
        <f t="shared" ref="P110:T110" si="106">H110/A$135</f>
        <v>0.01878806648</v>
      </c>
      <c r="Q110" s="32">
        <f t="shared" si="106"/>
        <v>0.03673323823</v>
      </c>
      <c r="R110" s="32">
        <f t="shared" si="106"/>
        <v>0.01666666667</v>
      </c>
      <c r="S110" s="32">
        <f t="shared" si="106"/>
        <v>0.03305785124</v>
      </c>
      <c r="T110" s="32">
        <f t="shared" si="106"/>
        <v>0.03703703704</v>
      </c>
    </row>
    <row r="111" ht="15.75" customHeight="1">
      <c r="A111" s="26">
        <f t="shared" ref="A111:E111" si="107">SUM(H80:H103)</f>
        <v>8893</v>
      </c>
      <c r="B111" s="26">
        <f t="shared" si="107"/>
        <v>3308</v>
      </c>
      <c r="C111" s="26">
        <f t="shared" si="107"/>
        <v>191</v>
      </c>
      <c r="D111" s="26">
        <f t="shared" si="107"/>
        <v>525</v>
      </c>
      <c r="E111" s="26">
        <f t="shared" si="107"/>
        <v>545</v>
      </c>
      <c r="F111" s="23"/>
      <c r="G111" s="19">
        <f>$G$15</f>
        <v>7</v>
      </c>
      <c r="H111" s="38">
        <v>240.0</v>
      </c>
      <c r="I111" s="38">
        <v>104.0</v>
      </c>
      <c r="J111" s="38">
        <v>0.0</v>
      </c>
      <c r="K111" s="38">
        <v>16.0</v>
      </c>
      <c r="L111" s="38">
        <v>8.0</v>
      </c>
      <c r="N111" s="23"/>
      <c r="O111" s="31">
        <f>$G$15</f>
        <v>7</v>
      </c>
      <c r="P111" s="32">
        <f t="shared" ref="P111:T111" si="108">H111/A$135</f>
        <v>0.02477547228</v>
      </c>
      <c r="Q111" s="32">
        <f t="shared" si="108"/>
        <v>0.03708987161</v>
      </c>
      <c r="R111" s="32">
        <f t="shared" si="108"/>
        <v>0</v>
      </c>
      <c r="S111" s="32">
        <f t="shared" si="108"/>
        <v>0.06611570248</v>
      </c>
      <c r="T111" s="32">
        <f t="shared" si="108"/>
        <v>0.04938271605</v>
      </c>
      <c r="U111" s="25">
        <f>$H$7</f>
        <v>31</v>
      </c>
      <c r="V111" s="25">
        <f>$I$7</f>
        <v>32</v>
      </c>
      <c r="W111" s="25">
        <f>$J$7</f>
        <v>41</v>
      </c>
      <c r="X111" s="25">
        <f>$K$7</f>
        <v>42</v>
      </c>
      <c r="Y111" s="25">
        <f>$L$7</f>
        <v>5</v>
      </c>
    </row>
    <row r="112" ht="15.75" customHeight="1">
      <c r="F112" s="23"/>
      <c r="G112" s="19">
        <f>$G$16</f>
        <v>8</v>
      </c>
      <c r="H112" s="38">
        <v>255.0</v>
      </c>
      <c r="I112" s="38">
        <v>97.0</v>
      </c>
      <c r="J112" s="38">
        <v>5.0</v>
      </c>
      <c r="K112" s="38">
        <v>16.0</v>
      </c>
      <c r="L112" s="38">
        <v>9.0</v>
      </c>
      <c r="N112" s="23"/>
      <c r="O112" s="31">
        <f>$G$16</f>
        <v>8</v>
      </c>
      <c r="P112" s="32">
        <f t="shared" ref="P112:T112" si="109">H112/A$135</f>
        <v>0.0263239393</v>
      </c>
      <c r="Q112" s="32">
        <f t="shared" si="109"/>
        <v>0.03459343795</v>
      </c>
      <c r="R112" s="32">
        <f t="shared" si="109"/>
        <v>0.08333333333</v>
      </c>
      <c r="S112" s="32">
        <f t="shared" si="109"/>
        <v>0.06611570248</v>
      </c>
      <c r="T112" s="32">
        <f t="shared" si="109"/>
        <v>0.05555555556</v>
      </c>
    </row>
    <row r="113" ht="15.75" customHeight="1">
      <c r="F113" s="23"/>
      <c r="G113" s="19">
        <f>$G$17</f>
        <v>9</v>
      </c>
      <c r="H113" s="38">
        <v>360.0</v>
      </c>
      <c r="I113" s="38">
        <v>129.0</v>
      </c>
      <c r="J113" s="38">
        <v>3.0</v>
      </c>
      <c r="K113" s="38">
        <v>14.0</v>
      </c>
      <c r="L113" s="38">
        <v>10.0</v>
      </c>
      <c r="N113" s="23"/>
      <c r="O113" s="31">
        <f>$G$17</f>
        <v>9</v>
      </c>
      <c r="P113" s="32">
        <f t="shared" ref="P113:T113" si="110">H113/A$135</f>
        <v>0.03716320842</v>
      </c>
      <c r="Q113" s="32">
        <f t="shared" si="110"/>
        <v>0.04600570613</v>
      </c>
      <c r="R113" s="32">
        <f t="shared" si="110"/>
        <v>0.05</v>
      </c>
      <c r="S113" s="32">
        <f t="shared" si="110"/>
        <v>0.05785123967</v>
      </c>
      <c r="T113" s="32">
        <f t="shared" si="110"/>
        <v>0.06172839506</v>
      </c>
    </row>
    <row r="114" ht="15.75" customHeight="1">
      <c r="F114" s="23"/>
      <c r="G114" s="19">
        <f>$G$18</f>
        <v>10</v>
      </c>
      <c r="H114" s="38">
        <v>448.0</v>
      </c>
      <c r="I114" s="38">
        <v>165.0</v>
      </c>
      <c r="J114" s="38">
        <v>3.0</v>
      </c>
      <c r="K114" s="38">
        <v>20.0</v>
      </c>
      <c r="L114" s="38">
        <v>15.0</v>
      </c>
      <c r="N114" s="23"/>
      <c r="O114" s="31">
        <f>$G$18</f>
        <v>10</v>
      </c>
      <c r="P114" s="32">
        <f t="shared" ref="P114:T114" si="111">H114/A$135</f>
        <v>0.04624754826</v>
      </c>
      <c r="Q114" s="32">
        <f t="shared" si="111"/>
        <v>0.05884450785</v>
      </c>
      <c r="R114" s="32">
        <f t="shared" si="111"/>
        <v>0.05</v>
      </c>
      <c r="S114" s="32">
        <f t="shared" si="111"/>
        <v>0.0826446281</v>
      </c>
      <c r="T114" s="32">
        <f t="shared" si="111"/>
        <v>0.09259259259</v>
      </c>
    </row>
    <row r="115" ht="15.75" customHeight="1">
      <c r="F115" s="23"/>
      <c r="G115" s="19">
        <f>$G$19</f>
        <v>11</v>
      </c>
      <c r="H115" s="38">
        <v>520.0</v>
      </c>
      <c r="I115" s="38">
        <v>162.0</v>
      </c>
      <c r="J115" s="38">
        <v>2.0</v>
      </c>
      <c r="K115" s="38">
        <v>17.0</v>
      </c>
      <c r="L115" s="38">
        <v>14.0</v>
      </c>
      <c r="N115" s="23"/>
      <c r="O115" s="31">
        <f>$G$19</f>
        <v>11</v>
      </c>
      <c r="P115" s="32">
        <f t="shared" ref="P115:T115" si="112">H115/A$135</f>
        <v>0.05368018995</v>
      </c>
      <c r="Q115" s="32">
        <f t="shared" si="112"/>
        <v>0.0577746077</v>
      </c>
      <c r="R115" s="32">
        <f t="shared" si="112"/>
        <v>0.03333333333</v>
      </c>
      <c r="S115" s="32">
        <f t="shared" si="112"/>
        <v>0.07024793388</v>
      </c>
      <c r="T115" s="32">
        <f t="shared" si="112"/>
        <v>0.08641975309</v>
      </c>
    </row>
    <row r="116" ht="15.75" customHeight="1">
      <c r="F116" s="23"/>
      <c r="G116" s="19">
        <f>$G$20</f>
        <v>12</v>
      </c>
      <c r="H116" s="38">
        <v>556.0</v>
      </c>
      <c r="I116" s="38">
        <v>164.0</v>
      </c>
      <c r="J116" s="38">
        <v>4.0</v>
      </c>
      <c r="K116" s="38">
        <v>21.0</v>
      </c>
      <c r="L116" s="38">
        <v>12.0</v>
      </c>
      <c r="N116" s="23"/>
      <c r="O116" s="31">
        <f>$G$20</f>
        <v>12</v>
      </c>
      <c r="P116" s="32">
        <f t="shared" ref="P116:T116" si="113">H116/A$135</f>
        <v>0.05739651079</v>
      </c>
      <c r="Q116" s="32">
        <f t="shared" si="113"/>
        <v>0.05848787447</v>
      </c>
      <c r="R116" s="32">
        <f t="shared" si="113"/>
        <v>0.06666666667</v>
      </c>
      <c r="S116" s="32">
        <f t="shared" si="113"/>
        <v>0.0867768595</v>
      </c>
      <c r="T116" s="32">
        <f t="shared" si="113"/>
        <v>0.07407407407</v>
      </c>
    </row>
    <row r="117" ht="15.75" customHeight="1">
      <c r="F117" s="23"/>
      <c r="G117" s="19">
        <f>$G$21</f>
        <v>13</v>
      </c>
      <c r="H117" s="38">
        <v>673.0</v>
      </c>
      <c r="I117" s="38">
        <v>194.0</v>
      </c>
      <c r="J117" s="38">
        <v>2.0</v>
      </c>
      <c r="K117" s="38">
        <v>22.0</v>
      </c>
      <c r="L117" s="38">
        <v>11.0</v>
      </c>
      <c r="N117" s="23"/>
      <c r="O117" s="31">
        <f>$G$21</f>
        <v>13</v>
      </c>
      <c r="P117" s="32">
        <f t="shared" ref="P117:T117" si="114">H117/A$135</f>
        <v>0.06947455353</v>
      </c>
      <c r="Q117" s="32">
        <f t="shared" si="114"/>
        <v>0.06918687589</v>
      </c>
      <c r="R117" s="32">
        <f t="shared" si="114"/>
        <v>0.03333333333</v>
      </c>
      <c r="S117" s="32">
        <f t="shared" si="114"/>
        <v>0.09090909091</v>
      </c>
      <c r="T117" s="32">
        <f t="shared" si="114"/>
        <v>0.06790123457</v>
      </c>
    </row>
    <row r="118" ht="15.75" customHeight="1">
      <c r="F118" s="23"/>
      <c r="G118" s="19">
        <f>$G$22</f>
        <v>14</v>
      </c>
      <c r="H118" s="38">
        <v>708.0</v>
      </c>
      <c r="I118" s="38">
        <v>212.0</v>
      </c>
      <c r="J118" s="38">
        <v>2.0</v>
      </c>
      <c r="K118" s="38">
        <v>21.0</v>
      </c>
      <c r="L118" s="38">
        <v>5.0</v>
      </c>
      <c r="N118" s="23"/>
      <c r="O118" s="31">
        <f>$G$22</f>
        <v>14</v>
      </c>
      <c r="P118" s="32">
        <f t="shared" ref="P118:T118" si="115">H118/A$135</f>
        <v>0.07308764323</v>
      </c>
      <c r="Q118" s="32">
        <f t="shared" si="115"/>
        <v>0.07560627675</v>
      </c>
      <c r="R118" s="32">
        <f t="shared" si="115"/>
        <v>0.03333333333</v>
      </c>
      <c r="S118" s="32">
        <f t="shared" si="115"/>
        <v>0.0867768595</v>
      </c>
      <c r="T118" s="32">
        <f t="shared" si="115"/>
        <v>0.03086419753</v>
      </c>
    </row>
    <row r="119" ht="15.75" customHeight="1">
      <c r="F119" s="23"/>
      <c r="G119" s="19">
        <f>$G$23</f>
        <v>15</v>
      </c>
      <c r="H119" s="38">
        <v>826.0</v>
      </c>
      <c r="I119" s="38">
        <v>195.0</v>
      </c>
      <c r="J119" s="38">
        <v>12.0</v>
      </c>
      <c r="K119" s="38">
        <v>13.0</v>
      </c>
      <c r="L119" s="38">
        <v>5.0</v>
      </c>
      <c r="N119" s="23"/>
      <c r="O119" s="31">
        <f>$G$23</f>
        <v>15</v>
      </c>
      <c r="P119" s="32">
        <f t="shared" ref="P119:T119" si="116">H119/A$135</f>
        <v>0.08526891711</v>
      </c>
      <c r="Q119" s="32">
        <f t="shared" si="116"/>
        <v>0.06954350927</v>
      </c>
      <c r="R119" s="32">
        <f t="shared" si="116"/>
        <v>0.2</v>
      </c>
      <c r="S119" s="32">
        <f t="shared" si="116"/>
        <v>0.05371900826</v>
      </c>
      <c r="T119" s="32">
        <f t="shared" si="116"/>
        <v>0.03086419753</v>
      </c>
    </row>
    <row r="120" ht="15.75" customHeight="1">
      <c r="F120" s="23"/>
      <c r="G120" s="19">
        <f>$G$24</f>
        <v>16</v>
      </c>
      <c r="H120" s="38">
        <v>862.0</v>
      </c>
      <c r="I120" s="38">
        <v>240.0</v>
      </c>
      <c r="J120" s="38">
        <v>1.0</v>
      </c>
      <c r="K120" s="38">
        <v>8.0</v>
      </c>
      <c r="L120" s="38">
        <v>2.0</v>
      </c>
      <c r="N120" s="23"/>
      <c r="O120" s="31">
        <f>$G$24</f>
        <v>16</v>
      </c>
      <c r="P120" s="32">
        <f t="shared" ref="P120:T120" si="117">H120/A$135</f>
        <v>0.08898523795</v>
      </c>
      <c r="Q120" s="32">
        <f t="shared" si="117"/>
        <v>0.08559201141</v>
      </c>
      <c r="R120" s="32">
        <f t="shared" si="117"/>
        <v>0.01666666667</v>
      </c>
      <c r="S120" s="32">
        <f t="shared" si="117"/>
        <v>0.03305785124</v>
      </c>
      <c r="T120" s="32">
        <f t="shared" si="117"/>
        <v>0.01234567901</v>
      </c>
    </row>
    <row r="121" ht="15.75" customHeight="1">
      <c r="F121" s="23"/>
      <c r="G121" s="19">
        <f>$G$25</f>
        <v>17</v>
      </c>
      <c r="H121" s="38">
        <v>743.0</v>
      </c>
      <c r="I121" s="38">
        <v>206.0</v>
      </c>
      <c r="J121" s="38">
        <v>6.0</v>
      </c>
      <c r="K121" s="38">
        <v>11.0</v>
      </c>
      <c r="L121" s="38">
        <v>3.0</v>
      </c>
      <c r="N121" s="23"/>
      <c r="O121" s="31">
        <f>$G$25</f>
        <v>17</v>
      </c>
      <c r="P121" s="32">
        <f t="shared" ref="P121:T121" si="118">H121/A$135</f>
        <v>0.07670073294</v>
      </c>
      <c r="Q121" s="32">
        <f t="shared" si="118"/>
        <v>0.07346647646</v>
      </c>
      <c r="R121" s="32">
        <f t="shared" si="118"/>
        <v>0.1</v>
      </c>
      <c r="S121" s="32">
        <f t="shared" si="118"/>
        <v>0.04545454545</v>
      </c>
      <c r="T121" s="32">
        <f t="shared" si="118"/>
        <v>0.01851851852</v>
      </c>
    </row>
    <row r="122" ht="15.75" customHeight="1">
      <c r="F122" s="23"/>
      <c r="G122" s="19">
        <f>$G$26</f>
        <v>18</v>
      </c>
      <c r="H122" s="38">
        <v>609.0</v>
      </c>
      <c r="I122" s="38">
        <v>171.0</v>
      </c>
      <c r="J122" s="38">
        <v>2.0</v>
      </c>
      <c r="K122" s="38">
        <v>5.0</v>
      </c>
      <c r="L122" s="38">
        <v>7.0</v>
      </c>
      <c r="N122" s="23"/>
      <c r="O122" s="31">
        <f>$G$26</f>
        <v>18</v>
      </c>
      <c r="P122" s="32">
        <f t="shared" ref="P122:T122" si="119">H122/A$135</f>
        <v>0.06286776092</v>
      </c>
      <c r="Q122" s="32">
        <f t="shared" si="119"/>
        <v>0.06098430813</v>
      </c>
      <c r="R122" s="32">
        <f t="shared" si="119"/>
        <v>0.03333333333</v>
      </c>
      <c r="S122" s="32">
        <f t="shared" si="119"/>
        <v>0.02066115702</v>
      </c>
      <c r="T122" s="32">
        <f t="shared" si="119"/>
        <v>0.04320987654</v>
      </c>
    </row>
    <row r="123" ht="15.75" customHeight="1">
      <c r="F123" s="23"/>
      <c r="G123" s="19">
        <f>$G$27</f>
        <v>19</v>
      </c>
      <c r="H123" s="38">
        <v>572.0</v>
      </c>
      <c r="I123" s="38">
        <v>131.0</v>
      </c>
      <c r="J123" s="38">
        <v>0.0</v>
      </c>
      <c r="K123" s="38">
        <v>8.0</v>
      </c>
      <c r="L123" s="38">
        <v>4.0</v>
      </c>
      <c r="N123" s="23"/>
      <c r="O123" s="31">
        <f>$G$27</f>
        <v>19</v>
      </c>
      <c r="P123" s="32">
        <f t="shared" ref="P123:T123" si="120">H123/A$135</f>
        <v>0.05904820894</v>
      </c>
      <c r="Q123" s="32">
        <f t="shared" si="120"/>
        <v>0.0467189729</v>
      </c>
      <c r="R123" s="32">
        <f t="shared" si="120"/>
        <v>0</v>
      </c>
      <c r="S123" s="32">
        <f t="shared" si="120"/>
        <v>0.03305785124</v>
      </c>
      <c r="T123" s="32">
        <f t="shared" si="120"/>
        <v>0.02469135802</v>
      </c>
    </row>
    <row r="124" ht="15.75" customHeight="1">
      <c r="F124" s="23"/>
      <c r="G124" s="19">
        <f>$G$28</f>
        <v>20</v>
      </c>
      <c r="H124" s="38">
        <v>537.0</v>
      </c>
      <c r="I124" s="38">
        <v>132.0</v>
      </c>
      <c r="J124" s="38">
        <v>1.0</v>
      </c>
      <c r="K124" s="38">
        <v>8.0</v>
      </c>
      <c r="L124" s="38">
        <v>3.0</v>
      </c>
      <c r="N124" s="23"/>
      <c r="O124" s="31">
        <f>$G$28</f>
        <v>20</v>
      </c>
      <c r="P124" s="32">
        <f t="shared" ref="P124:T124" si="121">H124/A$135</f>
        <v>0.05543511923</v>
      </c>
      <c r="Q124" s="32">
        <f t="shared" si="121"/>
        <v>0.04707560628</v>
      </c>
      <c r="R124" s="32">
        <f t="shared" si="121"/>
        <v>0.01666666667</v>
      </c>
      <c r="S124" s="32">
        <f t="shared" si="121"/>
        <v>0.03305785124</v>
      </c>
      <c r="T124" s="32">
        <f t="shared" si="121"/>
        <v>0.01851851852</v>
      </c>
    </row>
    <row r="125" ht="15.75" customHeight="1">
      <c r="F125" s="23"/>
      <c r="G125" s="19">
        <f>$G$29</f>
        <v>21</v>
      </c>
      <c r="H125" s="38">
        <v>474.0</v>
      </c>
      <c r="I125" s="38">
        <v>114.0</v>
      </c>
      <c r="J125" s="38">
        <v>3.0</v>
      </c>
      <c r="K125" s="38">
        <v>10.0</v>
      </c>
      <c r="L125" s="38">
        <v>3.0</v>
      </c>
      <c r="N125" s="23"/>
      <c r="O125" s="31">
        <f>$G$29</f>
        <v>21</v>
      </c>
      <c r="P125" s="32">
        <f t="shared" ref="P125:T125" si="122">H125/A$135</f>
        <v>0.04893155776</v>
      </c>
      <c r="Q125" s="32">
        <f t="shared" si="122"/>
        <v>0.04065620542</v>
      </c>
      <c r="R125" s="32">
        <f t="shared" si="122"/>
        <v>0.05</v>
      </c>
      <c r="S125" s="32">
        <f t="shared" si="122"/>
        <v>0.04132231405</v>
      </c>
      <c r="T125" s="32">
        <f t="shared" si="122"/>
        <v>0.01851851852</v>
      </c>
    </row>
    <row r="126" ht="15.75" customHeight="1">
      <c r="F126" s="23"/>
      <c r="G126" s="19">
        <f>$G$30</f>
        <v>22</v>
      </c>
      <c r="H126" s="38">
        <v>383.0</v>
      </c>
      <c r="I126" s="38">
        <v>99.0</v>
      </c>
      <c r="J126" s="38">
        <v>0.0</v>
      </c>
      <c r="K126" s="38">
        <v>2.0</v>
      </c>
      <c r="L126" s="38">
        <v>2.0</v>
      </c>
      <c r="N126" s="23"/>
      <c r="O126" s="31">
        <f>$G$30</f>
        <v>22</v>
      </c>
      <c r="P126" s="32">
        <f t="shared" ref="P126:T126" si="123">H126/A$135</f>
        <v>0.03953752452</v>
      </c>
      <c r="Q126" s="32">
        <f t="shared" si="123"/>
        <v>0.03530670471</v>
      </c>
      <c r="R126" s="32">
        <f t="shared" si="123"/>
        <v>0</v>
      </c>
      <c r="S126" s="32">
        <f t="shared" si="123"/>
        <v>0.00826446281</v>
      </c>
      <c r="T126" s="32">
        <f t="shared" si="123"/>
        <v>0.01234567901</v>
      </c>
    </row>
    <row r="127" ht="15.75" customHeight="1">
      <c r="F127" s="27"/>
      <c r="G127" s="19">
        <f>$G$31</f>
        <v>23</v>
      </c>
      <c r="H127" s="38">
        <v>270.0</v>
      </c>
      <c r="I127" s="38">
        <v>68.0</v>
      </c>
      <c r="J127" s="38">
        <v>1.0</v>
      </c>
      <c r="K127" s="38">
        <v>2.0</v>
      </c>
      <c r="L127" s="38">
        <v>2.0</v>
      </c>
      <c r="N127" s="27"/>
      <c r="O127" s="31">
        <f>$G$31</f>
        <v>23</v>
      </c>
      <c r="P127" s="32">
        <f t="shared" ref="P127:T127" si="124">H127/A$135</f>
        <v>0.02787240632</v>
      </c>
      <c r="Q127" s="32">
        <f t="shared" si="124"/>
        <v>0.0242510699</v>
      </c>
      <c r="R127" s="32">
        <f t="shared" si="124"/>
        <v>0.01666666667</v>
      </c>
      <c r="S127" s="32">
        <f t="shared" si="124"/>
        <v>0.00826446281</v>
      </c>
      <c r="T127" s="32">
        <f t="shared" si="124"/>
        <v>0.01234567901</v>
      </c>
    </row>
    <row r="128" ht="15.75" customHeight="1">
      <c r="F128" s="39">
        <v>45199.0</v>
      </c>
      <c r="G128" s="19">
        <f>$G$8</f>
        <v>0</v>
      </c>
      <c r="H128" s="20">
        <v>200.0</v>
      </c>
      <c r="I128" s="20">
        <v>38.0</v>
      </c>
      <c r="J128" s="20">
        <v>3.0</v>
      </c>
      <c r="K128" s="20">
        <v>2.0</v>
      </c>
      <c r="L128" s="20">
        <v>3.0</v>
      </c>
      <c r="N128" s="39">
        <v>45199.0</v>
      </c>
      <c r="O128" s="31">
        <f>$G$8</f>
        <v>0</v>
      </c>
      <c r="P128" s="32">
        <f t="shared" ref="P128:T128" si="125">H128/A$161</f>
        <v>0.01537751807</v>
      </c>
      <c r="Q128" s="32">
        <f t="shared" si="125"/>
        <v>0.01141483929</v>
      </c>
      <c r="R128" s="32">
        <f t="shared" si="125"/>
        <v>0.05555555556</v>
      </c>
      <c r="S128" s="32">
        <f t="shared" si="125"/>
        <v>0.01117318436</v>
      </c>
      <c r="T128" s="32">
        <f t="shared" si="125"/>
        <v>0.03658536585</v>
      </c>
    </row>
    <row r="129" ht="15.75" customHeight="1">
      <c r="F129" s="23"/>
      <c r="G129" s="19">
        <f>$G$9</f>
        <v>1</v>
      </c>
      <c r="H129" s="20">
        <v>130.0</v>
      </c>
      <c r="I129" s="20">
        <v>12.0</v>
      </c>
      <c r="J129" s="20">
        <v>1.0</v>
      </c>
      <c r="K129" s="20">
        <v>4.0</v>
      </c>
      <c r="L129" s="20">
        <v>3.0</v>
      </c>
      <c r="N129" s="23"/>
      <c r="O129" s="31">
        <f>$G$9</f>
        <v>1</v>
      </c>
      <c r="P129" s="32">
        <f t="shared" ref="P129:T129" si="126">H129/A$161</f>
        <v>0.009995386745</v>
      </c>
      <c r="Q129" s="32">
        <f t="shared" si="126"/>
        <v>0.003604686092</v>
      </c>
      <c r="R129" s="32">
        <f t="shared" si="126"/>
        <v>0.01851851852</v>
      </c>
      <c r="S129" s="32">
        <f t="shared" si="126"/>
        <v>0.02234636872</v>
      </c>
      <c r="T129" s="32">
        <f t="shared" si="126"/>
        <v>0.03658536585</v>
      </c>
    </row>
    <row r="130" ht="15.75" customHeight="1">
      <c r="F130" s="23"/>
      <c r="G130" s="19">
        <f>$G$10</f>
        <v>2</v>
      </c>
      <c r="H130" s="16">
        <v>71.0</v>
      </c>
      <c r="I130" s="16">
        <v>20.0</v>
      </c>
      <c r="J130" s="16">
        <v>2.0</v>
      </c>
      <c r="K130" s="16">
        <v>6.0</v>
      </c>
      <c r="L130" s="16">
        <v>2.0</v>
      </c>
      <c r="N130" s="23"/>
      <c r="O130" s="31">
        <f>$G$10</f>
        <v>2</v>
      </c>
      <c r="P130" s="32">
        <f t="shared" ref="P130:T130" si="127">H130/A$161</f>
        <v>0.005459018914</v>
      </c>
      <c r="Q130" s="32">
        <f t="shared" si="127"/>
        <v>0.006007810153</v>
      </c>
      <c r="R130" s="32">
        <f t="shared" si="127"/>
        <v>0.03703703704</v>
      </c>
      <c r="S130" s="32">
        <f t="shared" si="127"/>
        <v>0.03351955307</v>
      </c>
      <c r="T130" s="32">
        <f t="shared" si="127"/>
        <v>0.0243902439</v>
      </c>
    </row>
    <row r="131" ht="15.75" customHeight="1">
      <c r="F131" s="23"/>
      <c r="G131" s="19">
        <f>$G$11</f>
        <v>3</v>
      </c>
      <c r="H131" s="20">
        <v>60.0</v>
      </c>
      <c r="I131" s="20">
        <v>12.0</v>
      </c>
      <c r="J131" s="20">
        <v>2.0</v>
      </c>
      <c r="K131" s="20">
        <v>1.0</v>
      </c>
      <c r="L131" s="20">
        <v>1.0</v>
      </c>
      <c r="N131" s="23"/>
      <c r="O131" s="31">
        <f>$G$11</f>
        <v>3</v>
      </c>
      <c r="P131" s="32">
        <f t="shared" ref="P131:T131" si="128">H131/A$161</f>
        <v>0.004613255421</v>
      </c>
      <c r="Q131" s="32">
        <f t="shared" si="128"/>
        <v>0.003604686092</v>
      </c>
      <c r="R131" s="32">
        <f t="shared" si="128"/>
        <v>0.03703703704</v>
      </c>
      <c r="S131" s="32">
        <f t="shared" si="128"/>
        <v>0.005586592179</v>
      </c>
      <c r="T131" s="32">
        <f t="shared" si="128"/>
        <v>0.01219512195</v>
      </c>
    </row>
    <row r="132" ht="15.75" customHeight="1">
      <c r="F132" s="23"/>
      <c r="G132" s="19">
        <f>$G$12</f>
        <v>4</v>
      </c>
      <c r="H132" s="20">
        <v>51.0</v>
      </c>
      <c r="I132" s="20">
        <v>9.0</v>
      </c>
      <c r="J132" s="20">
        <v>2.0</v>
      </c>
      <c r="K132" s="20">
        <v>2.0</v>
      </c>
      <c r="L132" s="20">
        <v>2.0</v>
      </c>
      <c r="N132" s="23"/>
      <c r="O132" s="31">
        <f>$G$12</f>
        <v>4</v>
      </c>
      <c r="P132" s="32">
        <f t="shared" ref="P132:T132" si="129">H132/A$161</f>
        <v>0.003921267107</v>
      </c>
      <c r="Q132" s="32">
        <f t="shared" si="129"/>
        <v>0.002703514569</v>
      </c>
      <c r="R132" s="32">
        <f t="shared" si="129"/>
        <v>0.03703703704</v>
      </c>
      <c r="S132" s="32">
        <f t="shared" si="129"/>
        <v>0.01117318436</v>
      </c>
      <c r="T132" s="32">
        <f t="shared" si="129"/>
        <v>0.0243902439</v>
      </c>
    </row>
    <row r="133" ht="15.75" customHeight="1">
      <c r="F133" s="23"/>
      <c r="G133" s="19">
        <f>$G$13</f>
        <v>5</v>
      </c>
      <c r="H133" s="20">
        <v>61.0</v>
      </c>
      <c r="I133" s="20">
        <v>25.0</v>
      </c>
      <c r="J133" s="20">
        <v>0.0</v>
      </c>
      <c r="K133" s="20">
        <v>5.0</v>
      </c>
      <c r="L133" s="20">
        <v>3.0</v>
      </c>
      <c r="N133" s="23"/>
      <c r="O133" s="31">
        <f>$G$13</f>
        <v>5</v>
      </c>
      <c r="P133" s="32">
        <f t="shared" ref="P133:T133" si="130">H133/A$161</f>
        <v>0.004690143011</v>
      </c>
      <c r="Q133" s="32">
        <f t="shared" si="130"/>
        <v>0.007509762691</v>
      </c>
      <c r="R133" s="32">
        <f t="shared" si="130"/>
        <v>0</v>
      </c>
      <c r="S133" s="32">
        <f t="shared" si="130"/>
        <v>0.02793296089</v>
      </c>
      <c r="T133" s="32">
        <f t="shared" si="130"/>
        <v>0.03658536585</v>
      </c>
    </row>
    <row r="134" ht="15.75" customHeight="1">
      <c r="F134" s="23"/>
      <c r="G134" s="19">
        <f>$G$14</f>
        <v>6</v>
      </c>
      <c r="H134" s="20">
        <v>143.0</v>
      </c>
      <c r="I134" s="20">
        <v>56.0</v>
      </c>
      <c r="J134" s="20">
        <v>1.0</v>
      </c>
      <c r="K134" s="20">
        <v>11.0</v>
      </c>
      <c r="L134" s="20">
        <v>7.0</v>
      </c>
      <c r="N134" s="23"/>
      <c r="O134" s="31">
        <f>$G$14</f>
        <v>6</v>
      </c>
      <c r="P134" s="32">
        <f t="shared" ref="P134:T134" si="131">H134/A$161</f>
        <v>0.01099492542</v>
      </c>
      <c r="Q134" s="32">
        <f t="shared" si="131"/>
        <v>0.01682186843</v>
      </c>
      <c r="R134" s="32">
        <f t="shared" si="131"/>
        <v>0.01851851852</v>
      </c>
      <c r="S134" s="32">
        <f t="shared" si="131"/>
        <v>0.06145251397</v>
      </c>
      <c r="T134" s="32">
        <f t="shared" si="131"/>
        <v>0.08536585366</v>
      </c>
    </row>
    <row r="135" ht="15.75" customHeight="1">
      <c r="A135" s="26">
        <f t="shared" ref="A135:E135" si="132">SUM(H104:H127)</f>
        <v>9687</v>
      </c>
      <c r="B135" s="26">
        <f t="shared" si="132"/>
        <v>2804</v>
      </c>
      <c r="C135" s="26">
        <f t="shared" si="132"/>
        <v>60</v>
      </c>
      <c r="D135" s="26">
        <f t="shared" si="132"/>
        <v>242</v>
      </c>
      <c r="E135" s="26">
        <f t="shared" si="132"/>
        <v>162</v>
      </c>
      <c r="F135" s="23"/>
      <c r="G135" s="19">
        <f>$G$15</f>
        <v>7</v>
      </c>
      <c r="H135" s="20">
        <v>188.0</v>
      </c>
      <c r="I135" s="20">
        <v>76.0</v>
      </c>
      <c r="J135" s="20">
        <v>2.0</v>
      </c>
      <c r="K135" s="20">
        <v>9.0</v>
      </c>
      <c r="L135" s="20">
        <v>7.0</v>
      </c>
      <c r="N135" s="23"/>
      <c r="O135" s="31">
        <f>$G$15</f>
        <v>7</v>
      </c>
      <c r="P135" s="32">
        <f t="shared" ref="P135:T135" si="133">H135/A$161</f>
        <v>0.01445486698</v>
      </c>
      <c r="Q135" s="32">
        <f t="shared" si="133"/>
        <v>0.02282967858</v>
      </c>
      <c r="R135" s="32">
        <f t="shared" si="133"/>
        <v>0.03703703704</v>
      </c>
      <c r="S135" s="32">
        <f t="shared" si="133"/>
        <v>0.05027932961</v>
      </c>
      <c r="T135" s="32">
        <f t="shared" si="133"/>
        <v>0.08536585366</v>
      </c>
    </row>
    <row r="136" ht="15.75" customHeight="1">
      <c r="F136" s="23"/>
      <c r="G136" s="19">
        <f>$G$16</f>
        <v>8</v>
      </c>
      <c r="H136" s="20">
        <v>264.0</v>
      </c>
      <c r="I136" s="20">
        <v>75.0</v>
      </c>
      <c r="J136" s="20">
        <v>2.0</v>
      </c>
      <c r="K136" s="20">
        <v>10.0</v>
      </c>
      <c r="L136" s="20">
        <v>8.0</v>
      </c>
      <c r="N136" s="23"/>
      <c r="O136" s="31">
        <f>$G$16</f>
        <v>8</v>
      </c>
      <c r="P136" s="32">
        <f t="shared" ref="P136:T136" si="134">H136/A$161</f>
        <v>0.02029832385</v>
      </c>
      <c r="Q136" s="32">
        <f t="shared" si="134"/>
        <v>0.02252928807</v>
      </c>
      <c r="R136" s="32">
        <f t="shared" si="134"/>
        <v>0.03703703704</v>
      </c>
      <c r="S136" s="32">
        <f t="shared" si="134"/>
        <v>0.05586592179</v>
      </c>
      <c r="T136" s="32">
        <f t="shared" si="134"/>
        <v>0.09756097561</v>
      </c>
    </row>
    <row r="137" ht="15.75" customHeight="1">
      <c r="F137" s="23"/>
      <c r="G137" s="19">
        <f>$G$17</f>
        <v>9</v>
      </c>
      <c r="H137" s="20">
        <v>379.0</v>
      </c>
      <c r="I137" s="20">
        <v>140.0</v>
      </c>
      <c r="J137" s="20">
        <v>2.0</v>
      </c>
      <c r="K137" s="20">
        <v>19.0</v>
      </c>
      <c r="L137" s="20">
        <v>5.0</v>
      </c>
      <c r="N137" s="23"/>
      <c r="O137" s="31">
        <f>$G$17</f>
        <v>9</v>
      </c>
      <c r="P137" s="32">
        <f t="shared" ref="P137:T137" si="135">H137/A$161</f>
        <v>0.02914039674</v>
      </c>
      <c r="Q137" s="32">
        <f t="shared" si="135"/>
        <v>0.04205467107</v>
      </c>
      <c r="R137" s="32">
        <f t="shared" si="135"/>
        <v>0.03703703704</v>
      </c>
      <c r="S137" s="32">
        <f t="shared" si="135"/>
        <v>0.1061452514</v>
      </c>
      <c r="T137" s="32">
        <f t="shared" si="135"/>
        <v>0.06097560976</v>
      </c>
      <c r="U137" s="25">
        <f>$H$7</f>
        <v>31</v>
      </c>
      <c r="V137" s="25">
        <f>$I$7</f>
        <v>32</v>
      </c>
      <c r="W137" s="25">
        <f>$J$7</f>
        <v>41</v>
      </c>
      <c r="X137" s="25">
        <f>$K$7</f>
        <v>42</v>
      </c>
      <c r="Y137" s="25">
        <f>$L$7</f>
        <v>5</v>
      </c>
    </row>
    <row r="138" ht="15.75" customHeight="1">
      <c r="F138" s="23"/>
      <c r="G138" s="19">
        <f>$G$18</f>
        <v>10</v>
      </c>
      <c r="H138" s="20">
        <v>548.0</v>
      </c>
      <c r="I138" s="20">
        <v>148.0</v>
      </c>
      <c r="J138" s="20">
        <v>2.0</v>
      </c>
      <c r="K138" s="20">
        <v>11.0</v>
      </c>
      <c r="L138" s="20">
        <v>3.0</v>
      </c>
      <c r="N138" s="23"/>
      <c r="O138" s="31">
        <f>$G$18</f>
        <v>10</v>
      </c>
      <c r="P138" s="32">
        <f t="shared" ref="P138:T138" si="136">H138/A$161</f>
        <v>0.04213439951</v>
      </c>
      <c r="Q138" s="32">
        <f t="shared" si="136"/>
        <v>0.04445779513</v>
      </c>
      <c r="R138" s="32">
        <f t="shared" si="136"/>
        <v>0.03703703704</v>
      </c>
      <c r="S138" s="32">
        <f t="shared" si="136"/>
        <v>0.06145251397</v>
      </c>
      <c r="T138" s="32">
        <f t="shared" si="136"/>
        <v>0.03658536585</v>
      </c>
    </row>
    <row r="139" ht="15.75" customHeight="1">
      <c r="F139" s="23"/>
      <c r="G139" s="19">
        <f>$G$19</f>
        <v>11</v>
      </c>
      <c r="H139" s="20">
        <v>558.0</v>
      </c>
      <c r="I139" s="20">
        <v>168.0</v>
      </c>
      <c r="J139" s="20">
        <v>1.0</v>
      </c>
      <c r="K139" s="20">
        <v>18.0</v>
      </c>
      <c r="L139" s="20">
        <v>6.0</v>
      </c>
      <c r="N139" s="23"/>
      <c r="O139" s="31">
        <f>$G$19</f>
        <v>11</v>
      </c>
      <c r="P139" s="32">
        <f t="shared" ref="P139:T139" si="137">H139/A$161</f>
        <v>0.04290327541</v>
      </c>
      <c r="Q139" s="32">
        <f t="shared" si="137"/>
        <v>0.05046560529</v>
      </c>
      <c r="R139" s="32">
        <f t="shared" si="137"/>
        <v>0.01851851852</v>
      </c>
      <c r="S139" s="32">
        <f t="shared" si="137"/>
        <v>0.1005586592</v>
      </c>
      <c r="T139" s="32">
        <f t="shared" si="137"/>
        <v>0.07317073171</v>
      </c>
    </row>
    <row r="140" ht="15.75" customHeight="1">
      <c r="F140" s="23"/>
      <c r="G140" s="19">
        <f>$G$20</f>
        <v>12</v>
      </c>
      <c r="H140" s="20">
        <v>677.0</v>
      </c>
      <c r="I140" s="20">
        <v>188.0</v>
      </c>
      <c r="J140" s="20">
        <v>3.0</v>
      </c>
      <c r="K140" s="20">
        <v>9.0</v>
      </c>
      <c r="L140" s="20">
        <v>3.0</v>
      </c>
      <c r="N140" s="23"/>
      <c r="O140" s="31">
        <f>$G$20</f>
        <v>12</v>
      </c>
      <c r="P140" s="32">
        <f t="shared" ref="P140:T140" si="138">H140/A$161</f>
        <v>0.05205289866</v>
      </c>
      <c r="Q140" s="32">
        <f t="shared" si="138"/>
        <v>0.05647341544</v>
      </c>
      <c r="R140" s="32">
        <f t="shared" si="138"/>
        <v>0.05555555556</v>
      </c>
      <c r="S140" s="32">
        <f t="shared" si="138"/>
        <v>0.05027932961</v>
      </c>
      <c r="T140" s="32">
        <f t="shared" si="138"/>
        <v>0.03658536585</v>
      </c>
    </row>
    <row r="141" ht="15.75" customHeight="1">
      <c r="F141" s="23"/>
      <c r="G141" s="19">
        <f>$G$21</f>
        <v>13</v>
      </c>
      <c r="H141" s="20">
        <v>852.0</v>
      </c>
      <c r="I141" s="20">
        <v>242.0</v>
      </c>
      <c r="J141" s="20">
        <v>5.0</v>
      </c>
      <c r="K141" s="20">
        <v>12.0</v>
      </c>
      <c r="L141" s="20">
        <v>4.0</v>
      </c>
      <c r="N141" s="23"/>
      <c r="O141" s="31">
        <f>$G$21</f>
        <v>13</v>
      </c>
      <c r="P141" s="32">
        <f t="shared" ref="P141:T141" si="139">H141/A$161</f>
        <v>0.06550822697</v>
      </c>
      <c r="Q141" s="32">
        <f t="shared" si="139"/>
        <v>0.07269450285</v>
      </c>
      <c r="R141" s="32">
        <f t="shared" si="139"/>
        <v>0.09259259259</v>
      </c>
      <c r="S141" s="32">
        <f t="shared" si="139"/>
        <v>0.06703910615</v>
      </c>
      <c r="T141" s="32">
        <f t="shared" si="139"/>
        <v>0.0487804878</v>
      </c>
    </row>
    <row r="142" ht="15.75" customHeight="1">
      <c r="F142" s="23"/>
      <c r="G142" s="19">
        <f>$G$22</f>
        <v>14</v>
      </c>
      <c r="H142" s="20">
        <v>1035.0</v>
      </c>
      <c r="I142" s="20">
        <v>233.0</v>
      </c>
      <c r="J142" s="20">
        <v>4.0</v>
      </c>
      <c r="K142" s="20">
        <v>6.0</v>
      </c>
      <c r="L142" s="20">
        <v>4.0</v>
      </c>
      <c r="N142" s="23"/>
      <c r="O142" s="31">
        <f>$G$22</f>
        <v>14</v>
      </c>
      <c r="P142" s="32">
        <f t="shared" ref="P142:T142" si="140">H142/A$161</f>
        <v>0.079578656</v>
      </c>
      <c r="Q142" s="32">
        <f t="shared" si="140"/>
        <v>0.06999098828</v>
      </c>
      <c r="R142" s="32">
        <f t="shared" si="140"/>
        <v>0.07407407407</v>
      </c>
      <c r="S142" s="32">
        <f t="shared" si="140"/>
        <v>0.03351955307</v>
      </c>
      <c r="T142" s="32">
        <f t="shared" si="140"/>
        <v>0.0487804878</v>
      </c>
    </row>
    <row r="143" ht="15.75" customHeight="1">
      <c r="F143" s="23"/>
      <c r="G143" s="19">
        <f>$G$23</f>
        <v>15</v>
      </c>
      <c r="H143" s="20">
        <v>1084.0</v>
      </c>
      <c r="I143" s="20">
        <v>252.0</v>
      </c>
      <c r="J143" s="20">
        <v>2.0</v>
      </c>
      <c r="K143" s="20">
        <v>10.0</v>
      </c>
      <c r="L143" s="20">
        <v>2.0</v>
      </c>
      <c r="N143" s="23"/>
      <c r="O143" s="31">
        <f>$G$23</f>
        <v>15</v>
      </c>
      <c r="P143" s="32">
        <f t="shared" ref="P143:T143" si="141">H143/A$161</f>
        <v>0.08334614793</v>
      </c>
      <c r="Q143" s="32">
        <f t="shared" si="141"/>
        <v>0.07569840793</v>
      </c>
      <c r="R143" s="32">
        <f t="shared" si="141"/>
        <v>0.03703703704</v>
      </c>
      <c r="S143" s="32">
        <f t="shared" si="141"/>
        <v>0.05586592179</v>
      </c>
      <c r="T143" s="32">
        <f t="shared" si="141"/>
        <v>0.0243902439</v>
      </c>
    </row>
    <row r="144" ht="15.75" customHeight="1">
      <c r="F144" s="23"/>
      <c r="G144" s="19">
        <f>$G$24</f>
        <v>16</v>
      </c>
      <c r="H144" s="20">
        <v>1095.0</v>
      </c>
      <c r="I144" s="20">
        <v>288.0</v>
      </c>
      <c r="J144" s="20">
        <v>4.0</v>
      </c>
      <c r="K144" s="20">
        <v>7.0</v>
      </c>
      <c r="L144" s="20">
        <v>3.0</v>
      </c>
      <c r="N144" s="23"/>
      <c r="O144" s="31">
        <f>$G$24</f>
        <v>16</v>
      </c>
      <c r="P144" s="32">
        <f t="shared" ref="P144:T144" si="142">H144/A$161</f>
        <v>0.08419191143</v>
      </c>
      <c r="Q144" s="32">
        <f t="shared" si="142"/>
        <v>0.08651246621</v>
      </c>
      <c r="R144" s="32">
        <f t="shared" si="142"/>
        <v>0.07407407407</v>
      </c>
      <c r="S144" s="32">
        <f t="shared" si="142"/>
        <v>0.03910614525</v>
      </c>
      <c r="T144" s="32">
        <f t="shared" si="142"/>
        <v>0.03658536585</v>
      </c>
    </row>
    <row r="145" ht="15.75" customHeight="1">
      <c r="F145" s="23"/>
      <c r="G145" s="19">
        <f>$G$25</f>
        <v>17</v>
      </c>
      <c r="H145" s="20">
        <v>1146.0</v>
      </c>
      <c r="I145" s="20">
        <v>293.0</v>
      </c>
      <c r="J145" s="20">
        <v>6.0</v>
      </c>
      <c r="K145" s="20">
        <v>3.0</v>
      </c>
      <c r="L145" s="20">
        <v>3.0</v>
      </c>
      <c r="N145" s="23"/>
      <c r="O145" s="31">
        <f>$G$25</f>
        <v>17</v>
      </c>
      <c r="P145" s="32">
        <f t="shared" ref="P145:T145" si="143">H145/A$161</f>
        <v>0.08811317853</v>
      </c>
      <c r="Q145" s="32">
        <f t="shared" si="143"/>
        <v>0.08801441874</v>
      </c>
      <c r="R145" s="32">
        <f t="shared" si="143"/>
        <v>0.1111111111</v>
      </c>
      <c r="S145" s="32">
        <f t="shared" si="143"/>
        <v>0.01675977654</v>
      </c>
      <c r="T145" s="32">
        <f t="shared" si="143"/>
        <v>0.03658536585</v>
      </c>
    </row>
    <row r="146" ht="15.75" customHeight="1">
      <c r="F146" s="23"/>
      <c r="G146" s="19">
        <f>$G$26</f>
        <v>18</v>
      </c>
      <c r="H146" s="20">
        <v>981.0</v>
      </c>
      <c r="I146" s="20">
        <v>239.0</v>
      </c>
      <c r="J146" s="20">
        <v>2.0</v>
      </c>
      <c r="K146" s="20">
        <v>7.0</v>
      </c>
      <c r="L146" s="20">
        <v>1.0</v>
      </c>
      <c r="N146" s="23"/>
      <c r="O146" s="31">
        <f>$G$26</f>
        <v>18</v>
      </c>
      <c r="P146" s="32">
        <f t="shared" ref="P146:T146" si="144">H146/A$161</f>
        <v>0.07542672613</v>
      </c>
      <c r="Q146" s="32">
        <f t="shared" si="144"/>
        <v>0.07179333133</v>
      </c>
      <c r="R146" s="32">
        <f t="shared" si="144"/>
        <v>0.03703703704</v>
      </c>
      <c r="S146" s="32">
        <f t="shared" si="144"/>
        <v>0.03910614525</v>
      </c>
      <c r="T146" s="32">
        <f t="shared" si="144"/>
        <v>0.01219512195</v>
      </c>
    </row>
    <row r="147" ht="15.75" customHeight="1">
      <c r="F147" s="23"/>
      <c r="G147" s="19">
        <f>$G$27</f>
        <v>19</v>
      </c>
      <c r="H147" s="20">
        <v>938.0</v>
      </c>
      <c r="I147" s="20">
        <v>196.0</v>
      </c>
      <c r="J147" s="20">
        <v>5.0</v>
      </c>
      <c r="K147" s="20">
        <v>6.0</v>
      </c>
      <c r="L147" s="20">
        <v>2.0</v>
      </c>
      <c r="N147" s="23"/>
      <c r="O147" s="31">
        <f>$G$27</f>
        <v>19</v>
      </c>
      <c r="P147" s="32">
        <f t="shared" ref="P147:T147" si="145">H147/A$161</f>
        <v>0.07212055974</v>
      </c>
      <c r="Q147" s="32">
        <f t="shared" si="145"/>
        <v>0.0588765395</v>
      </c>
      <c r="R147" s="32">
        <f t="shared" si="145"/>
        <v>0.09259259259</v>
      </c>
      <c r="S147" s="32">
        <f t="shared" si="145"/>
        <v>0.03351955307</v>
      </c>
      <c r="T147" s="32">
        <f t="shared" si="145"/>
        <v>0.0243902439</v>
      </c>
    </row>
    <row r="148" ht="15.75" customHeight="1">
      <c r="F148" s="23"/>
      <c r="G148" s="19">
        <f>$G$28</f>
        <v>20</v>
      </c>
      <c r="H148" s="20">
        <v>792.0</v>
      </c>
      <c r="I148" s="20">
        <v>221.0</v>
      </c>
      <c r="J148" s="20">
        <v>2.0</v>
      </c>
      <c r="K148" s="20">
        <v>8.0</v>
      </c>
      <c r="L148" s="20">
        <v>2.0</v>
      </c>
      <c r="N148" s="23"/>
      <c r="O148" s="31">
        <f>$G$28</f>
        <v>20</v>
      </c>
      <c r="P148" s="32">
        <f t="shared" ref="P148:T148" si="146">H148/A$161</f>
        <v>0.06089497155</v>
      </c>
      <c r="Q148" s="32">
        <f t="shared" si="146"/>
        <v>0.06638630219</v>
      </c>
      <c r="R148" s="32">
        <f t="shared" si="146"/>
        <v>0.03703703704</v>
      </c>
      <c r="S148" s="32">
        <f t="shared" si="146"/>
        <v>0.04469273743</v>
      </c>
      <c r="T148" s="32">
        <f t="shared" si="146"/>
        <v>0.0243902439</v>
      </c>
    </row>
    <row r="149" ht="15.75" customHeight="1">
      <c r="F149" s="23"/>
      <c r="G149" s="19">
        <f>$G$29</f>
        <v>21</v>
      </c>
      <c r="H149" s="20">
        <v>715.0</v>
      </c>
      <c r="I149" s="20">
        <v>149.0</v>
      </c>
      <c r="J149" s="20">
        <v>1.0</v>
      </c>
      <c r="K149" s="20">
        <v>5.0</v>
      </c>
      <c r="L149" s="20">
        <v>1.0</v>
      </c>
      <c r="N149" s="23"/>
      <c r="O149" s="31">
        <f>$G$29</f>
        <v>21</v>
      </c>
      <c r="P149" s="32">
        <f t="shared" ref="P149:T149" si="147">H149/A$161</f>
        <v>0.0549746271</v>
      </c>
      <c r="Q149" s="32">
        <f t="shared" si="147"/>
        <v>0.04475818564</v>
      </c>
      <c r="R149" s="32">
        <f t="shared" si="147"/>
        <v>0.01851851852</v>
      </c>
      <c r="S149" s="32">
        <f t="shared" si="147"/>
        <v>0.02793296089</v>
      </c>
      <c r="T149" s="32">
        <f t="shared" si="147"/>
        <v>0.01219512195</v>
      </c>
    </row>
    <row r="150" ht="15.75" customHeight="1">
      <c r="F150" s="23"/>
      <c r="G150" s="19">
        <f>$G$30</f>
        <v>22</v>
      </c>
      <c r="H150" s="20">
        <v>608.0</v>
      </c>
      <c r="I150" s="20">
        <v>149.0</v>
      </c>
      <c r="J150" s="20">
        <v>0.0</v>
      </c>
      <c r="K150" s="20">
        <v>4.0</v>
      </c>
      <c r="L150" s="20">
        <v>2.0</v>
      </c>
      <c r="N150" s="23"/>
      <c r="O150" s="31">
        <f>$G$30</f>
        <v>22</v>
      </c>
      <c r="P150" s="32">
        <f t="shared" ref="P150:T150" si="148">H150/A$161</f>
        <v>0.04674765493</v>
      </c>
      <c r="Q150" s="32">
        <f t="shared" si="148"/>
        <v>0.04475818564</v>
      </c>
      <c r="R150" s="32">
        <f t="shared" si="148"/>
        <v>0</v>
      </c>
      <c r="S150" s="32">
        <f t="shared" si="148"/>
        <v>0.02234636872</v>
      </c>
      <c r="T150" s="32">
        <f t="shared" si="148"/>
        <v>0.0243902439</v>
      </c>
    </row>
    <row r="151" ht="15.75" customHeight="1">
      <c r="F151" s="27"/>
      <c r="G151" s="19">
        <f>$G$31</f>
        <v>23</v>
      </c>
      <c r="H151" s="20">
        <v>430.0</v>
      </c>
      <c r="I151" s="20">
        <v>100.0</v>
      </c>
      <c r="J151" s="20">
        <v>0.0</v>
      </c>
      <c r="K151" s="20">
        <v>4.0</v>
      </c>
      <c r="L151" s="20">
        <v>5.0</v>
      </c>
      <c r="N151" s="27"/>
      <c r="O151" s="31">
        <f>$G$31</f>
        <v>23</v>
      </c>
      <c r="P151" s="32">
        <f t="shared" ref="P151:T151" si="149">H151/A$161</f>
        <v>0.03306166385</v>
      </c>
      <c r="Q151" s="32">
        <f t="shared" si="149"/>
        <v>0.03003905077</v>
      </c>
      <c r="R151" s="32">
        <f t="shared" si="149"/>
        <v>0</v>
      </c>
      <c r="S151" s="32">
        <f t="shared" si="149"/>
        <v>0.02234636872</v>
      </c>
      <c r="T151" s="32">
        <f t="shared" si="149"/>
        <v>0.06097560976</v>
      </c>
    </row>
    <row r="152" ht="15.75" customHeight="1">
      <c r="F152" s="39">
        <v>45200.0</v>
      </c>
      <c r="G152" s="19">
        <f>$G$8</f>
        <v>0</v>
      </c>
      <c r="H152" s="38">
        <v>284.0</v>
      </c>
      <c r="I152" s="38">
        <v>54.0</v>
      </c>
      <c r="J152" s="38">
        <v>2.0</v>
      </c>
      <c r="K152" s="38">
        <v>1.0</v>
      </c>
      <c r="L152" s="38">
        <v>0.0</v>
      </c>
      <c r="N152" s="39">
        <v>45200.0</v>
      </c>
      <c r="O152" s="31">
        <f>$G$8</f>
        <v>0</v>
      </c>
      <c r="P152" s="32">
        <f t="shared" ref="P152:T152" si="150">H152/A$185</f>
        <v>0.01748445484</v>
      </c>
      <c r="Q152" s="32">
        <f t="shared" si="150"/>
        <v>0.01248554913</v>
      </c>
      <c r="R152" s="32">
        <f t="shared" si="150"/>
        <v>0.0119047619</v>
      </c>
      <c r="S152" s="32">
        <f t="shared" si="150"/>
        <v>0.007936507937</v>
      </c>
      <c r="T152" s="32">
        <f t="shared" si="150"/>
        <v>0</v>
      </c>
    </row>
    <row r="153" ht="15.75" customHeight="1">
      <c r="F153" s="23"/>
      <c r="G153" s="19">
        <f>$G$9</f>
        <v>1</v>
      </c>
      <c r="H153" s="38">
        <v>209.0</v>
      </c>
      <c r="I153" s="38">
        <v>33.0</v>
      </c>
      <c r="J153" s="38">
        <v>1.0</v>
      </c>
      <c r="K153" s="38">
        <v>4.0</v>
      </c>
      <c r="L153" s="38">
        <v>1.0</v>
      </c>
      <c r="N153" s="23"/>
      <c r="O153" s="31">
        <f>$G$9</f>
        <v>1</v>
      </c>
      <c r="P153" s="32">
        <f t="shared" ref="P153:T153" si="151">H153/A$185</f>
        <v>0.0128670812</v>
      </c>
      <c r="Q153" s="32">
        <f t="shared" si="151"/>
        <v>0.007630057803</v>
      </c>
      <c r="R153" s="32">
        <f t="shared" si="151"/>
        <v>0.005952380952</v>
      </c>
      <c r="S153" s="32">
        <f t="shared" si="151"/>
        <v>0.03174603175</v>
      </c>
      <c r="T153" s="32">
        <f t="shared" si="151"/>
        <v>0.01818181818</v>
      </c>
    </row>
    <row r="154" ht="15.75" customHeight="1">
      <c r="F154" s="23"/>
      <c r="G154" s="19">
        <f>$G$10</f>
        <v>2</v>
      </c>
      <c r="H154" s="38">
        <v>123.0</v>
      </c>
      <c r="I154" s="38">
        <v>26.0</v>
      </c>
      <c r="J154" s="38">
        <v>1.0</v>
      </c>
      <c r="K154" s="38">
        <v>5.0</v>
      </c>
      <c r="L154" s="38">
        <v>1.0</v>
      </c>
      <c r="N154" s="23"/>
      <c r="O154" s="31">
        <f>$G$10</f>
        <v>2</v>
      </c>
      <c r="P154" s="32">
        <f t="shared" ref="P154:T154" si="152">H154/A$185</f>
        <v>0.007572492766</v>
      </c>
      <c r="Q154" s="32">
        <f t="shared" si="152"/>
        <v>0.006011560694</v>
      </c>
      <c r="R154" s="32">
        <f t="shared" si="152"/>
        <v>0.005952380952</v>
      </c>
      <c r="S154" s="32">
        <f t="shared" si="152"/>
        <v>0.03968253968</v>
      </c>
      <c r="T154" s="32">
        <f t="shared" si="152"/>
        <v>0.01818181818</v>
      </c>
    </row>
    <row r="155" ht="15.75" customHeight="1">
      <c r="F155" s="23"/>
      <c r="G155" s="19">
        <f>$G$11</f>
        <v>3</v>
      </c>
      <c r="H155" s="38">
        <v>98.0</v>
      </c>
      <c r="I155" s="38">
        <v>21.0</v>
      </c>
      <c r="J155" s="38">
        <v>0.0</v>
      </c>
      <c r="K155" s="38">
        <v>6.0</v>
      </c>
      <c r="L155" s="38">
        <v>0.0</v>
      </c>
      <c r="N155" s="23"/>
      <c r="O155" s="31">
        <f>$G$11</f>
        <v>3</v>
      </c>
      <c r="P155" s="32">
        <f t="shared" ref="P155:T155" si="153">H155/A$185</f>
        <v>0.00603336822</v>
      </c>
      <c r="Q155" s="32">
        <f t="shared" si="153"/>
        <v>0.004855491329</v>
      </c>
      <c r="R155" s="32">
        <f t="shared" si="153"/>
        <v>0</v>
      </c>
      <c r="S155" s="32">
        <f t="shared" si="153"/>
        <v>0.04761904762</v>
      </c>
      <c r="T155" s="32">
        <f t="shared" si="153"/>
        <v>0</v>
      </c>
    </row>
    <row r="156" ht="15.75" customHeight="1">
      <c r="F156" s="23"/>
      <c r="G156" s="19">
        <f>$G$12</f>
        <v>4</v>
      </c>
      <c r="H156" s="38">
        <v>71.0</v>
      </c>
      <c r="I156" s="38">
        <v>16.0</v>
      </c>
      <c r="J156" s="38">
        <v>2.0</v>
      </c>
      <c r="K156" s="38">
        <v>0.0</v>
      </c>
      <c r="L156" s="38">
        <v>0.0</v>
      </c>
      <c r="N156" s="23"/>
      <c r="O156" s="31">
        <f>$G$12</f>
        <v>4</v>
      </c>
      <c r="P156" s="32">
        <f t="shared" ref="P156:T156" si="154">H156/A$185</f>
        <v>0.004371113711</v>
      </c>
      <c r="Q156" s="32">
        <f t="shared" si="154"/>
        <v>0.003699421965</v>
      </c>
      <c r="R156" s="32">
        <f t="shared" si="154"/>
        <v>0.0119047619</v>
      </c>
      <c r="S156" s="32">
        <f t="shared" si="154"/>
        <v>0</v>
      </c>
      <c r="T156" s="32">
        <f t="shared" si="154"/>
        <v>0</v>
      </c>
    </row>
    <row r="157" ht="15.75" customHeight="1">
      <c r="F157" s="23"/>
      <c r="G157" s="19">
        <f>$G$13</f>
        <v>5</v>
      </c>
      <c r="H157" s="38">
        <v>125.0</v>
      </c>
      <c r="I157" s="38">
        <v>41.0</v>
      </c>
      <c r="J157" s="38">
        <v>2.0</v>
      </c>
      <c r="K157" s="38">
        <v>3.0</v>
      </c>
      <c r="L157" s="38">
        <v>2.0</v>
      </c>
      <c r="N157" s="23"/>
      <c r="O157" s="31">
        <f>$G$13</f>
        <v>5</v>
      </c>
      <c r="P157" s="32">
        <f t="shared" ref="P157:T157" si="155">H157/A$185</f>
        <v>0.00769562273</v>
      </c>
      <c r="Q157" s="32">
        <f t="shared" si="155"/>
        <v>0.009479768786</v>
      </c>
      <c r="R157" s="32">
        <f t="shared" si="155"/>
        <v>0.0119047619</v>
      </c>
      <c r="S157" s="32">
        <f t="shared" si="155"/>
        <v>0.02380952381</v>
      </c>
      <c r="T157" s="32">
        <f t="shared" si="155"/>
        <v>0.03636363636</v>
      </c>
    </row>
    <row r="158" ht="15.75" customHeight="1">
      <c r="F158" s="23"/>
      <c r="G158" s="19">
        <f>$G$14</f>
        <v>6</v>
      </c>
      <c r="H158" s="38">
        <v>182.0</v>
      </c>
      <c r="I158" s="38">
        <v>77.0</v>
      </c>
      <c r="J158" s="38">
        <v>3.0</v>
      </c>
      <c r="K158" s="38">
        <v>5.0</v>
      </c>
      <c r="L158" s="38">
        <v>1.0</v>
      </c>
      <c r="N158" s="23"/>
      <c r="O158" s="31">
        <f>$G$14</f>
        <v>6</v>
      </c>
      <c r="P158" s="32">
        <f t="shared" ref="P158:T158" si="156">H158/A$185</f>
        <v>0.01120482669</v>
      </c>
      <c r="Q158" s="32">
        <f t="shared" si="156"/>
        <v>0.01780346821</v>
      </c>
      <c r="R158" s="32">
        <f t="shared" si="156"/>
        <v>0.01785714286</v>
      </c>
      <c r="S158" s="32">
        <f t="shared" si="156"/>
        <v>0.03968253968</v>
      </c>
      <c r="T158" s="32">
        <f t="shared" si="156"/>
        <v>0.01818181818</v>
      </c>
    </row>
    <row r="159" ht="15.75" customHeight="1">
      <c r="F159" s="23"/>
      <c r="G159" s="19">
        <f>$G$15</f>
        <v>7</v>
      </c>
      <c r="H159" s="38">
        <v>279.0</v>
      </c>
      <c r="I159" s="38">
        <v>105.0</v>
      </c>
      <c r="J159" s="38">
        <v>7.0</v>
      </c>
      <c r="K159" s="38">
        <v>7.0</v>
      </c>
      <c r="L159" s="38">
        <v>4.0</v>
      </c>
      <c r="N159" s="23"/>
      <c r="O159" s="31">
        <f>$G$15</f>
        <v>7</v>
      </c>
      <c r="P159" s="32">
        <f t="shared" ref="P159:T159" si="157">H159/A$185</f>
        <v>0.01717662993</v>
      </c>
      <c r="Q159" s="32">
        <f t="shared" si="157"/>
        <v>0.02427745665</v>
      </c>
      <c r="R159" s="32">
        <f t="shared" si="157"/>
        <v>0.04166666667</v>
      </c>
      <c r="S159" s="32">
        <f t="shared" si="157"/>
        <v>0.05555555556</v>
      </c>
      <c r="T159" s="32">
        <f t="shared" si="157"/>
        <v>0.07272727273</v>
      </c>
    </row>
    <row r="160" ht="15.75" customHeight="1">
      <c r="F160" s="23"/>
      <c r="G160" s="19">
        <f>$G$16</f>
        <v>8</v>
      </c>
      <c r="H160" s="38">
        <v>396.0</v>
      </c>
      <c r="I160" s="38">
        <v>141.0</v>
      </c>
      <c r="J160" s="38">
        <v>8.0</v>
      </c>
      <c r="K160" s="38">
        <v>10.0</v>
      </c>
      <c r="L160" s="38">
        <v>3.0</v>
      </c>
      <c r="N160" s="23"/>
      <c r="O160" s="31">
        <f>$G$16</f>
        <v>8</v>
      </c>
      <c r="P160" s="32">
        <f t="shared" ref="P160:T160" si="158">H160/A$185</f>
        <v>0.02437973281</v>
      </c>
      <c r="Q160" s="32">
        <f t="shared" si="158"/>
        <v>0.03260115607</v>
      </c>
      <c r="R160" s="32">
        <f t="shared" si="158"/>
        <v>0.04761904762</v>
      </c>
      <c r="S160" s="32">
        <f t="shared" si="158"/>
        <v>0.07936507937</v>
      </c>
      <c r="T160" s="32">
        <f t="shared" si="158"/>
        <v>0.05454545455</v>
      </c>
    </row>
    <row r="161" ht="15.75" customHeight="1">
      <c r="A161" s="26">
        <f t="shared" ref="A161:E161" si="159">SUM(H128:H151)</f>
        <v>13006</v>
      </c>
      <c r="B161" s="26">
        <f t="shared" si="159"/>
        <v>3329</v>
      </c>
      <c r="C161" s="26">
        <f t="shared" si="159"/>
        <v>54</v>
      </c>
      <c r="D161" s="26">
        <f t="shared" si="159"/>
        <v>179</v>
      </c>
      <c r="E161" s="26">
        <f t="shared" si="159"/>
        <v>82</v>
      </c>
      <c r="F161" s="23"/>
      <c r="G161" s="19">
        <f>$G$17</f>
        <v>9</v>
      </c>
      <c r="H161" s="38">
        <v>581.0</v>
      </c>
      <c r="I161" s="38">
        <v>171.0</v>
      </c>
      <c r="J161" s="38">
        <v>11.0</v>
      </c>
      <c r="K161" s="38">
        <v>5.0</v>
      </c>
      <c r="L161" s="38">
        <v>2.0</v>
      </c>
      <c r="N161" s="23"/>
      <c r="O161" s="31">
        <f>$G$17</f>
        <v>9</v>
      </c>
      <c r="P161" s="32">
        <f t="shared" ref="P161:T161" si="160">H161/A$185</f>
        <v>0.03576925445</v>
      </c>
      <c r="Q161" s="32">
        <f t="shared" si="160"/>
        <v>0.03953757225</v>
      </c>
      <c r="R161" s="32">
        <f t="shared" si="160"/>
        <v>0.06547619048</v>
      </c>
      <c r="S161" s="32">
        <f t="shared" si="160"/>
        <v>0.03968253968</v>
      </c>
      <c r="T161" s="32">
        <f t="shared" si="160"/>
        <v>0.03636363636</v>
      </c>
    </row>
    <row r="162" ht="15.75" customHeight="1">
      <c r="F162" s="23"/>
      <c r="G162" s="19">
        <f>$G$18</f>
        <v>10</v>
      </c>
      <c r="H162" s="38">
        <v>830.0</v>
      </c>
      <c r="I162" s="38">
        <v>211.0</v>
      </c>
      <c r="J162" s="38">
        <v>9.0</v>
      </c>
      <c r="K162" s="38">
        <v>10.0</v>
      </c>
      <c r="L162" s="38">
        <v>1.0</v>
      </c>
      <c r="N162" s="23"/>
      <c r="O162" s="31">
        <f>$G$18</f>
        <v>10</v>
      </c>
      <c r="P162" s="32">
        <f t="shared" ref="P162:T162" si="161">H162/A$185</f>
        <v>0.05109893493</v>
      </c>
      <c r="Q162" s="32">
        <f t="shared" si="161"/>
        <v>0.04878612717</v>
      </c>
      <c r="R162" s="32">
        <f t="shared" si="161"/>
        <v>0.05357142857</v>
      </c>
      <c r="S162" s="32">
        <f t="shared" si="161"/>
        <v>0.07936507937</v>
      </c>
      <c r="T162" s="32">
        <f t="shared" si="161"/>
        <v>0.01818181818</v>
      </c>
    </row>
    <row r="163" ht="15.75" customHeight="1">
      <c r="F163" s="23"/>
      <c r="G163" s="19">
        <f>$G$19</f>
        <v>11</v>
      </c>
      <c r="H163" s="38">
        <v>1018.0</v>
      </c>
      <c r="I163" s="38">
        <v>271.0</v>
      </c>
      <c r="J163" s="38">
        <v>6.0</v>
      </c>
      <c r="K163" s="38">
        <v>7.0</v>
      </c>
      <c r="L163" s="38">
        <v>2.0</v>
      </c>
      <c r="N163" s="23"/>
      <c r="O163" s="31">
        <f>$G$19</f>
        <v>11</v>
      </c>
      <c r="P163" s="32">
        <f t="shared" ref="P163:T163" si="162">H163/A$185</f>
        <v>0.06267315151</v>
      </c>
      <c r="Q163" s="32">
        <f t="shared" si="162"/>
        <v>0.06265895954</v>
      </c>
      <c r="R163" s="32">
        <f t="shared" si="162"/>
        <v>0.03571428571</v>
      </c>
      <c r="S163" s="32">
        <f t="shared" si="162"/>
        <v>0.05555555556</v>
      </c>
      <c r="T163" s="32">
        <f t="shared" si="162"/>
        <v>0.03636363636</v>
      </c>
      <c r="U163" s="25"/>
      <c r="V163" s="25">
        <f>$I$7</f>
        <v>32</v>
      </c>
      <c r="W163" s="25">
        <f>$J$7</f>
        <v>41</v>
      </c>
      <c r="X163" s="25">
        <f>$K$7</f>
        <v>42</v>
      </c>
      <c r="Y163" s="25">
        <f>$L$7</f>
        <v>5</v>
      </c>
    </row>
    <row r="164" ht="15.75" customHeight="1">
      <c r="F164" s="23"/>
      <c r="G164" s="19">
        <f>$G$20</f>
        <v>12</v>
      </c>
      <c r="H164" s="38">
        <v>1143.0</v>
      </c>
      <c r="I164" s="38">
        <v>323.0</v>
      </c>
      <c r="J164" s="38">
        <v>7.0</v>
      </c>
      <c r="K164" s="38">
        <v>4.0</v>
      </c>
      <c r="L164" s="38">
        <v>0.0</v>
      </c>
      <c r="N164" s="23"/>
      <c r="O164" s="31">
        <f>$G$20</f>
        <v>12</v>
      </c>
      <c r="P164" s="32">
        <f t="shared" ref="P164:T164" si="163">H164/A$185</f>
        <v>0.07036877424</v>
      </c>
      <c r="Q164" s="32">
        <f t="shared" si="163"/>
        <v>0.07468208092</v>
      </c>
      <c r="R164" s="32">
        <f t="shared" si="163"/>
        <v>0.04166666667</v>
      </c>
      <c r="S164" s="32">
        <f t="shared" si="163"/>
        <v>0.03174603175</v>
      </c>
      <c r="T164" s="32">
        <f t="shared" si="163"/>
        <v>0</v>
      </c>
    </row>
    <row r="165" ht="15.75" customHeight="1">
      <c r="F165" s="23"/>
      <c r="G165" s="19">
        <f>$G$21</f>
        <v>13</v>
      </c>
      <c r="H165" s="38">
        <v>1260.0</v>
      </c>
      <c r="I165" s="38">
        <v>356.0</v>
      </c>
      <c r="J165" s="38">
        <v>9.0</v>
      </c>
      <c r="K165" s="38">
        <v>4.0</v>
      </c>
      <c r="L165" s="38">
        <v>1.0</v>
      </c>
      <c r="N165" s="23"/>
      <c r="O165" s="31">
        <f>$G$21</f>
        <v>13</v>
      </c>
      <c r="P165" s="32">
        <f t="shared" ref="P165:T165" si="164">H165/A$185</f>
        <v>0.07757187712</v>
      </c>
      <c r="Q165" s="32">
        <f t="shared" si="164"/>
        <v>0.08231213873</v>
      </c>
      <c r="R165" s="32">
        <f t="shared" si="164"/>
        <v>0.05357142857</v>
      </c>
      <c r="S165" s="32">
        <f t="shared" si="164"/>
        <v>0.03174603175</v>
      </c>
      <c r="T165" s="32">
        <f t="shared" si="164"/>
        <v>0.01818181818</v>
      </c>
    </row>
    <row r="166" ht="15.75" customHeight="1">
      <c r="F166" s="23"/>
      <c r="G166" s="19">
        <f>$G$22</f>
        <v>14</v>
      </c>
      <c r="H166" s="38">
        <v>1240.0</v>
      </c>
      <c r="I166" s="38">
        <v>329.0</v>
      </c>
      <c r="J166" s="38">
        <v>14.0</v>
      </c>
      <c r="K166" s="38">
        <v>8.0</v>
      </c>
      <c r="L166" s="38">
        <v>4.0</v>
      </c>
      <c r="N166" s="23"/>
      <c r="O166" s="31">
        <f>$G$22</f>
        <v>14</v>
      </c>
      <c r="P166" s="32">
        <f t="shared" ref="P166:T166" si="165">H166/A$185</f>
        <v>0.07634057748</v>
      </c>
      <c r="Q166" s="32">
        <f t="shared" si="165"/>
        <v>0.07606936416</v>
      </c>
      <c r="R166" s="32">
        <f t="shared" si="165"/>
        <v>0.08333333333</v>
      </c>
      <c r="S166" s="32">
        <f t="shared" si="165"/>
        <v>0.06349206349</v>
      </c>
      <c r="T166" s="32">
        <f t="shared" si="165"/>
        <v>0.07272727273</v>
      </c>
    </row>
    <row r="167" ht="15.75" customHeight="1">
      <c r="F167" s="23"/>
      <c r="G167" s="19">
        <f>$G$23</f>
        <v>15</v>
      </c>
      <c r="H167" s="38">
        <v>1296.0</v>
      </c>
      <c r="I167" s="38">
        <v>360.0</v>
      </c>
      <c r="J167" s="38">
        <v>8.0</v>
      </c>
      <c r="K167" s="38">
        <v>5.0</v>
      </c>
      <c r="L167" s="38">
        <v>1.0</v>
      </c>
      <c r="N167" s="23"/>
      <c r="O167" s="31">
        <f>$G$23</f>
        <v>15</v>
      </c>
      <c r="P167" s="32">
        <f t="shared" ref="P167:T167" si="166">H167/A$185</f>
        <v>0.07978821646</v>
      </c>
      <c r="Q167" s="32">
        <f t="shared" si="166"/>
        <v>0.08323699422</v>
      </c>
      <c r="R167" s="32">
        <f t="shared" si="166"/>
        <v>0.04761904762</v>
      </c>
      <c r="S167" s="32">
        <f t="shared" si="166"/>
        <v>0.03968253968</v>
      </c>
      <c r="T167" s="32">
        <f t="shared" si="166"/>
        <v>0.01818181818</v>
      </c>
    </row>
    <row r="168" ht="15.75" customHeight="1">
      <c r="F168" s="23"/>
      <c r="G168" s="19">
        <f>$G$24</f>
        <v>16</v>
      </c>
      <c r="H168" s="38">
        <v>1299.0</v>
      </c>
      <c r="I168" s="38">
        <v>313.0</v>
      </c>
      <c r="J168" s="38">
        <v>15.0</v>
      </c>
      <c r="K168" s="38">
        <v>5.0</v>
      </c>
      <c r="L168" s="38">
        <v>2.0</v>
      </c>
      <c r="N168" s="23"/>
      <c r="O168" s="31">
        <f>$G$24</f>
        <v>16</v>
      </c>
      <c r="P168" s="32">
        <f t="shared" ref="P168:T168" si="167">H168/A$185</f>
        <v>0.07997291141</v>
      </c>
      <c r="Q168" s="32">
        <f t="shared" si="167"/>
        <v>0.0723699422</v>
      </c>
      <c r="R168" s="32">
        <f t="shared" si="167"/>
        <v>0.08928571429</v>
      </c>
      <c r="S168" s="32">
        <f t="shared" si="167"/>
        <v>0.03968253968</v>
      </c>
      <c r="T168" s="32">
        <f t="shared" si="167"/>
        <v>0.03636363636</v>
      </c>
    </row>
    <row r="169" ht="15.75" customHeight="1">
      <c r="F169" s="23"/>
      <c r="G169" s="19">
        <f>$G$25</f>
        <v>17</v>
      </c>
      <c r="H169" s="38">
        <v>1179.0</v>
      </c>
      <c r="I169" s="38">
        <v>332.0</v>
      </c>
      <c r="J169" s="38">
        <v>12.0</v>
      </c>
      <c r="K169" s="38">
        <v>7.0</v>
      </c>
      <c r="L169" s="38">
        <v>0.0</v>
      </c>
      <c r="N169" s="23"/>
      <c r="O169" s="31">
        <f>$G$25</f>
        <v>17</v>
      </c>
      <c r="P169" s="32">
        <f t="shared" ref="P169:T169" si="168">H169/A$185</f>
        <v>0.07258511359</v>
      </c>
      <c r="Q169" s="32">
        <f t="shared" si="168"/>
        <v>0.07676300578</v>
      </c>
      <c r="R169" s="32">
        <f t="shared" si="168"/>
        <v>0.07142857143</v>
      </c>
      <c r="S169" s="32">
        <f t="shared" si="168"/>
        <v>0.05555555556</v>
      </c>
      <c r="T169" s="32">
        <f t="shared" si="168"/>
        <v>0</v>
      </c>
    </row>
    <row r="170" ht="15.75" customHeight="1">
      <c r="F170" s="23"/>
      <c r="G170" s="19">
        <f>$G$26</f>
        <v>18</v>
      </c>
      <c r="H170" s="38">
        <v>1042.0</v>
      </c>
      <c r="I170" s="38">
        <v>242.0</v>
      </c>
      <c r="J170" s="38">
        <v>9.0</v>
      </c>
      <c r="K170" s="38">
        <v>8.0</v>
      </c>
      <c r="L170" s="38">
        <v>2.0</v>
      </c>
      <c r="N170" s="23"/>
      <c r="O170" s="31">
        <f>$G$26</f>
        <v>18</v>
      </c>
      <c r="P170" s="32">
        <f t="shared" ref="P170:T170" si="169">H170/A$185</f>
        <v>0.06415071108</v>
      </c>
      <c r="Q170" s="32">
        <f t="shared" si="169"/>
        <v>0.05595375723</v>
      </c>
      <c r="R170" s="32">
        <f t="shared" si="169"/>
        <v>0.05357142857</v>
      </c>
      <c r="S170" s="32">
        <f t="shared" si="169"/>
        <v>0.06349206349</v>
      </c>
      <c r="T170" s="32">
        <f t="shared" si="169"/>
        <v>0.03636363636</v>
      </c>
    </row>
    <row r="171" ht="15.75" customHeight="1">
      <c r="F171" s="23"/>
      <c r="G171" s="19">
        <f>$G$27</f>
        <v>19</v>
      </c>
      <c r="H171" s="38">
        <v>1055.0</v>
      </c>
      <c r="I171" s="38">
        <v>246.0</v>
      </c>
      <c r="J171" s="38">
        <v>8.0</v>
      </c>
      <c r="K171" s="38">
        <v>4.0</v>
      </c>
      <c r="L171" s="38">
        <v>2.0</v>
      </c>
      <c r="N171" s="23"/>
      <c r="O171" s="31">
        <f>$G$27</f>
        <v>19</v>
      </c>
      <c r="P171" s="32">
        <f t="shared" ref="P171:T171" si="170">H171/A$185</f>
        <v>0.06495105584</v>
      </c>
      <c r="Q171" s="32">
        <f t="shared" si="170"/>
        <v>0.05687861272</v>
      </c>
      <c r="R171" s="32">
        <f t="shared" si="170"/>
        <v>0.04761904762</v>
      </c>
      <c r="S171" s="32">
        <f t="shared" si="170"/>
        <v>0.03174603175</v>
      </c>
      <c r="T171" s="32">
        <f t="shared" si="170"/>
        <v>0.03636363636</v>
      </c>
    </row>
    <row r="172" ht="15.75" customHeight="1">
      <c r="F172" s="23"/>
      <c r="G172" s="19">
        <f>$G$28</f>
        <v>20</v>
      </c>
      <c r="H172" s="38">
        <v>1017.0</v>
      </c>
      <c r="I172" s="38">
        <v>238.0</v>
      </c>
      <c r="J172" s="38">
        <v>14.0</v>
      </c>
      <c r="K172" s="38">
        <v>5.0</v>
      </c>
      <c r="L172" s="38">
        <v>4.0</v>
      </c>
      <c r="N172" s="23"/>
      <c r="O172" s="31">
        <f>$G$28</f>
        <v>20</v>
      </c>
      <c r="P172" s="32">
        <f t="shared" ref="P172:T172" si="171">H172/A$185</f>
        <v>0.06261158653</v>
      </c>
      <c r="Q172" s="32">
        <f t="shared" si="171"/>
        <v>0.05502890173</v>
      </c>
      <c r="R172" s="32">
        <f t="shared" si="171"/>
        <v>0.08333333333</v>
      </c>
      <c r="S172" s="32">
        <f t="shared" si="171"/>
        <v>0.03968253968</v>
      </c>
      <c r="T172" s="32">
        <f t="shared" si="171"/>
        <v>0.07272727273</v>
      </c>
    </row>
    <row r="173" ht="15.75" customHeight="1">
      <c r="F173" s="23"/>
      <c r="G173" s="19">
        <f>$G$29</f>
        <v>21</v>
      </c>
      <c r="H173" s="38">
        <v>767.0</v>
      </c>
      <c r="I173" s="38">
        <v>196.0</v>
      </c>
      <c r="J173" s="38">
        <v>8.0</v>
      </c>
      <c r="K173" s="38">
        <v>5.0</v>
      </c>
      <c r="L173" s="38">
        <v>6.0</v>
      </c>
      <c r="N173" s="23"/>
      <c r="O173" s="31">
        <f>$G$29</f>
        <v>21</v>
      </c>
      <c r="P173" s="32">
        <f t="shared" ref="P173:T173" si="172">H173/A$185</f>
        <v>0.04722034107</v>
      </c>
      <c r="Q173" s="32">
        <f t="shared" si="172"/>
        <v>0.04531791908</v>
      </c>
      <c r="R173" s="32">
        <f t="shared" si="172"/>
        <v>0.04761904762</v>
      </c>
      <c r="S173" s="32">
        <f t="shared" si="172"/>
        <v>0.03968253968</v>
      </c>
      <c r="T173" s="32">
        <f t="shared" si="172"/>
        <v>0.1090909091</v>
      </c>
    </row>
    <row r="174" ht="15.75" customHeight="1">
      <c r="F174" s="23"/>
      <c r="G174" s="19">
        <f>$G$30</f>
        <v>22</v>
      </c>
      <c r="H174" s="38">
        <v>487.0</v>
      </c>
      <c r="I174" s="38">
        <v>138.0</v>
      </c>
      <c r="J174" s="38">
        <v>9.0</v>
      </c>
      <c r="K174" s="38">
        <v>5.0</v>
      </c>
      <c r="L174" s="38">
        <v>9.0</v>
      </c>
      <c r="N174" s="23"/>
      <c r="O174" s="31">
        <f>$G$30</f>
        <v>22</v>
      </c>
      <c r="P174" s="32">
        <f t="shared" ref="P174:T174" si="173">H174/A$185</f>
        <v>0.02998214616</v>
      </c>
      <c r="Q174" s="32">
        <f t="shared" si="173"/>
        <v>0.03190751445</v>
      </c>
      <c r="R174" s="32">
        <f t="shared" si="173"/>
        <v>0.05357142857</v>
      </c>
      <c r="S174" s="32">
        <f t="shared" si="173"/>
        <v>0.03968253968</v>
      </c>
      <c r="T174" s="32">
        <f t="shared" si="173"/>
        <v>0.1636363636</v>
      </c>
    </row>
    <row r="175" ht="15.75" customHeight="1">
      <c r="F175" s="27"/>
      <c r="G175" s="19">
        <f>$G$31</f>
        <v>23</v>
      </c>
      <c r="H175" s="38">
        <v>262.0</v>
      </c>
      <c r="I175" s="38">
        <v>85.0</v>
      </c>
      <c r="J175" s="38">
        <v>3.0</v>
      </c>
      <c r="K175" s="38">
        <v>3.0</v>
      </c>
      <c r="L175" s="38">
        <v>7.0</v>
      </c>
      <c r="N175" s="27"/>
      <c r="O175" s="31">
        <f>$G$31</f>
        <v>23</v>
      </c>
      <c r="P175" s="32">
        <f t="shared" ref="P175:T175" si="174">H175/A$185</f>
        <v>0.01613002524</v>
      </c>
      <c r="Q175" s="32">
        <f t="shared" si="174"/>
        <v>0.01965317919</v>
      </c>
      <c r="R175" s="32">
        <f t="shared" si="174"/>
        <v>0.01785714286</v>
      </c>
      <c r="S175" s="32">
        <f t="shared" si="174"/>
        <v>0.02380952381</v>
      </c>
      <c r="T175" s="32">
        <f t="shared" si="174"/>
        <v>0.1272727273</v>
      </c>
    </row>
    <row r="176" ht="15.75" customHeight="1"/>
    <row r="177" ht="15.75" customHeight="1">
      <c r="P177" s="17">
        <v>31.0</v>
      </c>
      <c r="Q177" s="17">
        <f>$I$7</f>
        <v>32</v>
      </c>
      <c r="R177" s="17">
        <f>$J$7</f>
        <v>41</v>
      </c>
      <c r="S177" s="17">
        <f>$K$7</f>
        <v>42</v>
      </c>
      <c r="T177" s="17">
        <v>5.0</v>
      </c>
    </row>
    <row r="178" ht="15.75" customHeight="1">
      <c r="N178" s="39">
        <v>45201.0</v>
      </c>
      <c r="O178" s="19">
        <f>$G$8</f>
        <v>0</v>
      </c>
      <c r="P178" s="40">
        <f t="shared" ref="P178:T178" si="175">H190/A$213</f>
        <v>0.0146130031</v>
      </c>
      <c r="Q178" s="40">
        <f t="shared" si="175"/>
        <v>0.01550910317</v>
      </c>
      <c r="R178" s="40">
        <f t="shared" si="175"/>
        <v>0.02127659574</v>
      </c>
      <c r="S178" s="40">
        <f t="shared" si="175"/>
        <v>0.003831417625</v>
      </c>
      <c r="T178" s="40">
        <f t="shared" si="175"/>
        <v>0.006791171477</v>
      </c>
    </row>
    <row r="179" ht="15.75" customHeight="1">
      <c r="N179" s="23"/>
      <c r="O179" s="19">
        <f>$G$9</f>
        <v>1</v>
      </c>
      <c r="P179" s="40">
        <f t="shared" ref="P179:T179" si="176">H191/A$213</f>
        <v>0.01089783282</v>
      </c>
      <c r="Q179" s="40">
        <f t="shared" si="176"/>
        <v>0.008428860418</v>
      </c>
      <c r="R179" s="40">
        <f t="shared" si="176"/>
        <v>0.01063829787</v>
      </c>
      <c r="S179" s="40">
        <f t="shared" si="176"/>
        <v>0.01149425287</v>
      </c>
      <c r="T179" s="40">
        <f t="shared" si="176"/>
        <v>0.005093378608</v>
      </c>
    </row>
    <row r="180" ht="15.75" customHeight="1">
      <c r="N180" s="23"/>
      <c r="O180" s="19">
        <f>$G$10</f>
        <v>2</v>
      </c>
      <c r="P180" s="40">
        <f t="shared" ref="P180:T180" si="177">H192/A$213</f>
        <v>0.007058823529</v>
      </c>
      <c r="Q180" s="40">
        <f t="shared" si="177"/>
        <v>0.003034389751</v>
      </c>
      <c r="R180" s="40">
        <f t="shared" si="177"/>
        <v>0.01063829787</v>
      </c>
      <c r="S180" s="40">
        <f t="shared" si="177"/>
        <v>0.01915708812</v>
      </c>
      <c r="T180" s="40">
        <f t="shared" si="177"/>
        <v>0.008488964346</v>
      </c>
    </row>
    <row r="181" ht="15.75" customHeight="1">
      <c r="N181" s="23"/>
      <c r="O181" s="19">
        <f>$G$11</f>
        <v>3</v>
      </c>
      <c r="P181" s="40">
        <f t="shared" ref="P181:T181" si="178">H193/A$213</f>
        <v>0.00520123839</v>
      </c>
      <c r="Q181" s="40">
        <f t="shared" si="178"/>
        <v>0.006405933918</v>
      </c>
      <c r="R181" s="40">
        <f t="shared" si="178"/>
        <v>0</v>
      </c>
      <c r="S181" s="40">
        <f t="shared" si="178"/>
        <v>0.009578544061</v>
      </c>
      <c r="T181" s="40">
        <f t="shared" si="178"/>
        <v>0.01358234295</v>
      </c>
    </row>
    <row r="182" ht="15.75" customHeight="1">
      <c r="N182" s="23"/>
      <c r="O182" s="19">
        <f>$G$12</f>
        <v>4</v>
      </c>
      <c r="P182" s="40">
        <f t="shared" ref="P182:T182" si="179">H194/A$213</f>
        <v>0.005077399381</v>
      </c>
      <c r="Q182" s="40">
        <f t="shared" si="179"/>
        <v>0.007754551585</v>
      </c>
      <c r="R182" s="40">
        <f t="shared" si="179"/>
        <v>0.04255319149</v>
      </c>
      <c r="S182" s="40">
        <f t="shared" si="179"/>
        <v>0.009578544061</v>
      </c>
      <c r="T182" s="40">
        <f t="shared" si="179"/>
        <v>0.01528013582</v>
      </c>
    </row>
    <row r="183" ht="15.75" customHeight="1">
      <c r="N183" s="23"/>
      <c r="O183" s="19">
        <f>$G$13</f>
        <v>5</v>
      </c>
      <c r="P183" s="40">
        <f t="shared" ref="P183:T183" si="180">H195/A$213</f>
        <v>0.01226006192</v>
      </c>
      <c r="Q183" s="40">
        <f t="shared" si="180"/>
        <v>0.01584625759</v>
      </c>
      <c r="R183" s="40">
        <f t="shared" si="180"/>
        <v>0</v>
      </c>
      <c r="S183" s="40">
        <f t="shared" si="180"/>
        <v>0.01915708812</v>
      </c>
      <c r="T183" s="40">
        <f t="shared" si="180"/>
        <v>0.03565365025</v>
      </c>
    </row>
    <row r="184" ht="15.75" customHeight="1">
      <c r="N184" s="23"/>
      <c r="O184" s="19">
        <f>$G$14</f>
        <v>6</v>
      </c>
      <c r="P184" s="40">
        <f t="shared" ref="P184:T184" si="181">H196/A$213</f>
        <v>0.03826625387</v>
      </c>
      <c r="Q184" s="40">
        <f t="shared" si="181"/>
        <v>0.05461901551</v>
      </c>
      <c r="R184" s="40">
        <f t="shared" si="181"/>
        <v>0</v>
      </c>
      <c r="S184" s="40">
        <f t="shared" si="181"/>
        <v>0.02490421456</v>
      </c>
      <c r="T184" s="40">
        <f t="shared" si="181"/>
        <v>0.03565365025</v>
      </c>
    </row>
    <row r="185" ht="15.75" customHeight="1">
      <c r="A185" s="26">
        <f t="shared" ref="A185:E185" si="182">SUM(H152:H175)</f>
        <v>16243</v>
      </c>
      <c r="B185" s="26">
        <f t="shared" si="182"/>
        <v>4325</v>
      </c>
      <c r="C185" s="26">
        <f t="shared" si="182"/>
        <v>168</v>
      </c>
      <c r="D185" s="26">
        <f t="shared" si="182"/>
        <v>126</v>
      </c>
      <c r="E185" s="26">
        <f t="shared" si="182"/>
        <v>55</v>
      </c>
      <c r="N185" s="23"/>
      <c r="O185" s="19">
        <f>$G$15</f>
        <v>7</v>
      </c>
      <c r="P185" s="40">
        <f t="shared" ref="P185:T185" si="183">H197/A$213</f>
        <v>0.05126934985</v>
      </c>
      <c r="Q185" s="40">
        <f t="shared" si="183"/>
        <v>0.05023600809</v>
      </c>
      <c r="R185" s="40">
        <f t="shared" si="183"/>
        <v>0.04255319149</v>
      </c>
      <c r="S185" s="40">
        <f t="shared" si="183"/>
        <v>0.03256704981</v>
      </c>
      <c r="T185" s="40">
        <f t="shared" si="183"/>
        <v>0.03735144312</v>
      </c>
    </row>
    <row r="186" ht="15.75" customHeight="1">
      <c r="N186" s="23"/>
      <c r="O186" s="19">
        <f>$G$16</f>
        <v>8</v>
      </c>
      <c r="P186" s="40">
        <f t="shared" ref="P186:T186" si="184">H198/A$213</f>
        <v>0.04247678019</v>
      </c>
      <c r="Q186" s="40">
        <f t="shared" si="184"/>
        <v>0.04855023601</v>
      </c>
      <c r="R186" s="40">
        <f t="shared" si="184"/>
        <v>0.04255319149</v>
      </c>
      <c r="S186" s="40">
        <f t="shared" si="184"/>
        <v>0.04406130268</v>
      </c>
      <c r="T186" s="40">
        <f t="shared" si="184"/>
        <v>0.08658743633</v>
      </c>
    </row>
    <row r="187" ht="15.75" customHeight="1">
      <c r="N187" s="23"/>
      <c r="O187" s="19">
        <f>$G$17</f>
        <v>9</v>
      </c>
      <c r="P187" s="40">
        <f t="shared" ref="P187:T187" si="185">H199/A$213</f>
        <v>0.04160990712</v>
      </c>
      <c r="Q187" s="40">
        <f t="shared" si="185"/>
        <v>0.04888739042</v>
      </c>
      <c r="R187" s="40">
        <f t="shared" si="185"/>
        <v>0.06382978723</v>
      </c>
      <c r="S187" s="40">
        <f t="shared" si="185"/>
        <v>0.06896551724</v>
      </c>
      <c r="T187" s="40">
        <f t="shared" si="185"/>
        <v>0.09337860781</v>
      </c>
    </row>
    <row r="188" ht="15.75" customHeight="1">
      <c r="F188" s="41"/>
      <c r="G188" s="16"/>
      <c r="N188" s="23"/>
      <c r="O188" s="19">
        <f>$G$18</f>
        <v>10</v>
      </c>
      <c r="P188" s="40">
        <f t="shared" ref="P188:T188" si="186">H200/A$213</f>
        <v>0.0520123839</v>
      </c>
      <c r="Q188" s="40">
        <f t="shared" si="186"/>
        <v>0.05596763318</v>
      </c>
      <c r="R188" s="40">
        <f t="shared" si="186"/>
        <v>0.04255319149</v>
      </c>
      <c r="S188" s="40">
        <f t="shared" si="186"/>
        <v>0.06704980843</v>
      </c>
      <c r="T188" s="40">
        <f t="shared" si="186"/>
        <v>0.06451612903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N189" s="23"/>
      <c r="O189" s="19">
        <f>$G$19</f>
        <v>11</v>
      </c>
      <c r="P189" s="40">
        <f t="shared" ref="P189:T189" si="187">H201/A$213</f>
        <v>0.04879256966</v>
      </c>
      <c r="Q189" s="40">
        <f t="shared" si="187"/>
        <v>0.05933917734</v>
      </c>
      <c r="R189" s="40">
        <f t="shared" si="187"/>
        <v>0.06382978723</v>
      </c>
      <c r="S189" s="40">
        <f t="shared" si="187"/>
        <v>0.07088122605</v>
      </c>
      <c r="T189" s="40">
        <f t="shared" si="187"/>
        <v>0.0662139219</v>
      </c>
    </row>
    <row r="190" ht="15.75" customHeight="1">
      <c r="F190" s="39">
        <v>45201.0</v>
      </c>
      <c r="G190" s="19">
        <f>$G$8</f>
        <v>0</v>
      </c>
      <c r="H190" s="42">
        <v>118.0</v>
      </c>
      <c r="I190" s="42">
        <v>46.0</v>
      </c>
      <c r="J190" s="42">
        <v>2.0</v>
      </c>
      <c r="K190" s="42">
        <v>2.0</v>
      </c>
      <c r="L190" s="42">
        <v>4.0</v>
      </c>
      <c r="N190" s="23"/>
      <c r="O190" s="19">
        <f>$G$20</f>
        <v>12</v>
      </c>
      <c r="P190" s="40">
        <f t="shared" ref="P190:T190" si="188">H202/A$213</f>
        <v>0.0679876161</v>
      </c>
      <c r="Q190" s="40">
        <f t="shared" si="188"/>
        <v>0.05866486851</v>
      </c>
      <c r="R190" s="40">
        <f t="shared" si="188"/>
        <v>0.05319148936</v>
      </c>
      <c r="S190" s="40">
        <f t="shared" si="188"/>
        <v>0.0632183908</v>
      </c>
      <c r="T190" s="40">
        <f t="shared" si="188"/>
        <v>0.06451612903</v>
      </c>
    </row>
    <row r="191" ht="15.75" customHeight="1">
      <c r="F191" s="23"/>
      <c r="G191" s="19">
        <f>$G$9</f>
        <v>1</v>
      </c>
      <c r="H191" s="16">
        <v>88.0</v>
      </c>
      <c r="I191" s="16">
        <v>25.0</v>
      </c>
      <c r="J191" s="16">
        <v>1.0</v>
      </c>
      <c r="K191" s="16">
        <v>6.0</v>
      </c>
      <c r="L191" s="16">
        <v>3.0</v>
      </c>
      <c r="N191" s="23"/>
      <c r="O191" s="19">
        <f>$G$21</f>
        <v>13</v>
      </c>
      <c r="P191" s="40">
        <f t="shared" ref="P191:T191" si="189">H203/A$213</f>
        <v>0.06897832817</v>
      </c>
      <c r="Q191" s="40">
        <f t="shared" si="189"/>
        <v>0.06473364801</v>
      </c>
      <c r="R191" s="40">
        <f t="shared" si="189"/>
        <v>0.07446808511</v>
      </c>
      <c r="S191" s="40">
        <f t="shared" si="189"/>
        <v>0.07279693487</v>
      </c>
      <c r="T191" s="40">
        <f t="shared" si="189"/>
        <v>0.06281833616</v>
      </c>
    </row>
    <row r="192" ht="15.75" customHeight="1">
      <c r="F192" s="23"/>
      <c r="G192" s="19">
        <f>$G$10</f>
        <v>2</v>
      </c>
      <c r="H192" s="16">
        <v>57.0</v>
      </c>
      <c r="I192" s="16">
        <v>9.0</v>
      </c>
      <c r="J192" s="16">
        <v>1.0</v>
      </c>
      <c r="K192" s="16">
        <v>10.0</v>
      </c>
      <c r="L192" s="16">
        <v>5.0</v>
      </c>
      <c r="N192" s="23"/>
      <c r="O192" s="19">
        <f>$G$22</f>
        <v>14</v>
      </c>
      <c r="P192" s="40">
        <f t="shared" ref="P192:T192" si="190">H204/A$213</f>
        <v>0.07925696594</v>
      </c>
      <c r="Q192" s="40">
        <f t="shared" si="190"/>
        <v>0.08530006743</v>
      </c>
      <c r="R192" s="40">
        <f t="shared" si="190"/>
        <v>0.08510638298</v>
      </c>
      <c r="S192" s="40">
        <f t="shared" si="190"/>
        <v>0.07279693487</v>
      </c>
      <c r="T192" s="40">
        <f t="shared" si="190"/>
        <v>0.06281833616</v>
      </c>
    </row>
    <row r="193" ht="15.75" customHeight="1">
      <c r="F193" s="23"/>
      <c r="G193" s="19">
        <f>$G$11</f>
        <v>3</v>
      </c>
      <c r="H193" s="16">
        <v>42.0</v>
      </c>
      <c r="I193" s="16">
        <v>19.0</v>
      </c>
      <c r="J193" s="16">
        <v>0.0</v>
      </c>
      <c r="K193" s="16">
        <v>5.0</v>
      </c>
      <c r="L193" s="16">
        <v>8.0</v>
      </c>
      <c r="N193" s="23"/>
      <c r="O193" s="19">
        <f>$G$23</f>
        <v>15</v>
      </c>
      <c r="P193" s="40">
        <f t="shared" ref="P193:T193" si="191">H205/A$213</f>
        <v>0.08606811146</v>
      </c>
      <c r="Q193" s="40">
        <f t="shared" si="191"/>
        <v>0.08900876601</v>
      </c>
      <c r="R193" s="40">
        <f t="shared" si="191"/>
        <v>0.07446808511</v>
      </c>
      <c r="S193" s="40">
        <f t="shared" si="191"/>
        <v>0.08620689655</v>
      </c>
      <c r="T193" s="40">
        <f t="shared" si="191"/>
        <v>0.06960950764</v>
      </c>
    </row>
    <row r="194" ht="15.75" customHeight="1">
      <c r="F194" s="23"/>
      <c r="G194" s="19">
        <f>$G$12</f>
        <v>4</v>
      </c>
      <c r="H194" s="16">
        <v>41.0</v>
      </c>
      <c r="I194" s="16">
        <v>23.0</v>
      </c>
      <c r="J194" s="16">
        <v>4.0</v>
      </c>
      <c r="K194" s="16">
        <v>5.0</v>
      </c>
      <c r="L194" s="16">
        <v>9.0</v>
      </c>
      <c r="N194" s="23"/>
      <c r="O194" s="19">
        <f>$G$24</f>
        <v>16</v>
      </c>
      <c r="P194" s="40">
        <f t="shared" ref="P194:T194" si="192">H206/A$213</f>
        <v>0.08842105263</v>
      </c>
      <c r="Q194" s="40">
        <f t="shared" si="192"/>
        <v>0.08799730276</v>
      </c>
      <c r="R194" s="40">
        <f t="shared" si="192"/>
        <v>0.1170212766</v>
      </c>
      <c r="S194" s="40">
        <f t="shared" si="192"/>
        <v>0.08045977011</v>
      </c>
      <c r="T194" s="40">
        <f t="shared" si="192"/>
        <v>0.07470288625</v>
      </c>
    </row>
    <row r="195" ht="15.75" customHeight="1">
      <c r="F195" s="23"/>
      <c r="G195" s="19">
        <f>$G$13</f>
        <v>5</v>
      </c>
      <c r="H195" s="16">
        <v>99.0</v>
      </c>
      <c r="I195" s="16">
        <v>47.0</v>
      </c>
      <c r="J195" s="16">
        <v>0.0</v>
      </c>
      <c r="K195" s="16">
        <v>10.0</v>
      </c>
      <c r="L195" s="16">
        <v>21.0</v>
      </c>
      <c r="N195" s="23"/>
      <c r="O195" s="19">
        <f>$G$25</f>
        <v>17</v>
      </c>
      <c r="P195" s="40">
        <f t="shared" ref="P195:T195" si="193">H207/A$213</f>
        <v>0.09040247678</v>
      </c>
      <c r="Q195" s="40">
        <f t="shared" si="193"/>
        <v>0.07956844235</v>
      </c>
      <c r="R195" s="40">
        <f t="shared" si="193"/>
        <v>0.1382978723</v>
      </c>
      <c r="S195" s="40">
        <f t="shared" si="193"/>
        <v>0.04980842912</v>
      </c>
      <c r="T195" s="40">
        <f t="shared" si="193"/>
        <v>0.03904923599</v>
      </c>
    </row>
    <row r="196" ht="15.75" customHeight="1">
      <c r="F196" s="23"/>
      <c r="G196" s="19">
        <f>$G$14</f>
        <v>6</v>
      </c>
      <c r="H196" s="16">
        <v>309.0</v>
      </c>
      <c r="I196" s="16">
        <v>162.0</v>
      </c>
      <c r="J196" s="16">
        <v>0.0</v>
      </c>
      <c r="K196" s="16">
        <v>13.0</v>
      </c>
      <c r="L196" s="16">
        <v>21.0</v>
      </c>
      <c r="N196" s="23"/>
      <c r="O196" s="19">
        <f>$G$26</f>
        <v>18</v>
      </c>
      <c r="P196" s="40">
        <f t="shared" ref="P196:T196" si="194">H208/A$213</f>
        <v>0.06526315789</v>
      </c>
      <c r="Q196" s="40">
        <f t="shared" si="194"/>
        <v>0.05664194201</v>
      </c>
      <c r="R196" s="40">
        <f t="shared" si="194"/>
        <v>0.04255319149</v>
      </c>
      <c r="S196" s="40">
        <f t="shared" si="194"/>
        <v>0.05938697318</v>
      </c>
      <c r="T196" s="40">
        <f t="shared" si="194"/>
        <v>0.04074702886</v>
      </c>
    </row>
    <row r="197" ht="15.75" customHeight="1">
      <c r="F197" s="23"/>
      <c r="G197" s="19">
        <f>$G$15</f>
        <v>7</v>
      </c>
      <c r="H197" s="16">
        <v>414.0</v>
      </c>
      <c r="I197" s="16">
        <v>149.0</v>
      </c>
      <c r="J197" s="16">
        <v>4.0</v>
      </c>
      <c r="K197" s="16">
        <v>17.0</v>
      </c>
      <c r="L197" s="16">
        <v>22.0</v>
      </c>
      <c r="N197" s="23"/>
      <c r="O197" s="19">
        <f>$G$27</f>
        <v>19</v>
      </c>
      <c r="P197" s="40">
        <f t="shared" ref="P197:T197" si="195">H209/A$213</f>
        <v>0.04111455108</v>
      </c>
      <c r="Q197" s="40">
        <f t="shared" si="195"/>
        <v>0.03472690492</v>
      </c>
      <c r="R197" s="40">
        <f t="shared" si="195"/>
        <v>0.06382978723</v>
      </c>
      <c r="S197" s="40">
        <f t="shared" si="195"/>
        <v>0.02681992337</v>
      </c>
      <c r="T197" s="40">
        <f t="shared" si="195"/>
        <v>0.02716468591</v>
      </c>
    </row>
    <row r="198" ht="15.75" customHeight="1">
      <c r="F198" s="23"/>
      <c r="G198" s="19">
        <f>$G$16</f>
        <v>8</v>
      </c>
      <c r="H198" s="16">
        <v>343.0</v>
      </c>
      <c r="I198" s="16">
        <v>144.0</v>
      </c>
      <c r="J198" s="16">
        <v>4.0</v>
      </c>
      <c r="K198" s="16">
        <v>23.0</v>
      </c>
      <c r="L198" s="16">
        <v>51.0</v>
      </c>
      <c r="N198" s="23"/>
      <c r="O198" s="19">
        <f>$G$28</f>
        <v>20</v>
      </c>
      <c r="P198" s="40">
        <f t="shared" ref="P198:T198" si="196">H210/A$213</f>
        <v>0.03318885449</v>
      </c>
      <c r="Q198" s="40">
        <f t="shared" si="196"/>
        <v>0.03068105192</v>
      </c>
      <c r="R198" s="40">
        <f t="shared" si="196"/>
        <v>0.01063829787</v>
      </c>
      <c r="S198" s="40">
        <f t="shared" si="196"/>
        <v>0.03256704981</v>
      </c>
      <c r="T198" s="40">
        <f t="shared" si="196"/>
        <v>0.02716468591</v>
      </c>
    </row>
    <row r="199" ht="15.75" customHeight="1">
      <c r="F199" s="23"/>
      <c r="G199" s="19">
        <f>$G$17</f>
        <v>9</v>
      </c>
      <c r="H199" s="16">
        <v>336.0</v>
      </c>
      <c r="I199" s="16">
        <v>145.0</v>
      </c>
      <c r="J199" s="16">
        <v>6.0</v>
      </c>
      <c r="K199" s="16">
        <v>36.0</v>
      </c>
      <c r="L199" s="16">
        <v>55.0</v>
      </c>
      <c r="N199" s="23"/>
      <c r="O199" s="19">
        <f>$G$29</f>
        <v>21</v>
      </c>
      <c r="P199" s="40">
        <f t="shared" ref="P199:T199" si="197">H211/A$213</f>
        <v>0.0213003096</v>
      </c>
      <c r="Q199" s="40">
        <f t="shared" si="197"/>
        <v>0.01584625759</v>
      </c>
      <c r="R199" s="40">
        <f t="shared" si="197"/>
        <v>0</v>
      </c>
      <c r="S199" s="40">
        <f t="shared" si="197"/>
        <v>0.04789272031</v>
      </c>
      <c r="T199" s="40">
        <f t="shared" si="197"/>
        <v>0.01188455008</v>
      </c>
    </row>
    <row r="200" ht="15.75" customHeight="1">
      <c r="F200" s="23"/>
      <c r="G200" s="19">
        <f>$G$18</f>
        <v>10</v>
      </c>
      <c r="H200" s="16">
        <v>420.0</v>
      </c>
      <c r="I200" s="16">
        <v>166.0</v>
      </c>
      <c r="J200" s="16">
        <v>4.0</v>
      </c>
      <c r="K200" s="16">
        <v>35.0</v>
      </c>
      <c r="L200" s="16">
        <v>38.0</v>
      </c>
      <c r="N200" s="23"/>
      <c r="O200" s="19">
        <f>$G$30</f>
        <v>22</v>
      </c>
      <c r="P200" s="40">
        <f t="shared" ref="P200:T200" si="198">H212/A$213</f>
        <v>0.01919504644</v>
      </c>
      <c r="Q200" s="40">
        <f t="shared" si="198"/>
        <v>0.01146325017</v>
      </c>
      <c r="R200" s="40">
        <f t="shared" si="198"/>
        <v>0</v>
      </c>
      <c r="S200" s="40">
        <f t="shared" si="198"/>
        <v>0.01340996169</v>
      </c>
      <c r="T200" s="40">
        <f t="shared" si="198"/>
        <v>0.02037351443</v>
      </c>
    </row>
    <row r="201" ht="15.75" customHeight="1">
      <c r="F201" s="23"/>
      <c r="G201" s="19">
        <f>$G$19</f>
        <v>11</v>
      </c>
      <c r="H201" s="16">
        <v>394.0</v>
      </c>
      <c r="I201" s="16">
        <v>176.0</v>
      </c>
      <c r="J201" s="16">
        <v>6.0</v>
      </c>
      <c r="K201" s="16">
        <v>37.0</v>
      </c>
      <c r="L201" s="16">
        <v>39.0</v>
      </c>
      <c r="N201" s="27"/>
      <c r="O201" s="19">
        <f>$G$31</f>
        <v>23</v>
      </c>
      <c r="P201" s="40">
        <f t="shared" ref="P201:T201" si="199">H213/A$213</f>
        <v>0.009287925697</v>
      </c>
      <c r="Q201" s="40">
        <f t="shared" si="199"/>
        <v>0.01078894134</v>
      </c>
      <c r="R201" s="40">
        <f t="shared" si="199"/>
        <v>0</v>
      </c>
      <c r="S201" s="40">
        <f t="shared" si="199"/>
        <v>0.01340996169</v>
      </c>
      <c r="T201" s="40">
        <f t="shared" si="199"/>
        <v>0.03056027165</v>
      </c>
    </row>
    <row r="202" ht="15.75" customHeight="1">
      <c r="F202" s="23"/>
      <c r="G202" s="19">
        <f>$G$20</f>
        <v>12</v>
      </c>
      <c r="H202" s="16">
        <v>549.0</v>
      </c>
      <c r="I202" s="16">
        <v>174.0</v>
      </c>
      <c r="J202" s="16">
        <v>5.0</v>
      </c>
      <c r="K202" s="16">
        <v>33.0</v>
      </c>
      <c r="L202" s="16">
        <v>38.0</v>
      </c>
      <c r="N202" s="39">
        <v>45202.0</v>
      </c>
      <c r="O202" s="19">
        <f>$G$8</f>
        <v>0</v>
      </c>
      <c r="P202" s="40">
        <f t="shared" ref="P202:T202" si="200">H214/A$239</f>
        <v>0.008705580134</v>
      </c>
      <c r="Q202" s="40">
        <f t="shared" si="200"/>
        <v>0.005880318229</v>
      </c>
      <c r="R202" s="40">
        <f t="shared" si="200"/>
        <v>0.009259259259</v>
      </c>
      <c r="S202" s="40">
        <f t="shared" si="200"/>
        <v>0.01444622793</v>
      </c>
      <c r="T202" s="40">
        <f t="shared" si="200"/>
        <v>0.01158301158</v>
      </c>
    </row>
    <row r="203" ht="15.75" customHeight="1">
      <c r="F203" s="23"/>
      <c r="G203" s="19">
        <f>$G$21</f>
        <v>13</v>
      </c>
      <c r="H203" s="16">
        <v>557.0</v>
      </c>
      <c r="I203" s="16">
        <v>192.0</v>
      </c>
      <c r="J203" s="16">
        <v>7.0</v>
      </c>
      <c r="K203" s="16">
        <v>38.0</v>
      </c>
      <c r="L203" s="16">
        <v>37.0</v>
      </c>
      <c r="N203" s="23"/>
      <c r="O203" s="19">
        <f>$G$9</f>
        <v>1</v>
      </c>
      <c r="P203" s="40">
        <f t="shared" ref="P203:T203" si="201">H215/A$239</f>
        <v>0.006136720422</v>
      </c>
      <c r="Q203" s="40">
        <f t="shared" si="201"/>
        <v>0.004842615012</v>
      </c>
      <c r="R203" s="40">
        <f t="shared" si="201"/>
        <v>0.009259259259</v>
      </c>
      <c r="S203" s="40">
        <f t="shared" si="201"/>
        <v>0.01284109149</v>
      </c>
      <c r="T203" s="40">
        <f t="shared" si="201"/>
        <v>0.01737451737</v>
      </c>
    </row>
    <row r="204" ht="15.75" customHeight="1">
      <c r="F204" s="23"/>
      <c r="G204" s="19">
        <f>$G$22</f>
        <v>14</v>
      </c>
      <c r="H204" s="16">
        <v>640.0</v>
      </c>
      <c r="I204" s="16">
        <v>253.0</v>
      </c>
      <c r="J204" s="16">
        <v>8.0</v>
      </c>
      <c r="K204" s="16">
        <v>38.0</v>
      </c>
      <c r="L204" s="16">
        <v>37.0</v>
      </c>
      <c r="N204" s="23"/>
      <c r="O204" s="19">
        <f>$G$10</f>
        <v>2</v>
      </c>
      <c r="P204" s="40">
        <f t="shared" ref="P204:T204" si="202">H216/A$239</f>
        <v>0.003853289568</v>
      </c>
      <c r="Q204" s="40">
        <f t="shared" si="202"/>
        <v>0.005534417157</v>
      </c>
      <c r="R204" s="40">
        <f t="shared" si="202"/>
        <v>0</v>
      </c>
      <c r="S204" s="40">
        <f t="shared" si="202"/>
        <v>0.00963081862</v>
      </c>
      <c r="T204" s="40">
        <f t="shared" si="202"/>
        <v>0.01737451737</v>
      </c>
    </row>
    <row r="205" ht="15.75" customHeight="1">
      <c r="F205" s="23"/>
      <c r="G205" s="19">
        <f>$G$23</f>
        <v>15</v>
      </c>
      <c r="H205" s="16">
        <v>695.0</v>
      </c>
      <c r="I205" s="16">
        <v>264.0</v>
      </c>
      <c r="J205" s="16">
        <v>7.0</v>
      </c>
      <c r="K205" s="16">
        <v>45.0</v>
      </c>
      <c r="L205" s="16">
        <v>41.0</v>
      </c>
      <c r="N205" s="23"/>
      <c r="O205" s="19">
        <f>$G$11</f>
        <v>3</v>
      </c>
      <c r="P205" s="40">
        <f t="shared" ref="P205:T205" si="203">H217/A$239</f>
        <v>0.003425146282</v>
      </c>
      <c r="Q205" s="40">
        <f t="shared" si="203"/>
        <v>0.00449671394</v>
      </c>
      <c r="R205" s="40">
        <f t="shared" si="203"/>
        <v>0</v>
      </c>
      <c r="S205" s="40">
        <f t="shared" si="203"/>
        <v>0.00481540931</v>
      </c>
      <c r="T205" s="40">
        <f t="shared" si="203"/>
        <v>0.01930501931</v>
      </c>
    </row>
    <row r="206" ht="15.75" customHeight="1">
      <c r="F206" s="23"/>
      <c r="G206" s="19">
        <f>$G$24</f>
        <v>16</v>
      </c>
      <c r="H206" s="16">
        <v>714.0</v>
      </c>
      <c r="I206" s="16">
        <v>261.0</v>
      </c>
      <c r="J206" s="16">
        <v>11.0</v>
      </c>
      <c r="K206" s="16">
        <v>42.0</v>
      </c>
      <c r="L206" s="16">
        <v>44.0</v>
      </c>
      <c r="N206" s="23"/>
      <c r="O206" s="19">
        <f>$G$12</f>
        <v>4</v>
      </c>
      <c r="P206" s="40">
        <f t="shared" ref="P206:T206" si="204">H218/A$239</f>
        <v>0.004709576138</v>
      </c>
      <c r="Q206" s="40">
        <f t="shared" si="204"/>
        <v>0.004842615012</v>
      </c>
      <c r="R206" s="40">
        <f t="shared" si="204"/>
        <v>0.009259259259</v>
      </c>
      <c r="S206" s="40">
        <f t="shared" si="204"/>
        <v>0.00963081862</v>
      </c>
      <c r="T206" s="40">
        <f t="shared" si="204"/>
        <v>0.003861003861</v>
      </c>
    </row>
    <row r="207" ht="15.75" customHeight="1">
      <c r="F207" s="23"/>
      <c r="G207" s="19">
        <f>$G$25</f>
        <v>17</v>
      </c>
      <c r="H207" s="16">
        <v>730.0</v>
      </c>
      <c r="I207" s="16">
        <v>236.0</v>
      </c>
      <c r="J207" s="16">
        <v>13.0</v>
      </c>
      <c r="K207" s="16">
        <v>26.0</v>
      </c>
      <c r="L207" s="16">
        <v>23.0</v>
      </c>
      <c r="N207" s="23"/>
      <c r="O207" s="19">
        <f>$G$13</f>
        <v>5</v>
      </c>
      <c r="P207" s="40">
        <f t="shared" ref="P207:T207" si="205">H219/A$239</f>
        <v>0.009276437848</v>
      </c>
      <c r="Q207" s="40">
        <f t="shared" si="205"/>
        <v>0.01106883431</v>
      </c>
      <c r="R207" s="40">
        <f t="shared" si="205"/>
        <v>0</v>
      </c>
      <c r="S207" s="40">
        <f t="shared" si="205"/>
        <v>0.01123595506</v>
      </c>
      <c r="T207" s="40">
        <f t="shared" si="205"/>
        <v>0.04054054054</v>
      </c>
    </row>
    <row r="208" ht="15.75" customHeight="1">
      <c r="F208" s="23"/>
      <c r="G208" s="19">
        <f>$G$26</f>
        <v>18</v>
      </c>
      <c r="H208" s="16">
        <v>527.0</v>
      </c>
      <c r="I208" s="16">
        <v>168.0</v>
      </c>
      <c r="J208" s="16">
        <v>4.0</v>
      </c>
      <c r="K208" s="16">
        <v>31.0</v>
      </c>
      <c r="L208" s="16">
        <v>24.0</v>
      </c>
      <c r="N208" s="23"/>
      <c r="O208" s="19">
        <f>$G$14</f>
        <v>6</v>
      </c>
      <c r="P208" s="40">
        <f t="shared" ref="P208:T208" si="206">H220/A$239</f>
        <v>0.03453689168</v>
      </c>
      <c r="Q208" s="40">
        <f t="shared" si="206"/>
        <v>0.05430646835</v>
      </c>
      <c r="R208" s="40">
        <f t="shared" si="206"/>
        <v>0.009259259259</v>
      </c>
      <c r="S208" s="40">
        <f t="shared" si="206"/>
        <v>0.02247191011</v>
      </c>
      <c r="T208" s="40">
        <f t="shared" si="206"/>
        <v>0.02702702703</v>
      </c>
    </row>
    <row r="209" ht="15.75" customHeight="1">
      <c r="F209" s="23"/>
      <c r="G209" s="19">
        <f>$G$27</f>
        <v>19</v>
      </c>
      <c r="H209" s="16">
        <v>332.0</v>
      </c>
      <c r="I209" s="16">
        <v>103.0</v>
      </c>
      <c r="J209" s="16">
        <v>6.0</v>
      </c>
      <c r="K209" s="16">
        <v>14.0</v>
      </c>
      <c r="L209" s="16">
        <v>16.0</v>
      </c>
      <c r="N209" s="23"/>
      <c r="O209" s="19">
        <f>$G$15</f>
        <v>7</v>
      </c>
      <c r="P209" s="40">
        <f t="shared" ref="P209:T209" si="207">H221/A$239</f>
        <v>0.05294705295</v>
      </c>
      <c r="Q209" s="40">
        <f t="shared" si="207"/>
        <v>0.04911795227</v>
      </c>
      <c r="R209" s="40">
        <f t="shared" si="207"/>
        <v>0</v>
      </c>
      <c r="S209" s="40">
        <f t="shared" si="207"/>
        <v>0.02568218299</v>
      </c>
      <c r="T209" s="40">
        <f t="shared" si="207"/>
        <v>0.04633204633</v>
      </c>
    </row>
    <row r="210" ht="15.75" customHeight="1">
      <c r="F210" s="23"/>
      <c r="G210" s="19">
        <f>$G$28</f>
        <v>20</v>
      </c>
      <c r="H210" s="16">
        <v>268.0</v>
      </c>
      <c r="I210" s="16">
        <v>91.0</v>
      </c>
      <c r="J210" s="16">
        <v>1.0</v>
      </c>
      <c r="K210" s="16">
        <v>17.0</v>
      </c>
      <c r="L210" s="16">
        <v>16.0</v>
      </c>
      <c r="N210" s="23"/>
      <c r="O210" s="19">
        <f>$G$16</f>
        <v>8</v>
      </c>
      <c r="P210" s="40">
        <f t="shared" ref="P210:T210" si="208">H222/A$239</f>
        <v>0.04053089767</v>
      </c>
      <c r="Q210" s="40">
        <f t="shared" si="208"/>
        <v>0.04877205119</v>
      </c>
      <c r="R210" s="40">
        <f t="shared" si="208"/>
        <v>0.09259259259</v>
      </c>
      <c r="S210" s="40">
        <f t="shared" si="208"/>
        <v>0.04975922953</v>
      </c>
      <c r="T210" s="40">
        <f t="shared" si="208"/>
        <v>0.08301158301</v>
      </c>
    </row>
    <row r="211" ht="15.75" customHeight="1">
      <c r="F211" s="23"/>
      <c r="G211" s="19">
        <f>$G$29</f>
        <v>21</v>
      </c>
      <c r="H211" s="16">
        <v>172.0</v>
      </c>
      <c r="I211" s="16">
        <v>47.0</v>
      </c>
      <c r="J211" s="16">
        <v>0.0</v>
      </c>
      <c r="K211" s="16">
        <v>25.0</v>
      </c>
      <c r="L211" s="16">
        <v>7.0</v>
      </c>
      <c r="N211" s="23"/>
      <c r="O211" s="19">
        <f>$G$17</f>
        <v>9</v>
      </c>
      <c r="P211" s="40">
        <f t="shared" ref="P211:T211" si="209">H223/A$239</f>
        <v>0.04324247181</v>
      </c>
      <c r="Q211" s="40">
        <f t="shared" si="209"/>
        <v>0.05153925977</v>
      </c>
      <c r="R211" s="40">
        <f t="shared" si="209"/>
        <v>0.0462962963</v>
      </c>
      <c r="S211" s="40">
        <f t="shared" si="209"/>
        <v>0.07062600321</v>
      </c>
      <c r="T211" s="40">
        <f t="shared" si="209"/>
        <v>0.09073359073</v>
      </c>
    </row>
    <row r="212" ht="15.75" customHeight="1">
      <c r="F212" s="23"/>
      <c r="G212" s="19">
        <f>$G$30</f>
        <v>22</v>
      </c>
      <c r="H212" s="16">
        <v>155.0</v>
      </c>
      <c r="I212" s="16">
        <v>34.0</v>
      </c>
      <c r="J212" s="16">
        <v>0.0</v>
      </c>
      <c r="K212" s="16">
        <v>7.0</v>
      </c>
      <c r="L212" s="16">
        <v>12.0</v>
      </c>
      <c r="N212" s="23"/>
      <c r="O212" s="19">
        <f>$G$18</f>
        <v>10</v>
      </c>
      <c r="P212" s="40">
        <f t="shared" ref="P212:T212" si="210">H224/A$239</f>
        <v>0.04581133153</v>
      </c>
      <c r="Q212" s="40">
        <f t="shared" si="210"/>
        <v>0.04808024905</v>
      </c>
      <c r="R212" s="40">
        <f t="shared" si="210"/>
        <v>0.03703703704</v>
      </c>
      <c r="S212" s="40">
        <f t="shared" si="210"/>
        <v>0.06099518459</v>
      </c>
      <c r="T212" s="40">
        <f t="shared" si="210"/>
        <v>0.07722007722</v>
      </c>
    </row>
    <row r="213" ht="15.75" customHeight="1">
      <c r="A213" s="26">
        <f t="shared" ref="A213:E213" si="211">SUM(H190:H213)</f>
        <v>8075</v>
      </c>
      <c r="B213" s="26">
        <f t="shared" si="211"/>
        <v>2966</v>
      </c>
      <c r="C213" s="26">
        <f t="shared" si="211"/>
        <v>94</v>
      </c>
      <c r="D213" s="26">
        <f t="shared" si="211"/>
        <v>522</v>
      </c>
      <c r="E213" s="26">
        <f t="shared" si="211"/>
        <v>589</v>
      </c>
      <c r="F213" s="27"/>
      <c r="G213" s="19">
        <f>$G$31</f>
        <v>23</v>
      </c>
      <c r="H213" s="43">
        <v>75.0</v>
      </c>
      <c r="I213" s="43">
        <v>32.0</v>
      </c>
      <c r="J213" s="43">
        <v>0.0</v>
      </c>
      <c r="K213" s="43">
        <v>7.0</v>
      </c>
      <c r="L213" s="43">
        <v>18.0</v>
      </c>
      <c r="N213" s="23"/>
      <c r="O213" s="19">
        <f>$G$19</f>
        <v>11</v>
      </c>
      <c r="P213" s="40">
        <f t="shared" ref="P213:T213" si="212">H225/A$239</f>
        <v>0.04966462109</v>
      </c>
      <c r="Q213" s="40">
        <f t="shared" si="212"/>
        <v>0.05984088551</v>
      </c>
      <c r="R213" s="40">
        <f t="shared" si="212"/>
        <v>0.1111111111</v>
      </c>
      <c r="S213" s="40">
        <f t="shared" si="212"/>
        <v>0.0963081862</v>
      </c>
      <c r="T213" s="40">
        <f t="shared" si="212"/>
        <v>0.07722007722</v>
      </c>
    </row>
    <row r="214" ht="15.75" customHeight="1">
      <c r="F214" s="39">
        <v>45202.0</v>
      </c>
      <c r="G214" s="19">
        <f>$G$8</f>
        <v>0</v>
      </c>
      <c r="H214" s="34">
        <v>61.0</v>
      </c>
      <c r="I214" s="34">
        <v>17.0</v>
      </c>
      <c r="J214" s="34">
        <v>1.0</v>
      </c>
      <c r="K214" s="34">
        <v>9.0</v>
      </c>
      <c r="L214" s="34">
        <v>6.0</v>
      </c>
      <c r="N214" s="23"/>
      <c r="O214" s="19">
        <f>$G$20</f>
        <v>12</v>
      </c>
      <c r="P214" s="40">
        <f t="shared" ref="P214:T214" si="213">H226/A$239</f>
        <v>0.07135721421</v>
      </c>
      <c r="Q214" s="40">
        <f t="shared" si="213"/>
        <v>0.06502940159</v>
      </c>
      <c r="R214" s="40">
        <f t="shared" si="213"/>
        <v>0.03703703704</v>
      </c>
      <c r="S214" s="40">
        <f t="shared" si="213"/>
        <v>0.08025682183</v>
      </c>
      <c r="T214" s="40">
        <f t="shared" si="213"/>
        <v>0.06177606178</v>
      </c>
    </row>
    <row r="215" ht="15.75" customHeight="1">
      <c r="F215" s="23"/>
      <c r="G215" s="19">
        <f>$G$9</f>
        <v>1</v>
      </c>
      <c r="H215" s="34">
        <v>43.0</v>
      </c>
      <c r="I215" s="34">
        <v>14.0</v>
      </c>
      <c r="J215" s="34">
        <v>1.0</v>
      </c>
      <c r="K215" s="34">
        <v>8.0</v>
      </c>
      <c r="L215" s="34">
        <v>9.0</v>
      </c>
      <c r="N215" s="23"/>
      <c r="O215" s="19">
        <f>$G$21</f>
        <v>13</v>
      </c>
      <c r="P215" s="40">
        <f t="shared" ref="P215:T215" si="214">H227/A$239</f>
        <v>0.0727843585</v>
      </c>
      <c r="Q215" s="40">
        <f t="shared" si="214"/>
        <v>0.06572120374</v>
      </c>
      <c r="R215" s="40">
        <f t="shared" si="214"/>
        <v>0.09259259259</v>
      </c>
      <c r="S215" s="40">
        <f t="shared" si="214"/>
        <v>0.08025682183</v>
      </c>
      <c r="T215" s="40">
        <f t="shared" si="214"/>
        <v>0.05598455598</v>
      </c>
      <c r="U215" s="17">
        <f>$H$7</f>
        <v>31</v>
      </c>
      <c r="V215" s="17">
        <f>$I$7</f>
        <v>32</v>
      </c>
      <c r="W215" s="17">
        <f>$J$7</f>
        <v>41</v>
      </c>
      <c r="X215" s="17">
        <f>$K$7</f>
        <v>42</v>
      </c>
      <c r="Y215" s="17">
        <f>$L$7</f>
        <v>5</v>
      </c>
    </row>
    <row r="216" ht="15.75" customHeight="1">
      <c r="F216" s="23"/>
      <c r="G216" s="19">
        <f>$G$10</f>
        <v>2</v>
      </c>
      <c r="H216" s="34">
        <v>27.0</v>
      </c>
      <c r="I216" s="34">
        <v>16.0</v>
      </c>
      <c r="J216" s="34">
        <v>0.0</v>
      </c>
      <c r="K216" s="34">
        <v>6.0</v>
      </c>
      <c r="L216" s="34">
        <v>9.0</v>
      </c>
      <c r="N216" s="23"/>
      <c r="O216" s="19">
        <f>$G$22</f>
        <v>14</v>
      </c>
      <c r="P216" s="40">
        <f t="shared" ref="P216:T216" si="215">H228/A$239</f>
        <v>0.07050092764</v>
      </c>
      <c r="Q216" s="40">
        <f t="shared" si="215"/>
        <v>0.07886544448</v>
      </c>
      <c r="R216" s="40">
        <f t="shared" si="215"/>
        <v>0.1018518519</v>
      </c>
      <c r="S216" s="40">
        <f t="shared" si="215"/>
        <v>0.05617977528</v>
      </c>
      <c r="T216" s="40">
        <f t="shared" si="215"/>
        <v>0.09266409266</v>
      </c>
    </row>
    <row r="217" ht="15.75" customHeight="1">
      <c r="F217" s="23"/>
      <c r="G217" s="19">
        <f>$G$11</f>
        <v>3</v>
      </c>
      <c r="H217" s="34">
        <v>24.0</v>
      </c>
      <c r="I217" s="34">
        <v>13.0</v>
      </c>
      <c r="J217" s="34">
        <v>0.0</v>
      </c>
      <c r="K217" s="34">
        <v>3.0</v>
      </c>
      <c r="L217" s="34">
        <v>10.0</v>
      </c>
      <c r="N217" s="23"/>
      <c r="O217" s="19">
        <f>$G$23</f>
        <v>15</v>
      </c>
      <c r="P217" s="40">
        <f t="shared" ref="P217:T217" si="216">H229/A$239</f>
        <v>0.07949193663</v>
      </c>
      <c r="Q217" s="40">
        <f t="shared" si="216"/>
        <v>0.08474576271</v>
      </c>
      <c r="R217" s="40">
        <f t="shared" si="216"/>
        <v>0.05555555556</v>
      </c>
      <c r="S217" s="40">
        <f t="shared" si="216"/>
        <v>0.08667736758</v>
      </c>
      <c r="T217" s="40">
        <f t="shared" si="216"/>
        <v>0.05984555985</v>
      </c>
    </row>
    <row r="218" ht="15.75" customHeight="1">
      <c r="F218" s="23"/>
      <c r="G218" s="19">
        <f>$G$12</f>
        <v>4</v>
      </c>
      <c r="H218" s="34">
        <v>33.0</v>
      </c>
      <c r="I218" s="34">
        <v>14.0</v>
      </c>
      <c r="J218" s="34">
        <v>1.0</v>
      </c>
      <c r="K218" s="34">
        <v>6.0</v>
      </c>
      <c r="L218" s="34">
        <v>2.0</v>
      </c>
      <c r="N218" s="23"/>
      <c r="O218" s="19">
        <f>$G$24</f>
        <v>16</v>
      </c>
      <c r="P218" s="40">
        <f t="shared" ref="P218:T218" si="217">H230/A$239</f>
        <v>0.08648494363</v>
      </c>
      <c r="Q218" s="40">
        <f t="shared" si="217"/>
        <v>0.09754410239</v>
      </c>
      <c r="R218" s="40">
        <f t="shared" si="217"/>
        <v>0.07407407407</v>
      </c>
      <c r="S218" s="40">
        <f t="shared" si="217"/>
        <v>0.07223113965</v>
      </c>
      <c r="T218" s="40">
        <f t="shared" si="217"/>
        <v>0.03861003861</v>
      </c>
    </row>
    <row r="219" ht="15.75" customHeight="1">
      <c r="F219" s="23"/>
      <c r="G219" s="19">
        <f>$G$13</f>
        <v>5</v>
      </c>
      <c r="H219" s="34">
        <v>65.0</v>
      </c>
      <c r="I219" s="34">
        <v>32.0</v>
      </c>
      <c r="J219" s="34">
        <v>0.0</v>
      </c>
      <c r="K219" s="34">
        <v>7.0</v>
      </c>
      <c r="L219" s="34">
        <v>21.0</v>
      </c>
      <c r="N219" s="23"/>
      <c r="O219" s="19">
        <f>$G$25</f>
        <v>17</v>
      </c>
      <c r="P219" s="40">
        <f t="shared" ref="P219:T219" si="218">H231/A$239</f>
        <v>0.09604681033</v>
      </c>
      <c r="Q219" s="40">
        <f t="shared" si="218"/>
        <v>0.08232445521</v>
      </c>
      <c r="R219" s="40">
        <f t="shared" si="218"/>
        <v>0.1666666667</v>
      </c>
      <c r="S219" s="40">
        <f t="shared" si="218"/>
        <v>0.05778491172</v>
      </c>
      <c r="T219" s="40">
        <f t="shared" si="218"/>
        <v>0.03861003861</v>
      </c>
    </row>
    <row r="220" ht="15.75" customHeight="1">
      <c r="F220" s="23"/>
      <c r="G220" s="19">
        <f>$G$14</f>
        <v>6</v>
      </c>
      <c r="H220" s="34">
        <v>242.0</v>
      </c>
      <c r="I220" s="34">
        <v>157.0</v>
      </c>
      <c r="J220" s="34">
        <v>1.0</v>
      </c>
      <c r="K220" s="34">
        <v>14.0</v>
      </c>
      <c r="L220" s="34">
        <v>14.0</v>
      </c>
      <c r="N220" s="23"/>
      <c r="O220" s="19">
        <f>$G$26</f>
        <v>18</v>
      </c>
      <c r="P220" s="40">
        <f t="shared" ref="P220:T220" si="219">H232/A$239</f>
        <v>0.07064364207</v>
      </c>
      <c r="Q220" s="40">
        <f t="shared" si="219"/>
        <v>0.06502940159</v>
      </c>
      <c r="R220" s="40">
        <f t="shared" si="219"/>
        <v>0.06481481481</v>
      </c>
      <c r="S220" s="40">
        <f t="shared" si="219"/>
        <v>0.04494382022</v>
      </c>
      <c r="T220" s="40">
        <f t="shared" si="219"/>
        <v>0.02702702703</v>
      </c>
    </row>
    <row r="221" ht="15.75" customHeight="1">
      <c r="F221" s="23"/>
      <c r="G221" s="19">
        <f>$G$15</f>
        <v>7</v>
      </c>
      <c r="H221" s="34">
        <v>371.0</v>
      </c>
      <c r="I221" s="34">
        <v>142.0</v>
      </c>
      <c r="J221" s="34">
        <v>0.0</v>
      </c>
      <c r="K221" s="34">
        <v>16.0</v>
      </c>
      <c r="L221" s="34">
        <v>24.0</v>
      </c>
      <c r="N221" s="23"/>
      <c r="O221" s="19">
        <f>$G$27</f>
        <v>19</v>
      </c>
      <c r="P221" s="40">
        <f t="shared" ref="P221:T221" si="220">H233/A$239</f>
        <v>0.05023547881</v>
      </c>
      <c r="Q221" s="40">
        <f t="shared" si="220"/>
        <v>0.04012452439</v>
      </c>
      <c r="R221" s="40">
        <f t="shared" si="220"/>
        <v>0.01851851852</v>
      </c>
      <c r="S221" s="40">
        <f t="shared" si="220"/>
        <v>0.02728731942</v>
      </c>
      <c r="T221" s="40">
        <f t="shared" si="220"/>
        <v>0.01930501931</v>
      </c>
    </row>
    <row r="222" ht="15.75" customHeight="1">
      <c r="F222" s="23"/>
      <c r="G222" s="19">
        <f>$G$16</f>
        <v>8</v>
      </c>
      <c r="H222" s="34">
        <v>284.0</v>
      </c>
      <c r="I222" s="34">
        <v>141.0</v>
      </c>
      <c r="J222" s="34">
        <v>10.0</v>
      </c>
      <c r="K222" s="34">
        <v>31.0</v>
      </c>
      <c r="L222" s="34">
        <v>43.0</v>
      </c>
      <c r="N222" s="23"/>
      <c r="O222" s="19">
        <f>$G$28</f>
        <v>20</v>
      </c>
      <c r="P222" s="40">
        <f t="shared" ref="P222:T222" si="221">H234/A$239</f>
        <v>0.03696303696</v>
      </c>
      <c r="Q222" s="40">
        <f t="shared" si="221"/>
        <v>0.02352127292</v>
      </c>
      <c r="R222" s="40">
        <f t="shared" si="221"/>
        <v>0.03703703704</v>
      </c>
      <c r="S222" s="40">
        <f t="shared" si="221"/>
        <v>0.03531300161</v>
      </c>
      <c r="T222" s="40">
        <f t="shared" si="221"/>
        <v>0.02702702703</v>
      </c>
    </row>
    <row r="223" ht="15.75" customHeight="1">
      <c r="F223" s="23"/>
      <c r="G223" s="19">
        <f>$G$17</f>
        <v>9</v>
      </c>
      <c r="H223" s="34">
        <v>303.0</v>
      </c>
      <c r="I223" s="34">
        <v>149.0</v>
      </c>
      <c r="J223" s="34">
        <v>5.0</v>
      </c>
      <c r="K223" s="34">
        <v>44.0</v>
      </c>
      <c r="L223" s="34">
        <v>47.0</v>
      </c>
      <c r="N223" s="23"/>
      <c r="O223" s="19">
        <f>$G$29</f>
        <v>21</v>
      </c>
      <c r="P223" s="40">
        <f t="shared" ref="P223:T223" si="222">H235/A$239</f>
        <v>0.02782931354</v>
      </c>
      <c r="Q223" s="40">
        <f t="shared" si="222"/>
        <v>0.02282947077</v>
      </c>
      <c r="R223" s="40">
        <f t="shared" si="222"/>
        <v>0.02777777778</v>
      </c>
      <c r="S223" s="40">
        <f t="shared" si="222"/>
        <v>0.03210272873</v>
      </c>
      <c r="T223" s="40">
        <f t="shared" si="222"/>
        <v>0.01930501931</v>
      </c>
    </row>
    <row r="224" ht="15.75" customHeight="1">
      <c r="F224" s="23"/>
      <c r="G224" s="19">
        <f>$G$18</f>
        <v>10</v>
      </c>
      <c r="H224" s="34">
        <v>321.0</v>
      </c>
      <c r="I224" s="34">
        <v>139.0</v>
      </c>
      <c r="J224" s="34">
        <v>4.0</v>
      </c>
      <c r="K224" s="34">
        <v>38.0</v>
      </c>
      <c r="L224" s="34">
        <v>40.0</v>
      </c>
      <c r="N224" s="23"/>
      <c r="O224" s="19">
        <f>$G$30</f>
        <v>22</v>
      </c>
      <c r="P224" s="40">
        <f t="shared" ref="P224:T224" si="223">H236/A$239</f>
        <v>0.02126444984</v>
      </c>
      <c r="Q224" s="40">
        <f t="shared" si="223"/>
        <v>0.01591144933</v>
      </c>
      <c r="R224" s="40">
        <f t="shared" si="223"/>
        <v>0</v>
      </c>
      <c r="S224" s="40">
        <f t="shared" si="223"/>
        <v>0.01444622793</v>
      </c>
      <c r="T224" s="40">
        <f t="shared" si="223"/>
        <v>0.02316602317</v>
      </c>
    </row>
    <row r="225" ht="15.75" customHeight="1">
      <c r="F225" s="23"/>
      <c r="G225" s="19">
        <f>$G$19</f>
        <v>11</v>
      </c>
      <c r="H225" s="34">
        <v>348.0</v>
      </c>
      <c r="I225" s="34">
        <v>173.0</v>
      </c>
      <c r="J225" s="34">
        <v>12.0</v>
      </c>
      <c r="K225" s="34">
        <v>60.0</v>
      </c>
      <c r="L225" s="34">
        <v>40.0</v>
      </c>
      <c r="N225" s="27"/>
      <c r="O225" s="19">
        <f>$G$31</f>
        <v>23</v>
      </c>
      <c r="P225" s="40">
        <f t="shared" ref="P225:T225" si="224">H237/A$239</f>
        <v>0.0135578707</v>
      </c>
      <c r="Q225" s="40">
        <f t="shared" si="224"/>
        <v>0.0100311311</v>
      </c>
      <c r="R225" s="40">
        <f t="shared" si="224"/>
        <v>0</v>
      </c>
      <c r="S225" s="40">
        <f t="shared" si="224"/>
        <v>0.02407704655</v>
      </c>
      <c r="T225" s="40">
        <f t="shared" si="224"/>
        <v>0.0250965251</v>
      </c>
    </row>
    <row r="226" ht="15.75" customHeight="1">
      <c r="F226" s="23"/>
      <c r="G226" s="19">
        <f>$G$20</f>
        <v>12</v>
      </c>
      <c r="H226" s="34">
        <v>500.0</v>
      </c>
      <c r="I226" s="34">
        <v>188.0</v>
      </c>
      <c r="J226" s="34">
        <v>4.0</v>
      </c>
      <c r="K226" s="34">
        <v>50.0</v>
      </c>
      <c r="L226" s="34">
        <v>32.0</v>
      </c>
      <c r="N226" s="39">
        <v>45203.0</v>
      </c>
      <c r="O226" s="19">
        <f>$G$8</f>
        <v>0</v>
      </c>
      <c r="P226" s="40">
        <f t="shared" ref="P226:T226" si="225">H238/A$265</f>
        <v>0.007562736336</v>
      </c>
      <c r="Q226" s="40">
        <f t="shared" si="225"/>
        <v>0.00627090301</v>
      </c>
      <c r="R226" s="40">
        <f t="shared" si="225"/>
        <v>0.01298701299</v>
      </c>
      <c r="S226" s="40">
        <f t="shared" si="225"/>
        <v>0.00612244898</v>
      </c>
      <c r="T226" s="40">
        <f t="shared" si="225"/>
        <v>0.01174168297</v>
      </c>
    </row>
    <row r="227" ht="15.75" customHeight="1">
      <c r="F227" s="23"/>
      <c r="G227" s="19">
        <f>$G$21</f>
        <v>13</v>
      </c>
      <c r="H227" s="34">
        <v>510.0</v>
      </c>
      <c r="I227" s="34">
        <v>190.0</v>
      </c>
      <c r="J227" s="34">
        <v>10.0</v>
      </c>
      <c r="K227" s="34">
        <v>50.0</v>
      </c>
      <c r="L227" s="34">
        <v>29.0</v>
      </c>
      <c r="N227" s="23"/>
      <c r="O227" s="19">
        <f>$G$9</f>
        <v>1</v>
      </c>
      <c r="P227" s="40">
        <f t="shared" ref="P227:T227" si="226">H239/A$265</f>
        <v>0.003953248539</v>
      </c>
      <c r="Q227" s="40">
        <f t="shared" si="226"/>
        <v>0.006688963211</v>
      </c>
      <c r="R227" s="40">
        <f t="shared" si="226"/>
        <v>0</v>
      </c>
      <c r="S227" s="40">
        <f t="shared" si="226"/>
        <v>0.01428571429</v>
      </c>
      <c r="T227" s="40">
        <f t="shared" si="226"/>
        <v>0.01369863014</v>
      </c>
    </row>
    <row r="228" ht="15.75" customHeight="1">
      <c r="F228" s="23"/>
      <c r="G228" s="19">
        <f>$G$22</f>
        <v>14</v>
      </c>
      <c r="H228" s="34">
        <v>494.0</v>
      </c>
      <c r="I228" s="34">
        <v>228.0</v>
      </c>
      <c r="J228" s="34">
        <v>11.0</v>
      </c>
      <c r="K228" s="34">
        <v>35.0</v>
      </c>
      <c r="L228" s="34">
        <v>48.0</v>
      </c>
      <c r="N228" s="23"/>
      <c r="O228" s="19">
        <f>$G$10</f>
        <v>2</v>
      </c>
      <c r="P228" s="40">
        <f t="shared" ref="P228:T228" si="227">H240/A$265</f>
        <v>0.004297009282</v>
      </c>
      <c r="Q228" s="40">
        <f t="shared" si="227"/>
        <v>0.005852842809</v>
      </c>
      <c r="R228" s="40">
        <f t="shared" si="227"/>
        <v>0</v>
      </c>
      <c r="S228" s="40">
        <f t="shared" si="227"/>
        <v>0.008163265306</v>
      </c>
      <c r="T228" s="40">
        <f t="shared" si="227"/>
        <v>0.003913894325</v>
      </c>
    </row>
    <row r="229" ht="15.75" customHeight="1">
      <c r="F229" s="23"/>
      <c r="G229" s="19">
        <f>$G$23</f>
        <v>15</v>
      </c>
      <c r="H229" s="34">
        <v>557.0</v>
      </c>
      <c r="I229" s="34">
        <v>245.0</v>
      </c>
      <c r="J229" s="34">
        <v>6.0</v>
      </c>
      <c r="K229" s="34">
        <v>54.0</v>
      </c>
      <c r="L229" s="34">
        <v>31.0</v>
      </c>
      <c r="N229" s="23"/>
      <c r="O229" s="19">
        <f>$G$11</f>
        <v>3</v>
      </c>
      <c r="P229" s="40">
        <f t="shared" ref="P229:T229" si="228">H241/A$265</f>
        <v>0.003953248539</v>
      </c>
      <c r="Q229" s="40">
        <f t="shared" si="228"/>
        <v>0.007107023411</v>
      </c>
      <c r="R229" s="40">
        <f t="shared" si="228"/>
        <v>0</v>
      </c>
      <c r="S229" s="40">
        <f t="shared" si="228"/>
        <v>0</v>
      </c>
      <c r="T229" s="40">
        <f t="shared" si="228"/>
        <v>0.0313111546</v>
      </c>
    </row>
    <row r="230" ht="15.75" customHeight="1">
      <c r="F230" s="23"/>
      <c r="G230" s="19">
        <f>$G$24</f>
        <v>16</v>
      </c>
      <c r="H230" s="34">
        <v>606.0</v>
      </c>
      <c r="I230" s="34">
        <v>282.0</v>
      </c>
      <c r="J230" s="34">
        <v>8.0</v>
      </c>
      <c r="K230" s="34">
        <v>45.0</v>
      </c>
      <c r="L230" s="34">
        <v>20.0</v>
      </c>
      <c r="N230" s="23"/>
      <c r="O230" s="19">
        <f>$G$12</f>
        <v>4</v>
      </c>
      <c r="P230" s="40">
        <f t="shared" ref="P230:T230" si="229">H242/A$265</f>
        <v>0.00412512891</v>
      </c>
      <c r="Q230" s="40">
        <f t="shared" si="229"/>
        <v>0.005016722408</v>
      </c>
      <c r="R230" s="40">
        <f t="shared" si="229"/>
        <v>0</v>
      </c>
      <c r="S230" s="40">
        <f t="shared" si="229"/>
        <v>0.00612244898</v>
      </c>
      <c r="T230" s="40">
        <f t="shared" si="229"/>
        <v>0.0156555773</v>
      </c>
    </row>
    <row r="231" ht="15.75" customHeight="1">
      <c r="F231" s="23"/>
      <c r="G231" s="19">
        <f>$G$25</f>
        <v>17</v>
      </c>
      <c r="H231" s="34">
        <v>673.0</v>
      </c>
      <c r="I231" s="34">
        <v>238.0</v>
      </c>
      <c r="J231" s="34">
        <v>18.0</v>
      </c>
      <c r="K231" s="34">
        <v>36.0</v>
      </c>
      <c r="L231" s="34">
        <v>20.0</v>
      </c>
      <c r="N231" s="23"/>
      <c r="O231" s="19">
        <f>$G$13</f>
        <v>5</v>
      </c>
      <c r="P231" s="40">
        <f t="shared" ref="P231:T231" si="230">H243/A$265</f>
        <v>0.01100034376</v>
      </c>
      <c r="Q231" s="40">
        <f t="shared" si="230"/>
        <v>0.01337792642</v>
      </c>
      <c r="R231" s="40">
        <f t="shared" si="230"/>
        <v>0</v>
      </c>
      <c r="S231" s="40">
        <f t="shared" si="230"/>
        <v>0.01632653061</v>
      </c>
      <c r="T231" s="40">
        <f t="shared" si="230"/>
        <v>0.03522504892</v>
      </c>
    </row>
    <row r="232" ht="15.75" customHeight="1">
      <c r="F232" s="23"/>
      <c r="G232" s="19">
        <f>$G$26</f>
        <v>18</v>
      </c>
      <c r="H232" s="34">
        <v>495.0</v>
      </c>
      <c r="I232" s="34">
        <v>188.0</v>
      </c>
      <c r="J232" s="34">
        <v>7.0</v>
      </c>
      <c r="K232" s="34">
        <v>28.0</v>
      </c>
      <c r="L232" s="34">
        <v>14.0</v>
      </c>
      <c r="N232" s="23"/>
      <c r="O232" s="19">
        <f>$G$14</f>
        <v>6</v>
      </c>
      <c r="P232" s="40">
        <f t="shared" ref="P232:T232" si="231">H244/A$265</f>
        <v>0.03626675834</v>
      </c>
      <c r="Q232" s="40">
        <f t="shared" si="231"/>
        <v>0.0597826087</v>
      </c>
      <c r="R232" s="40">
        <f t="shared" si="231"/>
        <v>0</v>
      </c>
      <c r="S232" s="40">
        <f t="shared" si="231"/>
        <v>0.03265306122</v>
      </c>
      <c r="T232" s="40">
        <f t="shared" si="231"/>
        <v>0.05088062622</v>
      </c>
    </row>
    <row r="233" ht="15.75" customHeight="1">
      <c r="F233" s="23"/>
      <c r="G233" s="19">
        <f>$G$27</f>
        <v>19</v>
      </c>
      <c r="H233" s="34">
        <v>352.0</v>
      </c>
      <c r="I233" s="34">
        <v>116.0</v>
      </c>
      <c r="J233" s="34">
        <v>2.0</v>
      </c>
      <c r="K233" s="34">
        <v>17.0</v>
      </c>
      <c r="L233" s="34">
        <v>10.0</v>
      </c>
      <c r="N233" s="23"/>
      <c r="O233" s="19">
        <f>$G$15</f>
        <v>7</v>
      </c>
      <c r="P233" s="40">
        <f t="shared" ref="P233:T233" si="232">H245/A$265</f>
        <v>0.0622206944</v>
      </c>
      <c r="Q233" s="40">
        <f t="shared" si="232"/>
        <v>0.05351170569</v>
      </c>
      <c r="R233" s="40">
        <f t="shared" si="232"/>
        <v>0.02597402597</v>
      </c>
      <c r="S233" s="40">
        <f t="shared" si="232"/>
        <v>0.03265306122</v>
      </c>
      <c r="T233" s="40">
        <f t="shared" si="232"/>
        <v>0.0782778865</v>
      </c>
    </row>
    <row r="234" ht="15.75" customHeight="1">
      <c r="F234" s="23"/>
      <c r="G234" s="19">
        <f>$G$28</f>
        <v>20</v>
      </c>
      <c r="H234" s="34">
        <v>259.0</v>
      </c>
      <c r="I234" s="34">
        <v>68.0</v>
      </c>
      <c r="J234" s="34">
        <v>4.0</v>
      </c>
      <c r="K234" s="34">
        <v>22.0</v>
      </c>
      <c r="L234" s="34">
        <v>14.0</v>
      </c>
      <c r="N234" s="23"/>
      <c r="O234" s="19">
        <f>$G$16</f>
        <v>8</v>
      </c>
      <c r="P234" s="40">
        <f t="shared" ref="P234:T234" si="233">H246/A$265</f>
        <v>0.04451701616</v>
      </c>
      <c r="Q234" s="40">
        <f t="shared" si="233"/>
        <v>0.05602006689</v>
      </c>
      <c r="R234" s="40">
        <f t="shared" si="233"/>
        <v>0.06493506494</v>
      </c>
      <c r="S234" s="40">
        <f t="shared" si="233"/>
        <v>0.07142857143</v>
      </c>
      <c r="T234" s="40">
        <f t="shared" si="233"/>
        <v>0.08023483366</v>
      </c>
    </row>
    <row r="235" ht="15.75" customHeight="1">
      <c r="F235" s="23"/>
      <c r="G235" s="19">
        <f>$G$29</f>
        <v>21</v>
      </c>
      <c r="H235" s="34">
        <v>195.0</v>
      </c>
      <c r="I235" s="34">
        <v>66.0</v>
      </c>
      <c r="J235" s="34">
        <v>3.0</v>
      </c>
      <c r="K235" s="34">
        <v>20.0</v>
      </c>
      <c r="L235" s="34">
        <v>10.0</v>
      </c>
      <c r="N235" s="23"/>
      <c r="O235" s="19">
        <f>$G$17</f>
        <v>9</v>
      </c>
      <c r="P235" s="40">
        <f t="shared" ref="P235:T235" si="234">H247/A$265</f>
        <v>0.05070470952</v>
      </c>
      <c r="Q235" s="40">
        <f t="shared" si="234"/>
        <v>0.05476588629</v>
      </c>
      <c r="R235" s="40">
        <f t="shared" si="234"/>
        <v>0.05194805195</v>
      </c>
      <c r="S235" s="40">
        <f t="shared" si="234"/>
        <v>0.06326530612</v>
      </c>
      <c r="T235" s="40">
        <f t="shared" si="234"/>
        <v>0.1017612524</v>
      </c>
    </row>
    <row r="236" ht="15.75" customHeight="1">
      <c r="F236" s="23"/>
      <c r="G236" s="19">
        <f>$G$30</f>
        <v>22</v>
      </c>
      <c r="H236" s="34">
        <v>149.0</v>
      </c>
      <c r="I236" s="34">
        <v>46.0</v>
      </c>
      <c r="J236" s="34">
        <v>0.0</v>
      </c>
      <c r="K236" s="34">
        <v>9.0</v>
      </c>
      <c r="L236" s="34">
        <v>12.0</v>
      </c>
      <c r="N236" s="23"/>
      <c r="O236" s="19">
        <f>$G$18</f>
        <v>10</v>
      </c>
      <c r="P236" s="40">
        <f t="shared" ref="P236:T236" si="235">H248/A$265</f>
        <v>0.05482983843</v>
      </c>
      <c r="Q236" s="40">
        <f t="shared" si="235"/>
        <v>0.0597826087</v>
      </c>
      <c r="R236" s="40">
        <f t="shared" si="235"/>
        <v>0.05194805195</v>
      </c>
      <c r="S236" s="40">
        <f t="shared" si="235"/>
        <v>0.08775510204</v>
      </c>
      <c r="T236" s="40">
        <f t="shared" si="235"/>
        <v>0.0782778865</v>
      </c>
    </row>
    <row r="237" ht="15.75" customHeight="1">
      <c r="F237" s="27"/>
      <c r="G237" s="19">
        <f>$G$31</f>
        <v>23</v>
      </c>
      <c r="H237" s="34">
        <v>95.0</v>
      </c>
      <c r="I237" s="34">
        <v>29.0</v>
      </c>
      <c r="J237" s="34">
        <v>0.0</v>
      </c>
      <c r="K237" s="34">
        <v>15.0</v>
      </c>
      <c r="L237" s="34">
        <v>13.0</v>
      </c>
      <c r="N237" s="23"/>
      <c r="O237" s="19">
        <f>$G$19</f>
        <v>11</v>
      </c>
      <c r="P237" s="40">
        <f t="shared" ref="P237:T237" si="236">H249/A$265</f>
        <v>0.06118941217</v>
      </c>
      <c r="Q237" s="40">
        <f t="shared" si="236"/>
        <v>0.07274247492</v>
      </c>
      <c r="R237" s="40">
        <f t="shared" si="236"/>
        <v>0</v>
      </c>
      <c r="S237" s="40">
        <f t="shared" si="236"/>
        <v>0.07346938776</v>
      </c>
      <c r="T237" s="40">
        <f t="shared" si="236"/>
        <v>0.07436399217</v>
      </c>
    </row>
    <row r="238" ht="15.75" customHeight="1">
      <c r="F238" s="39">
        <v>45203.0</v>
      </c>
      <c r="G238" s="19">
        <f>$G$8</f>
        <v>0</v>
      </c>
      <c r="H238" s="20">
        <v>44.0</v>
      </c>
      <c r="I238" s="20">
        <v>15.0</v>
      </c>
      <c r="J238" s="20">
        <v>1.0</v>
      </c>
      <c r="K238" s="20">
        <v>3.0</v>
      </c>
      <c r="L238" s="20">
        <v>6.0</v>
      </c>
      <c r="N238" s="23"/>
      <c r="O238" s="19">
        <f>$G$20</f>
        <v>12</v>
      </c>
      <c r="P238" s="40">
        <f t="shared" ref="P238:T238" si="237">H250/A$265</f>
        <v>0.08336198006</v>
      </c>
      <c r="Q238" s="40">
        <f t="shared" si="237"/>
        <v>0.08277591973</v>
      </c>
      <c r="R238" s="40">
        <f t="shared" si="237"/>
        <v>0.03896103896</v>
      </c>
      <c r="S238" s="40">
        <f t="shared" si="237"/>
        <v>0.08571428571</v>
      </c>
      <c r="T238" s="40">
        <f t="shared" si="237"/>
        <v>0.05283757339</v>
      </c>
    </row>
    <row r="239" ht="15.75" customHeight="1">
      <c r="A239" s="26">
        <f t="shared" ref="A239:E239" si="238">SUM(H214:H237)</f>
        <v>7007</v>
      </c>
      <c r="B239" s="26">
        <f t="shared" si="238"/>
        <v>2891</v>
      </c>
      <c r="C239" s="26">
        <f t="shared" si="238"/>
        <v>108</v>
      </c>
      <c r="D239" s="26">
        <f t="shared" si="238"/>
        <v>623</v>
      </c>
      <c r="E239" s="26">
        <f t="shared" si="238"/>
        <v>518</v>
      </c>
      <c r="F239" s="23"/>
      <c r="G239" s="19">
        <f>$G$9</f>
        <v>1</v>
      </c>
      <c r="H239" s="20">
        <v>23.0</v>
      </c>
      <c r="I239" s="20">
        <v>16.0</v>
      </c>
      <c r="J239" s="20">
        <v>0.0</v>
      </c>
      <c r="K239" s="20">
        <v>7.0</v>
      </c>
      <c r="L239" s="20">
        <v>7.0</v>
      </c>
      <c r="N239" s="23"/>
      <c r="O239" s="19">
        <f>$G$21</f>
        <v>13</v>
      </c>
      <c r="P239" s="40">
        <f t="shared" ref="P239:T239" si="239">H251/A$265</f>
        <v>0.09659676865</v>
      </c>
      <c r="Q239" s="40">
        <f t="shared" si="239"/>
        <v>0.07566889632</v>
      </c>
      <c r="R239" s="40">
        <f t="shared" si="239"/>
        <v>0.1818181818</v>
      </c>
      <c r="S239" s="40">
        <f t="shared" si="239"/>
        <v>0.08367346939</v>
      </c>
      <c r="T239" s="40">
        <f t="shared" si="239"/>
        <v>0.05088062622</v>
      </c>
    </row>
    <row r="240" ht="15.75" customHeight="1">
      <c r="F240" s="23"/>
      <c r="G240" s="19">
        <f>$G$10</f>
        <v>2</v>
      </c>
      <c r="H240" s="16">
        <v>25.0</v>
      </c>
      <c r="I240" s="16">
        <v>14.0</v>
      </c>
      <c r="J240" s="16">
        <v>0.0</v>
      </c>
      <c r="K240" s="16">
        <v>4.0</v>
      </c>
      <c r="L240" s="16">
        <v>2.0</v>
      </c>
      <c r="N240" s="23"/>
      <c r="O240" s="19">
        <f>$G$22</f>
        <v>14</v>
      </c>
      <c r="P240" s="40">
        <f t="shared" ref="P240:T240" si="240">H252/A$265</f>
        <v>0.09539360605</v>
      </c>
      <c r="Q240" s="40">
        <f t="shared" si="240"/>
        <v>0.08862876254</v>
      </c>
      <c r="R240" s="40">
        <f t="shared" si="240"/>
        <v>0.1428571429</v>
      </c>
      <c r="S240" s="40">
        <f t="shared" si="240"/>
        <v>0.08163265306</v>
      </c>
      <c r="T240" s="40">
        <f t="shared" si="240"/>
        <v>0.0626223092</v>
      </c>
    </row>
    <row r="241" ht="15.75" customHeight="1">
      <c r="F241" s="23"/>
      <c r="G241" s="19">
        <f>$G$11</f>
        <v>3</v>
      </c>
      <c r="H241" s="20">
        <v>23.0</v>
      </c>
      <c r="I241" s="20">
        <v>17.0</v>
      </c>
      <c r="J241" s="20">
        <v>0.0</v>
      </c>
      <c r="K241" s="20">
        <v>0.0</v>
      </c>
      <c r="L241" s="20">
        <v>16.0</v>
      </c>
      <c r="N241" s="23"/>
      <c r="O241" s="19">
        <f>$G$23</f>
        <v>15</v>
      </c>
      <c r="P241" s="40">
        <f t="shared" ref="P241:T241" si="241">H253/A$265</f>
        <v>0.07940873152</v>
      </c>
      <c r="Q241" s="40">
        <f t="shared" si="241"/>
        <v>0.08444816054</v>
      </c>
      <c r="R241" s="40">
        <f t="shared" si="241"/>
        <v>0.1038961039</v>
      </c>
      <c r="S241" s="40">
        <f t="shared" si="241"/>
        <v>0.07755102041</v>
      </c>
      <c r="T241" s="40">
        <f t="shared" si="241"/>
        <v>0.04305283757</v>
      </c>
      <c r="U241" s="17">
        <f>$H$7</f>
        <v>31</v>
      </c>
      <c r="V241" s="17">
        <f>$I$7</f>
        <v>32</v>
      </c>
      <c r="W241" s="17">
        <f>$J$7</f>
        <v>41</v>
      </c>
      <c r="X241" s="17">
        <f>$K$7</f>
        <v>42</v>
      </c>
      <c r="Y241" s="17">
        <f>$L$7</f>
        <v>5</v>
      </c>
    </row>
    <row r="242" ht="15.75" customHeight="1">
      <c r="F242" s="23"/>
      <c r="G242" s="19">
        <f>$G$12</f>
        <v>4</v>
      </c>
      <c r="H242" s="20">
        <v>24.0</v>
      </c>
      <c r="I242" s="20">
        <v>12.0</v>
      </c>
      <c r="J242" s="20">
        <v>0.0</v>
      </c>
      <c r="K242" s="20">
        <v>3.0</v>
      </c>
      <c r="L242" s="20">
        <v>8.0</v>
      </c>
      <c r="N242" s="23"/>
      <c r="O242" s="19">
        <f>$G$24</f>
        <v>16</v>
      </c>
      <c r="P242" s="40">
        <f t="shared" ref="P242:T242" si="242">H254/A$265</f>
        <v>0.07889309041</v>
      </c>
      <c r="Q242" s="40">
        <f t="shared" si="242"/>
        <v>0.07859531773</v>
      </c>
      <c r="R242" s="40">
        <f t="shared" si="242"/>
        <v>0.1298701299</v>
      </c>
      <c r="S242" s="40">
        <f t="shared" si="242"/>
        <v>0.07959183673</v>
      </c>
      <c r="T242" s="40">
        <f t="shared" si="242"/>
        <v>0.03913894325</v>
      </c>
    </row>
    <row r="243" ht="15.75" customHeight="1">
      <c r="F243" s="23"/>
      <c r="G243" s="19">
        <f>$G$13</f>
        <v>5</v>
      </c>
      <c r="H243" s="20">
        <v>64.0</v>
      </c>
      <c r="I243" s="20">
        <v>32.0</v>
      </c>
      <c r="J243" s="20">
        <v>0.0</v>
      </c>
      <c r="K243" s="20">
        <v>8.0</v>
      </c>
      <c r="L243" s="20">
        <v>18.0</v>
      </c>
      <c r="N243" s="23"/>
      <c r="O243" s="19">
        <f>$G$25</f>
        <v>17</v>
      </c>
      <c r="P243" s="40">
        <f t="shared" ref="P243:T243" si="243">H255/A$265</f>
        <v>0.08026813338</v>
      </c>
      <c r="Q243" s="40">
        <f t="shared" si="243"/>
        <v>0.07984949833</v>
      </c>
      <c r="R243" s="40">
        <f t="shared" si="243"/>
        <v>0.1168831169</v>
      </c>
      <c r="S243" s="40">
        <f t="shared" si="243"/>
        <v>0.04081632653</v>
      </c>
      <c r="T243" s="40">
        <f t="shared" si="243"/>
        <v>0.0469667319</v>
      </c>
    </row>
    <row r="244" ht="15.75" customHeight="1">
      <c r="F244" s="23"/>
      <c r="G244" s="19">
        <f>$G$14</f>
        <v>6</v>
      </c>
      <c r="H244" s="20">
        <v>211.0</v>
      </c>
      <c r="I244" s="20">
        <v>143.0</v>
      </c>
      <c r="J244" s="20">
        <v>0.0</v>
      </c>
      <c r="K244" s="20">
        <v>16.0</v>
      </c>
      <c r="L244" s="20">
        <v>26.0</v>
      </c>
      <c r="N244" s="23"/>
      <c r="O244" s="19">
        <f>$G$26</f>
        <v>18</v>
      </c>
      <c r="P244" s="40">
        <f t="shared" ref="P244:T244" si="244">H256/A$265</f>
        <v>0.04898590581</v>
      </c>
      <c r="Q244" s="40">
        <f t="shared" si="244"/>
        <v>0.04306020067</v>
      </c>
      <c r="R244" s="40">
        <f t="shared" si="244"/>
        <v>0.03896103896</v>
      </c>
      <c r="S244" s="40">
        <f t="shared" si="244"/>
        <v>0.04081632653</v>
      </c>
      <c r="T244" s="40">
        <f t="shared" si="244"/>
        <v>0.03522504892</v>
      </c>
    </row>
    <row r="245" ht="15.75" customHeight="1">
      <c r="F245" s="23"/>
      <c r="G245" s="19">
        <f>$G$15</f>
        <v>7</v>
      </c>
      <c r="H245" s="20">
        <v>362.0</v>
      </c>
      <c r="I245" s="20">
        <v>128.0</v>
      </c>
      <c r="J245" s="20">
        <v>2.0</v>
      </c>
      <c r="K245" s="20">
        <v>16.0</v>
      </c>
      <c r="L245" s="20">
        <v>40.0</v>
      </c>
      <c r="N245" s="23"/>
      <c r="O245" s="19">
        <f>$G$27</f>
        <v>19</v>
      </c>
      <c r="P245" s="40">
        <f t="shared" ref="P245:T245" si="245">H257/A$265</f>
        <v>0.03317291165</v>
      </c>
      <c r="Q245" s="40">
        <f t="shared" si="245"/>
        <v>0.02090301003</v>
      </c>
      <c r="R245" s="40">
        <f t="shared" si="245"/>
        <v>0.01298701299</v>
      </c>
      <c r="S245" s="40">
        <f t="shared" si="245"/>
        <v>0.03469387755</v>
      </c>
      <c r="T245" s="40">
        <f t="shared" si="245"/>
        <v>0.02544031311</v>
      </c>
    </row>
    <row r="246" ht="15.75" customHeight="1">
      <c r="F246" s="23"/>
      <c r="G246" s="19">
        <f>$G$16</f>
        <v>8</v>
      </c>
      <c r="H246" s="20">
        <v>259.0</v>
      </c>
      <c r="I246" s="20">
        <v>134.0</v>
      </c>
      <c r="J246" s="20">
        <v>5.0</v>
      </c>
      <c r="K246" s="20">
        <v>35.0</v>
      </c>
      <c r="L246" s="20">
        <v>41.0</v>
      </c>
      <c r="N246" s="23"/>
      <c r="O246" s="19">
        <f>$G$28</f>
        <v>20</v>
      </c>
      <c r="P246" s="40">
        <f t="shared" ref="P246:T246" si="246">H258/A$265</f>
        <v>0.02200068752</v>
      </c>
      <c r="Q246" s="40">
        <f t="shared" si="246"/>
        <v>0.01881270903</v>
      </c>
      <c r="R246" s="40">
        <f t="shared" si="246"/>
        <v>0.01298701299</v>
      </c>
      <c r="S246" s="40">
        <f t="shared" si="246"/>
        <v>0.02857142857</v>
      </c>
      <c r="T246" s="40">
        <f t="shared" si="246"/>
        <v>0.02348336595</v>
      </c>
    </row>
    <row r="247" ht="15.75" customHeight="1">
      <c r="F247" s="23"/>
      <c r="G247" s="19">
        <f>$G$17</f>
        <v>9</v>
      </c>
      <c r="H247" s="20">
        <v>295.0</v>
      </c>
      <c r="I247" s="20">
        <v>131.0</v>
      </c>
      <c r="J247" s="20">
        <v>4.0</v>
      </c>
      <c r="K247" s="20">
        <v>31.0</v>
      </c>
      <c r="L247" s="20">
        <v>52.0</v>
      </c>
      <c r="N247" s="23"/>
      <c r="O247" s="19">
        <f>$G$29</f>
        <v>21</v>
      </c>
      <c r="P247" s="40">
        <f t="shared" ref="P247:T247" si="247">H259/A$265</f>
        <v>0.01684427638</v>
      </c>
      <c r="Q247" s="40">
        <f t="shared" si="247"/>
        <v>0.01086956522</v>
      </c>
      <c r="R247" s="40">
        <f t="shared" si="247"/>
        <v>0</v>
      </c>
      <c r="S247" s="40">
        <f t="shared" si="247"/>
        <v>0.01020408163</v>
      </c>
      <c r="T247" s="40">
        <f t="shared" si="247"/>
        <v>0.0156555773</v>
      </c>
    </row>
    <row r="248" ht="15.75" customHeight="1">
      <c r="F248" s="23"/>
      <c r="G248" s="19">
        <f>$G$18</f>
        <v>10</v>
      </c>
      <c r="H248" s="20">
        <v>319.0</v>
      </c>
      <c r="I248" s="20">
        <v>143.0</v>
      </c>
      <c r="J248" s="20">
        <v>4.0</v>
      </c>
      <c r="K248" s="20">
        <v>43.0</v>
      </c>
      <c r="L248" s="20">
        <v>40.0</v>
      </c>
      <c r="N248" s="23"/>
      <c r="O248" s="19">
        <f>$G$30</f>
        <v>22</v>
      </c>
      <c r="P248" s="40">
        <f t="shared" ref="P248:T248" si="248">H260/A$265</f>
        <v>0.0125472671</v>
      </c>
      <c r="Q248" s="40">
        <f t="shared" si="248"/>
        <v>0.01128762542</v>
      </c>
      <c r="R248" s="40">
        <f t="shared" si="248"/>
        <v>0.01298701299</v>
      </c>
      <c r="S248" s="40">
        <f t="shared" si="248"/>
        <v>0.01632653061</v>
      </c>
      <c r="T248" s="40">
        <f t="shared" si="248"/>
        <v>0.02739726027</v>
      </c>
    </row>
    <row r="249" ht="15.75" customHeight="1">
      <c r="F249" s="23"/>
      <c r="G249" s="19">
        <f>$G$19</f>
        <v>11</v>
      </c>
      <c r="H249" s="20">
        <v>356.0</v>
      </c>
      <c r="I249" s="20">
        <v>174.0</v>
      </c>
      <c r="J249" s="20">
        <v>0.0</v>
      </c>
      <c r="K249" s="20">
        <v>36.0</v>
      </c>
      <c r="L249" s="20">
        <v>38.0</v>
      </c>
      <c r="N249" s="27"/>
      <c r="O249" s="19">
        <f>$G$31</f>
        <v>23</v>
      </c>
      <c r="P249" s="40">
        <f t="shared" ref="P249:T249" si="249">H261/A$265</f>
        <v>0.007906497078</v>
      </c>
      <c r="Q249" s="40">
        <f t="shared" si="249"/>
        <v>0.004180602007</v>
      </c>
      <c r="R249" s="40">
        <f t="shared" si="249"/>
        <v>0</v>
      </c>
      <c r="S249" s="40">
        <f t="shared" si="249"/>
        <v>0.008163265306</v>
      </c>
      <c r="T249" s="40">
        <f t="shared" si="249"/>
        <v>0.001956947162</v>
      </c>
    </row>
    <row r="250" ht="15.75" customHeight="1">
      <c r="F250" s="23"/>
      <c r="G250" s="19">
        <f>$G$20</f>
        <v>12</v>
      </c>
      <c r="H250" s="20">
        <v>485.0</v>
      </c>
      <c r="I250" s="20">
        <v>198.0</v>
      </c>
      <c r="J250" s="20">
        <v>3.0</v>
      </c>
      <c r="K250" s="20">
        <v>42.0</v>
      </c>
      <c r="L250" s="20">
        <v>27.0</v>
      </c>
      <c r="N250" s="39">
        <v>45204.0</v>
      </c>
      <c r="O250" s="19">
        <f>$G$8</f>
        <v>0</v>
      </c>
      <c r="P250" s="40">
        <f t="shared" ref="P250:T250" si="250">H262/A$285</f>
        <v>0.01308793456</v>
      </c>
      <c r="Q250" s="40">
        <f t="shared" si="250"/>
        <v>0.009603841537</v>
      </c>
      <c r="R250" s="40">
        <f t="shared" si="250"/>
        <v>0.04761904762</v>
      </c>
      <c r="S250" s="40">
        <f t="shared" si="250"/>
        <v>0.01324503311</v>
      </c>
      <c r="T250" s="40">
        <f t="shared" si="250"/>
        <v>0.02105263158</v>
      </c>
    </row>
    <row r="251" ht="15.75" customHeight="1">
      <c r="F251" s="23"/>
      <c r="G251" s="19">
        <f>$G$21</f>
        <v>13</v>
      </c>
      <c r="H251" s="20">
        <v>562.0</v>
      </c>
      <c r="I251" s="20">
        <v>181.0</v>
      </c>
      <c r="J251" s="20">
        <v>14.0</v>
      </c>
      <c r="K251" s="20">
        <v>41.0</v>
      </c>
      <c r="L251" s="20">
        <v>26.0</v>
      </c>
      <c r="N251" s="23"/>
      <c r="O251" s="19">
        <f>$G$9</f>
        <v>1</v>
      </c>
      <c r="P251" s="40">
        <f t="shared" ref="P251:T251" si="251">H263/A$285</f>
        <v>0.00981595092</v>
      </c>
      <c r="Q251" s="40">
        <f t="shared" si="251"/>
        <v>0.01200480192</v>
      </c>
      <c r="R251" s="40">
        <f t="shared" si="251"/>
        <v>0</v>
      </c>
      <c r="S251" s="40">
        <f t="shared" si="251"/>
        <v>0.01986754967</v>
      </c>
      <c r="T251" s="40">
        <f t="shared" si="251"/>
        <v>0</v>
      </c>
    </row>
    <row r="252" ht="15.75" customHeight="1">
      <c r="F252" s="23"/>
      <c r="G252" s="19">
        <f>$G$22</f>
        <v>14</v>
      </c>
      <c r="H252" s="20">
        <v>555.0</v>
      </c>
      <c r="I252" s="20">
        <v>212.0</v>
      </c>
      <c r="J252" s="20">
        <v>11.0</v>
      </c>
      <c r="K252" s="20">
        <v>40.0</v>
      </c>
      <c r="L252" s="20">
        <v>32.0</v>
      </c>
      <c r="N252" s="23"/>
      <c r="O252" s="19">
        <f>$G$10</f>
        <v>2</v>
      </c>
      <c r="P252" s="40">
        <f t="shared" ref="P252:T252" si="252">H264/A$285</f>
        <v>0.007770961145</v>
      </c>
      <c r="Q252" s="40">
        <f t="shared" si="252"/>
        <v>0.002400960384</v>
      </c>
      <c r="R252" s="40">
        <f t="shared" si="252"/>
        <v>0</v>
      </c>
      <c r="S252" s="40">
        <f t="shared" si="252"/>
        <v>0.02649006623</v>
      </c>
      <c r="T252" s="40">
        <f t="shared" si="252"/>
        <v>0.04210526316</v>
      </c>
    </row>
    <row r="253" ht="15.75" customHeight="1">
      <c r="F253" s="23"/>
      <c r="G253" s="19">
        <f>$G$23</f>
        <v>15</v>
      </c>
      <c r="H253" s="20">
        <v>462.0</v>
      </c>
      <c r="I253" s="20">
        <v>202.0</v>
      </c>
      <c r="J253" s="20">
        <v>8.0</v>
      </c>
      <c r="K253" s="20">
        <v>38.0</v>
      </c>
      <c r="L253" s="20">
        <v>22.0</v>
      </c>
      <c r="N253" s="23"/>
      <c r="O253" s="19">
        <f>$G$11</f>
        <v>3</v>
      </c>
      <c r="P253" s="40">
        <f t="shared" ref="P253:T253" si="253">H265/A$285</f>
        <v>0.006952965235</v>
      </c>
      <c r="Q253" s="40">
        <f t="shared" si="253"/>
        <v>0.003601440576</v>
      </c>
      <c r="R253" s="40">
        <f t="shared" si="253"/>
        <v>0</v>
      </c>
      <c r="S253" s="40">
        <f t="shared" si="253"/>
        <v>0.01324503311</v>
      </c>
      <c r="T253" s="40">
        <f t="shared" si="253"/>
        <v>0.03157894737</v>
      </c>
    </row>
    <row r="254" ht="15.75" customHeight="1">
      <c r="F254" s="23"/>
      <c r="G254" s="19">
        <f>$G$24</f>
        <v>16</v>
      </c>
      <c r="H254" s="20">
        <v>459.0</v>
      </c>
      <c r="I254" s="20">
        <v>188.0</v>
      </c>
      <c r="J254" s="20">
        <v>10.0</v>
      </c>
      <c r="K254" s="20">
        <v>39.0</v>
      </c>
      <c r="L254" s="20">
        <v>20.0</v>
      </c>
      <c r="N254" s="23"/>
      <c r="O254" s="19">
        <f>$G$12</f>
        <v>4</v>
      </c>
      <c r="P254" s="40">
        <f t="shared" ref="P254:T254" si="254">H266/A$285</f>
        <v>0.00490797546</v>
      </c>
      <c r="Q254" s="40">
        <f t="shared" si="254"/>
        <v>0.002400960384</v>
      </c>
      <c r="R254" s="40">
        <f t="shared" si="254"/>
        <v>0</v>
      </c>
      <c r="S254" s="40">
        <f t="shared" si="254"/>
        <v>0.01986754967</v>
      </c>
      <c r="T254" s="40">
        <f t="shared" si="254"/>
        <v>0</v>
      </c>
    </row>
    <row r="255" ht="15.75" customHeight="1">
      <c r="F255" s="23"/>
      <c r="G255" s="19">
        <f>$G$25</f>
        <v>17</v>
      </c>
      <c r="H255" s="20">
        <v>467.0</v>
      </c>
      <c r="I255" s="20">
        <v>191.0</v>
      </c>
      <c r="J255" s="20">
        <v>9.0</v>
      </c>
      <c r="K255" s="20">
        <v>20.0</v>
      </c>
      <c r="L255" s="20">
        <v>24.0</v>
      </c>
      <c r="N255" s="23"/>
      <c r="O255" s="19">
        <f>$G$13</f>
        <v>5</v>
      </c>
      <c r="P255" s="40">
        <f t="shared" ref="P255:T255" si="255">H267/A$285</f>
        <v>0.007770961145</v>
      </c>
      <c r="Q255" s="40">
        <f t="shared" si="255"/>
        <v>0.01080432173</v>
      </c>
      <c r="R255" s="40">
        <f t="shared" si="255"/>
        <v>0</v>
      </c>
      <c r="S255" s="40">
        <f t="shared" si="255"/>
        <v>0.006622516556</v>
      </c>
      <c r="T255" s="40">
        <f t="shared" si="255"/>
        <v>0.04210526316</v>
      </c>
    </row>
    <row r="256" ht="15.75" customHeight="1">
      <c r="F256" s="23"/>
      <c r="G256" s="19">
        <f>$G$26</f>
        <v>18</v>
      </c>
      <c r="H256" s="20">
        <v>285.0</v>
      </c>
      <c r="I256" s="20">
        <v>103.0</v>
      </c>
      <c r="J256" s="20">
        <v>3.0</v>
      </c>
      <c r="K256" s="20">
        <v>20.0</v>
      </c>
      <c r="L256" s="20">
        <v>18.0</v>
      </c>
      <c r="N256" s="23"/>
      <c r="O256" s="19">
        <f>$G$14</f>
        <v>6</v>
      </c>
      <c r="P256" s="40">
        <f t="shared" ref="P256:T256" si="256">H268/A$285</f>
        <v>0.01431492843</v>
      </c>
      <c r="Q256" s="40">
        <f t="shared" si="256"/>
        <v>0.02521008403</v>
      </c>
      <c r="R256" s="40">
        <f t="shared" si="256"/>
        <v>0</v>
      </c>
      <c r="S256" s="40">
        <f t="shared" si="256"/>
        <v>0.03311258278</v>
      </c>
      <c r="T256" s="40">
        <f t="shared" si="256"/>
        <v>0</v>
      </c>
    </row>
    <row r="257" ht="15.75" customHeight="1">
      <c r="F257" s="23"/>
      <c r="G257" s="19">
        <f>$G$27</f>
        <v>19</v>
      </c>
      <c r="H257" s="20">
        <v>193.0</v>
      </c>
      <c r="I257" s="20">
        <v>50.0</v>
      </c>
      <c r="J257" s="20">
        <v>1.0</v>
      </c>
      <c r="K257" s="20">
        <v>17.0</v>
      </c>
      <c r="L257" s="20">
        <v>13.0</v>
      </c>
      <c r="N257" s="23"/>
      <c r="O257" s="19">
        <f>$G$15</f>
        <v>7</v>
      </c>
      <c r="P257" s="40">
        <f t="shared" ref="P257:T257" si="257">H269/A$285</f>
        <v>0.02658486708</v>
      </c>
      <c r="Q257" s="40">
        <f t="shared" si="257"/>
        <v>0.02761104442</v>
      </c>
      <c r="R257" s="40">
        <f t="shared" si="257"/>
        <v>0</v>
      </c>
      <c r="S257" s="40">
        <f t="shared" si="257"/>
        <v>0.03311258278</v>
      </c>
      <c r="T257" s="40">
        <f t="shared" si="257"/>
        <v>0.04210526316</v>
      </c>
    </row>
    <row r="258" ht="15.75" customHeight="1">
      <c r="F258" s="23"/>
      <c r="G258" s="19">
        <f>$G$28</f>
        <v>20</v>
      </c>
      <c r="H258" s="20">
        <v>128.0</v>
      </c>
      <c r="I258" s="20">
        <v>45.0</v>
      </c>
      <c r="J258" s="20">
        <v>1.0</v>
      </c>
      <c r="K258" s="20">
        <v>14.0</v>
      </c>
      <c r="L258" s="20">
        <v>12.0</v>
      </c>
      <c r="N258" s="23"/>
      <c r="O258" s="19">
        <f>$G$16</f>
        <v>8</v>
      </c>
      <c r="P258" s="40">
        <f t="shared" ref="P258:T258" si="258">H270/A$285</f>
        <v>0.02658486708</v>
      </c>
      <c r="Q258" s="40">
        <f t="shared" si="258"/>
        <v>0.02400960384</v>
      </c>
      <c r="R258" s="40">
        <f t="shared" si="258"/>
        <v>0.09523809524</v>
      </c>
      <c r="S258" s="40">
        <f t="shared" si="258"/>
        <v>0.06622516556</v>
      </c>
      <c r="T258" s="40">
        <f t="shared" si="258"/>
        <v>0.1368421053</v>
      </c>
    </row>
    <row r="259" ht="15.75" customHeight="1">
      <c r="F259" s="23"/>
      <c r="G259" s="19">
        <f>$G$29</f>
        <v>21</v>
      </c>
      <c r="H259" s="20">
        <v>98.0</v>
      </c>
      <c r="I259" s="20">
        <v>26.0</v>
      </c>
      <c r="J259" s="20">
        <v>0.0</v>
      </c>
      <c r="K259" s="20">
        <v>5.0</v>
      </c>
      <c r="L259" s="20">
        <v>8.0</v>
      </c>
      <c r="N259" s="23"/>
      <c r="O259" s="19">
        <f>$G$17</f>
        <v>9</v>
      </c>
      <c r="P259" s="40">
        <f t="shared" ref="P259:T259" si="259">H271/A$285</f>
        <v>0.02617586912</v>
      </c>
      <c r="Q259" s="40">
        <f t="shared" si="259"/>
        <v>0.03841536615</v>
      </c>
      <c r="R259" s="40">
        <f t="shared" si="259"/>
        <v>0</v>
      </c>
      <c r="S259" s="40">
        <f t="shared" si="259"/>
        <v>0.06622516556</v>
      </c>
      <c r="T259" s="40">
        <f t="shared" si="259"/>
        <v>0.07368421053</v>
      </c>
    </row>
    <row r="260" ht="15.75" customHeight="1">
      <c r="F260" s="23"/>
      <c r="G260" s="19">
        <f>$G$30</f>
        <v>22</v>
      </c>
      <c r="H260" s="20">
        <v>73.0</v>
      </c>
      <c r="I260" s="20">
        <v>27.0</v>
      </c>
      <c r="J260" s="20">
        <v>1.0</v>
      </c>
      <c r="K260" s="20">
        <v>8.0</v>
      </c>
      <c r="L260" s="20">
        <v>14.0</v>
      </c>
      <c r="N260" s="23"/>
      <c r="O260" s="19">
        <f>$G$18</f>
        <v>10</v>
      </c>
      <c r="P260" s="40">
        <f t="shared" ref="P260:T260" si="260">H272/A$285</f>
        <v>0.03967280164</v>
      </c>
      <c r="Q260" s="40">
        <f t="shared" si="260"/>
        <v>0.04801920768</v>
      </c>
      <c r="R260" s="40">
        <f t="shared" si="260"/>
        <v>0.04761904762</v>
      </c>
      <c r="S260" s="40">
        <f t="shared" si="260"/>
        <v>0.09933774834</v>
      </c>
      <c r="T260" s="40">
        <f t="shared" si="260"/>
        <v>0.1157894737</v>
      </c>
    </row>
    <row r="261" ht="15.75" customHeight="1">
      <c r="F261" s="27"/>
      <c r="G261" s="19">
        <f>$G$31</f>
        <v>23</v>
      </c>
      <c r="H261" s="20">
        <v>46.0</v>
      </c>
      <c r="I261" s="20">
        <v>10.0</v>
      </c>
      <c r="J261" s="20">
        <v>0.0</v>
      </c>
      <c r="K261" s="20">
        <v>4.0</v>
      </c>
      <c r="L261" s="20">
        <v>1.0</v>
      </c>
      <c r="N261" s="23"/>
      <c r="O261" s="19">
        <f>$G$19</f>
        <v>11</v>
      </c>
      <c r="P261" s="40">
        <f t="shared" ref="P261:T261" si="261">H273/A$285</f>
        <v>0.04335378323</v>
      </c>
      <c r="Q261" s="40">
        <f t="shared" si="261"/>
        <v>0.05762304922</v>
      </c>
      <c r="R261" s="40">
        <f t="shared" si="261"/>
        <v>0.2380952381</v>
      </c>
      <c r="S261" s="40">
        <f t="shared" si="261"/>
        <v>0.09933774834</v>
      </c>
      <c r="T261" s="40">
        <f t="shared" si="261"/>
        <v>0.01052631579</v>
      </c>
    </row>
    <row r="262" ht="15.75" customHeight="1">
      <c r="F262" s="39">
        <v>45204.0</v>
      </c>
      <c r="G262" s="19">
        <f>$G$8</f>
        <v>0</v>
      </c>
      <c r="H262" s="20">
        <v>32.0</v>
      </c>
      <c r="I262" s="20">
        <v>8.0</v>
      </c>
      <c r="J262" s="20">
        <v>1.0</v>
      </c>
      <c r="K262" s="20">
        <v>2.0</v>
      </c>
      <c r="L262" s="20">
        <v>2.0</v>
      </c>
      <c r="N262" s="23"/>
      <c r="O262" s="19">
        <f>$G$20</f>
        <v>12</v>
      </c>
      <c r="P262" s="40">
        <f t="shared" ref="P262:T262" si="262">H274/A$285</f>
        <v>0.0490797546</v>
      </c>
      <c r="Q262" s="40">
        <f t="shared" si="262"/>
        <v>0.06602641056</v>
      </c>
      <c r="R262" s="40">
        <f t="shared" si="262"/>
        <v>0.09523809524</v>
      </c>
      <c r="S262" s="40">
        <f t="shared" si="262"/>
        <v>0.04635761589</v>
      </c>
      <c r="T262" s="40">
        <f t="shared" si="262"/>
        <v>0.02105263158</v>
      </c>
    </row>
    <row r="263" ht="15.75" customHeight="1">
      <c r="F263" s="23"/>
      <c r="G263" s="19">
        <f>$G$9</f>
        <v>1</v>
      </c>
      <c r="H263" s="20">
        <v>24.0</v>
      </c>
      <c r="I263" s="20">
        <v>10.0</v>
      </c>
      <c r="J263" s="20">
        <v>0.0</v>
      </c>
      <c r="K263" s="20">
        <v>3.0</v>
      </c>
      <c r="L263" s="20">
        <v>0.0</v>
      </c>
      <c r="N263" s="23"/>
      <c r="O263" s="19">
        <f>$G$21</f>
        <v>13</v>
      </c>
      <c r="P263" s="40">
        <f t="shared" ref="P263:T263" si="263">H275/A$285</f>
        <v>0.06175869121</v>
      </c>
      <c r="Q263" s="40">
        <f t="shared" si="263"/>
        <v>0.05402160864</v>
      </c>
      <c r="R263" s="40">
        <f t="shared" si="263"/>
        <v>0</v>
      </c>
      <c r="S263" s="40">
        <f t="shared" si="263"/>
        <v>0.04635761589</v>
      </c>
      <c r="T263" s="40">
        <f t="shared" si="263"/>
        <v>0.05263157895</v>
      </c>
    </row>
    <row r="264" ht="15.75" customHeight="1">
      <c r="F264" s="23"/>
      <c r="G264" s="19">
        <f>$G$10</f>
        <v>2</v>
      </c>
      <c r="H264" s="16">
        <v>19.0</v>
      </c>
      <c r="I264" s="16">
        <v>2.0</v>
      </c>
      <c r="J264" s="16">
        <v>0.0</v>
      </c>
      <c r="K264" s="16">
        <v>4.0</v>
      </c>
      <c r="L264" s="16">
        <v>4.0</v>
      </c>
      <c r="N264" s="23"/>
      <c r="O264" s="19">
        <f>$G$22</f>
        <v>14</v>
      </c>
      <c r="P264" s="40">
        <f t="shared" ref="P264:T264" si="264">H276/A$285</f>
        <v>0.0981595092</v>
      </c>
      <c r="Q264" s="40">
        <f t="shared" si="264"/>
        <v>0.08163265306</v>
      </c>
      <c r="R264" s="40">
        <f t="shared" si="264"/>
        <v>0.04761904762</v>
      </c>
      <c r="S264" s="40">
        <f t="shared" si="264"/>
        <v>0.04635761589</v>
      </c>
      <c r="T264" s="40">
        <f t="shared" si="264"/>
        <v>0.02105263158</v>
      </c>
    </row>
    <row r="265" ht="15.75" customHeight="1">
      <c r="A265" s="26">
        <f t="shared" ref="A265:E265" si="265">SUM(H238:H261)</f>
        <v>5818</v>
      </c>
      <c r="B265" s="26">
        <f t="shared" si="265"/>
        <v>2392</v>
      </c>
      <c r="C265" s="26">
        <f t="shared" si="265"/>
        <v>77</v>
      </c>
      <c r="D265" s="26">
        <f t="shared" si="265"/>
        <v>490</v>
      </c>
      <c r="E265" s="26">
        <f t="shared" si="265"/>
        <v>511</v>
      </c>
      <c r="F265" s="23"/>
      <c r="G265" s="19">
        <f>$G$11</f>
        <v>3</v>
      </c>
      <c r="H265" s="20">
        <v>17.0</v>
      </c>
      <c r="I265" s="20">
        <v>3.0</v>
      </c>
      <c r="J265" s="20">
        <v>0.0</v>
      </c>
      <c r="K265" s="20">
        <v>2.0</v>
      </c>
      <c r="L265" s="20">
        <v>3.0</v>
      </c>
      <c r="N265" s="23"/>
      <c r="O265" s="19">
        <f>$G$23</f>
        <v>15</v>
      </c>
      <c r="P265" s="40">
        <f t="shared" ref="P265:T265" si="266">H277/A$285</f>
        <v>0.08220858896</v>
      </c>
      <c r="Q265" s="40">
        <f t="shared" si="266"/>
        <v>0.07923169268</v>
      </c>
      <c r="R265" s="40">
        <f t="shared" si="266"/>
        <v>0.04761904762</v>
      </c>
      <c r="S265" s="40">
        <f t="shared" si="266"/>
        <v>0.02649006623</v>
      </c>
      <c r="T265" s="40">
        <f t="shared" si="266"/>
        <v>0.05263157895</v>
      </c>
    </row>
    <row r="266" ht="15.75" customHeight="1">
      <c r="F266" s="23"/>
      <c r="G266" s="19">
        <f>$G$12</f>
        <v>4</v>
      </c>
      <c r="H266" s="20">
        <v>12.0</v>
      </c>
      <c r="I266" s="20">
        <v>2.0</v>
      </c>
      <c r="J266" s="20">
        <v>0.0</v>
      </c>
      <c r="K266" s="20">
        <v>3.0</v>
      </c>
      <c r="L266" s="20">
        <v>0.0</v>
      </c>
      <c r="N266" s="23"/>
      <c r="O266" s="19">
        <f>$G$24</f>
        <v>16</v>
      </c>
      <c r="P266" s="40">
        <f t="shared" ref="P266:T266" si="267">H278/A$285</f>
        <v>0.08916155419</v>
      </c>
      <c r="Q266" s="40">
        <f t="shared" si="267"/>
        <v>0.07923169268</v>
      </c>
      <c r="R266" s="40">
        <f t="shared" si="267"/>
        <v>0.1428571429</v>
      </c>
      <c r="S266" s="40">
        <f t="shared" si="267"/>
        <v>0.07284768212</v>
      </c>
      <c r="T266" s="40">
        <f t="shared" si="267"/>
        <v>0.02105263158</v>
      </c>
      <c r="V266" s="17">
        <f>$H$7</f>
        <v>31</v>
      </c>
      <c r="W266" s="17">
        <f>$I$7</f>
        <v>32</v>
      </c>
      <c r="X266" s="17">
        <f>$J$7</f>
        <v>41</v>
      </c>
      <c r="Y266" s="17">
        <f>$K$7</f>
        <v>42</v>
      </c>
      <c r="Z266" s="17">
        <f>$L$7</f>
        <v>5</v>
      </c>
    </row>
    <row r="267" ht="15.75" customHeight="1">
      <c r="F267" s="23"/>
      <c r="G267" s="19">
        <f>$G$13</f>
        <v>5</v>
      </c>
      <c r="H267" s="20">
        <v>19.0</v>
      </c>
      <c r="I267" s="20">
        <v>9.0</v>
      </c>
      <c r="J267" s="20">
        <v>0.0</v>
      </c>
      <c r="K267" s="20">
        <v>1.0</v>
      </c>
      <c r="L267" s="20">
        <v>4.0</v>
      </c>
      <c r="N267" s="23"/>
      <c r="O267" s="19">
        <f>$G$25</f>
        <v>17</v>
      </c>
      <c r="P267" s="40">
        <f t="shared" ref="P267:T267" si="268">H279/A$285</f>
        <v>0.08220858896</v>
      </c>
      <c r="Q267" s="40">
        <f t="shared" si="268"/>
        <v>0.09483793517</v>
      </c>
      <c r="R267" s="40">
        <f t="shared" si="268"/>
        <v>0.04761904762</v>
      </c>
      <c r="S267" s="40">
        <f t="shared" si="268"/>
        <v>0.02649006623</v>
      </c>
      <c r="T267" s="40">
        <f t="shared" si="268"/>
        <v>0.04210526316</v>
      </c>
    </row>
    <row r="268" ht="15.75" customHeight="1">
      <c r="F268" s="23"/>
      <c r="G268" s="19">
        <f>$G$14</f>
        <v>6</v>
      </c>
      <c r="H268" s="20">
        <v>35.0</v>
      </c>
      <c r="I268" s="20">
        <v>21.0</v>
      </c>
      <c r="J268" s="20">
        <v>0.0</v>
      </c>
      <c r="K268" s="20">
        <v>5.0</v>
      </c>
      <c r="L268" s="20">
        <v>0.0</v>
      </c>
      <c r="N268" s="23"/>
      <c r="O268" s="19">
        <f>$G$26</f>
        <v>18</v>
      </c>
      <c r="P268" s="40">
        <f t="shared" ref="P268:T268" si="269">H280/A$285</f>
        <v>0.07484662577</v>
      </c>
      <c r="Q268" s="40">
        <f t="shared" si="269"/>
        <v>0.08403361345</v>
      </c>
      <c r="R268" s="40">
        <f t="shared" si="269"/>
        <v>0.09523809524</v>
      </c>
      <c r="S268" s="40">
        <f t="shared" si="269"/>
        <v>0.01986754967</v>
      </c>
      <c r="T268" s="40">
        <f t="shared" si="269"/>
        <v>0.04210526316</v>
      </c>
    </row>
    <row r="269" ht="15.75" customHeight="1">
      <c r="F269" s="23"/>
      <c r="G269" s="19">
        <f>$G$15</f>
        <v>7</v>
      </c>
      <c r="H269" s="20">
        <v>65.0</v>
      </c>
      <c r="I269" s="20">
        <v>23.0</v>
      </c>
      <c r="J269" s="20">
        <v>0.0</v>
      </c>
      <c r="K269" s="20">
        <v>5.0</v>
      </c>
      <c r="L269" s="20">
        <v>4.0</v>
      </c>
      <c r="N269" s="23"/>
      <c r="O269" s="19">
        <f>$G$27</f>
        <v>19</v>
      </c>
      <c r="P269" s="40">
        <f t="shared" ref="P269:T269" si="270">H281/A$285</f>
        <v>0.06830265849</v>
      </c>
      <c r="Q269" s="40">
        <f t="shared" si="270"/>
        <v>0.05762304922</v>
      </c>
      <c r="R269" s="40">
        <f t="shared" si="270"/>
        <v>0.04761904762</v>
      </c>
      <c r="S269" s="40">
        <f t="shared" si="270"/>
        <v>0.03973509934</v>
      </c>
      <c r="T269" s="40">
        <f t="shared" si="270"/>
        <v>0.05263157895</v>
      </c>
    </row>
    <row r="270" ht="15.75" customHeight="1">
      <c r="F270" s="23"/>
      <c r="G270" s="19">
        <f>$G$16</f>
        <v>8</v>
      </c>
      <c r="H270" s="20">
        <v>65.0</v>
      </c>
      <c r="I270" s="20">
        <v>20.0</v>
      </c>
      <c r="J270" s="20">
        <v>2.0</v>
      </c>
      <c r="K270" s="20">
        <v>10.0</v>
      </c>
      <c r="L270" s="20">
        <v>13.0</v>
      </c>
      <c r="N270" s="23"/>
      <c r="O270" s="19">
        <f>$G$28</f>
        <v>20</v>
      </c>
      <c r="P270" s="40">
        <f t="shared" ref="P270:T270" si="271">H282/A$285</f>
        <v>0.06053169734</v>
      </c>
      <c r="Q270" s="40">
        <f t="shared" si="271"/>
        <v>0.04201680672</v>
      </c>
      <c r="R270" s="40">
        <f t="shared" si="271"/>
        <v>0.04761904762</v>
      </c>
      <c r="S270" s="40">
        <f t="shared" si="271"/>
        <v>0.05960264901</v>
      </c>
      <c r="T270" s="40">
        <f t="shared" si="271"/>
        <v>0.02105263158</v>
      </c>
    </row>
    <row r="271" ht="15.75" customHeight="1">
      <c r="F271" s="23"/>
      <c r="G271" s="19">
        <f>$G$17</f>
        <v>9</v>
      </c>
      <c r="H271" s="20">
        <v>64.0</v>
      </c>
      <c r="I271" s="20">
        <v>32.0</v>
      </c>
      <c r="J271" s="20">
        <v>0.0</v>
      </c>
      <c r="K271" s="20">
        <v>10.0</v>
      </c>
      <c r="L271" s="20">
        <v>7.0</v>
      </c>
      <c r="N271" s="23"/>
      <c r="O271" s="19">
        <f>$G$29</f>
        <v>21</v>
      </c>
      <c r="P271" s="40">
        <f t="shared" ref="P271:T271" si="272">H283/A$285</f>
        <v>0.03885480573</v>
      </c>
      <c r="Q271" s="40">
        <f t="shared" si="272"/>
        <v>0.04201680672</v>
      </c>
      <c r="R271" s="40">
        <f t="shared" si="272"/>
        <v>0</v>
      </c>
      <c r="S271" s="40">
        <f t="shared" si="272"/>
        <v>0.02649006623</v>
      </c>
      <c r="T271" s="40">
        <f t="shared" si="272"/>
        <v>0.04210526316</v>
      </c>
    </row>
    <row r="272" ht="15.75" customHeight="1">
      <c r="F272" s="23"/>
      <c r="G272" s="19">
        <f>$G$18</f>
        <v>10</v>
      </c>
      <c r="H272" s="20">
        <v>97.0</v>
      </c>
      <c r="I272" s="20">
        <v>40.0</v>
      </c>
      <c r="J272" s="20">
        <v>1.0</v>
      </c>
      <c r="K272" s="20">
        <v>15.0</v>
      </c>
      <c r="L272" s="20">
        <v>11.0</v>
      </c>
      <c r="N272" s="23"/>
      <c r="O272" s="19">
        <f>$G$30</f>
        <v>22</v>
      </c>
      <c r="P272" s="40">
        <f t="shared" ref="P272:T272" si="273">H284/A$285</f>
        <v>0.03803680982</v>
      </c>
      <c r="Q272" s="40">
        <f t="shared" si="273"/>
        <v>0.03121248499</v>
      </c>
      <c r="R272" s="40">
        <f t="shared" si="273"/>
        <v>0</v>
      </c>
      <c r="S272" s="40">
        <f t="shared" si="273"/>
        <v>0.02649006623</v>
      </c>
      <c r="T272" s="40">
        <f t="shared" si="273"/>
        <v>0.05263157895</v>
      </c>
    </row>
    <row r="273" ht="15.75" customHeight="1">
      <c r="F273" s="23"/>
      <c r="G273" s="19">
        <f>$G$19</f>
        <v>11</v>
      </c>
      <c r="H273" s="20">
        <v>106.0</v>
      </c>
      <c r="I273" s="20">
        <v>48.0</v>
      </c>
      <c r="J273" s="20">
        <v>5.0</v>
      </c>
      <c r="K273" s="20">
        <v>15.0</v>
      </c>
      <c r="L273" s="20">
        <v>1.0</v>
      </c>
      <c r="N273" s="27"/>
      <c r="O273" s="19">
        <f>$G$31</f>
        <v>23</v>
      </c>
      <c r="P273" s="40">
        <f t="shared" ref="P273:T273" si="274">H285/A$285</f>
        <v>0.02985685072</v>
      </c>
      <c r="Q273" s="40">
        <f t="shared" si="274"/>
        <v>0.02641056423</v>
      </c>
      <c r="R273" s="40">
        <f t="shared" si="274"/>
        <v>0</v>
      </c>
      <c r="S273" s="40">
        <f t="shared" si="274"/>
        <v>0.06622516556</v>
      </c>
      <c r="T273" s="40">
        <f t="shared" si="274"/>
        <v>0.06315789474</v>
      </c>
    </row>
    <row r="274" ht="15.75" customHeight="1">
      <c r="F274" s="23"/>
      <c r="G274" s="19">
        <f>$G$20</f>
        <v>12</v>
      </c>
      <c r="H274" s="20">
        <v>120.0</v>
      </c>
      <c r="I274" s="20">
        <v>55.0</v>
      </c>
      <c r="J274" s="20">
        <v>2.0</v>
      </c>
      <c r="K274" s="20">
        <v>7.0</v>
      </c>
      <c r="L274" s="20">
        <v>2.0</v>
      </c>
      <c r="N274" s="39">
        <v>45205.0</v>
      </c>
      <c r="O274" s="19">
        <f>$G$8</f>
        <v>0</v>
      </c>
      <c r="P274" s="44">
        <f t="shared" ref="P274:T274" si="275">H286/A$309</f>
        <v>0.00660987074</v>
      </c>
      <c r="Q274" s="44">
        <f t="shared" si="275"/>
        <v>0.002901704752</v>
      </c>
      <c r="R274" s="44">
        <f t="shared" si="275"/>
        <v>0.02040816327</v>
      </c>
      <c r="S274" s="44">
        <f t="shared" si="275"/>
        <v>0.02213279678</v>
      </c>
      <c r="T274" s="44">
        <f t="shared" si="275"/>
        <v>0.008639308855</v>
      </c>
    </row>
    <row r="275" ht="15.75" customHeight="1">
      <c r="F275" s="23"/>
      <c r="G275" s="19">
        <f>$G$21</f>
        <v>13</v>
      </c>
      <c r="H275" s="20">
        <v>151.0</v>
      </c>
      <c r="I275" s="20">
        <v>45.0</v>
      </c>
      <c r="J275" s="20">
        <v>0.0</v>
      </c>
      <c r="K275" s="20">
        <v>7.0</v>
      </c>
      <c r="L275" s="20">
        <v>5.0</v>
      </c>
      <c r="N275" s="23"/>
      <c r="O275" s="19">
        <f>$G$9</f>
        <v>1</v>
      </c>
      <c r="P275" s="44">
        <f t="shared" ref="P275:T275" si="276">H287/A$309</f>
        <v>0.002790834313</v>
      </c>
      <c r="Q275" s="44">
        <f t="shared" si="276"/>
        <v>0.002176278564</v>
      </c>
      <c r="R275" s="44">
        <f t="shared" si="276"/>
        <v>0</v>
      </c>
      <c r="S275" s="44">
        <f t="shared" si="276"/>
        <v>0.01006036217</v>
      </c>
      <c r="T275" s="44">
        <f t="shared" si="276"/>
        <v>0.01727861771</v>
      </c>
    </row>
    <row r="276" ht="15.75" customHeight="1">
      <c r="F276" s="23"/>
      <c r="G276" s="19">
        <f>$G$22</f>
        <v>14</v>
      </c>
      <c r="H276" s="20">
        <v>240.0</v>
      </c>
      <c r="I276" s="20">
        <v>68.0</v>
      </c>
      <c r="J276" s="20">
        <v>1.0</v>
      </c>
      <c r="K276" s="20">
        <v>7.0</v>
      </c>
      <c r="L276" s="20">
        <v>2.0</v>
      </c>
      <c r="N276" s="23"/>
      <c r="O276" s="19">
        <f>$G$10</f>
        <v>2</v>
      </c>
      <c r="P276" s="44">
        <f t="shared" ref="P276:T276" si="277">H288/A$309</f>
        <v>0.003084606345</v>
      </c>
      <c r="Q276" s="44">
        <f t="shared" si="277"/>
        <v>0.003627130939</v>
      </c>
      <c r="R276" s="44">
        <f t="shared" si="277"/>
        <v>0</v>
      </c>
      <c r="S276" s="44">
        <f t="shared" si="277"/>
        <v>0.008048289738</v>
      </c>
      <c r="T276" s="44">
        <f t="shared" si="277"/>
        <v>0.01079913607</v>
      </c>
    </row>
    <row r="277" ht="15.75" customHeight="1">
      <c r="F277" s="23"/>
      <c r="G277" s="19">
        <f>$G$23</f>
        <v>15</v>
      </c>
      <c r="H277" s="20">
        <v>201.0</v>
      </c>
      <c r="I277" s="20">
        <v>66.0</v>
      </c>
      <c r="J277" s="20">
        <v>1.0</v>
      </c>
      <c r="K277" s="20">
        <v>4.0</v>
      </c>
      <c r="L277" s="20">
        <v>5.0</v>
      </c>
      <c r="N277" s="23"/>
      <c r="O277" s="19">
        <f>$G$11</f>
        <v>3</v>
      </c>
      <c r="P277" s="44">
        <f t="shared" ref="P277:T277" si="278">H289/A$309</f>
        <v>0.003084606345</v>
      </c>
      <c r="Q277" s="44">
        <f t="shared" si="278"/>
        <v>0.004352557127</v>
      </c>
      <c r="R277" s="44">
        <f t="shared" si="278"/>
        <v>0</v>
      </c>
      <c r="S277" s="44">
        <f t="shared" si="278"/>
        <v>0.01207243461</v>
      </c>
      <c r="T277" s="44">
        <f t="shared" si="278"/>
        <v>0.008639308855</v>
      </c>
    </row>
    <row r="278" ht="15.75" customHeight="1">
      <c r="F278" s="23"/>
      <c r="G278" s="19">
        <f>$G$24</f>
        <v>16</v>
      </c>
      <c r="H278" s="20">
        <v>218.0</v>
      </c>
      <c r="I278" s="20">
        <v>66.0</v>
      </c>
      <c r="J278" s="20">
        <v>3.0</v>
      </c>
      <c r="K278" s="20">
        <v>11.0</v>
      </c>
      <c r="L278" s="20">
        <v>2.0</v>
      </c>
      <c r="N278" s="23"/>
      <c r="O278" s="19">
        <f>$G$12</f>
        <v>4</v>
      </c>
      <c r="P278" s="44">
        <f t="shared" ref="P278:T278" si="279">H290/A$309</f>
        <v>0.003819036428</v>
      </c>
      <c r="Q278" s="44">
        <f t="shared" si="279"/>
        <v>0.003264417845</v>
      </c>
      <c r="R278" s="44">
        <f t="shared" si="279"/>
        <v>0</v>
      </c>
      <c r="S278" s="44">
        <f t="shared" si="279"/>
        <v>0.008048289738</v>
      </c>
      <c r="T278" s="44">
        <f t="shared" si="279"/>
        <v>0.01943844492</v>
      </c>
    </row>
    <row r="279" ht="15.75" customHeight="1">
      <c r="F279" s="23"/>
      <c r="G279" s="19">
        <f>$G$25</f>
        <v>17</v>
      </c>
      <c r="H279" s="20">
        <v>201.0</v>
      </c>
      <c r="I279" s="20">
        <v>79.0</v>
      </c>
      <c r="J279" s="20">
        <v>1.0</v>
      </c>
      <c r="K279" s="20">
        <v>4.0</v>
      </c>
      <c r="L279" s="20">
        <v>4.0</v>
      </c>
      <c r="N279" s="23"/>
      <c r="O279" s="19">
        <f>$G$13</f>
        <v>5</v>
      </c>
      <c r="P279" s="44">
        <f t="shared" ref="P279:T279" si="280">H291/A$309</f>
        <v>0.007784958872</v>
      </c>
      <c r="Q279" s="44">
        <f t="shared" si="280"/>
        <v>0.01305767138</v>
      </c>
      <c r="R279" s="44">
        <f t="shared" si="280"/>
        <v>0.0306122449</v>
      </c>
      <c r="S279" s="44">
        <f t="shared" si="280"/>
        <v>0.01609657948</v>
      </c>
      <c r="T279" s="44">
        <f t="shared" si="280"/>
        <v>0.03887688985</v>
      </c>
    </row>
    <row r="280" ht="15.75" customHeight="1">
      <c r="F280" s="23"/>
      <c r="G280" s="19">
        <f>$G$26</f>
        <v>18</v>
      </c>
      <c r="H280" s="20">
        <v>183.0</v>
      </c>
      <c r="I280" s="20">
        <v>70.0</v>
      </c>
      <c r="J280" s="20">
        <v>2.0</v>
      </c>
      <c r="K280" s="20">
        <v>3.0</v>
      </c>
      <c r="L280" s="20">
        <v>4.0</v>
      </c>
      <c r="N280" s="23"/>
      <c r="O280" s="19">
        <f>$G$14</f>
        <v>6</v>
      </c>
      <c r="P280" s="44">
        <f t="shared" ref="P280:T280" si="281">H292/A$309</f>
        <v>0.02996474736</v>
      </c>
      <c r="Q280" s="44">
        <f t="shared" si="281"/>
        <v>0.04860355459</v>
      </c>
      <c r="R280" s="44">
        <f t="shared" si="281"/>
        <v>0</v>
      </c>
      <c r="S280" s="44">
        <f t="shared" si="281"/>
        <v>0.02213279678</v>
      </c>
      <c r="T280" s="44">
        <f t="shared" si="281"/>
        <v>0.04319654428</v>
      </c>
    </row>
    <row r="281" ht="15.75" customHeight="1">
      <c r="F281" s="23"/>
      <c r="G281" s="19">
        <f>$G$27</f>
        <v>19</v>
      </c>
      <c r="H281" s="20">
        <v>167.0</v>
      </c>
      <c r="I281" s="20">
        <v>48.0</v>
      </c>
      <c r="J281" s="20">
        <v>1.0</v>
      </c>
      <c r="K281" s="20">
        <v>6.0</v>
      </c>
      <c r="L281" s="20">
        <v>5.0</v>
      </c>
      <c r="N281" s="23"/>
      <c r="O281" s="19">
        <f>$G$15</f>
        <v>7</v>
      </c>
      <c r="P281" s="44">
        <f t="shared" ref="P281:T281" si="282">H293/A$309</f>
        <v>0.04773795535</v>
      </c>
      <c r="Q281" s="44">
        <f t="shared" si="282"/>
        <v>0.04388828437</v>
      </c>
      <c r="R281" s="44">
        <f t="shared" si="282"/>
        <v>0.0306122449</v>
      </c>
      <c r="S281" s="44">
        <f t="shared" si="282"/>
        <v>0.03219315895</v>
      </c>
      <c r="T281" s="44">
        <f t="shared" si="282"/>
        <v>0.05183585313</v>
      </c>
    </row>
    <row r="282" ht="15.75" customHeight="1">
      <c r="F282" s="23"/>
      <c r="G282" s="19">
        <f>$G$28</f>
        <v>20</v>
      </c>
      <c r="H282" s="20">
        <v>148.0</v>
      </c>
      <c r="I282" s="20">
        <v>35.0</v>
      </c>
      <c r="J282" s="20">
        <v>1.0</v>
      </c>
      <c r="K282" s="20">
        <v>9.0</v>
      </c>
      <c r="L282" s="20">
        <v>2.0</v>
      </c>
      <c r="N282" s="23"/>
      <c r="O282" s="19">
        <f>$G$16</f>
        <v>8</v>
      </c>
      <c r="P282" s="44">
        <f t="shared" ref="P282:T282" si="283">H294/A$309</f>
        <v>0.04480023502</v>
      </c>
      <c r="Q282" s="44">
        <f t="shared" si="283"/>
        <v>0.04026115343</v>
      </c>
      <c r="R282" s="44">
        <f t="shared" si="283"/>
        <v>0.0612244898</v>
      </c>
      <c r="S282" s="44">
        <f t="shared" si="283"/>
        <v>0.06237424547</v>
      </c>
      <c r="T282" s="44">
        <f t="shared" si="283"/>
        <v>0.06695464363</v>
      </c>
    </row>
    <row r="283" ht="15.75" customHeight="1">
      <c r="F283" s="23"/>
      <c r="G283" s="19">
        <f>$G$29</f>
        <v>21</v>
      </c>
      <c r="H283" s="20">
        <v>95.0</v>
      </c>
      <c r="I283" s="20">
        <v>35.0</v>
      </c>
      <c r="J283" s="20">
        <v>0.0</v>
      </c>
      <c r="K283" s="20">
        <v>4.0</v>
      </c>
      <c r="L283" s="20">
        <v>4.0</v>
      </c>
      <c r="N283" s="23"/>
      <c r="O283" s="19">
        <f>$G$17</f>
        <v>9</v>
      </c>
      <c r="P283" s="44">
        <f t="shared" ref="P283:T283" si="284">H295/A$309</f>
        <v>0.04494712103</v>
      </c>
      <c r="Q283" s="44">
        <f t="shared" si="284"/>
        <v>0.04570184984</v>
      </c>
      <c r="R283" s="44">
        <f t="shared" si="284"/>
        <v>0.0612244898</v>
      </c>
      <c r="S283" s="44">
        <f t="shared" si="284"/>
        <v>0.06438631791</v>
      </c>
      <c r="T283" s="44">
        <f t="shared" si="284"/>
        <v>0.0777537797</v>
      </c>
    </row>
    <row r="284" ht="15.75" customHeight="1">
      <c r="F284" s="23"/>
      <c r="G284" s="19">
        <f>$G$30</f>
        <v>22</v>
      </c>
      <c r="H284" s="20">
        <v>93.0</v>
      </c>
      <c r="I284" s="20">
        <v>26.0</v>
      </c>
      <c r="J284" s="20">
        <v>0.0</v>
      </c>
      <c r="K284" s="20">
        <v>4.0</v>
      </c>
      <c r="L284" s="20">
        <v>5.0</v>
      </c>
      <c r="N284" s="23"/>
      <c r="O284" s="19">
        <f>$G$18</f>
        <v>10</v>
      </c>
      <c r="P284" s="44">
        <f t="shared" ref="P284:T284" si="285">H296/A$309</f>
        <v>0.04215628672</v>
      </c>
      <c r="Q284" s="44">
        <f t="shared" si="285"/>
        <v>0.05150525934</v>
      </c>
      <c r="R284" s="44">
        <f t="shared" si="285"/>
        <v>0.04081632653</v>
      </c>
      <c r="S284" s="44">
        <f t="shared" si="285"/>
        <v>0.06237424547</v>
      </c>
      <c r="T284" s="44">
        <f t="shared" si="285"/>
        <v>0.09287257019</v>
      </c>
    </row>
    <row r="285" ht="15.75" customHeight="1">
      <c r="A285" s="26">
        <f t="shared" ref="A285:E285" si="286">SUM(H262:H285)</f>
        <v>2445</v>
      </c>
      <c r="B285" s="26">
        <f t="shared" si="286"/>
        <v>833</v>
      </c>
      <c r="C285" s="26">
        <f t="shared" si="286"/>
        <v>21</v>
      </c>
      <c r="D285" s="26">
        <f t="shared" si="286"/>
        <v>151</v>
      </c>
      <c r="E285" s="26">
        <f t="shared" si="286"/>
        <v>95</v>
      </c>
      <c r="F285" s="27"/>
      <c r="G285" s="19">
        <f>$G$31</f>
        <v>23</v>
      </c>
      <c r="H285" s="20">
        <v>73.0</v>
      </c>
      <c r="I285" s="20">
        <v>22.0</v>
      </c>
      <c r="J285" s="20">
        <v>0.0</v>
      </c>
      <c r="K285" s="20">
        <v>10.0</v>
      </c>
      <c r="L285" s="20">
        <v>6.0</v>
      </c>
      <c r="N285" s="23"/>
      <c r="O285" s="19">
        <f>$G$19</f>
        <v>11</v>
      </c>
      <c r="P285" s="44">
        <f t="shared" ref="P285:T285" si="287">H297/A$309</f>
        <v>0.04715041128</v>
      </c>
      <c r="Q285" s="44">
        <f t="shared" si="287"/>
        <v>0.05839680812</v>
      </c>
      <c r="R285" s="44">
        <f t="shared" si="287"/>
        <v>0.07142857143</v>
      </c>
      <c r="S285" s="44">
        <f t="shared" si="287"/>
        <v>0.07243460765</v>
      </c>
      <c r="T285" s="44">
        <f t="shared" si="287"/>
        <v>0.07559395248</v>
      </c>
    </row>
    <row r="286" ht="15.75" customHeight="1">
      <c r="F286" s="39">
        <v>45205.0</v>
      </c>
      <c r="G286" s="19">
        <f>$G$8</f>
        <v>0</v>
      </c>
      <c r="H286" s="19">
        <v>45.0</v>
      </c>
      <c r="I286" s="19">
        <v>8.0</v>
      </c>
      <c r="J286" s="19">
        <v>2.0</v>
      </c>
      <c r="K286" s="19">
        <v>11.0</v>
      </c>
      <c r="L286" s="19">
        <v>4.0</v>
      </c>
      <c r="N286" s="23"/>
      <c r="O286" s="19">
        <f>$G$20</f>
        <v>12</v>
      </c>
      <c r="P286" s="44">
        <f t="shared" ref="P286:T286" si="288">H298/A$309</f>
        <v>0.05317273796</v>
      </c>
      <c r="Q286" s="44">
        <f t="shared" si="288"/>
        <v>0.05513239028</v>
      </c>
      <c r="R286" s="44">
        <f t="shared" si="288"/>
        <v>0.1326530612</v>
      </c>
      <c r="S286" s="44">
        <f t="shared" si="288"/>
        <v>0.05432595573</v>
      </c>
      <c r="T286" s="44">
        <f t="shared" si="288"/>
        <v>0.06911447084</v>
      </c>
    </row>
    <row r="287" ht="15.75" customHeight="1">
      <c r="F287" s="23"/>
      <c r="G287" s="19">
        <f>$G$9</f>
        <v>1</v>
      </c>
      <c r="H287" s="45">
        <v>19.0</v>
      </c>
      <c r="I287" s="45">
        <v>6.0</v>
      </c>
      <c r="J287" s="45">
        <v>0.0</v>
      </c>
      <c r="K287" s="45">
        <v>5.0</v>
      </c>
      <c r="L287" s="45">
        <v>8.0</v>
      </c>
      <c r="N287" s="23"/>
      <c r="O287" s="19">
        <f>$G$21</f>
        <v>13</v>
      </c>
      <c r="P287" s="44">
        <f t="shared" ref="P287:T287" si="289">H299/A$309</f>
        <v>0.06580493537</v>
      </c>
      <c r="Q287" s="44">
        <f t="shared" si="289"/>
        <v>0.06782734857</v>
      </c>
      <c r="R287" s="44">
        <f t="shared" si="289"/>
        <v>0.07142857143</v>
      </c>
      <c r="S287" s="44">
        <f t="shared" si="289"/>
        <v>0.07847082495</v>
      </c>
      <c r="T287" s="44">
        <f t="shared" si="289"/>
        <v>0.06695464363</v>
      </c>
    </row>
    <row r="288" ht="15.75" customHeight="1">
      <c r="F288" s="23"/>
      <c r="G288" s="19">
        <f>$G$10</f>
        <v>2</v>
      </c>
      <c r="H288" s="45">
        <v>21.0</v>
      </c>
      <c r="I288" s="45">
        <v>10.0</v>
      </c>
      <c r="J288" s="45">
        <v>0.0</v>
      </c>
      <c r="K288" s="45">
        <v>4.0</v>
      </c>
      <c r="L288" s="45">
        <v>5.0</v>
      </c>
      <c r="N288" s="23"/>
      <c r="O288" s="19">
        <f>$G$22</f>
        <v>14</v>
      </c>
      <c r="P288" s="44">
        <f t="shared" ref="P288:T288" si="290">H300/A$309</f>
        <v>0.06374853114</v>
      </c>
      <c r="Q288" s="44">
        <f t="shared" si="290"/>
        <v>0.06456293072</v>
      </c>
      <c r="R288" s="44">
        <f t="shared" si="290"/>
        <v>0.02040816327</v>
      </c>
      <c r="S288" s="44">
        <f t="shared" si="290"/>
        <v>0.06841046278</v>
      </c>
      <c r="T288" s="44">
        <f t="shared" si="290"/>
        <v>0.08207343413</v>
      </c>
    </row>
    <row r="289" ht="15.75" customHeight="1">
      <c r="F289" s="23"/>
      <c r="G289" s="19">
        <f>$G$11</f>
        <v>3</v>
      </c>
      <c r="H289" s="45">
        <v>21.0</v>
      </c>
      <c r="I289" s="45">
        <v>12.0</v>
      </c>
      <c r="J289" s="45">
        <v>0.0</v>
      </c>
      <c r="K289" s="45">
        <v>6.0</v>
      </c>
      <c r="L289" s="45">
        <v>4.0</v>
      </c>
      <c r="N289" s="23"/>
      <c r="O289" s="19">
        <f>$G$23</f>
        <v>15</v>
      </c>
      <c r="P289" s="44">
        <f t="shared" ref="P289:T289" si="291">H301/A$309</f>
        <v>0.07535252644</v>
      </c>
      <c r="Q289" s="44">
        <f t="shared" si="291"/>
        <v>0.08813928183</v>
      </c>
      <c r="R289" s="44">
        <f t="shared" si="291"/>
        <v>0.0612244898</v>
      </c>
      <c r="S289" s="44">
        <f t="shared" si="291"/>
        <v>0.07243460765</v>
      </c>
      <c r="T289" s="44">
        <f t="shared" si="291"/>
        <v>0.08207343413</v>
      </c>
    </row>
    <row r="290" ht="15.75" customHeight="1">
      <c r="F290" s="23"/>
      <c r="G290" s="19">
        <f>$G$12</f>
        <v>4</v>
      </c>
      <c r="H290" s="45">
        <v>26.0</v>
      </c>
      <c r="I290" s="45">
        <v>9.0</v>
      </c>
      <c r="J290" s="45">
        <v>0.0</v>
      </c>
      <c r="K290" s="45">
        <v>4.0</v>
      </c>
      <c r="L290" s="45">
        <v>9.0</v>
      </c>
      <c r="N290" s="23"/>
      <c r="O290" s="19">
        <f>$G$24</f>
        <v>16</v>
      </c>
      <c r="P290" s="44">
        <f t="shared" ref="P290:T290" si="292">H302/A$309</f>
        <v>0.07696827262</v>
      </c>
      <c r="Q290" s="44">
        <f t="shared" si="292"/>
        <v>0.08560029017</v>
      </c>
      <c r="R290" s="44">
        <f t="shared" si="292"/>
        <v>0.08163265306</v>
      </c>
      <c r="S290" s="44">
        <f t="shared" si="292"/>
        <v>0.09054325956</v>
      </c>
      <c r="T290" s="44">
        <f t="shared" si="292"/>
        <v>0.05183585313</v>
      </c>
    </row>
    <row r="291" ht="15.75" customHeight="1">
      <c r="F291" s="23"/>
      <c r="G291" s="19">
        <f>$G$13</f>
        <v>5</v>
      </c>
      <c r="H291" s="45">
        <v>53.0</v>
      </c>
      <c r="I291" s="45">
        <v>36.0</v>
      </c>
      <c r="J291" s="45">
        <v>3.0</v>
      </c>
      <c r="K291" s="45">
        <v>8.0</v>
      </c>
      <c r="L291" s="45">
        <v>18.0</v>
      </c>
      <c r="N291" s="23"/>
      <c r="O291" s="19">
        <f>$G$25</f>
        <v>17</v>
      </c>
      <c r="P291" s="44">
        <f t="shared" ref="P291:T291" si="293">H303/A$309</f>
        <v>0.09400705053</v>
      </c>
      <c r="Q291" s="44">
        <f t="shared" si="293"/>
        <v>0.09539354371</v>
      </c>
      <c r="R291" s="44">
        <f t="shared" si="293"/>
        <v>0.1326530612</v>
      </c>
      <c r="S291" s="44">
        <f t="shared" si="293"/>
        <v>0.05030181087</v>
      </c>
      <c r="T291" s="44">
        <f t="shared" si="293"/>
        <v>0.03455723542</v>
      </c>
    </row>
    <row r="292" ht="15.75" customHeight="1">
      <c r="F292" s="23"/>
      <c r="G292" s="19">
        <f>$G$14</f>
        <v>6</v>
      </c>
      <c r="H292" s="45">
        <v>204.0</v>
      </c>
      <c r="I292" s="45">
        <v>134.0</v>
      </c>
      <c r="J292" s="45">
        <v>0.0</v>
      </c>
      <c r="K292" s="45">
        <v>11.0</v>
      </c>
      <c r="L292" s="45">
        <v>20.0</v>
      </c>
      <c r="N292" s="23"/>
      <c r="O292" s="19">
        <f>$G$26</f>
        <v>18</v>
      </c>
      <c r="P292" s="44">
        <f t="shared" ref="P292:T292" si="294">H304/A$309</f>
        <v>0.08137485311</v>
      </c>
      <c r="Q292" s="44">
        <f t="shared" si="294"/>
        <v>0.06202393906</v>
      </c>
      <c r="R292" s="44">
        <f t="shared" si="294"/>
        <v>0.01020408163</v>
      </c>
      <c r="S292" s="44">
        <f t="shared" si="294"/>
        <v>0.04828973843</v>
      </c>
      <c r="T292" s="44">
        <f t="shared" si="294"/>
        <v>0.02807775378</v>
      </c>
    </row>
    <row r="293" ht="15.75" customHeight="1">
      <c r="F293" s="23"/>
      <c r="G293" s="19">
        <f>$G$15</f>
        <v>7</v>
      </c>
      <c r="H293" s="45">
        <v>325.0</v>
      </c>
      <c r="I293" s="45">
        <v>121.0</v>
      </c>
      <c r="J293" s="45">
        <v>3.0</v>
      </c>
      <c r="K293" s="45">
        <v>16.0</v>
      </c>
      <c r="L293" s="45">
        <v>24.0</v>
      </c>
      <c r="N293" s="23"/>
      <c r="O293" s="19">
        <f>$G$27</f>
        <v>19</v>
      </c>
      <c r="P293" s="44">
        <f t="shared" ref="P293:T293" si="295">H305/A$309</f>
        <v>0.06037015276</v>
      </c>
      <c r="Q293" s="44">
        <f t="shared" si="295"/>
        <v>0.05622052956</v>
      </c>
      <c r="R293" s="44">
        <f t="shared" si="295"/>
        <v>0.112244898</v>
      </c>
      <c r="S293" s="44">
        <f t="shared" si="295"/>
        <v>0.04426559356</v>
      </c>
      <c r="T293" s="44">
        <f t="shared" si="295"/>
        <v>0.01727861771</v>
      </c>
    </row>
    <row r="294" ht="15.75" customHeight="1">
      <c r="F294" s="23"/>
      <c r="G294" s="19">
        <f>$G$16</f>
        <v>8</v>
      </c>
      <c r="H294" s="45">
        <v>305.0</v>
      </c>
      <c r="I294" s="45">
        <v>111.0</v>
      </c>
      <c r="J294" s="45">
        <v>6.0</v>
      </c>
      <c r="K294" s="45">
        <v>31.0</v>
      </c>
      <c r="L294" s="45">
        <v>31.0</v>
      </c>
      <c r="N294" s="23"/>
      <c r="O294" s="19">
        <f>$G$28</f>
        <v>20</v>
      </c>
      <c r="P294" s="44">
        <f t="shared" ref="P294:T294" si="296">H306/A$309</f>
        <v>0.05170387779</v>
      </c>
      <c r="Q294" s="44">
        <f t="shared" si="296"/>
        <v>0.0420747189</v>
      </c>
      <c r="R294" s="44">
        <f t="shared" si="296"/>
        <v>0.01020408163</v>
      </c>
      <c r="S294" s="44">
        <f t="shared" si="296"/>
        <v>0.03621730382</v>
      </c>
      <c r="T294" s="44">
        <f t="shared" si="296"/>
        <v>0.01727861771</v>
      </c>
    </row>
    <row r="295" ht="15.75" customHeight="1">
      <c r="F295" s="23"/>
      <c r="G295" s="19">
        <f>$G$17</f>
        <v>9</v>
      </c>
      <c r="H295" s="45">
        <v>306.0</v>
      </c>
      <c r="I295" s="45">
        <v>126.0</v>
      </c>
      <c r="J295" s="45">
        <v>6.0</v>
      </c>
      <c r="K295" s="45">
        <v>32.0</v>
      </c>
      <c r="L295" s="45">
        <v>36.0</v>
      </c>
      <c r="N295" s="23"/>
      <c r="O295" s="19">
        <f>$G$29</f>
        <v>21</v>
      </c>
      <c r="P295" s="44">
        <f t="shared" ref="P295:T295" si="297">H307/A$309</f>
        <v>0.0365746181</v>
      </c>
      <c r="Q295" s="44">
        <f t="shared" si="297"/>
        <v>0.0297424737</v>
      </c>
      <c r="R295" s="44">
        <f t="shared" si="297"/>
        <v>0.0306122449</v>
      </c>
      <c r="S295" s="44">
        <f t="shared" si="297"/>
        <v>0.02414486922</v>
      </c>
      <c r="T295" s="44">
        <f t="shared" si="297"/>
        <v>0.02159827214</v>
      </c>
    </row>
    <row r="296" ht="15.75" customHeight="1">
      <c r="F296" s="23"/>
      <c r="G296" s="19">
        <f>$G$18</f>
        <v>10</v>
      </c>
      <c r="H296" s="45">
        <v>287.0</v>
      </c>
      <c r="I296" s="45">
        <v>142.0</v>
      </c>
      <c r="J296" s="45">
        <v>4.0</v>
      </c>
      <c r="K296" s="45">
        <v>31.0</v>
      </c>
      <c r="L296" s="45">
        <v>43.0</v>
      </c>
      <c r="N296" s="23"/>
      <c r="O296" s="19">
        <f>$G$30</f>
        <v>22</v>
      </c>
      <c r="P296" s="44">
        <f t="shared" ref="P296:T296" si="298">H308/A$309</f>
        <v>0.03143360752</v>
      </c>
      <c r="Q296" s="44">
        <f t="shared" si="298"/>
        <v>0.0181356547</v>
      </c>
      <c r="R296" s="44">
        <f t="shared" si="298"/>
        <v>0.01020408163</v>
      </c>
      <c r="S296" s="44">
        <f t="shared" si="298"/>
        <v>0.02012072435</v>
      </c>
      <c r="T296" s="44">
        <f t="shared" si="298"/>
        <v>0.01295896328</v>
      </c>
    </row>
    <row r="297" ht="15.75" customHeight="1">
      <c r="F297" s="23"/>
      <c r="G297" s="19">
        <f>$G$19</f>
        <v>11</v>
      </c>
      <c r="H297" s="45">
        <v>321.0</v>
      </c>
      <c r="I297" s="45">
        <v>161.0</v>
      </c>
      <c r="J297" s="45">
        <v>7.0</v>
      </c>
      <c r="K297" s="45">
        <v>36.0</v>
      </c>
      <c r="L297" s="45">
        <v>35.0</v>
      </c>
      <c r="N297" s="27"/>
      <c r="O297" s="19">
        <f>$G$31</f>
        <v>23</v>
      </c>
      <c r="P297" s="44">
        <f t="shared" ref="P297:T297" si="299">H309/A$309</f>
        <v>0.02555816686</v>
      </c>
      <c r="Q297" s="44">
        <f t="shared" si="299"/>
        <v>0.01741022851</v>
      </c>
      <c r="R297" s="44">
        <f t="shared" si="299"/>
        <v>0.01020408163</v>
      </c>
      <c r="S297" s="44">
        <f t="shared" si="299"/>
        <v>0.02012072435</v>
      </c>
      <c r="T297" s="44">
        <f t="shared" si="299"/>
        <v>0.004319654428</v>
      </c>
    </row>
    <row r="298" ht="15.75" customHeight="1">
      <c r="F298" s="23"/>
      <c r="G298" s="19">
        <f>$G$20</f>
        <v>12</v>
      </c>
      <c r="H298" s="45">
        <v>362.0</v>
      </c>
      <c r="I298" s="45">
        <v>152.0</v>
      </c>
      <c r="J298" s="45">
        <v>13.0</v>
      </c>
      <c r="K298" s="45">
        <v>27.0</v>
      </c>
      <c r="L298" s="45">
        <v>32.0</v>
      </c>
      <c r="N298" s="39">
        <v>45206.0</v>
      </c>
      <c r="O298" s="19">
        <f>$G$8</f>
        <v>0</v>
      </c>
      <c r="P298" s="40">
        <f t="shared" ref="P298:T298" si="300">H310/A$335</f>
        <v>0.01528188006</v>
      </c>
      <c r="Q298" s="40">
        <f t="shared" si="300"/>
        <v>0.01116902457</v>
      </c>
      <c r="R298" s="40">
        <f t="shared" si="300"/>
        <v>0.04210526316</v>
      </c>
      <c r="S298" s="40">
        <f t="shared" si="300"/>
        <v>0.027100271</v>
      </c>
      <c r="T298" s="40">
        <f t="shared" si="300"/>
        <v>0.02898550725</v>
      </c>
    </row>
    <row r="299" ht="15.75" customHeight="1">
      <c r="F299" s="23"/>
      <c r="G299" s="19">
        <f>$G$21</f>
        <v>13</v>
      </c>
      <c r="H299" s="45">
        <v>448.0</v>
      </c>
      <c r="I299" s="45">
        <v>187.0</v>
      </c>
      <c r="J299" s="45">
        <v>7.0</v>
      </c>
      <c r="K299" s="45">
        <v>39.0</v>
      </c>
      <c r="L299" s="45">
        <v>31.0</v>
      </c>
      <c r="N299" s="23"/>
      <c r="O299" s="19">
        <f>$G$9</f>
        <v>1</v>
      </c>
      <c r="P299" s="40">
        <f t="shared" ref="P299:T299" si="301">H311/A$335</f>
        <v>0.008347245409</v>
      </c>
      <c r="Q299" s="40">
        <f t="shared" si="301"/>
        <v>0.007073715562</v>
      </c>
      <c r="R299" s="40">
        <f t="shared" si="301"/>
        <v>0.03157894737</v>
      </c>
      <c r="S299" s="40">
        <f t="shared" si="301"/>
        <v>0.008130081301</v>
      </c>
      <c r="T299" s="40">
        <f t="shared" si="301"/>
        <v>0.007246376812</v>
      </c>
    </row>
    <row r="300" ht="15.75" customHeight="1">
      <c r="F300" s="23"/>
      <c r="G300" s="19">
        <f>$G$22</f>
        <v>14</v>
      </c>
      <c r="H300" s="45">
        <v>434.0</v>
      </c>
      <c r="I300" s="45">
        <v>178.0</v>
      </c>
      <c r="J300" s="45">
        <v>2.0</v>
      </c>
      <c r="K300" s="45">
        <v>34.0</v>
      </c>
      <c r="L300" s="45">
        <v>38.0</v>
      </c>
      <c r="N300" s="23"/>
      <c r="O300" s="19">
        <f>$G$10</f>
        <v>2</v>
      </c>
      <c r="P300" s="40">
        <f t="shared" ref="P300:T300" si="302">H312/A$335</f>
        <v>0.007191472968</v>
      </c>
      <c r="Q300" s="40">
        <f t="shared" si="302"/>
        <v>0.004839910648</v>
      </c>
      <c r="R300" s="40">
        <f t="shared" si="302"/>
        <v>0.03157894737</v>
      </c>
      <c r="S300" s="40">
        <f t="shared" si="302"/>
        <v>0.005420054201</v>
      </c>
      <c r="T300" s="40">
        <f t="shared" si="302"/>
        <v>0.02173913043</v>
      </c>
    </row>
    <row r="301" ht="15.75" customHeight="1">
      <c r="F301" s="23"/>
      <c r="G301" s="19">
        <f>$G$23</f>
        <v>15</v>
      </c>
      <c r="H301" s="45">
        <v>513.0</v>
      </c>
      <c r="I301" s="45">
        <v>243.0</v>
      </c>
      <c r="J301" s="45">
        <v>6.0</v>
      </c>
      <c r="K301" s="45">
        <v>36.0</v>
      </c>
      <c r="L301" s="45">
        <v>38.0</v>
      </c>
      <c r="N301" s="23"/>
      <c r="O301" s="19">
        <f>$G$11</f>
        <v>3</v>
      </c>
      <c r="P301" s="40">
        <f t="shared" ref="P301:T301" si="303">H313/A$335</f>
        <v>0.004366251445</v>
      </c>
      <c r="Q301" s="40">
        <f t="shared" si="303"/>
        <v>0.00409530901</v>
      </c>
      <c r="R301" s="40">
        <f t="shared" si="303"/>
        <v>0.01052631579</v>
      </c>
      <c r="S301" s="40">
        <f t="shared" si="303"/>
        <v>0.0135501355</v>
      </c>
      <c r="T301" s="40">
        <f t="shared" si="303"/>
        <v>0.03260869565</v>
      </c>
    </row>
    <row r="302" ht="15.75" customHeight="1">
      <c r="F302" s="23"/>
      <c r="G302" s="19">
        <f>$G$24</f>
        <v>16</v>
      </c>
      <c r="H302" s="45">
        <v>524.0</v>
      </c>
      <c r="I302" s="45">
        <v>236.0</v>
      </c>
      <c r="J302" s="45">
        <v>8.0</v>
      </c>
      <c r="K302" s="45">
        <v>45.0</v>
      </c>
      <c r="L302" s="45">
        <v>24.0</v>
      </c>
      <c r="N302" s="23"/>
      <c r="O302" s="19">
        <f>$G$12</f>
        <v>4</v>
      </c>
      <c r="P302" s="40">
        <f t="shared" ref="P302:T302" si="304">H314/A$335</f>
        <v>0.005650443046</v>
      </c>
      <c r="Q302" s="40">
        <f t="shared" si="304"/>
        <v>0.005212211467</v>
      </c>
      <c r="R302" s="40">
        <f t="shared" si="304"/>
        <v>0.03157894737</v>
      </c>
      <c r="S302" s="40">
        <f t="shared" si="304"/>
        <v>0.0108401084</v>
      </c>
      <c r="T302" s="40">
        <f t="shared" si="304"/>
        <v>0.02536231884</v>
      </c>
    </row>
    <row r="303" ht="15.75" customHeight="1">
      <c r="F303" s="23"/>
      <c r="G303" s="19">
        <f>$G$25</f>
        <v>17</v>
      </c>
      <c r="H303" s="45">
        <v>640.0</v>
      </c>
      <c r="I303" s="45">
        <v>263.0</v>
      </c>
      <c r="J303" s="45">
        <v>13.0</v>
      </c>
      <c r="K303" s="45">
        <v>25.0</v>
      </c>
      <c r="L303" s="45">
        <v>16.0</v>
      </c>
      <c r="N303" s="23"/>
      <c r="O303" s="19">
        <f>$G$13</f>
        <v>5</v>
      </c>
      <c r="P303" s="40">
        <f t="shared" ref="P303:T303" si="305">H315/A$335</f>
        <v>0.007576730448</v>
      </c>
      <c r="Q303" s="40">
        <f t="shared" si="305"/>
        <v>0.009307520477</v>
      </c>
      <c r="R303" s="40">
        <f t="shared" si="305"/>
        <v>0</v>
      </c>
      <c r="S303" s="40">
        <f t="shared" si="305"/>
        <v>0.0135501355</v>
      </c>
      <c r="T303" s="40">
        <f t="shared" si="305"/>
        <v>0.01449275362</v>
      </c>
    </row>
    <row r="304" ht="15.75" customHeight="1">
      <c r="F304" s="23"/>
      <c r="G304" s="19">
        <f>$G$26</f>
        <v>18</v>
      </c>
      <c r="H304" s="45">
        <v>554.0</v>
      </c>
      <c r="I304" s="45">
        <v>171.0</v>
      </c>
      <c r="J304" s="45">
        <v>1.0</v>
      </c>
      <c r="K304" s="45">
        <v>24.0</v>
      </c>
      <c r="L304" s="45">
        <v>13.0</v>
      </c>
      <c r="N304" s="23"/>
      <c r="O304" s="19">
        <f>$G$14</f>
        <v>6</v>
      </c>
      <c r="P304" s="40">
        <f t="shared" ref="P304:T304" si="306">H316/A$335</f>
        <v>0.0215744189</v>
      </c>
      <c r="Q304" s="40">
        <f t="shared" si="306"/>
        <v>0.04281459419</v>
      </c>
      <c r="R304" s="40">
        <f t="shared" si="306"/>
        <v>0.03157894737</v>
      </c>
      <c r="S304" s="40">
        <f t="shared" si="306"/>
        <v>0.027100271</v>
      </c>
      <c r="T304" s="40">
        <f t="shared" si="306"/>
        <v>0.03623188406</v>
      </c>
    </row>
    <row r="305" ht="15.75" customHeight="1">
      <c r="F305" s="23"/>
      <c r="G305" s="19">
        <f>$G$27</f>
        <v>19</v>
      </c>
      <c r="H305" s="45">
        <v>411.0</v>
      </c>
      <c r="I305" s="45">
        <v>155.0</v>
      </c>
      <c r="J305" s="45">
        <v>11.0</v>
      </c>
      <c r="K305" s="45">
        <v>22.0</v>
      </c>
      <c r="L305" s="45">
        <v>8.0</v>
      </c>
      <c r="N305" s="23"/>
      <c r="O305" s="19">
        <f>$G$15</f>
        <v>7</v>
      </c>
      <c r="P305" s="40">
        <f t="shared" ref="P305:T305" si="307">H317/A$335</f>
        <v>0.02748170027</v>
      </c>
      <c r="Q305" s="40">
        <f t="shared" si="307"/>
        <v>0.04169769173</v>
      </c>
      <c r="R305" s="40">
        <f t="shared" si="307"/>
        <v>0.03157894737</v>
      </c>
      <c r="S305" s="40">
        <f t="shared" si="307"/>
        <v>0.0189701897</v>
      </c>
      <c r="T305" s="40">
        <f t="shared" si="307"/>
        <v>0.09420289855</v>
      </c>
    </row>
    <row r="306" ht="15.75" customHeight="1">
      <c r="F306" s="23"/>
      <c r="G306" s="19">
        <f>$G$28</f>
        <v>20</v>
      </c>
      <c r="H306" s="45">
        <v>352.0</v>
      </c>
      <c r="I306" s="45">
        <v>116.0</v>
      </c>
      <c r="J306" s="45">
        <v>1.0</v>
      </c>
      <c r="K306" s="45">
        <v>18.0</v>
      </c>
      <c r="L306" s="45">
        <v>8.0</v>
      </c>
      <c r="N306" s="23"/>
      <c r="O306" s="19">
        <f>$G$16</f>
        <v>8</v>
      </c>
      <c r="P306" s="40">
        <f t="shared" ref="P306:T306" si="308">H318/A$335</f>
        <v>0.03454475408</v>
      </c>
      <c r="Q306" s="40">
        <f t="shared" si="308"/>
        <v>0.03723008191</v>
      </c>
      <c r="R306" s="40">
        <f t="shared" si="308"/>
        <v>0.04210526316</v>
      </c>
      <c r="S306" s="40">
        <f t="shared" si="308"/>
        <v>0.07046070461</v>
      </c>
      <c r="T306" s="40">
        <f t="shared" si="308"/>
        <v>0.05797101449</v>
      </c>
    </row>
    <row r="307" ht="15.75" customHeight="1">
      <c r="F307" s="23"/>
      <c r="G307" s="19">
        <f>$G$29</f>
        <v>21</v>
      </c>
      <c r="H307" s="45">
        <v>249.0</v>
      </c>
      <c r="I307" s="45">
        <v>82.0</v>
      </c>
      <c r="J307" s="45">
        <v>3.0</v>
      </c>
      <c r="K307" s="45">
        <v>12.0</v>
      </c>
      <c r="L307" s="45">
        <v>10.0</v>
      </c>
      <c r="N307" s="23"/>
      <c r="O307" s="19">
        <f>$G$17</f>
        <v>9</v>
      </c>
      <c r="P307" s="40">
        <f t="shared" ref="P307:T307" si="309">H319/A$335</f>
        <v>0.04764350841</v>
      </c>
      <c r="Q307" s="40">
        <f t="shared" si="309"/>
        <v>0.0547282204</v>
      </c>
      <c r="R307" s="40">
        <f t="shared" si="309"/>
        <v>0.02105263158</v>
      </c>
      <c r="S307" s="40">
        <f t="shared" si="309"/>
        <v>0.05691056911</v>
      </c>
      <c r="T307" s="40">
        <f t="shared" si="309"/>
        <v>0.07971014493</v>
      </c>
    </row>
    <row r="308" ht="15.75" customHeight="1">
      <c r="F308" s="23"/>
      <c r="G308" s="19">
        <f>$G$30</f>
        <v>22</v>
      </c>
      <c r="H308" s="45">
        <v>214.0</v>
      </c>
      <c r="I308" s="45">
        <v>50.0</v>
      </c>
      <c r="J308" s="45">
        <v>1.0</v>
      </c>
      <c r="K308" s="45">
        <v>10.0</v>
      </c>
      <c r="L308" s="45">
        <v>6.0</v>
      </c>
      <c r="N308" s="23"/>
      <c r="O308" s="19">
        <f>$G$18</f>
        <v>10</v>
      </c>
      <c r="P308" s="40">
        <f t="shared" ref="P308:T308" si="310">H320/A$335</f>
        <v>0.06382432259</v>
      </c>
      <c r="Q308" s="40">
        <f t="shared" si="310"/>
        <v>0.06329113924</v>
      </c>
      <c r="R308" s="40">
        <f t="shared" si="310"/>
        <v>0.01052631579</v>
      </c>
      <c r="S308" s="40">
        <f t="shared" si="310"/>
        <v>0.135501355</v>
      </c>
      <c r="T308" s="40">
        <f t="shared" si="310"/>
        <v>0.1086956522</v>
      </c>
    </row>
    <row r="309" ht="15.75" customHeight="1">
      <c r="A309" s="26">
        <f t="shared" ref="A309:E309" si="311">SUM(H286:H309)</f>
        <v>6808</v>
      </c>
      <c r="B309" s="26">
        <f t="shared" si="311"/>
        <v>2757</v>
      </c>
      <c r="C309" s="26">
        <f t="shared" si="311"/>
        <v>98</v>
      </c>
      <c r="D309" s="26">
        <f t="shared" si="311"/>
        <v>497</v>
      </c>
      <c r="E309" s="26">
        <f t="shared" si="311"/>
        <v>463</v>
      </c>
      <c r="F309" s="27"/>
      <c r="G309" s="19">
        <f>$G$31</f>
        <v>23</v>
      </c>
      <c r="H309" s="46">
        <v>174.0</v>
      </c>
      <c r="I309" s="46">
        <v>48.0</v>
      </c>
      <c r="J309" s="46">
        <v>1.0</v>
      </c>
      <c r="K309" s="46">
        <v>10.0</v>
      </c>
      <c r="L309" s="46">
        <v>2.0</v>
      </c>
      <c r="N309" s="23"/>
      <c r="O309" s="19">
        <f>$G$19</f>
        <v>11</v>
      </c>
      <c r="P309" s="40">
        <f t="shared" ref="P309:T309" si="312">H321/A$335</f>
        <v>0.0570181071</v>
      </c>
      <c r="Q309" s="40">
        <f t="shared" si="312"/>
        <v>0.06105733433</v>
      </c>
      <c r="R309" s="40">
        <f t="shared" si="312"/>
        <v>0.03157894737</v>
      </c>
      <c r="S309" s="40">
        <f t="shared" si="312"/>
        <v>0.07046070461</v>
      </c>
      <c r="T309" s="40">
        <f t="shared" si="312"/>
        <v>0.0652173913</v>
      </c>
    </row>
    <row r="310" ht="15.75" customHeight="1">
      <c r="F310" s="39">
        <v>45206.0</v>
      </c>
      <c r="G310" s="19">
        <f>$G$8</f>
        <v>0</v>
      </c>
      <c r="H310" s="20">
        <v>119.0</v>
      </c>
      <c r="I310" s="20">
        <v>30.0</v>
      </c>
      <c r="J310" s="20">
        <v>4.0</v>
      </c>
      <c r="K310" s="20">
        <v>10.0</v>
      </c>
      <c r="L310" s="20">
        <v>8.0</v>
      </c>
      <c r="N310" s="23"/>
      <c r="O310" s="19">
        <f>$G$20</f>
        <v>12</v>
      </c>
      <c r="P310" s="40">
        <f t="shared" ref="P310:T310" si="313">H322/A$335</f>
        <v>0.05778862206</v>
      </c>
      <c r="Q310" s="40">
        <f t="shared" si="313"/>
        <v>0.06105733433</v>
      </c>
      <c r="R310" s="40">
        <f t="shared" si="313"/>
        <v>0.09473684211</v>
      </c>
      <c r="S310" s="40">
        <f t="shared" si="313"/>
        <v>0.05962059621</v>
      </c>
      <c r="T310" s="40">
        <f t="shared" si="313"/>
        <v>0.0652173913</v>
      </c>
    </row>
    <row r="311" ht="15.75" customHeight="1">
      <c r="F311" s="23"/>
      <c r="G311" s="19">
        <f>$G$9</f>
        <v>1</v>
      </c>
      <c r="H311" s="20">
        <v>65.0</v>
      </c>
      <c r="I311" s="20">
        <v>19.0</v>
      </c>
      <c r="J311" s="20">
        <v>3.0</v>
      </c>
      <c r="K311" s="20">
        <v>3.0</v>
      </c>
      <c r="L311" s="20">
        <v>2.0</v>
      </c>
      <c r="N311" s="23"/>
      <c r="O311" s="19">
        <f>$G$21</f>
        <v>13</v>
      </c>
      <c r="P311" s="40">
        <f t="shared" ref="P311:T311" si="314">H323/A$335</f>
        <v>0.05881597534</v>
      </c>
      <c r="Q311" s="40">
        <f t="shared" si="314"/>
        <v>0.05361131794</v>
      </c>
      <c r="R311" s="40">
        <f t="shared" si="314"/>
        <v>0.1052631579</v>
      </c>
      <c r="S311" s="40">
        <f t="shared" si="314"/>
        <v>0.0352303523</v>
      </c>
      <c r="T311" s="40">
        <f t="shared" si="314"/>
        <v>0.05072463768</v>
      </c>
    </row>
    <row r="312" ht="15.75" customHeight="1">
      <c r="F312" s="23"/>
      <c r="G312" s="19">
        <f>$G$10</f>
        <v>2</v>
      </c>
      <c r="H312" s="16">
        <v>56.0</v>
      </c>
      <c r="I312" s="16">
        <v>13.0</v>
      </c>
      <c r="J312" s="16">
        <v>3.0</v>
      </c>
      <c r="K312" s="16">
        <v>2.0</v>
      </c>
      <c r="L312" s="16">
        <v>6.0</v>
      </c>
      <c r="N312" s="23"/>
      <c r="O312" s="19">
        <f>$G$22</f>
        <v>14</v>
      </c>
      <c r="P312" s="40">
        <f t="shared" ref="P312:T312" si="315">H324/A$335</f>
        <v>0.06767689739</v>
      </c>
      <c r="Q312" s="40">
        <f t="shared" si="315"/>
        <v>0.06664184661</v>
      </c>
      <c r="R312" s="40">
        <f t="shared" si="315"/>
        <v>0.09473684211</v>
      </c>
      <c r="S312" s="40">
        <f t="shared" si="315"/>
        <v>0.07046070461</v>
      </c>
      <c r="T312" s="40">
        <f t="shared" si="315"/>
        <v>0.09420289855</v>
      </c>
    </row>
    <row r="313" ht="15.75" customHeight="1">
      <c r="F313" s="23"/>
      <c r="G313" s="19">
        <f>$G$11</f>
        <v>3</v>
      </c>
      <c r="H313" s="20">
        <v>34.0</v>
      </c>
      <c r="I313" s="20">
        <v>11.0</v>
      </c>
      <c r="J313" s="20">
        <v>1.0</v>
      </c>
      <c r="K313" s="20">
        <v>5.0</v>
      </c>
      <c r="L313" s="20">
        <v>9.0</v>
      </c>
      <c r="N313" s="23"/>
      <c r="O313" s="19">
        <f>$G$23</f>
        <v>15</v>
      </c>
      <c r="P313" s="40">
        <f t="shared" ref="P313:T313" si="316">H325/A$335</f>
        <v>0.08937973546</v>
      </c>
      <c r="Q313" s="40">
        <f t="shared" si="316"/>
        <v>0.078183172</v>
      </c>
      <c r="R313" s="40">
        <f t="shared" si="316"/>
        <v>0.1052631579</v>
      </c>
      <c r="S313" s="40">
        <f t="shared" si="316"/>
        <v>0.07317073171</v>
      </c>
      <c r="T313" s="40">
        <f t="shared" si="316"/>
        <v>0.06884057971</v>
      </c>
    </row>
    <row r="314" ht="15.75" customHeight="1">
      <c r="F314" s="23"/>
      <c r="G314" s="19">
        <f>$G$12</f>
        <v>4</v>
      </c>
      <c r="H314" s="20">
        <v>44.0</v>
      </c>
      <c r="I314" s="20">
        <v>14.0</v>
      </c>
      <c r="J314" s="20">
        <v>3.0</v>
      </c>
      <c r="K314" s="20">
        <v>4.0</v>
      </c>
      <c r="L314" s="20">
        <v>7.0</v>
      </c>
      <c r="N314" s="23"/>
      <c r="O314" s="19">
        <f>$G$24</f>
        <v>16</v>
      </c>
      <c r="P314" s="40">
        <f t="shared" ref="P314:T314" si="317">H326/A$335</f>
        <v>0.08616925645</v>
      </c>
      <c r="Q314" s="40">
        <f t="shared" si="317"/>
        <v>0.09084139985</v>
      </c>
      <c r="R314" s="40">
        <f t="shared" si="317"/>
        <v>0.06315789474</v>
      </c>
      <c r="S314" s="40">
        <f t="shared" si="317"/>
        <v>0.05149051491</v>
      </c>
      <c r="T314" s="40">
        <f t="shared" si="317"/>
        <v>0.03260869565</v>
      </c>
    </row>
    <row r="315" ht="15.75" customHeight="1">
      <c r="F315" s="23"/>
      <c r="G315" s="19">
        <f>$G$13</f>
        <v>5</v>
      </c>
      <c r="H315" s="20">
        <v>59.0</v>
      </c>
      <c r="I315" s="20">
        <v>25.0</v>
      </c>
      <c r="J315" s="20">
        <v>0.0</v>
      </c>
      <c r="K315" s="20">
        <v>5.0</v>
      </c>
      <c r="L315" s="20">
        <v>4.0</v>
      </c>
      <c r="N315" s="23"/>
      <c r="O315" s="19">
        <f>$G$25</f>
        <v>17</v>
      </c>
      <c r="P315" s="40">
        <f t="shared" ref="P315:T315" si="318">H327/A$335</f>
        <v>0.08257351997</v>
      </c>
      <c r="Q315" s="40">
        <f t="shared" si="318"/>
        <v>0.07892777364</v>
      </c>
      <c r="R315" s="40">
        <f t="shared" si="318"/>
        <v>0.1052631579</v>
      </c>
      <c r="S315" s="40">
        <f t="shared" si="318"/>
        <v>0.0352303523</v>
      </c>
      <c r="T315" s="40">
        <f t="shared" si="318"/>
        <v>0.007246376812</v>
      </c>
    </row>
    <row r="316" ht="15.75" customHeight="1">
      <c r="F316" s="23"/>
      <c r="G316" s="19">
        <f>$G$14</f>
        <v>6</v>
      </c>
      <c r="H316" s="20">
        <v>168.0</v>
      </c>
      <c r="I316" s="20">
        <v>115.0</v>
      </c>
      <c r="J316" s="20">
        <v>3.0</v>
      </c>
      <c r="K316" s="20">
        <v>10.0</v>
      </c>
      <c r="L316" s="20">
        <v>10.0</v>
      </c>
      <c r="N316" s="23"/>
      <c r="O316" s="19">
        <f>$G$26</f>
        <v>18</v>
      </c>
      <c r="P316" s="40">
        <f t="shared" ref="P316:T316" si="319">H328/A$335</f>
        <v>0.06793373571</v>
      </c>
      <c r="Q316" s="40">
        <f t="shared" si="319"/>
        <v>0.0625465376</v>
      </c>
      <c r="R316" s="40">
        <f t="shared" si="319"/>
        <v>0.03157894737</v>
      </c>
      <c r="S316" s="40">
        <f t="shared" si="319"/>
        <v>0.0460704607</v>
      </c>
      <c r="T316" s="40">
        <f t="shared" si="319"/>
        <v>0.02173913043</v>
      </c>
    </row>
    <row r="317" ht="15.75" customHeight="1">
      <c r="F317" s="23"/>
      <c r="G317" s="19">
        <f>$G$15</f>
        <v>7</v>
      </c>
      <c r="H317" s="20">
        <v>214.0</v>
      </c>
      <c r="I317" s="20">
        <v>112.0</v>
      </c>
      <c r="J317" s="20">
        <v>3.0</v>
      </c>
      <c r="K317" s="20">
        <v>7.0</v>
      </c>
      <c r="L317" s="20">
        <v>26.0</v>
      </c>
      <c r="N317" s="23"/>
      <c r="O317" s="19">
        <f>$G$27</f>
        <v>19</v>
      </c>
      <c r="P317" s="40">
        <f t="shared" ref="P317:T317" si="320">H329/A$335</f>
        <v>0.05483498138</v>
      </c>
      <c r="Q317" s="40">
        <f t="shared" si="320"/>
        <v>0.04132539092</v>
      </c>
      <c r="R317" s="40">
        <f t="shared" si="320"/>
        <v>0.03157894737</v>
      </c>
      <c r="S317" s="40">
        <f t="shared" si="320"/>
        <v>0.0433604336</v>
      </c>
      <c r="T317" s="40">
        <f t="shared" si="320"/>
        <v>0.03623188406</v>
      </c>
    </row>
    <row r="318" ht="15.75" customHeight="1">
      <c r="F318" s="23"/>
      <c r="G318" s="19">
        <f>$G$16</f>
        <v>8</v>
      </c>
      <c r="H318" s="20">
        <v>269.0</v>
      </c>
      <c r="I318" s="20">
        <v>100.0</v>
      </c>
      <c r="J318" s="20">
        <v>4.0</v>
      </c>
      <c r="K318" s="20">
        <v>26.0</v>
      </c>
      <c r="L318" s="20">
        <v>16.0</v>
      </c>
      <c r="N318" s="23"/>
      <c r="O318" s="19">
        <f>$G$28</f>
        <v>20</v>
      </c>
      <c r="P318" s="40">
        <f t="shared" ref="P318:T318" si="321">H330/A$335</f>
        <v>0.04892770001</v>
      </c>
      <c r="Q318" s="40">
        <f t="shared" si="321"/>
        <v>0.04244229337</v>
      </c>
      <c r="R318" s="40">
        <f t="shared" si="321"/>
        <v>0.04210526316</v>
      </c>
      <c r="S318" s="40">
        <f t="shared" si="321"/>
        <v>0.0406504065</v>
      </c>
      <c r="T318" s="40">
        <f t="shared" si="321"/>
        <v>0.01811594203</v>
      </c>
    </row>
    <row r="319" ht="15.75" customHeight="1">
      <c r="F319" s="23"/>
      <c r="G319" s="19">
        <f>$G$17</f>
        <v>9</v>
      </c>
      <c r="H319" s="20">
        <v>371.0</v>
      </c>
      <c r="I319" s="20">
        <v>147.0</v>
      </c>
      <c r="J319" s="20">
        <v>2.0</v>
      </c>
      <c r="K319" s="20">
        <v>21.0</v>
      </c>
      <c r="L319" s="20">
        <v>22.0</v>
      </c>
      <c r="N319" s="23"/>
      <c r="O319" s="19">
        <f>$G$29</f>
        <v>21</v>
      </c>
      <c r="P319" s="40">
        <f t="shared" ref="P319:T319" si="322">H331/A$335</f>
        <v>0.03711313728</v>
      </c>
      <c r="Q319" s="40">
        <f t="shared" si="322"/>
        <v>0.03574087863</v>
      </c>
      <c r="R319" s="40">
        <f t="shared" si="322"/>
        <v>0</v>
      </c>
      <c r="S319" s="40">
        <f t="shared" si="322"/>
        <v>0.0325203252</v>
      </c>
      <c r="T319" s="40">
        <f t="shared" si="322"/>
        <v>0.01811594203</v>
      </c>
      <c r="U319" s="47">
        <f>$H$7</f>
        <v>31</v>
      </c>
      <c r="V319" s="47">
        <f>$I$7</f>
        <v>32</v>
      </c>
      <c r="W319" s="47">
        <f>$J$7</f>
        <v>41</v>
      </c>
      <c r="X319" s="47">
        <f>$K$7</f>
        <v>42</v>
      </c>
      <c r="Y319" s="47">
        <f>$L$7</f>
        <v>5</v>
      </c>
    </row>
    <row r="320" ht="15.75" customHeight="1">
      <c r="F320" s="23"/>
      <c r="G320" s="19">
        <f>$G$18</f>
        <v>10</v>
      </c>
      <c r="H320" s="20">
        <v>497.0</v>
      </c>
      <c r="I320" s="20">
        <v>170.0</v>
      </c>
      <c r="J320" s="20">
        <v>1.0</v>
      </c>
      <c r="K320" s="20">
        <v>50.0</v>
      </c>
      <c r="L320" s="20">
        <v>30.0</v>
      </c>
      <c r="N320" s="23"/>
      <c r="O320" s="19">
        <f>$G$30</f>
        <v>22</v>
      </c>
      <c r="P320" s="40">
        <f t="shared" ref="P320:T320" si="323">H332/A$335</f>
        <v>0.02632592783</v>
      </c>
      <c r="Q320" s="40">
        <f t="shared" si="323"/>
        <v>0.02829486225</v>
      </c>
      <c r="R320" s="40">
        <f t="shared" si="323"/>
        <v>0</v>
      </c>
      <c r="S320" s="40">
        <f t="shared" si="323"/>
        <v>0.0325203252</v>
      </c>
      <c r="T320" s="40">
        <f t="shared" si="323"/>
        <v>0.01086956522</v>
      </c>
    </row>
    <row r="321" ht="15.75" customHeight="1">
      <c r="F321" s="23"/>
      <c r="G321" s="19">
        <f>$G$19</f>
        <v>11</v>
      </c>
      <c r="H321" s="20">
        <v>444.0</v>
      </c>
      <c r="I321" s="20">
        <v>164.0</v>
      </c>
      <c r="J321" s="20">
        <v>3.0</v>
      </c>
      <c r="K321" s="20">
        <v>26.0</v>
      </c>
      <c r="L321" s="20">
        <v>18.0</v>
      </c>
      <c r="N321" s="27"/>
      <c r="O321" s="19">
        <f>$G$31</f>
        <v>23</v>
      </c>
      <c r="P321" s="40">
        <f t="shared" ref="P321:T321" si="324">H333/A$335</f>
        <v>0.02195967638</v>
      </c>
      <c r="Q321" s="40">
        <f t="shared" si="324"/>
        <v>0.01787043931</v>
      </c>
      <c r="R321" s="40">
        <f t="shared" si="324"/>
        <v>0.01052631579</v>
      </c>
      <c r="S321" s="40">
        <f t="shared" si="324"/>
        <v>0.0216802168</v>
      </c>
      <c r="T321" s="40">
        <f t="shared" si="324"/>
        <v>0.003623188406</v>
      </c>
    </row>
    <row r="322" ht="15.75" customHeight="1">
      <c r="F322" s="23"/>
      <c r="G322" s="19">
        <f>$G$20</f>
        <v>12</v>
      </c>
      <c r="H322" s="20">
        <v>450.0</v>
      </c>
      <c r="I322" s="20">
        <v>164.0</v>
      </c>
      <c r="J322" s="20">
        <v>9.0</v>
      </c>
      <c r="K322" s="20">
        <v>22.0</v>
      </c>
      <c r="L322" s="20">
        <v>18.0</v>
      </c>
      <c r="N322" s="39">
        <v>45207.0</v>
      </c>
      <c r="O322" s="19">
        <f>$G$8</f>
        <v>0</v>
      </c>
      <c r="P322" s="40">
        <f t="shared" ref="P322:T322" si="325">H334/H$364</f>
        <v>0.0111638757</v>
      </c>
      <c r="Q322" s="40">
        <f t="shared" si="325"/>
        <v>0.008074162679</v>
      </c>
      <c r="R322" s="40">
        <f t="shared" si="325"/>
        <v>0.024</v>
      </c>
      <c r="S322" s="40">
        <f t="shared" si="325"/>
        <v>0.00518134715</v>
      </c>
      <c r="T322" s="40">
        <f t="shared" si="325"/>
        <v>0.01086956522</v>
      </c>
    </row>
    <row r="323" ht="15.75" customHeight="1">
      <c r="F323" s="23"/>
      <c r="G323" s="19">
        <f>$G$21</f>
        <v>13</v>
      </c>
      <c r="H323" s="20">
        <v>458.0</v>
      </c>
      <c r="I323" s="20">
        <v>144.0</v>
      </c>
      <c r="J323" s="20">
        <v>10.0</v>
      </c>
      <c r="K323" s="20">
        <v>13.0</v>
      </c>
      <c r="L323" s="20">
        <v>14.0</v>
      </c>
      <c r="N323" s="23"/>
      <c r="O323" s="19">
        <f>$G$9</f>
        <v>1</v>
      </c>
      <c r="P323" s="40">
        <f t="shared" ref="P323:T323" si="326">H335/H$364</f>
        <v>0.007748062984</v>
      </c>
      <c r="Q323" s="40">
        <f t="shared" si="326"/>
        <v>0.00538277512</v>
      </c>
      <c r="R323" s="40">
        <f t="shared" si="326"/>
        <v>0</v>
      </c>
      <c r="S323" s="40">
        <f t="shared" si="326"/>
        <v>0.01554404145</v>
      </c>
      <c r="T323" s="40">
        <f t="shared" si="326"/>
        <v>0.02173913043</v>
      </c>
    </row>
    <row r="324" ht="15.75" customHeight="1">
      <c r="F324" s="23"/>
      <c r="G324" s="19">
        <f>$G$22</f>
        <v>14</v>
      </c>
      <c r="H324" s="20">
        <v>527.0</v>
      </c>
      <c r="I324" s="20">
        <v>179.0</v>
      </c>
      <c r="J324" s="20">
        <v>9.0</v>
      </c>
      <c r="K324" s="20">
        <v>26.0</v>
      </c>
      <c r="L324" s="20">
        <v>26.0</v>
      </c>
      <c r="N324" s="23"/>
      <c r="O324" s="19">
        <f>$G$10</f>
        <v>2</v>
      </c>
      <c r="P324" s="40">
        <f t="shared" ref="P324:T324" si="327">H336/H$364</f>
        <v>0.004665500292</v>
      </c>
      <c r="Q324" s="40">
        <f t="shared" si="327"/>
        <v>0.003588516746</v>
      </c>
      <c r="R324" s="40">
        <f t="shared" si="327"/>
        <v>0.024</v>
      </c>
      <c r="S324" s="40">
        <f t="shared" si="327"/>
        <v>0.0103626943</v>
      </c>
      <c r="T324" s="40">
        <f t="shared" si="327"/>
        <v>0.04347826087</v>
      </c>
    </row>
    <row r="325" ht="15.75" customHeight="1">
      <c r="F325" s="23"/>
      <c r="G325" s="19">
        <f>$G$23</f>
        <v>15</v>
      </c>
      <c r="H325" s="20">
        <v>696.0</v>
      </c>
      <c r="I325" s="20">
        <v>210.0</v>
      </c>
      <c r="J325" s="20">
        <v>10.0</v>
      </c>
      <c r="K325" s="20">
        <v>27.0</v>
      </c>
      <c r="L325" s="20">
        <v>19.0</v>
      </c>
      <c r="N325" s="23"/>
      <c r="O325" s="19">
        <f>$G$11</f>
        <v>3</v>
      </c>
      <c r="P325" s="40">
        <f t="shared" ref="P325:T325" si="328">H337/H$364</f>
        <v>0.00416562526</v>
      </c>
      <c r="Q325" s="40">
        <f t="shared" si="328"/>
        <v>0.002990430622</v>
      </c>
      <c r="R325" s="40">
        <f t="shared" si="328"/>
        <v>0</v>
      </c>
      <c r="S325" s="40">
        <f t="shared" si="328"/>
        <v>0.0103626943</v>
      </c>
      <c r="T325" s="40">
        <f t="shared" si="328"/>
        <v>0.02173913043</v>
      </c>
    </row>
    <row r="326" ht="15.75" customHeight="1">
      <c r="F326" s="23"/>
      <c r="G326" s="19">
        <f>$G$24</f>
        <v>16</v>
      </c>
      <c r="H326" s="20">
        <v>671.0</v>
      </c>
      <c r="I326" s="20">
        <v>244.0</v>
      </c>
      <c r="J326" s="20">
        <v>6.0</v>
      </c>
      <c r="K326" s="20">
        <v>19.0</v>
      </c>
      <c r="L326" s="20">
        <v>9.0</v>
      </c>
      <c r="N326" s="23"/>
      <c r="O326" s="19">
        <f>$G$12</f>
        <v>4</v>
      </c>
      <c r="P326" s="40">
        <f t="shared" ref="P326:T326" si="329">H338/H$364</f>
        <v>0.002832625177</v>
      </c>
      <c r="Q326" s="40">
        <f t="shared" si="329"/>
        <v>0.003289473684</v>
      </c>
      <c r="R326" s="40">
        <f t="shared" si="329"/>
        <v>0</v>
      </c>
      <c r="S326" s="40">
        <f t="shared" si="329"/>
        <v>0.0103626943</v>
      </c>
      <c r="T326" s="40">
        <f t="shared" si="329"/>
        <v>0</v>
      </c>
    </row>
    <row r="327" ht="15.75" customHeight="1">
      <c r="F327" s="23"/>
      <c r="G327" s="19">
        <f>$G$25</f>
        <v>17</v>
      </c>
      <c r="H327" s="20">
        <v>643.0</v>
      </c>
      <c r="I327" s="20">
        <v>212.0</v>
      </c>
      <c r="J327" s="20">
        <v>10.0</v>
      </c>
      <c r="K327" s="20">
        <v>13.0</v>
      </c>
      <c r="L327" s="20">
        <v>2.0</v>
      </c>
      <c r="N327" s="23"/>
      <c r="O327" s="19">
        <f>$G$13</f>
        <v>5</v>
      </c>
      <c r="P327" s="40">
        <f t="shared" ref="P327:T327" si="330">H339/H$364</f>
        <v>0.004665500292</v>
      </c>
      <c r="Q327" s="40">
        <f t="shared" si="330"/>
        <v>0.009868421053</v>
      </c>
      <c r="R327" s="40">
        <f t="shared" si="330"/>
        <v>0.032</v>
      </c>
      <c r="S327" s="40">
        <f t="shared" si="330"/>
        <v>0.02590673575</v>
      </c>
      <c r="T327" s="40">
        <f t="shared" si="330"/>
        <v>0.02173913043</v>
      </c>
    </row>
    <row r="328" ht="15.75" customHeight="1">
      <c r="F328" s="23"/>
      <c r="G328" s="19">
        <f>$G$26</f>
        <v>18</v>
      </c>
      <c r="H328" s="20">
        <v>529.0</v>
      </c>
      <c r="I328" s="20">
        <v>168.0</v>
      </c>
      <c r="J328" s="20">
        <v>3.0</v>
      </c>
      <c r="K328" s="20">
        <v>17.0</v>
      </c>
      <c r="L328" s="20">
        <v>6.0</v>
      </c>
      <c r="N328" s="23"/>
      <c r="O328" s="19">
        <f>$G$14</f>
        <v>6</v>
      </c>
      <c r="P328" s="40">
        <f t="shared" ref="P328:T328" si="331">H340/H$364</f>
        <v>0.01091393818</v>
      </c>
      <c r="Q328" s="40">
        <f t="shared" si="331"/>
        <v>0.02422248804</v>
      </c>
      <c r="R328" s="40">
        <f t="shared" si="331"/>
        <v>0.008</v>
      </c>
      <c r="S328" s="40">
        <f t="shared" si="331"/>
        <v>0.04663212435</v>
      </c>
      <c r="T328" s="40">
        <f t="shared" si="331"/>
        <v>0.0652173913</v>
      </c>
    </row>
    <row r="329" ht="15.75" customHeight="1">
      <c r="F329" s="23"/>
      <c r="G329" s="19">
        <f>$G$27</f>
        <v>19</v>
      </c>
      <c r="H329" s="20">
        <v>427.0</v>
      </c>
      <c r="I329" s="20">
        <v>111.0</v>
      </c>
      <c r="J329" s="20">
        <v>3.0</v>
      </c>
      <c r="K329" s="20">
        <v>16.0</v>
      </c>
      <c r="L329" s="20">
        <v>10.0</v>
      </c>
      <c r="N329" s="23"/>
      <c r="O329" s="19">
        <f>$G$15</f>
        <v>7</v>
      </c>
      <c r="P329" s="40">
        <f t="shared" ref="P329:T329" si="332">H341/H$364</f>
        <v>0.01541281346</v>
      </c>
      <c r="Q329" s="40">
        <f t="shared" si="332"/>
        <v>0.02362440191</v>
      </c>
      <c r="R329" s="40">
        <f t="shared" si="332"/>
        <v>0.048</v>
      </c>
      <c r="S329" s="40">
        <f t="shared" si="332"/>
        <v>0.05699481865</v>
      </c>
      <c r="T329" s="40">
        <f t="shared" si="332"/>
        <v>0.01086956522</v>
      </c>
    </row>
    <row r="330" ht="15.75" customHeight="1">
      <c r="F330" s="23"/>
      <c r="G330" s="19">
        <f>$G$28</f>
        <v>20</v>
      </c>
      <c r="H330" s="20">
        <v>381.0</v>
      </c>
      <c r="I330" s="20">
        <v>114.0</v>
      </c>
      <c r="J330" s="20">
        <v>4.0</v>
      </c>
      <c r="K330" s="20">
        <v>15.0</v>
      </c>
      <c r="L330" s="20">
        <v>5.0</v>
      </c>
      <c r="N330" s="23"/>
      <c r="O330" s="19">
        <f>$G$16</f>
        <v>8</v>
      </c>
      <c r="P330" s="40">
        <f t="shared" ref="P330:T330" si="333">H342/H$364</f>
        <v>0.02207781388</v>
      </c>
      <c r="Q330" s="40">
        <f t="shared" si="333"/>
        <v>0.02661483254</v>
      </c>
      <c r="R330" s="40">
        <f t="shared" si="333"/>
        <v>0.072</v>
      </c>
      <c r="S330" s="40">
        <f t="shared" si="333"/>
        <v>0.02590673575</v>
      </c>
      <c r="T330" s="40">
        <f t="shared" si="333"/>
        <v>0.07608695652</v>
      </c>
    </row>
    <row r="331" ht="15.75" customHeight="1">
      <c r="F331" s="23"/>
      <c r="G331" s="19">
        <f>$G$29</f>
        <v>21</v>
      </c>
      <c r="H331" s="20">
        <v>289.0</v>
      </c>
      <c r="I331" s="20">
        <v>96.0</v>
      </c>
      <c r="J331" s="20">
        <v>0.0</v>
      </c>
      <c r="K331" s="20">
        <v>12.0</v>
      </c>
      <c r="L331" s="20">
        <v>5.0</v>
      </c>
      <c r="N331" s="23"/>
      <c r="O331" s="19">
        <f>$G$17</f>
        <v>9</v>
      </c>
      <c r="P331" s="40">
        <f t="shared" ref="P331:T331" si="334">H343/H$364</f>
        <v>0.02924268933</v>
      </c>
      <c r="Q331" s="40">
        <f t="shared" si="334"/>
        <v>0.03738038278</v>
      </c>
      <c r="R331" s="40">
        <f t="shared" si="334"/>
        <v>0.048</v>
      </c>
      <c r="S331" s="40">
        <f t="shared" si="334"/>
        <v>0.0725388601</v>
      </c>
      <c r="T331" s="40">
        <f t="shared" si="334"/>
        <v>0.0652173913</v>
      </c>
    </row>
    <row r="332" ht="15.75" customHeight="1">
      <c r="F332" s="23"/>
      <c r="G332" s="19">
        <f>$G$30</f>
        <v>22</v>
      </c>
      <c r="H332" s="20">
        <v>205.0</v>
      </c>
      <c r="I332" s="20">
        <v>76.0</v>
      </c>
      <c r="J332" s="20">
        <v>0.0</v>
      </c>
      <c r="K332" s="20">
        <v>12.0</v>
      </c>
      <c r="L332" s="20">
        <v>3.0</v>
      </c>
      <c r="N332" s="23"/>
      <c r="O332" s="19">
        <f>$G$18</f>
        <v>10</v>
      </c>
      <c r="P332" s="40">
        <f t="shared" ref="P332:T332" si="335">H344/H$364</f>
        <v>0.03799050237</v>
      </c>
      <c r="Q332" s="40">
        <f t="shared" si="335"/>
        <v>0.03708133971</v>
      </c>
      <c r="R332" s="40">
        <f t="shared" si="335"/>
        <v>0.032</v>
      </c>
      <c r="S332" s="40">
        <f t="shared" si="335"/>
        <v>0.0932642487</v>
      </c>
      <c r="T332" s="40">
        <f t="shared" si="335"/>
        <v>0.02173913043</v>
      </c>
    </row>
    <row r="333" ht="15.75" customHeight="1">
      <c r="F333" s="27"/>
      <c r="G333" s="19">
        <f>$G$31</f>
        <v>23</v>
      </c>
      <c r="H333" s="20">
        <v>171.0</v>
      </c>
      <c r="I333" s="20">
        <v>48.0</v>
      </c>
      <c r="J333" s="20">
        <v>1.0</v>
      </c>
      <c r="K333" s="20">
        <v>8.0</v>
      </c>
      <c r="L333" s="20">
        <v>1.0</v>
      </c>
      <c r="N333" s="23"/>
      <c r="O333" s="19">
        <f>$G$19</f>
        <v>11</v>
      </c>
      <c r="P333" s="40">
        <f t="shared" ref="P333:T333" si="336">H345/H$364</f>
        <v>0.04565525285</v>
      </c>
      <c r="Q333" s="40">
        <f t="shared" si="336"/>
        <v>0.04455741627</v>
      </c>
      <c r="R333" s="40">
        <f t="shared" si="336"/>
        <v>0.056</v>
      </c>
      <c r="S333" s="40">
        <f t="shared" si="336"/>
        <v>0.103626943</v>
      </c>
      <c r="T333" s="40">
        <f t="shared" si="336"/>
        <v>0.08695652174</v>
      </c>
    </row>
    <row r="334" ht="15.75" customHeight="1">
      <c r="F334" s="39">
        <v>45207.0</v>
      </c>
      <c r="G334" s="19">
        <f>$G$8</f>
        <v>0</v>
      </c>
      <c r="H334" s="20">
        <v>134.0</v>
      </c>
      <c r="I334" s="20">
        <v>27.0</v>
      </c>
      <c r="J334" s="20">
        <v>3.0</v>
      </c>
      <c r="K334" s="20">
        <v>1.0</v>
      </c>
      <c r="L334" s="20">
        <v>1.0</v>
      </c>
      <c r="N334" s="23"/>
      <c r="O334" s="19">
        <f>$G$20</f>
        <v>12</v>
      </c>
      <c r="P334" s="40">
        <f t="shared" ref="P334:T334" si="337">H346/H$364</f>
        <v>0.0512371907</v>
      </c>
      <c r="Q334" s="40">
        <f t="shared" si="337"/>
        <v>0.04994019139</v>
      </c>
      <c r="R334" s="40">
        <f t="shared" si="337"/>
        <v>0.032</v>
      </c>
      <c r="S334" s="40">
        <f t="shared" si="337"/>
        <v>0.04663212435</v>
      </c>
      <c r="T334" s="40">
        <f t="shared" si="337"/>
        <v>0.0652173913</v>
      </c>
    </row>
    <row r="335" ht="15.75" customHeight="1">
      <c r="A335" s="48">
        <f t="shared" ref="A335:E335" si="338">SUM(H310:H333)</f>
        <v>7787</v>
      </c>
      <c r="B335" s="48">
        <f t="shared" si="338"/>
        <v>2686</v>
      </c>
      <c r="C335" s="48">
        <f t="shared" si="338"/>
        <v>95</v>
      </c>
      <c r="D335" s="48">
        <f t="shared" si="338"/>
        <v>369</v>
      </c>
      <c r="E335" s="48">
        <f t="shared" si="338"/>
        <v>276</v>
      </c>
      <c r="F335" s="23"/>
      <c r="G335" s="19">
        <f>$G$9</f>
        <v>1</v>
      </c>
      <c r="H335" s="20">
        <v>93.0</v>
      </c>
      <c r="I335" s="20">
        <v>18.0</v>
      </c>
      <c r="J335" s="20">
        <v>0.0</v>
      </c>
      <c r="K335" s="20">
        <v>3.0</v>
      </c>
      <c r="L335" s="20">
        <v>2.0</v>
      </c>
      <c r="N335" s="23"/>
      <c r="O335" s="19">
        <f>$G$21</f>
        <v>13</v>
      </c>
      <c r="P335" s="40">
        <f t="shared" ref="P335:T335" si="339">H347/H$364</f>
        <v>0.05548612847</v>
      </c>
      <c r="Q335" s="40">
        <f t="shared" si="339"/>
        <v>0.05891148325</v>
      </c>
      <c r="R335" s="40">
        <f t="shared" si="339"/>
        <v>0.04</v>
      </c>
      <c r="S335" s="40">
        <f t="shared" si="339"/>
        <v>0.0207253886</v>
      </c>
      <c r="T335" s="40">
        <f t="shared" si="339"/>
        <v>0.1086956522</v>
      </c>
    </row>
    <row r="336" ht="15.75" customHeight="1">
      <c r="F336" s="23"/>
      <c r="G336" s="19">
        <f>$G$10</f>
        <v>2</v>
      </c>
      <c r="H336" s="34">
        <v>56.0</v>
      </c>
      <c r="I336" s="34">
        <v>12.0</v>
      </c>
      <c r="J336" s="34">
        <v>3.0</v>
      </c>
      <c r="K336" s="34">
        <v>2.0</v>
      </c>
      <c r="L336" s="34">
        <v>4.0</v>
      </c>
      <c r="N336" s="23"/>
      <c r="O336" s="19">
        <f>$G$22</f>
        <v>14</v>
      </c>
      <c r="P336" s="40">
        <f t="shared" ref="P336:T336" si="340">H348/H$364</f>
        <v>0.07106556694</v>
      </c>
      <c r="Q336" s="40">
        <f t="shared" si="340"/>
        <v>0.07087320574</v>
      </c>
      <c r="R336" s="40">
        <f t="shared" si="340"/>
        <v>0.104</v>
      </c>
      <c r="S336" s="40">
        <f t="shared" si="340"/>
        <v>0.0414507772</v>
      </c>
      <c r="T336" s="40">
        <f t="shared" si="340"/>
        <v>0.07608695652</v>
      </c>
    </row>
    <row r="337" ht="15.75" customHeight="1">
      <c r="F337" s="23"/>
      <c r="G337" s="19">
        <f>$G$11</f>
        <v>3</v>
      </c>
      <c r="H337" s="20">
        <v>50.0</v>
      </c>
      <c r="I337" s="20">
        <v>10.0</v>
      </c>
      <c r="J337" s="20">
        <v>0.0</v>
      </c>
      <c r="K337" s="20">
        <v>2.0</v>
      </c>
      <c r="L337" s="20">
        <v>2.0</v>
      </c>
      <c r="N337" s="23"/>
      <c r="O337" s="19">
        <f>$G$23</f>
        <v>15</v>
      </c>
      <c r="P337" s="40">
        <f t="shared" ref="P337:T337" si="341">H349/H$364</f>
        <v>0.08189619262</v>
      </c>
      <c r="Q337" s="40">
        <f t="shared" si="341"/>
        <v>0.07057416268</v>
      </c>
      <c r="R337" s="40">
        <f t="shared" si="341"/>
        <v>0.104</v>
      </c>
      <c r="S337" s="40">
        <f t="shared" si="341"/>
        <v>0.07772020725</v>
      </c>
      <c r="T337" s="40">
        <f t="shared" si="341"/>
        <v>0.02173913043</v>
      </c>
    </row>
    <row r="338" ht="15.75" customHeight="1">
      <c r="F338" s="23"/>
      <c r="G338" s="19">
        <f>$G$12</f>
        <v>4</v>
      </c>
      <c r="H338" s="20">
        <v>34.0</v>
      </c>
      <c r="I338" s="20">
        <v>11.0</v>
      </c>
      <c r="J338" s="20">
        <v>0.0</v>
      </c>
      <c r="K338" s="20">
        <v>2.0</v>
      </c>
      <c r="L338" s="20">
        <v>0.0</v>
      </c>
      <c r="N338" s="23"/>
      <c r="O338" s="19">
        <f>$G$24</f>
        <v>16</v>
      </c>
      <c r="P338" s="40">
        <f t="shared" ref="P338:T338" si="342">H350/H$364</f>
        <v>0.09589269349</v>
      </c>
      <c r="Q338" s="40">
        <f t="shared" si="342"/>
        <v>0.08791866029</v>
      </c>
      <c r="R338" s="40">
        <f t="shared" si="342"/>
        <v>0.064</v>
      </c>
      <c r="S338" s="40">
        <f t="shared" si="342"/>
        <v>0.06735751295</v>
      </c>
      <c r="T338" s="40">
        <f t="shared" si="342"/>
        <v>0.02173913043</v>
      </c>
    </row>
    <row r="339" ht="15.75" customHeight="1">
      <c r="F339" s="23"/>
      <c r="G339" s="19">
        <f>$G$13</f>
        <v>5</v>
      </c>
      <c r="H339" s="20">
        <v>56.0</v>
      </c>
      <c r="I339" s="20">
        <v>33.0</v>
      </c>
      <c r="J339" s="20">
        <v>4.0</v>
      </c>
      <c r="K339" s="20">
        <v>5.0</v>
      </c>
      <c r="L339" s="20">
        <v>2.0</v>
      </c>
      <c r="N339" s="23"/>
      <c r="O339" s="19">
        <f>$G$25</f>
        <v>17</v>
      </c>
      <c r="P339" s="40">
        <f t="shared" ref="P339:T339" si="343">H351/H$364</f>
        <v>0.0944763809</v>
      </c>
      <c r="Q339" s="40">
        <f t="shared" si="343"/>
        <v>0.08522727273</v>
      </c>
      <c r="R339" s="40">
        <f t="shared" si="343"/>
        <v>0.12</v>
      </c>
      <c r="S339" s="40">
        <f t="shared" si="343"/>
        <v>0.0518134715</v>
      </c>
      <c r="T339" s="40">
        <f t="shared" si="343"/>
        <v>0.02173913043</v>
      </c>
    </row>
    <row r="340" ht="15.75" customHeight="1">
      <c r="F340" s="23"/>
      <c r="G340" s="19">
        <f>$G$14</f>
        <v>6</v>
      </c>
      <c r="H340" s="20">
        <v>131.0</v>
      </c>
      <c r="I340" s="20">
        <v>81.0</v>
      </c>
      <c r="J340" s="20">
        <v>1.0</v>
      </c>
      <c r="K340" s="20">
        <v>9.0</v>
      </c>
      <c r="L340" s="20">
        <v>6.0</v>
      </c>
      <c r="N340" s="23"/>
      <c r="O340" s="19">
        <f>$G$26</f>
        <v>18</v>
      </c>
      <c r="P340" s="40">
        <f t="shared" ref="P340:T340" si="344">H352/H$364</f>
        <v>0.09297675581</v>
      </c>
      <c r="Q340" s="40">
        <f t="shared" si="344"/>
        <v>0.08642344498</v>
      </c>
      <c r="R340" s="40">
        <f t="shared" si="344"/>
        <v>0.056</v>
      </c>
      <c r="S340" s="40">
        <f t="shared" si="344"/>
        <v>0.04663212435</v>
      </c>
      <c r="T340" s="40">
        <f t="shared" si="344"/>
        <v>0.03260869565</v>
      </c>
    </row>
    <row r="341" ht="15.75" customHeight="1">
      <c r="F341" s="23"/>
      <c r="G341" s="19">
        <f>$G$15</f>
        <v>7</v>
      </c>
      <c r="H341" s="20">
        <v>185.0</v>
      </c>
      <c r="I341" s="20">
        <v>79.0</v>
      </c>
      <c r="J341" s="20">
        <v>6.0</v>
      </c>
      <c r="K341" s="20">
        <v>11.0</v>
      </c>
      <c r="L341" s="20">
        <v>1.0</v>
      </c>
      <c r="N341" s="23"/>
      <c r="O341" s="19">
        <f>$G$27</f>
        <v>19</v>
      </c>
      <c r="P341" s="40">
        <f t="shared" ref="P341:T341" si="345">H353/H$364</f>
        <v>0.08747813047</v>
      </c>
      <c r="Q341" s="40">
        <f t="shared" si="345"/>
        <v>0.08492822967</v>
      </c>
      <c r="R341" s="40">
        <f t="shared" si="345"/>
        <v>0.056</v>
      </c>
      <c r="S341" s="40">
        <f t="shared" si="345"/>
        <v>0.0310880829</v>
      </c>
      <c r="T341" s="40">
        <f t="shared" si="345"/>
        <v>0.01086956522</v>
      </c>
    </row>
    <row r="342" ht="15.75" customHeight="1">
      <c r="F342" s="23"/>
      <c r="G342" s="19">
        <f>$G$16</f>
        <v>8</v>
      </c>
      <c r="H342" s="20">
        <v>265.0</v>
      </c>
      <c r="I342" s="20">
        <v>89.0</v>
      </c>
      <c r="J342" s="20">
        <v>9.0</v>
      </c>
      <c r="K342" s="20">
        <v>5.0</v>
      </c>
      <c r="L342" s="20">
        <v>7.0</v>
      </c>
      <c r="N342" s="23"/>
      <c r="O342" s="19">
        <f>$G$28</f>
        <v>20</v>
      </c>
      <c r="P342" s="40">
        <f t="shared" ref="P342:T342" si="346">H354/H$364</f>
        <v>0.06431725402</v>
      </c>
      <c r="Q342" s="40">
        <f t="shared" si="346"/>
        <v>0.06997607656</v>
      </c>
      <c r="R342" s="40">
        <f t="shared" si="346"/>
        <v>0.056</v>
      </c>
      <c r="S342" s="40">
        <f t="shared" si="346"/>
        <v>0.0518134715</v>
      </c>
      <c r="T342" s="40">
        <f t="shared" si="346"/>
        <v>0.04347826087</v>
      </c>
    </row>
    <row r="343" ht="15.75" customHeight="1">
      <c r="F343" s="23"/>
      <c r="G343" s="19">
        <f>$G$17</f>
        <v>9</v>
      </c>
      <c r="H343" s="20">
        <v>351.0</v>
      </c>
      <c r="I343" s="20">
        <v>125.0</v>
      </c>
      <c r="J343" s="20">
        <v>6.0</v>
      </c>
      <c r="K343" s="20">
        <v>14.0</v>
      </c>
      <c r="L343" s="20">
        <v>6.0</v>
      </c>
      <c r="N343" s="23"/>
      <c r="O343" s="19">
        <f>$G$29</f>
        <v>21</v>
      </c>
      <c r="P343" s="40">
        <f t="shared" ref="P343:T343" si="347">H355/H$364</f>
        <v>0.05240356578</v>
      </c>
      <c r="Q343" s="40">
        <f t="shared" si="347"/>
        <v>0.05083732057</v>
      </c>
      <c r="R343" s="40">
        <f t="shared" si="347"/>
        <v>0</v>
      </c>
      <c r="S343" s="40">
        <f t="shared" si="347"/>
        <v>0.0310880829</v>
      </c>
      <c r="T343" s="40">
        <f t="shared" si="347"/>
        <v>0.01086956522</v>
      </c>
    </row>
    <row r="344" ht="15.75" customHeight="1">
      <c r="F344" s="23"/>
      <c r="G344" s="19">
        <f>$G$18</f>
        <v>10</v>
      </c>
      <c r="H344" s="20">
        <v>456.0</v>
      </c>
      <c r="I344" s="20">
        <v>124.0</v>
      </c>
      <c r="J344" s="20">
        <v>4.0</v>
      </c>
      <c r="K344" s="20">
        <v>18.0</v>
      </c>
      <c r="L344" s="20">
        <v>2.0</v>
      </c>
      <c r="N344" s="23"/>
      <c r="O344" s="19">
        <f>$G$30</f>
        <v>22</v>
      </c>
      <c r="P344" s="40">
        <f t="shared" ref="P344:T344" si="348">H356/H$364</f>
        <v>0.03490793968</v>
      </c>
      <c r="Q344" s="40">
        <f t="shared" si="348"/>
        <v>0.03229665072</v>
      </c>
      <c r="R344" s="40">
        <f t="shared" si="348"/>
        <v>0.016</v>
      </c>
      <c r="S344" s="40">
        <f t="shared" si="348"/>
        <v>0.03626943005</v>
      </c>
      <c r="T344" s="40">
        <f t="shared" si="348"/>
        <v>0.1086956522</v>
      </c>
    </row>
    <row r="345" ht="15.75" customHeight="1">
      <c r="F345" s="23"/>
      <c r="G345" s="19">
        <f>$G$19</f>
        <v>11</v>
      </c>
      <c r="H345" s="20">
        <v>548.0</v>
      </c>
      <c r="I345" s="20">
        <v>149.0</v>
      </c>
      <c r="J345" s="20">
        <v>7.0</v>
      </c>
      <c r="K345" s="20">
        <v>20.0</v>
      </c>
      <c r="L345" s="20">
        <v>8.0</v>
      </c>
      <c r="N345" s="27"/>
      <c r="O345" s="19">
        <f>$G$31</f>
        <v>23</v>
      </c>
      <c r="P345" s="40">
        <f t="shared" ref="P345:T345" si="349">H357/H$364</f>
        <v>0.02132800133</v>
      </c>
      <c r="Q345" s="40">
        <f t="shared" si="349"/>
        <v>0.02541866029</v>
      </c>
      <c r="R345" s="40">
        <f t="shared" si="349"/>
        <v>0.008</v>
      </c>
      <c r="S345" s="40">
        <f t="shared" si="349"/>
        <v>0.0207253886</v>
      </c>
      <c r="T345" s="40">
        <f t="shared" si="349"/>
        <v>0.03260869565</v>
      </c>
    </row>
    <row r="346" ht="15.75" customHeight="1">
      <c r="F346" s="23"/>
      <c r="G346" s="19">
        <f>$G$20</f>
        <v>12</v>
      </c>
      <c r="H346" s="20">
        <v>615.0</v>
      </c>
      <c r="I346" s="20">
        <v>167.0</v>
      </c>
      <c r="J346" s="20">
        <v>4.0</v>
      </c>
      <c r="K346" s="20">
        <v>9.0</v>
      </c>
      <c r="L346" s="20">
        <v>6.0</v>
      </c>
    </row>
    <row r="347" ht="15.75" customHeight="1">
      <c r="F347" s="23"/>
      <c r="G347" s="19">
        <f>$G$21</f>
        <v>13</v>
      </c>
      <c r="H347" s="20">
        <v>666.0</v>
      </c>
      <c r="I347" s="20">
        <v>197.0</v>
      </c>
      <c r="J347" s="20">
        <v>5.0</v>
      </c>
      <c r="K347" s="20">
        <v>4.0</v>
      </c>
      <c r="L347" s="20">
        <v>10.0</v>
      </c>
    </row>
    <row r="348" ht="15.75" customHeight="1">
      <c r="F348" s="23"/>
      <c r="G348" s="19">
        <f>$G$22</f>
        <v>14</v>
      </c>
      <c r="H348" s="20">
        <v>853.0</v>
      </c>
      <c r="I348" s="20">
        <v>237.0</v>
      </c>
      <c r="J348" s="20">
        <v>13.0</v>
      </c>
      <c r="K348" s="20">
        <v>8.0</v>
      </c>
      <c r="L348" s="20">
        <v>7.0</v>
      </c>
    </row>
    <row r="349" ht="15.75" customHeight="1">
      <c r="F349" s="23"/>
      <c r="G349" s="19">
        <f>$G$23</f>
        <v>15</v>
      </c>
      <c r="H349" s="20">
        <v>983.0</v>
      </c>
      <c r="I349" s="20">
        <v>236.0</v>
      </c>
      <c r="J349" s="20">
        <v>13.0</v>
      </c>
      <c r="K349" s="20">
        <v>15.0</v>
      </c>
      <c r="L349" s="20">
        <v>2.0</v>
      </c>
    </row>
    <row r="350" ht="15.75" customHeight="1">
      <c r="F350" s="23"/>
      <c r="G350" s="19">
        <f>$G$24</f>
        <v>16</v>
      </c>
      <c r="H350" s="20">
        <v>1151.0</v>
      </c>
      <c r="I350" s="20">
        <v>294.0</v>
      </c>
      <c r="J350" s="20">
        <v>8.0</v>
      </c>
      <c r="K350" s="20">
        <v>13.0</v>
      </c>
      <c r="L350" s="20">
        <v>2.0</v>
      </c>
    </row>
    <row r="351" ht="15.75" customHeight="1">
      <c r="F351" s="23"/>
      <c r="G351" s="19">
        <f>$G$25</f>
        <v>17</v>
      </c>
      <c r="H351" s="20">
        <v>1134.0</v>
      </c>
      <c r="I351" s="20">
        <v>285.0</v>
      </c>
      <c r="J351" s="20">
        <v>15.0</v>
      </c>
      <c r="K351" s="20">
        <v>10.0</v>
      </c>
      <c r="L351" s="20">
        <v>2.0</v>
      </c>
    </row>
    <row r="352" ht="15.75" customHeight="1">
      <c r="F352" s="23"/>
      <c r="G352" s="19">
        <f>$G$26</f>
        <v>18</v>
      </c>
      <c r="H352" s="20">
        <v>1116.0</v>
      </c>
      <c r="I352" s="20">
        <v>289.0</v>
      </c>
      <c r="J352" s="20">
        <v>7.0</v>
      </c>
      <c r="K352" s="20">
        <v>9.0</v>
      </c>
      <c r="L352" s="20">
        <v>3.0</v>
      </c>
    </row>
    <row r="353" ht="15.75" customHeight="1">
      <c r="F353" s="23"/>
      <c r="G353" s="19">
        <f>$G$27</f>
        <v>19</v>
      </c>
      <c r="H353" s="20">
        <v>1050.0</v>
      </c>
      <c r="I353" s="20">
        <v>284.0</v>
      </c>
      <c r="J353" s="20">
        <v>7.0</v>
      </c>
      <c r="K353" s="20">
        <v>6.0</v>
      </c>
      <c r="L353" s="20">
        <v>1.0</v>
      </c>
    </row>
    <row r="354" ht="15.75" customHeight="1">
      <c r="F354" s="23"/>
      <c r="G354" s="19">
        <f>$G$28</f>
        <v>20</v>
      </c>
      <c r="H354" s="20">
        <v>772.0</v>
      </c>
      <c r="I354" s="20">
        <v>234.0</v>
      </c>
      <c r="J354" s="20">
        <v>7.0</v>
      </c>
      <c r="K354" s="20">
        <v>10.0</v>
      </c>
      <c r="L354" s="20">
        <v>4.0</v>
      </c>
    </row>
    <row r="355" ht="15.75" customHeight="1">
      <c r="F355" s="23"/>
      <c r="G355" s="19">
        <f>$G$29</f>
        <v>21</v>
      </c>
      <c r="H355" s="20">
        <v>629.0</v>
      </c>
      <c r="I355" s="20">
        <v>170.0</v>
      </c>
      <c r="J355" s="20">
        <v>0.0</v>
      </c>
      <c r="K355" s="20">
        <v>6.0</v>
      </c>
      <c r="L355" s="20">
        <v>1.0</v>
      </c>
    </row>
    <row r="356" ht="15.75" customHeight="1">
      <c r="F356" s="23"/>
      <c r="G356" s="19">
        <f>$G$30</f>
        <v>22</v>
      </c>
      <c r="H356" s="20">
        <v>419.0</v>
      </c>
      <c r="I356" s="20">
        <v>108.0</v>
      </c>
      <c r="J356" s="20">
        <v>2.0</v>
      </c>
      <c r="K356" s="20">
        <v>7.0</v>
      </c>
      <c r="L356" s="20">
        <v>10.0</v>
      </c>
    </row>
    <row r="357" ht="15.75" customHeight="1">
      <c r="F357" s="27"/>
      <c r="G357" s="19">
        <f>$G$31</f>
        <v>23</v>
      </c>
      <c r="H357" s="20">
        <v>256.0</v>
      </c>
      <c r="I357" s="20">
        <v>85.0</v>
      </c>
      <c r="J357" s="20">
        <v>1.0</v>
      </c>
      <c r="K357" s="20">
        <v>4.0</v>
      </c>
      <c r="L357" s="20">
        <v>3.0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>
      <c r="F364" s="41"/>
      <c r="G364" s="16"/>
      <c r="H364" s="26">
        <f t="shared" ref="H364:L364" si="350">SUM(H334:H357)</f>
        <v>12003</v>
      </c>
      <c r="I364" s="26">
        <f t="shared" si="350"/>
        <v>3344</v>
      </c>
      <c r="J364" s="26">
        <f t="shared" si="350"/>
        <v>125</v>
      </c>
      <c r="K364" s="26">
        <f t="shared" si="350"/>
        <v>193</v>
      </c>
      <c r="L364" s="26">
        <f t="shared" si="350"/>
        <v>92</v>
      </c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>
      <c r="G371" s="16"/>
      <c r="H371" s="49"/>
      <c r="I371" s="49"/>
      <c r="J371" s="49"/>
      <c r="K371" s="49"/>
      <c r="L371" s="49"/>
      <c r="O371" s="16"/>
      <c r="P371" s="49"/>
      <c r="Q371" s="49"/>
      <c r="R371" s="49"/>
      <c r="S371" s="49"/>
      <c r="T371" s="49"/>
    </row>
    <row r="372" ht="15.75" customHeight="1">
      <c r="F372" s="50"/>
      <c r="G372" s="51"/>
      <c r="H372" s="16"/>
      <c r="I372" s="16"/>
      <c r="J372" s="16"/>
      <c r="K372" s="16"/>
      <c r="L372" s="16"/>
      <c r="N372" s="50"/>
      <c r="O372" s="51"/>
      <c r="P372" s="52"/>
      <c r="Q372" s="52"/>
      <c r="R372" s="52"/>
      <c r="S372" s="52"/>
      <c r="T372" s="52"/>
    </row>
    <row r="373" ht="15.75" customHeight="1">
      <c r="G373" s="51"/>
      <c r="H373" s="16"/>
      <c r="I373" s="16"/>
      <c r="J373" s="16"/>
      <c r="K373" s="16"/>
      <c r="L373" s="16"/>
      <c r="O373" s="51"/>
      <c r="P373" s="52"/>
      <c r="Q373" s="52"/>
      <c r="R373" s="52"/>
      <c r="S373" s="52"/>
      <c r="T373" s="52"/>
    </row>
    <row r="374" ht="15.75" customHeight="1">
      <c r="G374" s="51"/>
      <c r="H374" s="16"/>
      <c r="I374" s="16"/>
      <c r="J374" s="16"/>
      <c r="K374" s="16"/>
      <c r="L374" s="16"/>
      <c r="O374" s="51"/>
      <c r="P374" s="52"/>
      <c r="Q374" s="52"/>
      <c r="R374" s="52"/>
      <c r="S374" s="52"/>
      <c r="T374" s="52"/>
    </row>
    <row r="375" ht="15.75" customHeight="1">
      <c r="G375" s="51"/>
      <c r="H375" s="16"/>
      <c r="I375" s="16"/>
      <c r="J375" s="16"/>
      <c r="K375" s="16"/>
      <c r="L375" s="16"/>
      <c r="O375" s="51"/>
      <c r="P375" s="52"/>
      <c r="Q375" s="52"/>
      <c r="R375" s="52"/>
      <c r="S375" s="52"/>
      <c r="T375" s="52"/>
    </row>
    <row r="376" ht="15.75" customHeight="1">
      <c r="G376" s="51"/>
      <c r="H376" s="16"/>
      <c r="I376" s="16"/>
      <c r="J376" s="16"/>
      <c r="K376" s="16"/>
      <c r="L376" s="16"/>
      <c r="O376" s="51"/>
      <c r="P376" s="52"/>
      <c r="Q376" s="52"/>
      <c r="R376" s="52"/>
      <c r="S376" s="52"/>
      <c r="T376" s="52"/>
    </row>
    <row r="377" ht="15.75" customHeight="1">
      <c r="G377" s="51"/>
      <c r="H377" s="16"/>
      <c r="I377" s="16"/>
      <c r="J377" s="16"/>
      <c r="K377" s="16"/>
      <c r="L377" s="16"/>
      <c r="O377" s="51"/>
      <c r="P377" s="52"/>
      <c r="Q377" s="52"/>
      <c r="R377" s="52"/>
      <c r="S377" s="52"/>
      <c r="T377" s="52"/>
    </row>
    <row r="378" ht="15.75" customHeight="1">
      <c r="G378" s="51"/>
      <c r="H378" s="16"/>
      <c r="I378" s="16"/>
      <c r="J378" s="16"/>
      <c r="K378" s="16"/>
      <c r="L378" s="16"/>
      <c r="O378" s="51"/>
      <c r="P378" s="52"/>
      <c r="Q378" s="52"/>
      <c r="R378" s="52"/>
      <c r="S378" s="52"/>
      <c r="T378" s="52"/>
    </row>
    <row r="379" ht="15.75" customHeight="1">
      <c r="G379" s="51"/>
      <c r="H379" s="16"/>
      <c r="I379" s="16"/>
      <c r="J379" s="16"/>
      <c r="K379" s="16"/>
      <c r="L379" s="16"/>
      <c r="O379" s="51"/>
      <c r="P379" s="52"/>
      <c r="Q379" s="52"/>
      <c r="R379" s="52"/>
      <c r="S379" s="52"/>
      <c r="T379" s="52"/>
    </row>
    <row r="380" ht="15.75" customHeight="1">
      <c r="G380" s="51"/>
      <c r="H380" s="16"/>
      <c r="I380" s="16"/>
      <c r="J380" s="16"/>
      <c r="K380" s="16"/>
      <c r="L380" s="16"/>
      <c r="O380" s="51"/>
      <c r="P380" s="52"/>
      <c r="Q380" s="52"/>
      <c r="R380" s="52"/>
      <c r="S380" s="52"/>
      <c r="T380" s="52"/>
    </row>
    <row r="381" ht="15.75" customHeight="1">
      <c r="G381" s="51"/>
      <c r="H381" s="16"/>
      <c r="I381" s="16"/>
      <c r="J381" s="16"/>
      <c r="K381" s="16"/>
      <c r="L381" s="16"/>
      <c r="O381" s="51"/>
      <c r="P381" s="52"/>
      <c r="Q381" s="52"/>
      <c r="R381" s="52"/>
      <c r="S381" s="52"/>
      <c r="T381" s="52"/>
    </row>
    <row r="382" ht="15.75" customHeight="1">
      <c r="G382" s="51"/>
      <c r="H382" s="16"/>
      <c r="I382" s="16"/>
      <c r="J382" s="16"/>
      <c r="K382" s="16"/>
      <c r="L382" s="16"/>
      <c r="O382" s="51"/>
      <c r="P382" s="52"/>
      <c r="Q382" s="52"/>
      <c r="R382" s="52"/>
      <c r="S382" s="52"/>
      <c r="T382" s="52"/>
    </row>
    <row r="383" ht="15.75" customHeight="1">
      <c r="G383" s="51"/>
      <c r="H383" s="16"/>
      <c r="I383" s="16"/>
      <c r="J383" s="16"/>
      <c r="K383" s="16"/>
      <c r="L383" s="16"/>
      <c r="O383" s="51"/>
      <c r="P383" s="52"/>
      <c r="Q383" s="52"/>
      <c r="R383" s="52"/>
      <c r="S383" s="52"/>
      <c r="T383" s="52"/>
    </row>
    <row r="384" ht="15.75" customHeight="1">
      <c r="G384" s="51"/>
      <c r="H384" s="16"/>
      <c r="I384" s="16"/>
      <c r="J384" s="16"/>
      <c r="K384" s="16"/>
      <c r="L384" s="16"/>
      <c r="O384" s="51"/>
      <c r="P384" s="52"/>
      <c r="Q384" s="52"/>
      <c r="R384" s="52"/>
      <c r="S384" s="52"/>
      <c r="T384" s="52"/>
    </row>
    <row r="385" ht="15.75" customHeight="1">
      <c r="G385" s="51"/>
      <c r="H385" s="16"/>
      <c r="I385" s="16"/>
      <c r="J385" s="16"/>
      <c r="K385" s="16"/>
      <c r="L385" s="16"/>
      <c r="O385" s="51"/>
      <c r="P385" s="52"/>
      <c r="Q385" s="52"/>
      <c r="R385" s="52"/>
      <c r="S385" s="52"/>
      <c r="T385" s="52"/>
    </row>
    <row r="386" ht="15.75" customHeight="1">
      <c r="G386" s="51"/>
      <c r="H386" s="16"/>
      <c r="I386" s="16"/>
      <c r="J386" s="16"/>
      <c r="K386" s="16"/>
      <c r="L386" s="16"/>
      <c r="O386" s="51"/>
      <c r="P386" s="52"/>
      <c r="Q386" s="52"/>
      <c r="R386" s="52"/>
      <c r="S386" s="52"/>
      <c r="T386" s="52"/>
    </row>
    <row r="387" ht="15.75" customHeight="1">
      <c r="G387" s="51"/>
      <c r="H387" s="16"/>
      <c r="I387" s="16"/>
      <c r="J387" s="16"/>
      <c r="K387" s="16"/>
      <c r="L387" s="16"/>
      <c r="O387" s="51"/>
      <c r="P387" s="52"/>
      <c r="Q387" s="52"/>
      <c r="R387" s="52"/>
      <c r="S387" s="52"/>
      <c r="T387" s="52"/>
    </row>
    <row r="388" ht="15.75" customHeight="1">
      <c r="G388" s="51"/>
      <c r="H388" s="16"/>
      <c r="I388" s="16"/>
      <c r="J388" s="16"/>
      <c r="K388" s="16"/>
      <c r="L388" s="16"/>
      <c r="O388" s="51"/>
      <c r="P388" s="52"/>
      <c r="Q388" s="52"/>
      <c r="R388" s="52"/>
      <c r="S388" s="52"/>
      <c r="T388" s="52"/>
    </row>
    <row r="389" ht="15.75" customHeight="1">
      <c r="G389" s="51"/>
      <c r="H389" s="16"/>
      <c r="I389" s="16"/>
      <c r="J389" s="16"/>
      <c r="K389" s="16"/>
      <c r="L389" s="16"/>
      <c r="O389" s="51"/>
      <c r="P389" s="52"/>
      <c r="Q389" s="52"/>
      <c r="R389" s="52"/>
      <c r="S389" s="52"/>
      <c r="T389" s="52"/>
    </row>
    <row r="390" ht="15.75" customHeight="1">
      <c r="G390" s="51"/>
      <c r="H390" s="16"/>
      <c r="I390" s="16"/>
      <c r="J390" s="16"/>
      <c r="K390" s="16"/>
      <c r="L390" s="16"/>
      <c r="O390" s="51"/>
      <c r="P390" s="52"/>
      <c r="Q390" s="52"/>
      <c r="R390" s="52"/>
      <c r="S390" s="52"/>
      <c r="T390" s="52"/>
    </row>
    <row r="391" ht="15.75" customHeight="1">
      <c r="G391" s="51"/>
      <c r="H391" s="16"/>
      <c r="I391" s="16"/>
      <c r="J391" s="16"/>
      <c r="K391" s="16"/>
      <c r="L391" s="16"/>
      <c r="O391" s="51"/>
      <c r="P391" s="52"/>
      <c r="Q391" s="52"/>
      <c r="R391" s="52"/>
      <c r="S391" s="52"/>
      <c r="T391" s="52"/>
    </row>
    <row r="392" ht="15.75" customHeight="1">
      <c r="G392" s="51"/>
      <c r="H392" s="16"/>
      <c r="I392" s="16"/>
      <c r="J392" s="16"/>
      <c r="K392" s="16"/>
      <c r="L392" s="16"/>
      <c r="O392" s="51"/>
      <c r="P392" s="52"/>
      <c r="Q392" s="52"/>
      <c r="R392" s="52"/>
      <c r="S392" s="52"/>
      <c r="T392" s="52"/>
    </row>
    <row r="393" ht="15.75" customHeight="1">
      <c r="G393" s="51"/>
      <c r="H393" s="16"/>
      <c r="I393" s="16"/>
      <c r="J393" s="16"/>
      <c r="K393" s="16"/>
      <c r="L393" s="16"/>
      <c r="O393" s="51"/>
      <c r="P393" s="52"/>
      <c r="Q393" s="52"/>
      <c r="R393" s="52"/>
      <c r="S393" s="52"/>
      <c r="T393" s="52"/>
    </row>
    <row r="394" ht="15.75" customHeight="1">
      <c r="G394" s="51"/>
      <c r="H394" s="16"/>
      <c r="I394" s="16"/>
      <c r="J394" s="16"/>
      <c r="K394" s="16"/>
      <c r="L394" s="16"/>
      <c r="O394" s="51"/>
      <c r="P394" s="52"/>
      <c r="Q394" s="52"/>
      <c r="R394" s="52"/>
      <c r="S394" s="52"/>
      <c r="T394" s="52"/>
    </row>
    <row r="395" ht="15.75" customHeight="1">
      <c r="G395" s="51"/>
      <c r="H395" s="16"/>
      <c r="I395" s="16"/>
      <c r="J395" s="16"/>
      <c r="K395" s="16"/>
      <c r="L395" s="16"/>
      <c r="O395" s="51"/>
      <c r="P395" s="52"/>
      <c r="Q395" s="52"/>
      <c r="R395" s="52"/>
      <c r="S395" s="52"/>
      <c r="T395" s="52"/>
    </row>
    <row r="396" ht="15.75" customHeight="1">
      <c r="F396" s="53"/>
      <c r="G396" s="16"/>
      <c r="H396" s="26"/>
      <c r="I396" s="26"/>
      <c r="J396" s="26"/>
      <c r="K396" s="26"/>
      <c r="L396" s="26"/>
    </row>
    <row r="397" ht="15.75" customHeight="1">
      <c r="G397" s="16"/>
      <c r="H397" s="54"/>
      <c r="I397" s="54"/>
      <c r="J397" s="54"/>
      <c r="K397" s="54"/>
      <c r="L397" s="54"/>
    </row>
    <row r="398" ht="15.75" customHeight="1">
      <c r="F398" s="55"/>
      <c r="G398" s="51"/>
      <c r="H398" s="16"/>
      <c r="I398" s="16"/>
      <c r="J398" s="16"/>
      <c r="K398" s="16"/>
      <c r="L398" s="16"/>
      <c r="N398" s="55"/>
    </row>
    <row r="399" ht="15.75" customHeight="1">
      <c r="G399" s="51"/>
      <c r="H399" s="16"/>
      <c r="I399" s="16"/>
      <c r="J399" s="16"/>
      <c r="K399" s="16"/>
      <c r="L399" s="16"/>
    </row>
    <row r="400" ht="15.75" customHeight="1">
      <c r="G400" s="51"/>
      <c r="H400" s="16"/>
      <c r="I400" s="16"/>
      <c r="J400" s="16"/>
      <c r="K400" s="16"/>
      <c r="L400" s="16"/>
    </row>
    <row r="401" ht="15.75" customHeight="1">
      <c r="G401" s="51"/>
      <c r="H401" s="16"/>
      <c r="I401" s="16"/>
      <c r="J401" s="16"/>
      <c r="K401" s="16"/>
      <c r="L401" s="16"/>
    </row>
    <row r="402" ht="15.75" customHeight="1">
      <c r="G402" s="51"/>
      <c r="H402" s="16"/>
      <c r="I402" s="16"/>
      <c r="J402" s="16"/>
      <c r="K402" s="16"/>
      <c r="L402" s="16"/>
    </row>
    <row r="403" ht="15.75" customHeight="1">
      <c r="G403" s="51"/>
      <c r="H403" s="16"/>
      <c r="I403" s="16"/>
      <c r="J403" s="16"/>
      <c r="K403" s="16"/>
      <c r="L403" s="16"/>
    </row>
    <row r="404" ht="15.75" customHeight="1">
      <c r="G404" s="51"/>
      <c r="H404" s="16"/>
      <c r="I404" s="16"/>
      <c r="J404" s="16"/>
      <c r="K404" s="16"/>
      <c r="L404" s="16"/>
    </row>
    <row r="405" ht="15.75" customHeight="1">
      <c r="G405" s="51"/>
      <c r="H405" s="16"/>
      <c r="I405" s="16"/>
      <c r="J405" s="16"/>
      <c r="K405" s="16"/>
      <c r="L405" s="16"/>
    </row>
    <row r="406" ht="15.75" customHeight="1">
      <c r="G406" s="51"/>
      <c r="H406" s="16"/>
      <c r="I406" s="16"/>
      <c r="J406" s="16"/>
      <c r="K406" s="16"/>
      <c r="L406" s="16"/>
    </row>
    <row r="407" ht="15.75" customHeight="1">
      <c r="G407" s="51"/>
      <c r="H407" s="16"/>
      <c r="I407" s="16"/>
      <c r="J407" s="16"/>
      <c r="K407" s="16"/>
      <c r="L407" s="16"/>
    </row>
    <row r="408" ht="15.75" customHeight="1">
      <c r="G408" s="51"/>
      <c r="H408" s="16"/>
      <c r="I408" s="16"/>
      <c r="J408" s="16"/>
      <c r="K408" s="16"/>
      <c r="L408" s="16"/>
    </row>
    <row r="409" ht="15.75" customHeight="1">
      <c r="G409" s="51"/>
      <c r="H409" s="16"/>
      <c r="I409" s="16"/>
      <c r="J409" s="16"/>
      <c r="K409" s="16"/>
      <c r="L409" s="16"/>
    </row>
    <row r="410" ht="15.75" customHeight="1">
      <c r="G410" s="51"/>
      <c r="H410" s="16"/>
      <c r="I410" s="16"/>
      <c r="J410" s="16"/>
      <c r="K410" s="16"/>
      <c r="L410" s="16"/>
    </row>
    <row r="411" ht="15.75" customHeight="1">
      <c r="G411" s="51"/>
      <c r="H411" s="16"/>
      <c r="I411" s="16"/>
      <c r="J411" s="16"/>
      <c r="K411" s="16"/>
      <c r="L411" s="16"/>
    </row>
    <row r="412" ht="15.75" customHeight="1">
      <c r="G412" s="51"/>
      <c r="H412" s="16"/>
      <c r="I412" s="16"/>
      <c r="J412" s="16"/>
      <c r="K412" s="16"/>
      <c r="L412" s="16"/>
    </row>
    <row r="413" ht="15.75" customHeight="1">
      <c r="G413" s="51"/>
      <c r="H413" s="16"/>
      <c r="I413" s="16"/>
      <c r="J413" s="16"/>
      <c r="K413" s="16"/>
      <c r="L413" s="16"/>
    </row>
    <row r="414" ht="15.75" customHeight="1">
      <c r="G414" s="51"/>
      <c r="H414" s="16"/>
      <c r="I414" s="16"/>
      <c r="J414" s="16"/>
      <c r="K414" s="16"/>
      <c r="L414" s="16"/>
    </row>
    <row r="415" ht="15.75" customHeight="1">
      <c r="G415" s="51"/>
      <c r="H415" s="16"/>
      <c r="I415" s="16"/>
      <c r="J415" s="16"/>
      <c r="K415" s="16"/>
      <c r="L415" s="16"/>
    </row>
    <row r="416" ht="15.75" customHeight="1">
      <c r="G416" s="51"/>
      <c r="H416" s="16"/>
      <c r="I416" s="16"/>
      <c r="J416" s="16"/>
      <c r="K416" s="16"/>
      <c r="L416" s="16"/>
    </row>
    <row r="417" ht="15.75" customHeight="1">
      <c r="G417" s="51"/>
      <c r="H417" s="16"/>
      <c r="I417" s="16"/>
      <c r="J417" s="16"/>
      <c r="K417" s="16"/>
      <c r="L417" s="16"/>
    </row>
    <row r="418" ht="15.75" customHeight="1">
      <c r="G418" s="51"/>
      <c r="H418" s="16"/>
      <c r="I418" s="16"/>
      <c r="J418" s="16"/>
      <c r="K418" s="16"/>
      <c r="L418" s="16"/>
    </row>
    <row r="419" ht="15.75" customHeight="1">
      <c r="G419" s="51"/>
      <c r="H419" s="16"/>
      <c r="I419" s="16"/>
      <c r="J419" s="16"/>
      <c r="K419" s="16"/>
      <c r="L419" s="16"/>
    </row>
    <row r="420" ht="15.75" customHeight="1">
      <c r="G420" s="51"/>
      <c r="H420" s="16"/>
      <c r="I420" s="16"/>
      <c r="J420" s="16"/>
      <c r="K420" s="16"/>
      <c r="L420" s="16"/>
    </row>
    <row r="421" ht="15.75" customHeight="1">
      <c r="G421" s="51"/>
      <c r="H421" s="16"/>
      <c r="I421" s="16"/>
      <c r="J421" s="16"/>
      <c r="K421" s="16"/>
      <c r="L421" s="16"/>
    </row>
    <row r="422" ht="15.75" customHeight="1">
      <c r="F422" s="41"/>
      <c r="H422" s="26"/>
      <c r="I422" s="26"/>
      <c r="J422" s="26"/>
      <c r="K422" s="26"/>
      <c r="L422" s="26"/>
    </row>
    <row r="423" ht="15.75" customHeight="1">
      <c r="G423" s="16"/>
      <c r="H423" s="54"/>
      <c r="I423" s="54"/>
      <c r="J423" s="54"/>
      <c r="K423" s="54"/>
      <c r="L423" s="54"/>
    </row>
    <row r="424" ht="15.75" customHeight="1">
      <c r="F424" s="55"/>
      <c r="G424" s="51"/>
      <c r="H424" s="16"/>
      <c r="I424" s="16"/>
      <c r="J424" s="16"/>
      <c r="K424" s="16"/>
      <c r="L424" s="16"/>
      <c r="N424" s="55"/>
    </row>
    <row r="425" ht="15.75" customHeight="1">
      <c r="G425" s="51"/>
      <c r="H425" s="16"/>
      <c r="I425" s="16"/>
      <c r="J425" s="16"/>
      <c r="K425" s="16"/>
      <c r="L425" s="16"/>
    </row>
    <row r="426" ht="15.75" customHeight="1">
      <c r="G426" s="51"/>
      <c r="H426" s="16"/>
      <c r="I426" s="16"/>
      <c r="J426" s="16"/>
      <c r="K426" s="16"/>
      <c r="L426" s="16"/>
    </row>
    <row r="427" ht="15.75" customHeight="1">
      <c r="G427" s="51"/>
      <c r="H427" s="16"/>
      <c r="I427" s="16"/>
      <c r="J427" s="16"/>
      <c r="K427" s="16"/>
      <c r="L427" s="16"/>
    </row>
    <row r="428" ht="15.75" customHeight="1">
      <c r="G428" s="51"/>
      <c r="H428" s="16"/>
      <c r="I428" s="16"/>
      <c r="J428" s="16"/>
      <c r="K428" s="16"/>
      <c r="L428" s="16"/>
    </row>
    <row r="429" ht="15.75" customHeight="1">
      <c r="G429" s="51"/>
      <c r="H429" s="16"/>
      <c r="I429" s="16"/>
      <c r="J429" s="16"/>
      <c r="K429" s="16"/>
      <c r="L429" s="16"/>
    </row>
    <row r="430" ht="15.75" customHeight="1">
      <c r="G430" s="51"/>
      <c r="H430" s="16"/>
      <c r="I430" s="16"/>
      <c r="J430" s="16"/>
      <c r="K430" s="16"/>
      <c r="L430" s="16"/>
    </row>
    <row r="431" ht="15.75" customHeight="1">
      <c r="G431" s="51"/>
      <c r="H431" s="16"/>
      <c r="I431" s="16"/>
      <c r="J431" s="16"/>
      <c r="K431" s="16"/>
      <c r="L431" s="16"/>
    </row>
    <row r="432" ht="15.75" customHeight="1">
      <c r="G432" s="51"/>
      <c r="H432" s="16"/>
      <c r="I432" s="16"/>
      <c r="J432" s="16"/>
      <c r="K432" s="16"/>
      <c r="L432" s="16"/>
    </row>
    <row r="433" ht="15.75" customHeight="1">
      <c r="G433" s="51"/>
      <c r="H433" s="16"/>
      <c r="I433" s="16"/>
      <c r="J433" s="16"/>
      <c r="K433" s="16"/>
      <c r="L433" s="16"/>
    </row>
    <row r="434" ht="15.75" customHeight="1">
      <c r="G434" s="51"/>
      <c r="H434" s="16"/>
      <c r="I434" s="16"/>
      <c r="J434" s="16"/>
      <c r="K434" s="16"/>
      <c r="L434" s="16"/>
    </row>
    <row r="435" ht="15.75" customHeight="1">
      <c r="G435" s="51"/>
      <c r="H435" s="16"/>
      <c r="I435" s="16"/>
      <c r="J435" s="16"/>
      <c r="K435" s="16"/>
      <c r="L435" s="16"/>
    </row>
    <row r="436" ht="15.75" customHeight="1">
      <c r="G436" s="51"/>
      <c r="H436" s="16"/>
      <c r="I436" s="16"/>
      <c r="J436" s="16"/>
      <c r="K436" s="16"/>
      <c r="L436" s="16"/>
    </row>
    <row r="437" ht="15.75" customHeight="1">
      <c r="G437" s="51"/>
      <c r="H437" s="16"/>
      <c r="I437" s="16"/>
      <c r="J437" s="16"/>
      <c r="K437" s="16"/>
      <c r="L437" s="16"/>
    </row>
    <row r="438" ht="15.75" customHeight="1">
      <c r="G438" s="51"/>
      <c r="H438" s="16"/>
      <c r="I438" s="16"/>
      <c r="J438" s="16"/>
      <c r="K438" s="16"/>
      <c r="L438" s="16"/>
    </row>
    <row r="439" ht="15.75" customHeight="1">
      <c r="G439" s="51"/>
      <c r="H439" s="16"/>
      <c r="I439" s="16"/>
      <c r="J439" s="16"/>
      <c r="K439" s="16"/>
      <c r="L439" s="16"/>
    </row>
    <row r="440" ht="15.75" customHeight="1">
      <c r="G440" s="51"/>
      <c r="H440" s="16"/>
      <c r="I440" s="16"/>
      <c r="J440" s="16"/>
      <c r="K440" s="16"/>
      <c r="L440" s="16"/>
    </row>
    <row r="441" ht="15.75" customHeight="1">
      <c r="G441" s="51"/>
      <c r="H441" s="16"/>
      <c r="I441" s="16"/>
      <c r="J441" s="16"/>
      <c r="K441" s="16"/>
      <c r="L441" s="16"/>
    </row>
    <row r="442" ht="15.75" customHeight="1">
      <c r="G442" s="51"/>
      <c r="H442" s="16"/>
      <c r="I442" s="16"/>
      <c r="J442" s="16"/>
      <c r="K442" s="16"/>
      <c r="L442" s="16"/>
    </row>
    <row r="443" ht="15.75" customHeight="1">
      <c r="G443" s="51"/>
      <c r="H443" s="16"/>
      <c r="I443" s="16"/>
      <c r="J443" s="16"/>
      <c r="K443" s="16"/>
      <c r="L443" s="16"/>
    </row>
    <row r="444" ht="15.75" customHeight="1">
      <c r="G444" s="51"/>
      <c r="H444" s="16"/>
      <c r="I444" s="16"/>
      <c r="J444" s="16"/>
      <c r="K444" s="16"/>
      <c r="L444" s="16"/>
    </row>
    <row r="445" ht="15.75" customHeight="1">
      <c r="G445" s="51"/>
      <c r="H445" s="16"/>
      <c r="I445" s="16"/>
      <c r="J445" s="16"/>
      <c r="K445" s="16"/>
      <c r="L445" s="16"/>
    </row>
    <row r="446" ht="15.75" customHeight="1">
      <c r="G446" s="51"/>
      <c r="H446" s="16"/>
      <c r="I446" s="16"/>
      <c r="J446" s="16"/>
      <c r="K446" s="16"/>
      <c r="L446" s="16"/>
    </row>
    <row r="447" ht="15.75" customHeight="1">
      <c r="G447" s="51"/>
      <c r="H447" s="16"/>
      <c r="I447" s="16"/>
      <c r="J447" s="16"/>
      <c r="K447" s="16"/>
      <c r="L447" s="16"/>
    </row>
    <row r="448" ht="15.75" customHeight="1">
      <c r="F448" s="41"/>
      <c r="H448" s="26"/>
      <c r="I448" s="26"/>
      <c r="J448" s="26"/>
      <c r="K448" s="26"/>
      <c r="L448" s="26"/>
    </row>
    <row r="449" ht="15.75" customHeight="1">
      <c r="G449" s="16"/>
      <c r="H449" s="54"/>
      <c r="I449" s="54"/>
      <c r="J449" s="54"/>
      <c r="K449" s="54"/>
      <c r="L449" s="54"/>
    </row>
    <row r="450" ht="15.75" customHeight="1">
      <c r="F450" s="55"/>
      <c r="G450" s="51"/>
      <c r="H450" s="16"/>
      <c r="I450" s="16"/>
      <c r="J450" s="16"/>
      <c r="K450" s="16"/>
      <c r="L450" s="16"/>
      <c r="N450" s="55"/>
    </row>
    <row r="451" ht="15.75" customHeight="1">
      <c r="G451" s="51"/>
      <c r="H451" s="16"/>
      <c r="I451" s="16"/>
      <c r="J451" s="16"/>
      <c r="K451" s="16"/>
      <c r="L451" s="16"/>
    </row>
    <row r="452" ht="15.75" customHeight="1">
      <c r="G452" s="51"/>
      <c r="H452" s="16"/>
      <c r="I452" s="16"/>
      <c r="J452" s="16"/>
      <c r="K452" s="16"/>
      <c r="L452" s="16"/>
    </row>
    <row r="453" ht="15.75" customHeight="1">
      <c r="G453" s="51"/>
      <c r="H453" s="16"/>
      <c r="I453" s="16"/>
      <c r="J453" s="16"/>
      <c r="K453" s="16"/>
      <c r="L453" s="16"/>
    </row>
    <row r="454" ht="15.75" customHeight="1">
      <c r="G454" s="51"/>
      <c r="H454" s="16"/>
      <c r="I454" s="16"/>
      <c r="J454" s="16"/>
      <c r="K454" s="16"/>
      <c r="L454" s="16"/>
    </row>
    <row r="455" ht="15.75" customHeight="1">
      <c r="G455" s="51"/>
      <c r="H455" s="16"/>
      <c r="I455" s="16"/>
      <c r="J455" s="16"/>
      <c r="K455" s="16"/>
      <c r="L455" s="16"/>
    </row>
    <row r="456" ht="15.75" customHeight="1">
      <c r="G456" s="51"/>
      <c r="H456" s="16"/>
      <c r="I456" s="16"/>
      <c r="J456" s="16"/>
      <c r="K456" s="16"/>
      <c r="L456" s="16"/>
    </row>
    <row r="457" ht="15.75" customHeight="1">
      <c r="G457" s="51"/>
      <c r="H457" s="16"/>
      <c r="I457" s="16"/>
      <c r="J457" s="16"/>
      <c r="K457" s="16"/>
      <c r="L457" s="16"/>
    </row>
    <row r="458" ht="15.75" customHeight="1">
      <c r="G458" s="51"/>
      <c r="H458" s="16"/>
      <c r="I458" s="16"/>
      <c r="J458" s="16"/>
      <c r="K458" s="16"/>
      <c r="L458" s="16"/>
    </row>
    <row r="459" ht="15.75" customHeight="1">
      <c r="G459" s="51"/>
      <c r="H459" s="16"/>
      <c r="I459" s="16"/>
      <c r="J459" s="16"/>
      <c r="K459" s="16"/>
      <c r="L459" s="16"/>
    </row>
    <row r="460" ht="15.75" customHeight="1">
      <c r="G460" s="51"/>
      <c r="H460" s="16"/>
      <c r="I460" s="16"/>
      <c r="J460" s="16"/>
      <c r="K460" s="16"/>
      <c r="L460" s="16"/>
    </row>
    <row r="461" ht="15.75" customHeight="1">
      <c r="G461" s="51"/>
      <c r="H461" s="16"/>
      <c r="I461" s="16"/>
      <c r="J461" s="16"/>
      <c r="K461" s="16"/>
      <c r="L461" s="16"/>
    </row>
    <row r="462" ht="15.75" customHeight="1">
      <c r="G462" s="51"/>
      <c r="H462" s="16"/>
      <c r="I462" s="16"/>
      <c r="J462" s="16"/>
      <c r="K462" s="16"/>
      <c r="L462" s="16"/>
    </row>
    <row r="463" ht="15.75" customHeight="1">
      <c r="G463" s="51"/>
      <c r="H463" s="16"/>
      <c r="I463" s="16"/>
      <c r="J463" s="16"/>
      <c r="K463" s="16"/>
      <c r="L463" s="16"/>
    </row>
    <row r="464" ht="15.75" customHeight="1">
      <c r="G464" s="51"/>
      <c r="H464" s="16"/>
      <c r="I464" s="16"/>
      <c r="J464" s="16"/>
      <c r="K464" s="16"/>
      <c r="L464" s="16"/>
    </row>
    <row r="465" ht="15.75" customHeight="1">
      <c r="G465" s="51"/>
      <c r="H465" s="16"/>
      <c r="I465" s="16"/>
      <c r="J465" s="16"/>
      <c r="K465" s="16"/>
      <c r="L465" s="16"/>
    </row>
    <row r="466" ht="15.75" customHeight="1">
      <c r="G466" s="51"/>
      <c r="H466" s="16"/>
      <c r="I466" s="16"/>
      <c r="J466" s="16"/>
      <c r="K466" s="16"/>
      <c r="L466" s="16"/>
    </row>
    <row r="467" ht="15.75" customHeight="1">
      <c r="G467" s="51"/>
      <c r="H467" s="16"/>
      <c r="I467" s="16"/>
      <c r="J467" s="16"/>
      <c r="K467" s="16"/>
      <c r="L467" s="16"/>
    </row>
    <row r="468" ht="15.75" customHeight="1">
      <c r="G468" s="51"/>
      <c r="H468" s="16"/>
      <c r="I468" s="16"/>
      <c r="J468" s="16"/>
      <c r="K468" s="16"/>
      <c r="L468" s="16"/>
    </row>
    <row r="469" ht="15.75" customHeight="1">
      <c r="G469" s="51"/>
      <c r="H469" s="16"/>
      <c r="I469" s="16"/>
      <c r="J469" s="16"/>
      <c r="K469" s="16"/>
      <c r="L469" s="16"/>
    </row>
    <row r="470" ht="15.75" customHeight="1">
      <c r="G470" s="51"/>
      <c r="H470" s="16"/>
      <c r="I470" s="16"/>
      <c r="J470" s="16"/>
      <c r="K470" s="16"/>
      <c r="L470" s="16"/>
    </row>
    <row r="471" ht="15.75" customHeight="1">
      <c r="G471" s="51"/>
      <c r="H471" s="16"/>
      <c r="I471" s="16"/>
      <c r="J471" s="16"/>
      <c r="K471" s="16"/>
      <c r="L471" s="16"/>
    </row>
    <row r="472" ht="15.75" customHeight="1">
      <c r="G472" s="51"/>
      <c r="H472" s="16"/>
      <c r="I472" s="16"/>
      <c r="J472" s="16"/>
      <c r="K472" s="16"/>
      <c r="L472" s="16"/>
    </row>
    <row r="473" ht="15.75" customHeight="1">
      <c r="G473" s="51"/>
      <c r="H473" s="16"/>
      <c r="I473" s="16"/>
      <c r="J473" s="16"/>
      <c r="K473" s="16"/>
      <c r="L473" s="16"/>
    </row>
    <row r="474" ht="15.75" customHeight="1">
      <c r="F474" s="41"/>
      <c r="H474" s="26"/>
      <c r="I474" s="26"/>
      <c r="J474" s="26"/>
      <c r="K474" s="26"/>
      <c r="L474" s="26"/>
    </row>
    <row r="475" ht="15.75" customHeight="1">
      <c r="G475" s="16"/>
      <c r="H475" s="54"/>
      <c r="I475" s="54"/>
      <c r="J475" s="54"/>
      <c r="K475" s="54"/>
      <c r="L475" s="54"/>
    </row>
    <row r="476" ht="15.75" customHeight="1">
      <c r="F476" s="55"/>
      <c r="G476" s="51"/>
      <c r="H476" s="16"/>
      <c r="I476" s="16"/>
      <c r="J476" s="16"/>
      <c r="K476" s="16"/>
      <c r="L476" s="16"/>
      <c r="N476" s="55"/>
    </row>
    <row r="477" ht="15.75" customHeight="1">
      <c r="G477" s="51"/>
      <c r="H477" s="16"/>
      <c r="I477" s="16"/>
      <c r="J477" s="16"/>
      <c r="K477" s="16"/>
      <c r="L477" s="16"/>
    </row>
    <row r="478" ht="15.75" customHeight="1">
      <c r="G478" s="51"/>
      <c r="H478" s="16"/>
      <c r="I478" s="16"/>
      <c r="J478" s="16"/>
      <c r="K478" s="16"/>
      <c r="L478" s="16"/>
    </row>
    <row r="479" ht="15.75" customHeight="1">
      <c r="G479" s="51"/>
      <c r="H479" s="16"/>
      <c r="I479" s="16"/>
      <c r="J479" s="16"/>
      <c r="K479" s="16"/>
      <c r="L479" s="16"/>
    </row>
    <row r="480" ht="15.75" customHeight="1">
      <c r="G480" s="51"/>
      <c r="H480" s="16"/>
      <c r="I480" s="16"/>
      <c r="J480" s="16"/>
      <c r="K480" s="16"/>
      <c r="L480" s="16"/>
    </row>
    <row r="481" ht="15.75" customHeight="1">
      <c r="G481" s="51"/>
      <c r="H481" s="16"/>
      <c r="I481" s="16"/>
      <c r="J481" s="16"/>
      <c r="K481" s="16"/>
      <c r="L481" s="16"/>
    </row>
    <row r="482" ht="15.75" customHeight="1">
      <c r="G482" s="51"/>
      <c r="H482" s="16"/>
      <c r="I482" s="16"/>
      <c r="J482" s="16"/>
      <c r="K482" s="16"/>
      <c r="L482" s="16"/>
    </row>
    <row r="483" ht="15.75" customHeight="1">
      <c r="G483" s="51"/>
      <c r="H483" s="16"/>
      <c r="I483" s="16"/>
      <c r="J483" s="16"/>
      <c r="K483" s="16"/>
      <c r="L483" s="16"/>
    </row>
    <row r="484" ht="15.75" customHeight="1">
      <c r="G484" s="51"/>
      <c r="H484" s="16"/>
      <c r="I484" s="16"/>
      <c r="J484" s="16"/>
      <c r="K484" s="16"/>
      <c r="L484" s="16"/>
    </row>
    <row r="485" ht="15.75" customHeight="1">
      <c r="G485" s="51"/>
      <c r="H485" s="16"/>
      <c r="I485" s="16"/>
      <c r="J485" s="16"/>
      <c r="K485" s="16"/>
      <c r="L485" s="16"/>
    </row>
    <row r="486" ht="15.75" customHeight="1">
      <c r="G486" s="51"/>
      <c r="H486" s="16"/>
      <c r="I486" s="16"/>
      <c r="J486" s="16"/>
      <c r="K486" s="16"/>
      <c r="L486" s="16"/>
    </row>
    <row r="487" ht="15.75" customHeight="1">
      <c r="G487" s="51"/>
      <c r="H487" s="16"/>
      <c r="I487" s="16"/>
      <c r="J487" s="16"/>
      <c r="K487" s="16"/>
      <c r="L487" s="16"/>
    </row>
    <row r="488" ht="15.75" customHeight="1">
      <c r="G488" s="51"/>
      <c r="H488" s="16"/>
      <c r="I488" s="16"/>
      <c r="J488" s="16"/>
      <c r="K488" s="16"/>
      <c r="L488" s="16"/>
    </row>
    <row r="489" ht="15.75" customHeight="1">
      <c r="G489" s="51"/>
      <c r="H489" s="16"/>
      <c r="I489" s="16"/>
      <c r="J489" s="16"/>
      <c r="K489" s="16"/>
      <c r="L489" s="16"/>
    </row>
    <row r="490" ht="15.75" customHeight="1">
      <c r="G490" s="51"/>
      <c r="H490" s="16"/>
      <c r="I490" s="16"/>
      <c r="J490" s="16"/>
      <c r="K490" s="16"/>
      <c r="L490" s="16"/>
    </row>
    <row r="491" ht="15.75" customHeight="1">
      <c r="G491" s="51"/>
      <c r="H491" s="16"/>
      <c r="I491" s="16"/>
      <c r="J491" s="16"/>
      <c r="K491" s="16"/>
      <c r="L491" s="16"/>
    </row>
    <row r="492" ht="15.75" customHeight="1">
      <c r="G492" s="51"/>
      <c r="H492" s="16"/>
      <c r="I492" s="16"/>
      <c r="J492" s="16"/>
      <c r="K492" s="16"/>
      <c r="L492" s="16"/>
    </row>
    <row r="493" ht="15.75" customHeight="1">
      <c r="G493" s="51"/>
      <c r="H493" s="16"/>
      <c r="I493" s="16"/>
      <c r="J493" s="16"/>
      <c r="K493" s="16"/>
      <c r="L493" s="16"/>
    </row>
    <row r="494" ht="15.75" customHeight="1">
      <c r="G494" s="51"/>
      <c r="H494" s="16"/>
      <c r="I494" s="16"/>
      <c r="J494" s="16"/>
      <c r="K494" s="16"/>
      <c r="L494" s="16"/>
    </row>
    <row r="495" ht="15.75" customHeight="1">
      <c r="G495" s="51"/>
      <c r="H495" s="16"/>
      <c r="I495" s="16"/>
      <c r="J495" s="16"/>
      <c r="K495" s="16"/>
      <c r="L495" s="16"/>
    </row>
    <row r="496" ht="15.75" customHeight="1">
      <c r="G496" s="51"/>
      <c r="H496" s="16"/>
      <c r="I496" s="16"/>
      <c r="J496" s="16"/>
      <c r="K496" s="16"/>
      <c r="L496" s="16"/>
    </row>
    <row r="497" ht="15.75" customHeight="1">
      <c r="G497" s="51"/>
      <c r="H497" s="16"/>
      <c r="I497" s="16"/>
      <c r="J497" s="16"/>
      <c r="K497" s="16"/>
      <c r="L497" s="16"/>
    </row>
    <row r="498" ht="15.75" customHeight="1">
      <c r="G498" s="51"/>
      <c r="H498" s="16"/>
      <c r="I498" s="16"/>
      <c r="J498" s="16"/>
      <c r="K498" s="16"/>
      <c r="L498" s="16"/>
    </row>
    <row r="499" ht="15.75" customHeight="1">
      <c r="G499" s="51"/>
      <c r="H499" s="16"/>
      <c r="I499" s="16"/>
      <c r="J499" s="16"/>
      <c r="K499" s="16"/>
      <c r="L499" s="16"/>
    </row>
    <row r="500" ht="15.75" customHeight="1">
      <c r="F500" s="41"/>
      <c r="H500" s="26"/>
      <c r="I500" s="26"/>
      <c r="J500" s="26"/>
      <c r="K500" s="26"/>
      <c r="L500" s="26"/>
    </row>
    <row r="501" ht="15.75" customHeight="1">
      <c r="G501" s="16"/>
      <c r="H501" s="54"/>
      <c r="I501" s="54"/>
      <c r="J501" s="54"/>
      <c r="K501" s="54"/>
      <c r="L501" s="54"/>
    </row>
    <row r="502" ht="15.75" customHeight="1">
      <c r="F502" s="55"/>
      <c r="G502" s="51"/>
      <c r="H502" s="16"/>
      <c r="I502" s="16"/>
      <c r="J502" s="16"/>
      <c r="K502" s="16"/>
      <c r="L502" s="16"/>
      <c r="N502" s="55"/>
    </row>
    <row r="503" ht="15.75" customHeight="1">
      <c r="G503" s="51"/>
      <c r="H503" s="16"/>
      <c r="I503" s="16"/>
      <c r="J503" s="16"/>
      <c r="K503" s="16"/>
      <c r="L503" s="16"/>
    </row>
    <row r="504" ht="15.75" customHeight="1">
      <c r="G504" s="51"/>
      <c r="H504" s="16"/>
      <c r="I504" s="16"/>
      <c r="J504" s="16"/>
      <c r="K504" s="16"/>
      <c r="L504" s="16"/>
    </row>
    <row r="505" ht="15.75" customHeight="1">
      <c r="G505" s="51"/>
      <c r="H505" s="16"/>
      <c r="I505" s="16"/>
      <c r="J505" s="16"/>
      <c r="K505" s="16"/>
      <c r="L505" s="16"/>
    </row>
    <row r="506" ht="15.75" customHeight="1">
      <c r="G506" s="51"/>
      <c r="H506" s="16"/>
      <c r="I506" s="16"/>
      <c r="J506" s="16"/>
      <c r="K506" s="16"/>
      <c r="L506" s="16"/>
    </row>
    <row r="507" ht="15.75" customHeight="1">
      <c r="G507" s="51"/>
      <c r="H507" s="16"/>
      <c r="I507" s="16"/>
      <c r="J507" s="16"/>
      <c r="K507" s="16"/>
      <c r="L507" s="16"/>
    </row>
    <row r="508" ht="15.75" customHeight="1">
      <c r="G508" s="51"/>
      <c r="H508" s="16"/>
      <c r="I508" s="16"/>
      <c r="J508" s="16"/>
      <c r="K508" s="16"/>
      <c r="L508" s="16"/>
    </row>
    <row r="509" ht="15.75" customHeight="1">
      <c r="G509" s="51"/>
      <c r="H509" s="16"/>
      <c r="I509" s="16"/>
      <c r="J509" s="16"/>
      <c r="K509" s="16"/>
      <c r="L509" s="16"/>
    </row>
    <row r="510" ht="15.75" customHeight="1">
      <c r="G510" s="51"/>
      <c r="H510" s="16"/>
      <c r="I510" s="16"/>
      <c r="J510" s="16"/>
      <c r="K510" s="16"/>
      <c r="L510" s="16"/>
    </row>
    <row r="511" ht="15.75" customHeight="1">
      <c r="G511" s="51"/>
      <c r="H511" s="16"/>
      <c r="I511" s="16"/>
      <c r="J511" s="16"/>
      <c r="K511" s="16"/>
      <c r="L511" s="16"/>
    </row>
    <row r="512" ht="15.75" customHeight="1">
      <c r="G512" s="51"/>
      <c r="H512" s="16"/>
      <c r="I512" s="16"/>
      <c r="J512" s="16"/>
      <c r="K512" s="16"/>
      <c r="L512" s="16"/>
    </row>
    <row r="513" ht="15.75" customHeight="1">
      <c r="G513" s="51"/>
      <c r="H513" s="16"/>
      <c r="I513" s="16"/>
      <c r="J513" s="16"/>
      <c r="K513" s="16"/>
      <c r="L513" s="16"/>
    </row>
    <row r="514" ht="15.75" customHeight="1">
      <c r="G514" s="51"/>
      <c r="H514" s="16"/>
      <c r="I514" s="16"/>
      <c r="J514" s="16"/>
      <c r="K514" s="16"/>
      <c r="L514" s="16"/>
    </row>
    <row r="515" ht="15.75" customHeight="1">
      <c r="G515" s="51"/>
      <c r="H515" s="16"/>
      <c r="I515" s="16"/>
      <c r="J515" s="16"/>
      <c r="K515" s="16"/>
      <c r="L515" s="16"/>
    </row>
    <row r="516" ht="15.75" customHeight="1">
      <c r="G516" s="51"/>
      <c r="H516" s="16"/>
      <c r="I516" s="16"/>
      <c r="J516" s="16"/>
      <c r="K516" s="16"/>
      <c r="L516" s="16"/>
    </row>
    <row r="517" ht="15.75" customHeight="1">
      <c r="G517" s="51"/>
      <c r="H517" s="16"/>
      <c r="I517" s="16"/>
      <c r="J517" s="16"/>
      <c r="K517" s="16"/>
      <c r="L517" s="16"/>
    </row>
    <row r="518" ht="15.75" customHeight="1">
      <c r="G518" s="51"/>
      <c r="H518" s="16"/>
      <c r="I518" s="16"/>
      <c r="J518" s="16"/>
      <c r="K518" s="16"/>
      <c r="L518" s="16"/>
    </row>
    <row r="519" ht="15.75" customHeight="1">
      <c r="G519" s="51"/>
      <c r="H519" s="16"/>
      <c r="I519" s="16"/>
      <c r="J519" s="16"/>
      <c r="K519" s="16"/>
      <c r="L519" s="16"/>
    </row>
    <row r="520" ht="15.75" customHeight="1">
      <c r="G520" s="51"/>
      <c r="H520" s="16"/>
      <c r="I520" s="16"/>
      <c r="J520" s="16"/>
      <c r="K520" s="16"/>
      <c r="L520" s="16"/>
    </row>
    <row r="521" ht="15.75" customHeight="1">
      <c r="G521" s="51"/>
      <c r="H521" s="16"/>
      <c r="I521" s="16"/>
      <c r="J521" s="16"/>
      <c r="K521" s="16"/>
      <c r="L521" s="16"/>
    </row>
    <row r="522" ht="15.75" customHeight="1">
      <c r="G522" s="51"/>
      <c r="H522" s="16"/>
      <c r="I522" s="16"/>
      <c r="J522" s="16"/>
      <c r="K522" s="16"/>
      <c r="L522" s="16"/>
    </row>
    <row r="523" ht="15.75" customHeight="1">
      <c r="G523" s="51"/>
      <c r="H523" s="16"/>
      <c r="I523" s="16"/>
      <c r="J523" s="16"/>
      <c r="K523" s="16"/>
      <c r="L523" s="16"/>
    </row>
    <row r="524" ht="15.75" customHeight="1">
      <c r="G524" s="51"/>
      <c r="H524" s="16"/>
      <c r="I524" s="16"/>
      <c r="J524" s="16"/>
      <c r="K524" s="16"/>
      <c r="L524" s="16"/>
    </row>
    <row r="525" ht="15.75" customHeight="1">
      <c r="G525" s="51"/>
      <c r="H525" s="16"/>
      <c r="I525" s="16"/>
      <c r="J525" s="16"/>
      <c r="K525" s="16"/>
      <c r="L525" s="16"/>
    </row>
    <row r="526" ht="15.75" customHeight="1">
      <c r="F526" s="41"/>
      <c r="H526" s="26"/>
      <c r="I526" s="26"/>
      <c r="J526" s="26"/>
      <c r="K526" s="26"/>
      <c r="L526" s="26"/>
    </row>
    <row r="527" ht="15.75" customHeight="1">
      <c r="G527" s="16"/>
      <c r="H527" s="54"/>
      <c r="I527" s="54"/>
      <c r="J527" s="54"/>
      <c r="K527" s="54"/>
      <c r="L527" s="54"/>
    </row>
    <row r="528" ht="15.75" customHeight="1">
      <c r="F528" s="55"/>
      <c r="G528" s="51"/>
      <c r="H528" s="16"/>
      <c r="I528" s="16"/>
      <c r="J528" s="16"/>
      <c r="K528" s="16"/>
      <c r="L528" s="16"/>
      <c r="N528" s="55"/>
    </row>
    <row r="529" ht="15.75" customHeight="1">
      <c r="G529" s="51"/>
      <c r="H529" s="16"/>
      <c r="I529" s="16"/>
      <c r="J529" s="16"/>
      <c r="K529" s="16"/>
      <c r="L529" s="16"/>
    </row>
    <row r="530" ht="15.75" customHeight="1">
      <c r="G530" s="51"/>
      <c r="H530" s="16"/>
      <c r="I530" s="16"/>
      <c r="J530" s="16"/>
      <c r="K530" s="16"/>
      <c r="L530" s="16"/>
    </row>
    <row r="531" ht="15.75" customHeight="1">
      <c r="G531" s="51"/>
      <c r="H531" s="16"/>
      <c r="I531" s="16"/>
      <c r="J531" s="16"/>
      <c r="K531" s="16"/>
      <c r="L531" s="16"/>
    </row>
    <row r="532" ht="15.75" customHeight="1">
      <c r="G532" s="51"/>
      <c r="H532" s="16"/>
      <c r="I532" s="16"/>
      <c r="J532" s="16"/>
      <c r="K532" s="16"/>
      <c r="L532" s="16"/>
    </row>
    <row r="533" ht="15.75" customHeight="1">
      <c r="G533" s="51"/>
      <c r="H533" s="16"/>
      <c r="I533" s="16"/>
      <c r="J533" s="16"/>
      <c r="K533" s="16"/>
      <c r="L533" s="16"/>
    </row>
    <row r="534" ht="15.75" customHeight="1">
      <c r="G534" s="51"/>
      <c r="H534" s="16"/>
      <c r="I534" s="16"/>
      <c r="J534" s="16"/>
      <c r="K534" s="16"/>
      <c r="L534" s="16"/>
    </row>
    <row r="535" ht="15.75" customHeight="1">
      <c r="G535" s="51"/>
      <c r="H535" s="16"/>
      <c r="I535" s="16"/>
      <c r="J535" s="16"/>
      <c r="K535" s="16"/>
      <c r="L535" s="16"/>
    </row>
    <row r="536" ht="15.75" customHeight="1">
      <c r="G536" s="51"/>
      <c r="H536" s="16"/>
      <c r="I536" s="16"/>
      <c r="J536" s="16"/>
      <c r="K536" s="16"/>
      <c r="L536" s="16"/>
    </row>
    <row r="537" ht="15.75" customHeight="1">
      <c r="G537" s="51"/>
      <c r="H537" s="16"/>
      <c r="I537" s="16"/>
      <c r="J537" s="16"/>
      <c r="K537" s="16"/>
      <c r="L537" s="16"/>
    </row>
    <row r="538" ht="15.75" customHeight="1">
      <c r="G538" s="51"/>
      <c r="H538" s="16"/>
      <c r="I538" s="16"/>
      <c r="J538" s="16"/>
      <c r="K538" s="16"/>
      <c r="L538" s="16"/>
    </row>
    <row r="539" ht="15.75" customHeight="1">
      <c r="G539" s="51"/>
      <c r="H539" s="16"/>
      <c r="I539" s="16"/>
      <c r="J539" s="16"/>
      <c r="K539" s="16"/>
      <c r="L539" s="16"/>
    </row>
    <row r="540" ht="15.75" customHeight="1">
      <c r="G540" s="51"/>
      <c r="H540" s="16"/>
      <c r="I540" s="16"/>
      <c r="J540" s="16"/>
      <c r="K540" s="16"/>
      <c r="L540" s="16"/>
    </row>
    <row r="541" ht="15.75" customHeight="1">
      <c r="G541" s="51"/>
      <c r="H541" s="16"/>
      <c r="I541" s="16"/>
      <c r="J541" s="16"/>
      <c r="K541" s="16"/>
      <c r="L541" s="16"/>
    </row>
    <row r="542" ht="15.75" customHeight="1">
      <c r="G542" s="51"/>
      <c r="H542" s="16"/>
      <c r="I542" s="16"/>
      <c r="J542" s="16"/>
      <c r="K542" s="16"/>
      <c r="L542" s="16"/>
    </row>
    <row r="543" ht="15.75" customHeight="1">
      <c r="G543" s="51"/>
      <c r="H543" s="16"/>
      <c r="I543" s="16"/>
      <c r="J543" s="16"/>
      <c r="K543" s="16"/>
      <c r="L543" s="16"/>
    </row>
    <row r="544" ht="15.75" customHeight="1">
      <c r="G544" s="51"/>
      <c r="H544" s="16"/>
      <c r="I544" s="16"/>
      <c r="J544" s="16"/>
      <c r="K544" s="16"/>
      <c r="L544" s="16"/>
    </row>
    <row r="545" ht="15.75" customHeight="1">
      <c r="G545" s="51"/>
      <c r="H545" s="16"/>
      <c r="I545" s="16"/>
      <c r="J545" s="16"/>
      <c r="K545" s="16"/>
      <c r="L545" s="16"/>
    </row>
    <row r="546" ht="15.75" customHeight="1">
      <c r="G546" s="51"/>
      <c r="H546" s="16"/>
      <c r="I546" s="16"/>
      <c r="J546" s="16"/>
      <c r="K546" s="16"/>
      <c r="L546" s="16"/>
    </row>
    <row r="547" ht="15.75" customHeight="1">
      <c r="G547" s="51"/>
      <c r="H547" s="16"/>
      <c r="I547" s="16"/>
      <c r="J547" s="16"/>
      <c r="K547" s="16"/>
      <c r="L547" s="16"/>
    </row>
    <row r="548" ht="15.75" customHeight="1">
      <c r="G548" s="51"/>
      <c r="H548" s="16"/>
      <c r="I548" s="16"/>
      <c r="J548" s="16"/>
      <c r="K548" s="16"/>
      <c r="L548" s="16"/>
    </row>
    <row r="549" ht="15.75" customHeight="1">
      <c r="G549" s="51"/>
      <c r="H549" s="16"/>
      <c r="I549" s="16"/>
      <c r="J549" s="16"/>
      <c r="K549" s="16"/>
      <c r="L549" s="16"/>
    </row>
    <row r="550" ht="15.75" customHeight="1">
      <c r="G550" s="51"/>
      <c r="H550" s="16"/>
      <c r="I550" s="16"/>
      <c r="J550" s="16"/>
      <c r="K550" s="16"/>
      <c r="L550" s="16"/>
    </row>
    <row r="551" ht="15.75" customHeight="1">
      <c r="G551" s="51"/>
      <c r="H551" s="16"/>
      <c r="I551" s="16"/>
      <c r="J551" s="16"/>
      <c r="K551" s="16"/>
      <c r="L551" s="16"/>
    </row>
    <row r="552" ht="15.75" customHeight="1">
      <c r="F552" s="41"/>
      <c r="H552" s="26"/>
      <c r="I552" s="26"/>
      <c r="J552" s="26"/>
      <c r="K552" s="26"/>
      <c r="L552" s="26"/>
    </row>
    <row r="553" ht="15.75" customHeight="1">
      <c r="G553" s="16"/>
      <c r="H553" s="54"/>
      <c r="I553" s="54"/>
      <c r="J553" s="54"/>
      <c r="K553" s="54"/>
      <c r="L553" s="54"/>
    </row>
    <row r="554" ht="15.75" customHeight="1">
      <c r="F554" s="55"/>
      <c r="G554" s="51"/>
      <c r="H554" s="16"/>
      <c r="I554" s="16"/>
      <c r="J554" s="16"/>
      <c r="K554" s="16"/>
      <c r="L554" s="16"/>
      <c r="N554" s="55"/>
    </row>
    <row r="555" ht="15.75" customHeight="1">
      <c r="G555" s="51"/>
      <c r="H555" s="16"/>
      <c r="I555" s="16"/>
      <c r="J555" s="16"/>
      <c r="K555" s="16"/>
      <c r="L555" s="16"/>
    </row>
    <row r="556" ht="15.75" customHeight="1">
      <c r="G556" s="51"/>
      <c r="H556" s="16"/>
      <c r="I556" s="16"/>
      <c r="J556" s="16"/>
      <c r="K556" s="16"/>
      <c r="L556" s="16"/>
    </row>
    <row r="557" ht="15.75" customHeight="1">
      <c r="G557" s="51"/>
      <c r="H557" s="16"/>
      <c r="I557" s="16"/>
      <c r="J557" s="16"/>
      <c r="K557" s="16"/>
      <c r="L557" s="16"/>
    </row>
    <row r="558" ht="15.75" customHeight="1">
      <c r="G558" s="51"/>
      <c r="H558" s="16"/>
      <c r="I558" s="16"/>
      <c r="J558" s="16"/>
      <c r="K558" s="16"/>
      <c r="L558" s="16"/>
    </row>
    <row r="559" ht="15.75" customHeight="1">
      <c r="G559" s="51"/>
      <c r="H559" s="16"/>
      <c r="I559" s="16"/>
      <c r="J559" s="16"/>
      <c r="K559" s="16"/>
      <c r="L559" s="16"/>
    </row>
    <row r="560" ht="15.75" customHeight="1">
      <c r="G560" s="51"/>
      <c r="H560" s="16"/>
      <c r="I560" s="16"/>
      <c r="J560" s="16"/>
      <c r="K560" s="16"/>
      <c r="L560" s="16"/>
    </row>
    <row r="561" ht="15.75" customHeight="1">
      <c r="G561" s="51"/>
      <c r="H561" s="16"/>
      <c r="I561" s="16"/>
      <c r="J561" s="16"/>
      <c r="K561" s="16"/>
      <c r="L561" s="16"/>
    </row>
    <row r="562" ht="15.75" customHeight="1">
      <c r="G562" s="51"/>
      <c r="H562" s="16"/>
      <c r="I562" s="16"/>
      <c r="J562" s="16"/>
      <c r="K562" s="16"/>
      <c r="L562" s="16"/>
    </row>
    <row r="563" ht="15.75" customHeight="1">
      <c r="G563" s="51"/>
      <c r="H563" s="16"/>
      <c r="I563" s="16"/>
      <c r="J563" s="16"/>
      <c r="K563" s="16"/>
      <c r="L563" s="16"/>
    </row>
    <row r="564" ht="15.75" customHeight="1">
      <c r="G564" s="51"/>
      <c r="H564" s="16"/>
      <c r="I564" s="16"/>
      <c r="J564" s="16"/>
      <c r="K564" s="16"/>
      <c r="L564" s="16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3:C3"/>
    <mergeCell ref="D3:E3"/>
    <mergeCell ref="H3:L3"/>
    <mergeCell ref="H4:L4"/>
    <mergeCell ref="H6:L6"/>
    <mergeCell ref="N8:N31"/>
    <mergeCell ref="N32:N55"/>
    <mergeCell ref="N528:N551"/>
    <mergeCell ref="N554:N564"/>
    <mergeCell ref="N56:N79"/>
    <mergeCell ref="N372:N395"/>
    <mergeCell ref="N398:N421"/>
    <mergeCell ref="N424:N447"/>
    <mergeCell ref="N450:N473"/>
    <mergeCell ref="N476:N499"/>
    <mergeCell ref="N502:N5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6" width="9.13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64</v>
      </c>
      <c r="I3" s="7"/>
      <c r="J3" s="7"/>
      <c r="K3" s="7"/>
      <c r="L3" s="8"/>
    </row>
    <row r="4" ht="15.75" customHeight="1">
      <c r="A4" s="9" t="s">
        <v>6</v>
      </c>
      <c r="B4" s="10" t="s">
        <v>7</v>
      </c>
      <c r="C4" s="11" t="s">
        <v>8</v>
      </c>
      <c r="D4" s="10" t="s">
        <v>7</v>
      </c>
      <c r="E4" s="11" t="s">
        <v>8</v>
      </c>
      <c r="H4" s="6" t="s">
        <v>9</v>
      </c>
      <c r="I4" s="7"/>
      <c r="J4" s="7"/>
      <c r="K4" s="7"/>
      <c r="L4" s="8"/>
    </row>
    <row r="5" ht="15.75" customHeight="1">
      <c r="A5" s="12" t="s">
        <v>10</v>
      </c>
      <c r="B5" s="13" t="s">
        <v>11</v>
      </c>
      <c r="C5" s="14" t="s">
        <v>12</v>
      </c>
      <c r="D5" s="14" t="s">
        <v>13</v>
      </c>
      <c r="E5" s="14" t="s">
        <v>14</v>
      </c>
    </row>
    <row r="6" ht="15.75" customHeight="1">
      <c r="H6" s="15" t="s">
        <v>15</v>
      </c>
      <c r="I6" s="7"/>
      <c r="J6" s="7"/>
      <c r="K6" s="7"/>
      <c r="L6" s="8"/>
      <c r="O6" s="17">
        <v>31.0</v>
      </c>
      <c r="P6" s="17">
        <v>32.0</v>
      </c>
      <c r="Q6" s="17">
        <v>41.0</v>
      </c>
      <c r="R6" s="17">
        <v>42.0</v>
      </c>
      <c r="S6" s="17">
        <v>5.0</v>
      </c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N7" s="19">
        <v>0.0</v>
      </c>
      <c r="O7" s="22">
        <f t="shared" ref="O7:S7" si="1">H8/A$31</f>
        <v>0.00625</v>
      </c>
      <c r="P7" s="22">
        <f t="shared" si="1"/>
        <v>0.003219871205</v>
      </c>
      <c r="Q7" s="22">
        <f t="shared" si="1"/>
        <v>0</v>
      </c>
      <c r="R7" s="22">
        <f t="shared" si="1"/>
        <v>0.005291005291</v>
      </c>
      <c r="S7" s="22">
        <f t="shared" si="1"/>
        <v>0.005</v>
      </c>
    </row>
    <row r="8" ht="15.75" customHeight="1">
      <c r="F8" s="56">
        <v>45217.0</v>
      </c>
      <c r="G8" s="19">
        <v>0.0</v>
      </c>
      <c r="H8" s="20">
        <v>47.0</v>
      </c>
      <c r="I8" s="20">
        <v>7.0</v>
      </c>
      <c r="J8" s="20">
        <v>0.0</v>
      </c>
      <c r="K8" s="20">
        <v>2.0</v>
      </c>
      <c r="L8" s="20">
        <v>1.0</v>
      </c>
      <c r="N8" s="19">
        <v>1.0</v>
      </c>
      <c r="O8" s="22">
        <f t="shared" ref="O8:S8" si="2">H9/A$31</f>
        <v>0.002526595745</v>
      </c>
      <c r="P8" s="22">
        <f t="shared" si="2"/>
        <v>0.001379944802</v>
      </c>
      <c r="Q8" s="22">
        <f t="shared" si="2"/>
        <v>0.006024096386</v>
      </c>
      <c r="R8" s="22">
        <f t="shared" si="2"/>
        <v>0</v>
      </c>
      <c r="S8" s="22">
        <f t="shared" si="2"/>
        <v>0.005</v>
      </c>
    </row>
    <row r="9" ht="15.75" customHeight="1">
      <c r="F9" s="23"/>
      <c r="G9" s="19">
        <v>1.0</v>
      </c>
      <c r="H9" s="20">
        <v>19.0</v>
      </c>
      <c r="I9" s="20">
        <v>3.0</v>
      </c>
      <c r="J9" s="20">
        <v>1.0</v>
      </c>
      <c r="K9" s="20">
        <v>0.0</v>
      </c>
      <c r="L9" s="20">
        <v>1.0</v>
      </c>
      <c r="N9" s="19">
        <v>2.0</v>
      </c>
      <c r="O9" s="22">
        <f t="shared" ref="O9:S9" si="3">H10/A$31</f>
        <v>0.001728723404</v>
      </c>
      <c r="P9" s="22">
        <f t="shared" si="3"/>
        <v>0.0009199632015</v>
      </c>
      <c r="Q9" s="22">
        <f t="shared" si="3"/>
        <v>0</v>
      </c>
      <c r="R9" s="22">
        <f t="shared" si="3"/>
        <v>0.002645502646</v>
      </c>
      <c r="S9" s="22">
        <f t="shared" si="3"/>
        <v>0.01</v>
      </c>
    </row>
    <row r="10" ht="15.75" customHeight="1">
      <c r="F10" s="23"/>
      <c r="G10" s="19">
        <v>2.0</v>
      </c>
      <c r="H10" s="16">
        <v>13.0</v>
      </c>
      <c r="I10" s="16">
        <v>2.0</v>
      </c>
      <c r="J10" s="16">
        <v>0.0</v>
      </c>
      <c r="K10" s="16">
        <v>1.0</v>
      </c>
      <c r="L10" s="16">
        <v>2.0</v>
      </c>
      <c r="N10" s="19">
        <v>3.0</v>
      </c>
      <c r="O10" s="22">
        <f t="shared" ref="O10:S10" si="4">H11/A$31</f>
        <v>0.002526595745</v>
      </c>
      <c r="P10" s="22">
        <f t="shared" si="4"/>
        <v>0.001839926403</v>
      </c>
      <c r="Q10" s="22">
        <f t="shared" si="4"/>
        <v>0</v>
      </c>
      <c r="R10" s="22">
        <f t="shared" si="4"/>
        <v>0.005291005291</v>
      </c>
      <c r="S10" s="22">
        <f t="shared" si="4"/>
        <v>0.01</v>
      </c>
    </row>
    <row r="11" ht="15.75" customHeight="1">
      <c r="F11" s="23"/>
      <c r="G11" s="19">
        <v>3.0</v>
      </c>
      <c r="H11" s="20">
        <v>19.0</v>
      </c>
      <c r="I11" s="20">
        <v>4.0</v>
      </c>
      <c r="J11" s="20">
        <v>0.0</v>
      </c>
      <c r="K11" s="20">
        <v>2.0</v>
      </c>
      <c r="L11" s="20">
        <v>2.0</v>
      </c>
      <c r="N11" s="19">
        <v>4.0</v>
      </c>
      <c r="O11" s="22">
        <f t="shared" ref="O11:S11" si="5">H12/A$31</f>
        <v>0.002792553191</v>
      </c>
      <c r="P11" s="22">
        <f t="shared" si="5"/>
        <v>0.003679852806</v>
      </c>
      <c r="Q11" s="22">
        <f t="shared" si="5"/>
        <v>0</v>
      </c>
      <c r="R11" s="22">
        <f t="shared" si="5"/>
        <v>0.005291005291</v>
      </c>
      <c r="S11" s="22">
        <f t="shared" si="5"/>
        <v>0</v>
      </c>
    </row>
    <row r="12" ht="15.75" customHeight="1">
      <c r="F12" s="23"/>
      <c r="G12" s="19">
        <v>4.0</v>
      </c>
      <c r="H12" s="20">
        <v>21.0</v>
      </c>
      <c r="I12" s="20">
        <v>8.0</v>
      </c>
      <c r="J12" s="20">
        <v>0.0</v>
      </c>
      <c r="K12" s="20">
        <v>2.0</v>
      </c>
      <c r="L12" s="20">
        <v>0.0</v>
      </c>
      <c r="N12" s="19">
        <v>5.0</v>
      </c>
      <c r="O12" s="22">
        <f t="shared" ref="O12:S12" si="6">H13/A$31</f>
        <v>0.01196808511</v>
      </c>
      <c r="P12" s="22">
        <f t="shared" si="6"/>
        <v>0.01333946642</v>
      </c>
      <c r="Q12" s="22">
        <f t="shared" si="6"/>
        <v>0.03012048193</v>
      </c>
      <c r="R12" s="22">
        <f t="shared" si="6"/>
        <v>0.01058201058</v>
      </c>
      <c r="S12" s="22">
        <f t="shared" si="6"/>
        <v>0.035</v>
      </c>
    </row>
    <row r="13" ht="15.75" customHeight="1">
      <c r="F13" s="23"/>
      <c r="G13" s="19">
        <v>5.0</v>
      </c>
      <c r="H13" s="20">
        <v>90.0</v>
      </c>
      <c r="I13" s="20">
        <v>29.0</v>
      </c>
      <c r="J13" s="20">
        <v>5.0</v>
      </c>
      <c r="K13" s="20">
        <v>4.0</v>
      </c>
      <c r="L13" s="20">
        <v>7.0</v>
      </c>
      <c r="N13" s="19">
        <v>6.0</v>
      </c>
      <c r="O13" s="22">
        <f t="shared" ref="O13:S13" si="7">H14/A$31</f>
        <v>0.06728723404</v>
      </c>
      <c r="P13" s="22">
        <f t="shared" si="7"/>
        <v>0.05289788408</v>
      </c>
      <c r="Q13" s="22">
        <f t="shared" si="7"/>
        <v>0.09036144578</v>
      </c>
      <c r="R13" s="22">
        <f t="shared" si="7"/>
        <v>0.03439153439</v>
      </c>
      <c r="S13" s="22">
        <f t="shared" si="7"/>
        <v>0.015</v>
      </c>
    </row>
    <row r="14" ht="15.75" customHeight="1">
      <c r="F14" s="23"/>
      <c r="G14" s="19">
        <v>6.0</v>
      </c>
      <c r="H14" s="20">
        <v>506.0</v>
      </c>
      <c r="I14" s="20">
        <v>115.0</v>
      </c>
      <c r="J14" s="20">
        <v>15.0</v>
      </c>
      <c r="K14" s="20">
        <v>13.0</v>
      </c>
      <c r="L14" s="20">
        <v>3.0</v>
      </c>
      <c r="N14" s="19">
        <v>7.0</v>
      </c>
      <c r="O14" s="22">
        <f t="shared" ref="O14:S14" si="8">H15/A$31</f>
        <v>0.1277925532</v>
      </c>
      <c r="P14" s="22">
        <f t="shared" si="8"/>
        <v>0.08417663293</v>
      </c>
      <c r="Q14" s="22">
        <f t="shared" si="8"/>
        <v>0.05421686747</v>
      </c>
      <c r="R14" s="22">
        <f t="shared" si="8"/>
        <v>0.07142857143</v>
      </c>
      <c r="S14" s="22">
        <f t="shared" si="8"/>
        <v>0.06</v>
      </c>
    </row>
    <row r="15" ht="15.75" customHeight="1">
      <c r="F15" s="23"/>
      <c r="G15" s="19">
        <v>7.0</v>
      </c>
      <c r="H15" s="20">
        <v>961.0</v>
      </c>
      <c r="I15" s="20">
        <v>183.0</v>
      </c>
      <c r="J15" s="20">
        <v>9.0</v>
      </c>
      <c r="K15" s="20">
        <v>27.0</v>
      </c>
      <c r="L15" s="20">
        <v>12.0</v>
      </c>
      <c r="N15" s="19">
        <v>8.0</v>
      </c>
      <c r="O15" s="22">
        <f t="shared" ref="O15:S15" si="9">H16/A$31</f>
        <v>0.09481382979</v>
      </c>
      <c r="P15" s="22">
        <f t="shared" si="9"/>
        <v>0.07911683533</v>
      </c>
      <c r="Q15" s="22">
        <f t="shared" si="9"/>
        <v>0.234939759</v>
      </c>
      <c r="R15" s="22">
        <f t="shared" si="9"/>
        <v>0.0873015873</v>
      </c>
      <c r="S15" s="22">
        <f t="shared" si="9"/>
        <v>0.105</v>
      </c>
    </row>
    <row r="16" ht="15.75" customHeight="1">
      <c r="F16" s="23"/>
      <c r="G16" s="19">
        <v>8.0</v>
      </c>
      <c r="H16" s="20">
        <v>713.0</v>
      </c>
      <c r="I16" s="20">
        <v>172.0</v>
      </c>
      <c r="J16" s="20">
        <v>39.0</v>
      </c>
      <c r="K16" s="20">
        <v>33.0</v>
      </c>
      <c r="L16" s="20">
        <v>21.0</v>
      </c>
      <c r="N16" s="19">
        <v>9.0</v>
      </c>
      <c r="O16" s="22">
        <f t="shared" ref="O16:S16" si="10">H17/A$31</f>
        <v>0.06289893617</v>
      </c>
      <c r="P16" s="22">
        <f t="shared" si="10"/>
        <v>0.08371665133</v>
      </c>
      <c r="Q16" s="22">
        <f t="shared" si="10"/>
        <v>0.006024096386</v>
      </c>
      <c r="R16" s="22">
        <f t="shared" si="10"/>
        <v>0.1005291005</v>
      </c>
      <c r="S16" s="22">
        <f t="shared" si="10"/>
        <v>0.1</v>
      </c>
    </row>
    <row r="17" ht="15.75" customHeight="1">
      <c r="F17" s="23"/>
      <c r="G17" s="19">
        <v>9.0</v>
      </c>
      <c r="H17" s="20">
        <v>473.0</v>
      </c>
      <c r="I17" s="20">
        <v>182.0</v>
      </c>
      <c r="J17" s="20">
        <v>1.0</v>
      </c>
      <c r="K17" s="20">
        <v>38.0</v>
      </c>
      <c r="L17" s="20">
        <v>20.0</v>
      </c>
      <c r="N17" s="19">
        <v>10.0</v>
      </c>
      <c r="O17" s="22">
        <f t="shared" ref="O17:S17" si="11">H18/A$31</f>
        <v>0.04760638298</v>
      </c>
      <c r="P17" s="22">
        <f t="shared" si="11"/>
        <v>0.0625574977</v>
      </c>
      <c r="Q17" s="22">
        <f t="shared" si="11"/>
        <v>0.03012048193</v>
      </c>
      <c r="R17" s="22">
        <f t="shared" si="11"/>
        <v>0.08465608466</v>
      </c>
      <c r="S17" s="22">
        <f t="shared" si="11"/>
        <v>0.13</v>
      </c>
    </row>
    <row r="18" ht="15.75" customHeight="1">
      <c r="F18" s="23"/>
      <c r="G18" s="19">
        <v>10.0</v>
      </c>
      <c r="H18" s="20">
        <v>358.0</v>
      </c>
      <c r="I18" s="20">
        <v>136.0</v>
      </c>
      <c r="J18" s="20">
        <v>5.0</v>
      </c>
      <c r="K18" s="20">
        <v>32.0</v>
      </c>
      <c r="L18" s="20">
        <v>26.0</v>
      </c>
      <c r="N18" s="19">
        <v>11.0</v>
      </c>
      <c r="O18" s="22">
        <f t="shared" ref="O18:S18" si="12">H19/A$31</f>
        <v>0.04255319149</v>
      </c>
      <c r="P18" s="22">
        <f t="shared" si="12"/>
        <v>0.06669733211</v>
      </c>
      <c r="Q18" s="22">
        <f t="shared" si="12"/>
        <v>0.03614457831</v>
      </c>
      <c r="R18" s="22">
        <f t="shared" si="12"/>
        <v>0.06084656085</v>
      </c>
      <c r="S18" s="22">
        <f t="shared" si="12"/>
        <v>0.095</v>
      </c>
    </row>
    <row r="19" ht="15.75" customHeight="1">
      <c r="F19" s="23"/>
      <c r="G19" s="19">
        <v>11.0</v>
      </c>
      <c r="H19" s="20">
        <v>320.0</v>
      </c>
      <c r="I19" s="20">
        <v>145.0</v>
      </c>
      <c r="J19" s="20">
        <v>6.0</v>
      </c>
      <c r="K19" s="20">
        <v>23.0</v>
      </c>
      <c r="L19" s="20">
        <v>19.0</v>
      </c>
      <c r="N19" s="19">
        <v>12.0</v>
      </c>
      <c r="O19" s="22">
        <f t="shared" ref="O19:S19" si="13">H20/A$31</f>
        <v>0.04494680851</v>
      </c>
      <c r="P19" s="22">
        <f t="shared" si="13"/>
        <v>0.05289788408</v>
      </c>
      <c r="Q19" s="22">
        <f t="shared" si="13"/>
        <v>0.02409638554</v>
      </c>
      <c r="R19" s="22">
        <f t="shared" si="13"/>
        <v>0.07936507937</v>
      </c>
      <c r="S19" s="22">
        <f t="shared" si="13"/>
        <v>0.1</v>
      </c>
    </row>
    <row r="20" ht="15.75" customHeight="1">
      <c r="F20" s="23"/>
      <c r="G20" s="19">
        <v>12.0</v>
      </c>
      <c r="H20" s="20">
        <v>338.0</v>
      </c>
      <c r="I20" s="20">
        <v>115.0</v>
      </c>
      <c r="J20" s="20">
        <v>4.0</v>
      </c>
      <c r="K20" s="20">
        <v>30.0</v>
      </c>
      <c r="L20" s="20">
        <v>20.0</v>
      </c>
      <c r="N20" s="19">
        <v>13.0</v>
      </c>
      <c r="O20" s="22">
        <f t="shared" ref="O20:S20" si="14">H21/A$31</f>
        <v>0.05119680851</v>
      </c>
      <c r="P20" s="22">
        <f t="shared" si="14"/>
        <v>0.07359705612</v>
      </c>
      <c r="Q20" s="22">
        <f t="shared" si="14"/>
        <v>0</v>
      </c>
      <c r="R20" s="22">
        <f t="shared" si="14"/>
        <v>0.06613756614</v>
      </c>
      <c r="S20" s="22">
        <f t="shared" si="14"/>
        <v>0.075</v>
      </c>
    </row>
    <row r="21" ht="15.75" customHeight="1">
      <c r="F21" s="23"/>
      <c r="G21" s="19">
        <v>13.0</v>
      </c>
      <c r="H21" s="20">
        <v>385.0</v>
      </c>
      <c r="I21" s="20">
        <v>160.0</v>
      </c>
      <c r="J21" s="20">
        <v>0.0</v>
      </c>
      <c r="K21" s="20">
        <v>25.0</v>
      </c>
      <c r="L21" s="20">
        <v>15.0</v>
      </c>
      <c r="N21" s="19">
        <v>14.0</v>
      </c>
      <c r="O21" s="22">
        <f t="shared" ref="O21:S21" si="15">H22/A$31</f>
        <v>0.04880319149</v>
      </c>
      <c r="P21" s="22">
        <f t="shared" si="15"/>
        <v>0.07129714811</v>
      </c>
      <c r="Q21" s="22">
        <f t="shared" si="15"/>
        <v>0.01807228916</v>
      </c>
      <c r="R21" s="22">
        <f t="shared" si="15"/>
        <v>0.1216931217</v>
      </c>
      <c r="S21" s="22">
        <f t="shared" si="15"/>
        <v>0.095</v>
      </c>
    </row>
    <row r="22" ht="15.75" customHeight="1">
      <c r="F22" s="23"/>
      <c r="G22" s="19">
        <v>14.0</v>
      </c>
      <c r="H22" s="20">
        <v>367.0</v>
      </c>
      <c r="I22" s="20">
        <v>155.0</v>
      </c>
      <c r="J22" s="20">
        <v>3.0</v>
      </c>
      <c r="K22" s="20">
        <v>46.0</v>
      </c>
      <c r="L22" s="20">
        <v>19.0</v>
      </c>
      <c r="N22" s="19">
        <v>15.0</v>
      </c>
      <c r="O22" s="22">
        <f t="shared" ref="O22:S22" si="16">H23/A$31</f>
        <v>0.06303191489</v>
      </c>
      <c r="P22" s="22">
        <f t="shared" si="16"/>
        <v>0.08739650414</v>
      </c>
      <c r="Q22" s="22">
        <f t="shared" si="16"/>
        <v>0.06024096386</v>
      </c>
      <c r="R22" s="22">
        <f t="shared" si="16"/>
        <v>0.08994708995</v>
      </c>
      <c r="S22" s="22">
        <f t="shared" si="16"/>
        <v>0.05</v>
      </c>
    </row>
    <row r="23" ht="15.75" customHeight="1">
      <c r="F23" s="23"/>
      <c r="G23" s="19">
        <v>15.0</v>
      </c>
      <c r="H23" s="20">
        <v>474.0</v>
      </c>
      <c r="I23" s="20">
        <v>190.0</v>
      </c>
      <c r="J23" s="20">
        <v>10.0</v>
      </c>
      <c r="K23" s="20">
        <v>34.0</v>
      </c>
      <c r="L23" s="20">
        <v>10.0</v>
      </c>
      <c r="N23" s="19">
        <v>16.0</v>
      </c>
      <c r="O23" s="22">
        <f t="shared" ref="O23:S23" si="17">H24/A$31</f>
        <v>0.06954787234</v>
      </c>
      <c r="P23" s="22">
        <f t="shared" si="17"/>
        <v>0.07543698252</v>
      </c>
      <c r="Q23" s="22">
        <f t="shared" si="17"/>
        <v>0.07831325301</v>
      </c>
      <c r="R23" s="22">
        <f t="shared" si="17"/>
        <v>0.05555555556</v>
      </c>
      <c r="S23" s="22">
        <f t="shared" si="17"/>
        <v>0.025</v>
      </c>
    </row>
    <row r="24" ht="15.75" customHeight="1">
      <c r="F24" s="23"/>
      <c r="G24" s="19">
        <v>16.0</v>
      </c>
      <c r="H24" s="20">
        <v>523.0</v>
      </c>
      <c r="I24" s="20">
        <v>164.0</v>
      </c>
      <c r="J24" s="20">
        <v>13.0</v>
      </c>
      <c r="K24" s="20">
        <v>21.0</v>
      </c>
      <c r="L24" s="20">
        <v>5.0</v>
      </c>
      <c r="N24" s="19">
        <v>17.0</v>
      </c>
      <c r="O24" s="22">
        <f t="shared" ref="O24:S24" si="18">H25/A$31</f>
        <v>0.09401595745</v>
      </c>
      <c r="P24" s="22">
        <f t="shared" si="18"/>
        <v>0.08693652254</v>
      </c>
      <c r="Q24" s="22">
        <f t="shared" si="18"/>
        <v>0.2168674699</v>
      </c>
      <c r="R24" s="22">
        <f t="shared" si="18"/>
        <v>0.03174603175</v>
      </c>
      <c r="S24" s="22">
        <f t="shared" si="18"/>
        <v>0.035</v>
      </c>
    </row>
    <row r="25" ht="15.75" customHeight="1">
      <c r="F25" s="23"/>
      <c r="G25" s="19">
        <v>17.0</v>
      </c>
      <c r="H25" s="20">
        <v>707.0</v>
      </c>
      <c r="I25" s="20">
        <v>189.0</v>
      </c>
      <c r="J25" s="20">
        <v>36.0</v>
      </c>
      <c r="K25" s="20">
        <v>12.0</v>
      </c>
      <c r="L25" s="20">
        <v>7.0</v>
      </c>
      <c r="N25" s="19">
        <v>18.0</v>
      </c>
      <c r="O25" s="22">
        <f t="shared" ref="O25:S25" si="19">H26/A$31</f>
        <v>0.06595744681</v>
      </c>
      <c r="P25" s="22">
        <f t="shared" si="19"/>
        <v>0.04645814167</v>
      </c>
      <c r="Q25" s="22">
        <f t="shared" si="19"/>
        <v>0.09036144578</v>
      </c>
      <c r="R25" s="22">
        <f t="shared" si="19"/>
        <v>0.02645502646</v>
      </c>
      <c r="S25" s="22">
        <f t="shared" si="19"/>
        <v>0.01</v>
      </c>
    </row>
    <row r="26" ht="15.75" customHeight="1">
      <c r="F26" s="23"/>
      <c r="G26" s="19">
        <v>18.0</v>
      </c>
      <c r="H26" s="20">
        <v>496.0</v>
      </c>
      <c r="I26" s="20">
        <v>101.0</v>
      </c>
      <c r="J26" s="20">
        <v>15.0</v>
      </c>
      <c r="K26" s="20">
        <v>10.0</v>
      </c>
      <c r="L26" s="20">
        <v>2.0</v>
      </c>
      <c r="N26" s="19">
        <v>19.0</v>
      </c>
      <c r="O26" s="22">
        <f t="shared" ref="O26:S26" si="20">H27/A$31</f>
        <v>0.03949468085</v>
      </c>
      <c r="P26" s="22">
        <f t="shared" si="20"/>
        <v>0.02023919043</v>
      </c>
      <c r="Q26" s="22">
        <f t="shared" si="20"/>
        <v>0.01204819277</v>
      </c>
      <c r="R26" s="22">
        <f t="shared" si="20"/>
        <v>0.02645502646</v>
      </c>
      <c r="S26" s="22">
        <f t="shared" si="20"/>
        <v>0.01</v>
      </c>
    </row>
    <row r="27" ht="15.75" customHeight="1">
      <c r="F27" s="23"/>
      <c r="G27" s="19">
        <v>19.0</v>
      </c>
      <c r="H27" s="20">
        <v>297.0</v>
      </c>
      <c r="I27" s="20">
        <v>44.0</v>
      </c>
      <c r="J27" s="20">
        <v>2.0</v>
      </c>
      <c r="K27" s="20">
        <v>10.0</v>
      </c>
      <c r="L27" s="20">
        <v>2.0</v>
      </c>
      <c r="N27" s="19">
        <v>20.0</v>
      </c>
      <c r="O27" s="22">
        <f t="shared" ref="O27:S27" si="21">H28/A$31</f>
        <v>0.00625</v>
      </c>
      <c r="P27" s="22">
        <f t="shared" si="21"/>
        <v>0.003219871205</v>
      </c>
      <c r="Q27" s="22">
        <f t="shared" si="21"/>
        <v>0</v>
      </c>
      <c r="R27" s="22">
        <f t="shared" si="21"/>
        <v>0.005291005291</v>
      </c>
      <c r="S27" s="22">
        <f t="shared" si="21"/>
        <v>0.005</v>
      </c>
    </row>
    <row r="28" ht="15.75" customHeight="1">
      <c r="F28" s="23"/>
      <c r="G28" s="19">
        <v>20.0</v>
      </c>
      <c r="H28" s="20">
        <v>47.0</v>
      </c>
      <c r="I28" s="20">
        <v>7.0</v>
      </c>
      <c r="J28" s="20">
        <v>0.0</v>
      </c>
      <c r="K28" s="20">
        <v>2.0</v>
      </c>
      <c r="L28" s="20">
        <v>1.0</v>
      </c>
      <c r="N28" s="19">
        <v>21.0</v>
      </c>
      <c r="O28" s="22">
        <f t="shared" ref="O28:S28" si="22">H29/A$31</f>
        <v>0.02473404255</v>
      </c>
      <c r="P28" s="22">
        <f t="shared" si="22"/>
        <v>0.01333946642</v>
      </c>
      <c r="Q28" s="22">
        <f t="shared" si="22"/>
        <v>0</v>
      </c>
      <c r="R28" s="22">
        <f t="shared" si="22"/>
        <v>0.01851851852</v>
      </c>
      <c r="S28" s="22">
        <f t="shared" si="22"/>
        <v>0.01</v>
      </c>
    </row>
    <row r="29" ht="15.75" customHeight="1">
      <c r="F29" s="23"/>
      <c r="G29" s="19">
        <v>21.0</v>
      </c>
      <c r="H29" s="20">
        <v>186.0</v>
      </c>
      <c r="I29" s="20">
        <v>29.0</v>
      </c>
      <c r="J29" s="20">
        <v>0.0</v>
      </c>
      <c r="K29" s="20">
        <v>7.0</v>
      </c>
      <c r="L29" s="20">
        <v>2.0</v>
      </c>
      <c r="N29" s="19">
        <v>22.0</v>
      </c>
      <c r="O29" s="22">
        <f t="shared" ref="O29:S29" si="23">H30/A$31</f>
        <v>0.01396276596</v>
      </c>
      <c r="P29" s="22">
        <f t="shared" si="23"/>
        <v>0.01195952162</v>
      </c>
      <c r="Q29" s="22">
        <f t="shared" si="23"/>
        <v>0</v>
      </c>
      <c r="R29" s="22">
        <f t="shared" si="23"/>
        <v>0.005291005291</v>
      </c>
      <c r="S29" s="22">
        <f t="shared" si="23"/>
        <v>0.015</v>
      </c>
    </row>
    <row r="30" ht="15.75" customHeight="1">
      <c r="F30" s="23"/>
      <c r="G30" s="19">
        <v>22.0</v>
      </c>
      <c r="H30" s="20">
        <v>105.0</v>
      </c>
      <c r="I30" s="20">
        <v>26.0</v>
      </c>
      <c r="J30" s="20">
        <v>0.0</v>
      </c>
      <c r="K30" s="20">
        <v>2.0</v>
      </c>
      <c r="L30" s="20">
        <v>3.0</v>
      </c>
      <c r="N30" s="19">
        <v>23.0</v>
      </c>
      <c r="O30" s="22">
        <f t="shared" ref="O30:S30" si="24">H31/A$31</f>
        <v>0.007313829787</v>
      </c>
      <c r="P30" s="22">
        <f t="shared" si="24"/>
        <v>0.003679852806</v>
      </c>
      <c r="Q30" s="22">
        <f t="shared" si="24"/>
        <v>0.01204819277</v>
      </c>
      <c r="R30" s="22">
        <f t="shared" si="24"/>
        <v>0.005291005291</v>
      </c>
      <c r="S30" s="22">
        <f t="shared" si="24"/>
        <v>0</v>
      </c>
    </row>
    <row r="31" ht="15.75" customHeight="1">
      <c r="A31" s="26">
        <f t="shared" ref="A31:E31" si="25">SUM(H8:H31)</f>
        <v>7520</v>
      </c>
      <c r="B31" s="26">
        <f t="shared" si="25"/>
        <v>2174</v>
      </c>
      <c r="C31" s="26">
        <f t="shared" si="25"/>
        <v>166</v>
      </c>
      <c r="D31" s="26">
        <f t="shared" si="25"/>
        <v>378</v>
      </c>
      <c r="E31" s="26">
        <f t="shared" si="25"/>
        <v>200</v>
      </c>
      <c r="F31" s="27"/>
      <c r="G31" s="19">
        <v>23.0</v>
      </c>
      <c r="H31" s="20">
        <v>55.0</v>
      </c>
      <c r="I31" s="20">
        <v>8.0</v>
      </c>
      <c r="J31" s="20">
        <v>2.0</v>
      </c>
      <c r="K31" s="20">
        <v>2.0</v>
      </c>
      <c r="L31" s="20">
        <v>0.0</v>
      </c>
    </row>
    <row r="32" ht="15.75" customHeight="1"/>
    <row r="33" ht="15.75" customHeight="1"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N33" s="57"/>
      <c r="O33" s="20"/>
      <c r="P33" s="25">
        <f>$H$7</f>
        <v>31</v>
      </c>
      <c r="Q33" s="25">
        <f>$I$7</f>
        <v>32</v>
      </c>
      <c r="R33" s="25">
        <f>$J$7</f>
        <v>41</v>
      </c>
      <c r="S33" s="25">
        <f>$K$7</f>
        <v>42</v>
      </c>
      <c r="T33" s="25">
        <f>$L$7</f>
        <v>5</v>
      </c>
    </row>
    <row r="34" ht="15.75" customHeight="1">
      <c r="F34" s="56">
        <v>45208.0</v>
      </c>
      <c r="G34" s="19">
        <f>$G$8</f>
        <v>0</v>
      </c>
      <c r="H34" s="20">
        <v>183.0</v>
      </c>
      <c r="I34" s="20">
        <v>45.0</v>
      </c>
      <c r="J34" s="20">
        <v>4.0</v>
      </c>
      <c r="K34" s="20">
        <v>6.0</v>
      </c>
      <c r="L34" s="20">
        <v>0.0</v>
      </c>
      <c r="N34" s="58">
        <v>45208.0</v>
      </c>
      <c r="O34" s="31">
        <f>$G$8</f>
        <v>0</v>
      </c>
      <c r="P34" s="32">
        <f t="shared" ref="P34:T34" si="26">H34/A$53</f>
        <v>0.01229921366</v>
      </c>
      <c r="Q34" s="32">
        <f t="shared" si="26"/>
        <v>0.01098632813</v>
      </c>
      <c r="R34" s="32">
        <f t="shared" si="26"/>
        <v>0.02285714286</v>
      </c>
      <c r="S34" s="32">
        <f t="shared" si="26"/>
        <v>0.02158273381</v>
      </c>
      <c r="T34" s="32">
        <f t="shared" si="26"/>
        <v>0</v>
      </c>
    </row>
    <row r="35" ht="15.75" customHeight="1">
      <c r="F35" s="23"/>
      <c r="G35" s="19">
        <f>$G$9</f>
        <v>1</v>
      </c>
      <c r="H35" s="20">
        <v>95.0</v>
      </c>
      <c r="I35" s="20">
        <v>28.0</v>
      </c>
      <c r="J35" s="20">
        <v>2.0</v>
      </c>
      <c r="K35" s="20">
        <v>2.0</v>
      </c>
      <c r="L35" s="20">
        <v>2.0</v>
      </c>
      <c r="N35" s="23"/>
      <c r="O35" s="31">
        <f>$G$9</f>
        <v>1</v>
      </c>
      <c r="P35" s="32">
        <f t="shared" ref="P35:T35" si="27">H35/A$53</f>
        <v>0.006384837691</v>
      </c>
      <c r="Q35" s="32">
        <f t="shared" si="27"/>
        <v>0.0068359375</v>
      </c>
      <c r="R35" s="32">
        <f t="shared" si="27"/>
        <v>0.01142857143</v>
      </c>
      <c r="S35" s="32">
        <f t="shared" si="27"/>
        <v>0.007194244604</v>
      </c>
      <c r="T35" s="32">
        <f t="shared" si="27"/>
        <v>0.007843137255</v>
      </c>
    </row>
    <row r="36" ht="15.75" customHeight="1">
      <c r="F36" s="23"/>
      <c r="G36" s="19">
        <f>$G$10</f>
        <v>2</v>
      </c>
      <c r="H36" s="34">
        <v>75.0</v>
      </c>
      <c r="I36" s="34">
        <v>17.0</v>
      </c>
      <c r="J36" s="34">
        <v>2.0</v>
      </c>
      <c r="K36" s="34">
        <v>1.0</v>
      </c>
      <c r="L36" s="34">
        <v>3.0</v>
      </c>
      <c r="N36" s="23"/>
      <c r="O36" s="31">
        <f>$G$10</f>
        <v>2</v>
      </c>
      <c r="P36" s="32">
        <f t="shared" ref="P36:T36" si="28">H36/A$53</f>
        <v>0.005040661335</v>
      </c>
      <c r="Q36" s="32">
        <f t="shared" si="28"/>
        <v>0.004150390625</v>
      </c>
      <c r="R36" s="32">
        <f t="shared" si="28"/>
        <v>0.01142857143</v>
      </c>
      <c r="S36" s="32">
        <f t="shared" si="28"/>
        <v>0.003597122302</v>
      </c>
      <c r="T36" s="32">
        <f t="shared" si="28"/>
        <v>0.01176470588</v>
      </c>
    </row>
    <row r="37" ht="15.75" customHeight="1">
      <c r="F37" s="23"/>
      <c r="G37" s="19">
        <f>$G$11</f>
        <v>3</v>
      </c>
      <c r="H37" s="20">
        <v>50.0</v>
      </c>
      <c r="I37" s="20">
        <v>12.0</v>
      </c>
      <c r="J37" s="20">
        <v>1.0</v>
      </c>
      <c r="K37" s="20">
        <v>1.0</v>
      </c>
      <c r="L37" s="20">
        <v>3.0</v>
      </c>
      <c r="N37" s="23"/>
      <c r="O37" s="31">
        <f>$G$11</f>
        <v>3</v>
      </c>
      <c r="P37" s="32">
        <f t="shared" ref="P37:T37" si="29">H37/A$53</f>
        <v>0.00336044089</v>
      </c>
      <c r="Q37" s="32">
        <f t="shared" si="29"/>
        <v>0.0029296875</v>
      </c>
      <c r="R37" s="32">
        <f t="shared" si="29"/>
        <v>0.005714285714</v>
      </c>
      <c r="S37" s="32">
        <f t="shared" si="29"/>
        <v>0.003597122302</v>
      </c>
      <c r="T37" s="32">
        <f t="shared" si="29"/>
        <v>0.01176470588</v>
      </c>
    </row>
    <row r="38" ht="15.75" customHeight="1">
      <c r="F38" s="23"/>
      <c r="G38" s="19">
        <f>$G$12</f>
        <v>4</v>
      </c>
      <c r="H38" s="20">
        <v>51.0</v>
      </c>
      <c r="I38" s="20">
        <v>10.0</v>
      </c>
      <c r="J38" s="20">
        <v>1.0</v>
      </c>
      <c r="K38" s="20">
        <v>1.0</v>
      </c>
      <c r="L38" s="20">
        <v>6.0</v>
      </c>
      <c r="N38" s="23"/>
      <c r="O38" s="31">
        <f>$G$12</f>
        <v>4</v>
      </c>
      <c r="P38" s="32">
        <f t="shared" ref="P38:T38" si="30">H38/A$53</f>
        <v>0.003427649708</v>
      </c>
      <c r="Q38" s="32">
        <f t="shared" si="30"/>
        <v>0.00244140625</v>
      </c>
      <c r="R38" s="32">
        <f t="shared" si="30"/>
        <v>0.005714285714</v>
      </c>
      <c r="S38" s="32">
        <f t="shared" si="30"/>
        <v>0.003597122302</v>
      </c>
      <c r="T38" s="32">
        <f t="shared" si="30"/>
        <v>0.02352941176</v>
      </c>
    </row>
    <row r="39" ht="15.75" customHeight="1">
      <c r="F39" s="23"/>
      <c r="G39" s="19">
        <f>$G$13</f>
        <v>5</v>
      </c>
      <c r="H39" s="20">
        <v>89.0</v>
      </c>
      <c r="I39" s="20">
        <v>36.0</v>
      </c>
      <c r="J39" s="20">
        <v>0.0</v>
      </c>
      <c r="K39" s="20">
        <v>8.0</v>
      </c>
      <c r="L39" s="20">
        <v>17.0</v>
      </c>
      <c r="N39" s="23"/>
      <c r="O39" s="31">
        <f>$G$13</f>
        <v>5</v>
      </c>
      <c r="P39" s="32">
        <f t="shared" ref="P39:T39" si="31">H39/A$53</f>
        <v>0.005981584784</v>
      </c>
      <c r="Q39" s="32">
        <f t="shared" si="31"/>
        <v>0.0087890625</v>
      </c>
      <c r="R39" s="32">
        <f t="shared" si="31"/>
        <v>0</v>
      </c>
      <c r="S39" s="32">
        <f t="shared" si="31"/>
        <v>0.02877697842</v>
      </c>
      <c r="T39" s="32">
        <f t="shared" si="31"/>
        <v>0.06666666667</v>
      </c>
    </row>
    <row r="40" ht="15.75" customHeight="1">
      <c r="F40" s="23"/>
      <c r="G40" s="19">
        <f>$G$14</f>
        <v>6</v>
      </c>
      <c r="H40" s="20">
        <v>228.0</v>
      </c>
      <c r="I40" s="20">
        <v>119.0</v>
      </c>
      <c r="J40" s="20">
        <v>1.0</v>
      </c>
      <c r="K40" s="20">
        <v>11.0</v>
      </c>
      <c r="L40" s="20">
        <v>13.0</v>
      </c>
      <c r="N40" s="23"/>
      <c r="O40" s="31">
        <f>$G$14</f>
        <v>6</v>
      </c>
      <c r="P40" s="32">
        <f t="shared" ref="P40:T40" si="32">H40/A$53</f>
        <v>0.01532361046</v>
      </c>
      <c r="Q40" s="32">
        <f t="shared" si="32"/>
        <v>0.02905273438</v>
      </c>
      <c r="R40" s="32">
        <f t="shared" si="32"/>
        <v>0.005714285714</v>
      </c>
      <c r="S40" s="32">
        <f t="shared" si="32"/>
        <v>0.03956834532</v>
      </c>
      <c r="T40" s="32">
        <f t="shared" si="32"/>
        <v>0.05098039216</v>
      </c>
    </row>
    <row r="41" ht="15.75" customHeight="1">
      <c r="F41" s="23"/>
      <c r="G41" s="19">
        <f>$G$15</f>
        <v>7</v>
      </c>
      <c r="H41" s="20">
        <v>231.0</v>
      </c>
      <c r="I41" s="20">
        <v>133.0</v>
      </c>
      <c r="J41" s="20">
        <v>4.0</v>
      </c>
      <c r="K41" s="20">
        <v>5.0</v>
      </c>
      <c r="L41" s="20">
        <v>10.0</v>
      </c>
      <c r="N41" s="23"/>
      <c r="O41" s="31">
        <f>$G$15</f>
        <v>7</v>
      </c>
      <c r="P41" s="32">
        <f t="shared" ref="P41:T41" si="33">H41/A$53</f>
        <v>0.01552523691</v>
      </c>
      <c r="Q41" s="32">
        <f t="shared" si="33"/>
        <v>0.03247070313</v>
      </c>
      <c r="R41" s="32">
        <f t="shared" si="33"/>
        <v>0.02285714286</v>
      </c>
      <c r="S41" s="32">
        <f t="shared" si="33"/>
        <v>0.01798561151</v>
      </c>
      <c r="T41" s="32">
        <f t="shared" si="33"/>
        <v>0.03921568627</v>
      </c>
    </row>
    <row r="42" ht="15.75" customHeight="1">
      <c r="F42" s="23"/>
      <c r="G42" s="19">
        <f>$G$16</f>
        <v>8</v>
      </c>
      <c r="H42" s="20">
        <v>308.0</v>
      </c>
      <c r="I42" s="20">
        <v>100.0</v>
      </c>
      <c r="J42" s="20">
        <v>7.0</v>
      </c>
      <c r="K42" s="20">
        <v>19.0</v>
      </c>
      <c r="L42" s="20">
        <v>18.0</v>
      </c>
      <c r="N42" s="23"/>
      <c r="O42" s="31">
        <f>$G$16</f>
        <v>8</v>
      </c>
      <c r="P42" s="32">
        <f t="shared" ref="P42:T42" si="34">H42/A$53</f>
        <v>0.02070031588</v>
      </c>
      <c r="Q42" s="32">
        <f t="shared" si="34"/>
        <v>0.0244140625</v>
      </c>
      <c r="R42" s="32">
        <f t="shared" si="34"/>
        <v>0.04</v>
      </c>
      <c r="S42" s="32">
        <f t="shared" si="34"/>
        <v>0.06834532374</v>
      </c>
      <c r="T42" s="32">
        <f t="shared" si="34"/>
        <v>0.07058823529</v>
      </c>
    </row>
    <row r="43" ht="15.75" customHeight="1">
      <c r="F43" s="23"/>
      <c r="G43" s="19">
        <f>$G$17</f>
        <v>9</v>
      </c>
      <c r="H43" s="20">
        <v>441.0</v>
      </c>
      <c r="I43" s="20">
        <v>129.0</v>
      </c>
      <c r="J43" s="20">
        <v>5.0</v>
      </c>
      <c r="K43" s="20">
        <v>21.0</v>
      </c>
      <c r="L43" s="20">
        <v>21.0</v>
      </c>
      <c r="N43" s="23"/>
      <c r="O43" s="31">
        <f>$G$17</f>
        <v>9</v>
      </c>
      <c r="P43" s="32">
        <f t="shared" ref="P43:T43" si="35">H43/A$53</f>
        <v>0.02963908865</v>
      </c>
      <c r="Q43" s="32">
        <f t="shared" si="35"/>
        <v>0.03149414063</v>
      </c>
      <c r="R43" s="32">
        <f t="shared" si="35"/>
        <v>0.02857142857</v>
      </c>
      <c r="S43" s="32">
        <f t="shared" si="35"/>
        <v>0.07553956835</v>
      </c>
      <c r="T43" s="32">
        <f t="shared" si="35"/>
        <v>0.08235294118</v>
      </c>
    </row>
    <row r="44" ht="15.75" customHeight="1">
      <c r="F44" s="23"/>
      <c r="G44" s="19">
        <f>$G$18</f>
        <v>10</v>
      </c>
      <c r="H44" s="20">
        <v>623.0</v>
      </c>
      <c r="I44" s="20">
        <v>187.0</v>
      </c>
      <c r="J44" s="20">
        <v>10.0</v>
      </c>
      <c r="K44" s="20">
        <v>23.0</v>
      </c>
      <c r="L44" s="20">
        <v>21.0</v>
      </c>
      <c r="N44" s="23"/>
      <c r="O44" s="31">
        <f>$G$18</f>
        <v>10</v>
      </c>
      <c r="P44" s="32">
        <f t="shared" ref="P44:T44" si="36">H44/A$53</f>
        <v>0.04187109349</v>
      </c>
      <c r="Q44" s="32">
        <f t="shared" si="36"/>
        <v>0.04565429688</v>
      </c>
      <c r="R44" s="32">
        <f t="shared" si="36"/>
        <v>0.05714285714</v>
      </c>
      <c r="S44" s="32">
        <f t="shared" si="36"/>
        <v>0.08273381295</v>
      </c>
      <c r="T44" s="32">
        <f t="shared" si="36"/>
        <v>0.08235294118</v>
      </c>
    </row>
    <row r="45" ht="15.75" customHeight="1">
      <c r="F45" s="23"/>
      <c r="G45" s="19">
        <f>$G$19</f>
        <v>11</v>
      </c>
      <c r="H45" s="20">
        <v>668.0</v>
      </c>
      <c r="I45" s="20">
        <v>248.0</v>
      </c>
      <c r="J45" s="20">
        <v>6.0</v>
      </c>
      <c r="K45" s="20">
        <v>23.0</v>
      </c>
      <c r="L45" s="20">
        <v>23.0</v>
      </c>
      <c r="N45" s="23"/>
      <c r="O45" s="31">
        <f>$G$19</f>
        <v>11</v>
      </c>
      <c r="P45" s="32">
        <f t="shared" ref="P45:T45" si="37">H45/A$53</f>
        <v>0.04489549029</v>
      </c>
      <c r="Q45" s="32">
        <f t="shared" si="37"/>
        <v>0.060546875</v>
      </c>
      <c r="R45" s="32">
        <f t="shared" si="37"/>
        <v>0.03428571429</v>
      </c>
      <c r="S45" s="32">
        <f t="shared" si="37"/>
        <v>0.08273381295</v>
      </c>
      <c r="T45" s="32">
        <f t="shared" si="37"/>
        <v>0.09019607843</v>
      </c>
    </row>
    <row r="46" ht="15.75" customHeight="1">
      <c r="F46" s="23"/>
      <c r="G46" s="19">
        <f>$G$20</f>
        <v>12</v>
      </c>
      <c r="H46" s="20">
        <v>887.0</v>
      </c>
      <c r="I46" s="20">
        <v>264.0</v>
      </c>
      <c r="J46" s="20">
        <v>15.0</v>
      </c>
      <c r="K46" s="20">
        <v>24.0</v>
      </c>
      <c r="L46" s="20">
        <v>24.0</v>
      </c>
      <c r="N46" s="23"/>
      <c r="O46" s="31">
        <f>$G$20</f>
        <v>12</v>
      </c>
      <c r="P46" s="32">
        <f t="shared" ref="P46:T46" si="38">H46/A$53</f>
        <v>0.05961422139</v>
      </c>
      <c r="Q46" s="32">
        <f t="shared" si="38"/>
        <v>0.064453125</v>
      </c>
      <c r="R46" s="32">
        <f t="shared" si="38"/>
        <v>0.08571428571</v>
      </c>
      <c r="S46" s="32">
        <f t="shared" si="38"/>
        <v>0.08633093525</v>
      </c>
      <c r="T46" s="32">
        <f t="shared" si="38"/>
        <v>0.09411764706</v>
      </c>
    </row>
    <row r="47" ht="15.75" customHeight="1">
      <c r="F47" s="23"/>
      <c r="G47" s="19">
        <f>$G$21</f>
        <v>13</v>
      </c>
      <c r="H47" s="20">
        <v>1039.0</v>
      </c>
      <c r="I47" s="20">
        <v>244.0</v>
      </c>
      <c r="J47" s="20">
        <v>11.0</v>
      </c>
      <c r="K47" s="20">
        <v>18.0</v>
      </c>
      <c r="L47" s="20">
        <v>27.0</v>
      </c>
      <c r="N47" s="23"/>
      <c r="O47" s="31">
        <f>$G$21</f>
        <v>13</v>
      </c>
      <c r="P47" s="32">
        <f t="shared" ref="P47:T47" si="39">H47/A$53</f>
        <v>0.06982996169</v>
      </c>
      <c r="Q47" s="32">
        <f t="shared" si="39"/>
        <v>0.0595703125</v>
      </c>
      <c r="R47" s="32">
        <f t="shared" si="39"/>
        <v>0.06285714286</v>
      </c>
      <c r="S47" s="32">
        <f t="shared" si="39"/>
        <v>0.06474820144</v>
      </c>
      <c r="T47" s="32">
        <f t="shared" si="39"/>
        <v>0.1058823529</v>
      </c>
    </row>
    <row r="48" ht="15.75" customHeight="1">
      <c r="F48" s="23"/>
      <c r="G48" s="19">
        <f>$G$22</f>
        <v>14</v>
      </c>
      <c r="H48" s="20">
        <v>1150.0</v>
      </c>
      <c r="I48" s="20">
        <v>311.0</v>
      </c>
      <c r="J48" s="20">
        <v>17.0</v>
      </c>
      <c r="K48" s="20">
        <v>19.0</v>
      </c>
      <c r="L48" s="20">
        <v>17.0</v>
      </c>
      <c r="N48" s="23"/>
      <c r="O48" s="31">
        <f>$G$22</f>
        <v>14</v>
      </c>
      <c r="P48" s="32">
        <f t="shared" ref="P48:T48" si="40">H48/A$53</f>
        <v>0.07729014047</v>
      </c>
      <c r="Q48" s="32">
        <f t="shared" si="40"/>
        <v>0.07592773438</v>
      </c>
      <c r="R48" s="32">
        <f t="shared" si="40"/>
        <v>0.09714285714</v>
      </c>
      <c r="S48" s="32">
        <f t="shared" si="40"/>
        <v>0.06834532374</v>
      </c>
      <c r="T48" s="32">
        <f t="shared" si="40"/>
        <v>0.06666666667</v>
      </c>
    </row>
    <row r="49" ht="15.75" customHeight="1">
      <c r="F49" s="23"/>
      <c r="G49" s="19">
        <f>$G$23</f>
        <v>15</v>
      </c>
      <c r="H49" s="20">
        <v>1197.0</v>
      </c>
      <c r="I49" s="20">
        <v>282.0</v>
      </c>
      <c r="J49" s="20">
        <v>10.0</v>
      </c>
      <c r="K49" s="20">
        <v>9.0</v>
      </c>
      <c r="L49" s="20">
        <v>19.0</v>
      </c>
      <c r="N49" s="23"/>
      <c r="O49" s="31">
        <f>$G$23</f>
        <v>15</v>
      </c>
      <c r="P49" s="32">
        <f t="shared" ref="P49:T49" si="41">H49/A$53</f>
        <v>0.0804489549</v>
      </c>
      <c r="Q49" s="32">
        <f t="shared" si="41"/>
        <v>0.06884765625</v>
      </c>
      <c r="R49" s="32">
        <f t="shared" si="41"/>
        <v>0.05714285714</v>
      </c>
      <c r="S49" s="32">
        <f t="shared" si="41"/>
        <v>0.03237410072</v>
      </c>
      <c r="T49" s="32">
        <f t="shared" si="41"/>
        <v>0.07450980392</v>
      </c>
    </row>
    <row r="50" ht="15.75" customHeight="1">
      <c r="F50" s="23"/>
      <c r="G50" s="19">
        <f>$G$24</f>
        <v>16</v>
      </c>
      <c r="H50" s="20">
        <v>1213.0</v>
      </c>
      <c r="I50" s="20">
        <v>304.0</v>
      </c>
      <c r="J50" s="20">
        <v>21.0</v>
      </c>
      <c r="K50" s="20">
        <v>16.0</v>
      </c>
      <c r="L50" s="20">
        <v>15.0</v>
      </c>
      <c r="N50" s="23"/>
      <c r="O50" s="31">
        <f>$G$24</f>
        <v>16</v>
      </c>
      <c r="P50" s="32">
        <f t="shared" ref="P50:T50" si="42">H50/A$53</f>
        <v>0.08152429599</v>
      </c>
      <c r="Q50" s="32">
        <f t="shared" si="42"/>
        <v>0.07421875</v>
      </c>
      <c r="R50" s="32">
        <f t="shared" si="42"/>
        <v>0.12</v>
      </c>
      <c r="S50" s="32">
        <f t="shared" si="42"/>
        <v>0.05755395683</v>
      </c>
      <c r="T50" s="32">
        <f t="shared" si="42"/>
        <v>0.05882352941</v>
      </c>
    </row>
    <row r="51" ht="15.75" customHeight="1">
      <c r="F51" s="23"/>
      <c r="G51" s="19">
        <f>$G$25</f>
        <v>17</v>
      </c>
      <c r="H51" s="20">
        <v>1082.0</v>
      </c>
      <c r="I51" s="20">
        <v>286.0</v>
      </c>
      <c r="J51" s="20">
        <v>8.0</v>
      </c>
      <c r="K51" s="20">
        <v>15.0</v>
      </c>
      <c r="L51" s="20">
        <v>7.0</v>
      </c>
      <c r="N51" s="23"/>
      <c r="O51" s="31">
        <f>$G$25</f>
        <v>17</v>
      </c>
      <c r="P51" s="32">
        <f t="shared" ref="P51:T51" si="43">H51/A$53</f>
        <v>0.07271994086</v>
      </c>
      <c r="Q51" s="32">
        <f t="shared" si="43"/>
        <v>0.06982421875</v>
      </c>
      <c r="R51" s="32">
        <f t="shared" si="43"/>
        <v>0.04571428571</v>
      </c>
      <c r="S51" s="32">
        <f t="shared" si="43"/>
        <v>0.05395683453</v>
      </c>
      <c r="T51" s="32">
        <f t="shared" si="43"/>
        <v>0.02745098039</v>
      </c>
    </row>
    <row r="52" ht="15.75" customHeight="1">
      <c r="F52" s="23"/>
      <c r="G52" s="19">
        <f>$G$26</f>
        <v>18</v>
      </c>
      <c r="H52" s="20">
        <v>871.0</v>
      </c>
      <c r="I52" s="20">
        <v>231.0</v>
      </c>
      <c r="J52" s="20">
        <v>10.0</v>
      </c>
      <c r="K52" s="20">
        <v>12.0</v>
      </c>
      <c r="L52" s="20">
        <v>3.0</v>
      </c>
      <c r="N52" s="23"/>
      <c r="O52" s="31">
        <f>$G$26</f>
        <v>18</v>
      </c>
      <c r="P52" s="32">
        <f t="shared" ref="P52:T52" si="44">H52/A$53</f>
        <v>0.0585388803</v>
      </c>
      <c r="Q52" s="32">
        <f t="shared" si="44"/>
        <v>0.05639648438</v>
      </c>
      <c r="R52" s="32">
        <f t="shared" si="44"/>
        <v>0.05714285714</v>
      </c>
      <c r="S52" s="32">
        <f t="shared" si="44"/>
        <v>0.04316546763</v>
      </c>
      <c r="T52" s="32">
        <f t="shared" si="44"/>
        <v>0.01176470588</v>
      </c>
    </row>
    <row r="53" ht="15.75" customHeight="1">
      <c r="A53" s="26">
        <f t="shared" ref="A53:E53" si="45">SUM(H34:H57)</f>
        <v>14879</v>
      </c>
      <c r="B53" s="26">
        <f t="shared" si="45"/>
        <v>4096</v>
      </c>
      <c r="C53" s="26">
        <f t="shared" si="45"/>
        <v>175</v>
      </c>
      <c r="D53" s="26">
        <f t="shared" si="45"/>
        <v>278</v>
      </c>
      <c r="E53" s="26">
        <f t="shared" si="45"/>
        <v>255</v>
      </c>
      <c r="F53" s="23"/>
      <c r="G53" s="19">
        <f>$G$27</f>
        <v>19</v>
      </c>
      <c r="H53" s="20">
        <v>1058.0</v>
      </c>
      <c r="I53" s="20">
        <v>268.0</v>
      </c>
      <c r="J53" s="20">
        <v>22.0</v>
      </c>
      <c r="K53" s="20">
        <v>8.0</v>
      </c>
      <c r="L53" s="20">
        <v>1.0</v>
      </c>
      <c r="N53" s="23"/>
      <c r="O53" s="31">
        <f>$G$27</f>
        <v>19</v>
      </c>
      <c r="P53" s="32">
        <f t="shared" ref="P53:T53" si="46">H53/A$53</f>
        <v>0.07110692923</v>
      </c>
      <c r="Q53" s="32">
        <f t="shared" si="46"/>
        <v>0.0654296875</v>
      </c>
      <c r="R53" s="32">
        <f t="shared" si="46"/>
        <v>0.1257142857</v>
      </c>
      <c r="S53" s="32">
        <f t="shared" si="46"/>
        <v>0.02877697842</v>
      </c>
      <c r="T53" s="32">
        <f t="shared" si="46"/>
        <v>0.003921568627</v>
      </c>
    </row>
    <row r="54" ht="15.75" customHeight="1">
      <c r="F54" s="23"/>
      <c r="G54" s="19">
        <f>$G$28</f>
        <v>20</v>
      </c>
      <c r="H54" s="20">
        <v>1062.0</v>
      </c>
      <c r="I54" s="20">
        <v>239.0</v>
      </c>
      <c r="J54" s="20">
        <v>6.0</v>
      </c>
      <c r="K54" s="20">
        <v>9.0</v>
      </c>
      <c r="L54" s="20">
        <v>1.0</v>
      </c>
      <c r="N54" s="23"/>
      <c r="O54" s="31">
        <f>$G$28</f>
        <v>20</v>
      </c>
      <c r="P54" s="32">
        <f t="shared" ref="P54:T54" si="47">H54/A$53</f>
        <v>0.0713757645</v>
      </c>
      <c r="Q54" s="32">
        <f t="shared" si="47"/>
        <v>0.05834960938</v>
      </c>
      <c r="R54" s="32">
        <f t="shared" si="47"/>
        <v>0.03428571429</v>
      </c>
      <c r="S54" s="32">
        <f t="shared" si="47"/>
        <v>0.03237410072</v>
      </c>
      <c r="T54" s="32">
        <f t="shared" si="47"/>
        <v>0.003921568627</v>
      </c>
    </row>
    <row r="55" ht="15.75" customHeight="1">
      <c r="F55" s="23"/>
      <c r="G55" s="19">
        <f>$G$29</f>
        <v>21</v>
      </c>
      <c r="H55" s="20">
        <v>1028.0</v>
      </c>
      <c r="I55" s="20">
        <v>253.0</v>
      </c>
      <c r="J55" s="20">
        <v>7.0</v>
      </c>
      <c r="K55" s="20">
        <v>12.0</v>
      </c>
      <c r="L55" s="20">
        <v>0.0</v>
      </c>
      <c r="N55" s="23"/>
      <c r="O55" s="31">
        <f>$G$29</f>
        <v>21</v>
      </c>
      <c r="P55" s="32">
        <f t="shared" ref="P55:T55" si="48">H55/A$53</f>
        <v>0.0690906647</v>
      </c>
      <c r="Q55" s="32">
        <f t="shared" si="48"/>
        <v>0.06176757813</v>
      </c>
      <c r="R55" s="32">
        <f t="shared" si="48"/>
        <v>0.04</v>
      </c>
      <c r="S55" s="32">
        <f t="shared" si="48"/>
        <v>0.04316546763</v>
      </c>
      <c r="T55" s="32">
        <f t="shared" si="48"/>
        <v>0</v>
      </c>
    </row>
    <row r="56" ht="15.75" customHeight="1">
      <c r="F56" s="23"/>
      <c r="G56" s="19">
        <f>$G$30</f>
        <v>22</v>
      </c>
      <c r="H56" s="20">
        <v>846.0</v>
      </c>
      <c r="I56" s="20">
        <v>241.0</v>
      </c>
      <c r="J56" s="20">
        <v>5.0</v>
      </c>
      <c r="K56" s="20">
        <v>9.0</v>
      </c>
      <c r="L56" s="20">
        <v>1.0</v>
      </c>
      <c r="N56" s="23"/>
      <c r="O56" s="31">
        <f>$G$30</f>
        <v>22</v>
      </c>
      <c r="P56" s="32">
        <f t="shared" ref="P56:T56" si="49">H56/A$53</f>
        <v>0.05685865986</v>
      </c>
      <c r="Q56" s="32">
        <f t="shared" si="49"/>
        <v>0.05883789063</v>
      </c>
      <c r="R56" s="32">
        <f t="shared" si="49"/>
        <v>0.02857142857</v>
      </c>
      <c r="S56" s="32">
        <f t="shared" si="49"/>
        <v>0.03237410072</v>
      </c>
      <c r="T56" s="32">
        <f t="shared" si="49"/>
        <v>0.003921568627</v>
      </c>
    </row>
    <row r="57" ht="15.75" customHeight="1">
      <c r="F57" s="27"/>
      <c r="G57" s="19">
        <f>$G$31</f>
        <v>23</v>
      </c>
      <c r="H57" s="20">
        <v>404.0</v>
      </c>
      <c r="I57" s="20">
        <v>109.0</v>
      </c>
      <c r="J57" s="20">
        <v>0.0</v>
      </c>
      <c r="K57" s="20">
        <v>6.0</v>
      </c>
      <c r="L57" s="20">
        <v>3.0</v>
      </c>
      <c r="N57" s="27"/>
      <c r="O57" s="31">
        <f>$G$31</f>
        <v>23</v>
      </c>
      <c r="P57" s="32">
        <f t="shared" ref="P57:T57" si="50">H57/A$53</f>
        <v>0.02715236239</v>
      </c>
      <c r="Q57" s="32">
        <f t="shared" si="50"/>
        <v>0.02661132813</v>
      </c>
      <c r="R57" s="32">
        <f t="shared" si="50"/>
        <v>0</v>
      </c>
      <c r="S57" s="32">
        <f t="shared" si="50"/>
        <v>0.02158273381</v>
      </c>
      <c r="T57" s="32">
        <f t="shared" si="50"/>
        <v>0.01176470588</v>
      </c>
    </row>
    <row r="58" ht="15.75" customHeight="1">
      <c r="F58" s="56">
        <v>45209.0</v>
      </c>
      <c r="G58" s="19">
        <f>$G$8</f>
        <v>0</v>
      </c>
      <c r="H58" s="20">
        <v>292.0</v>
      </c>
      <c r="I58" s="20">
        <v>54.0</v>
      </c>
      <c r="J58" s="20">
        <v>7.0</v>
      </c>
      <c r="K58" s="20">
        <v>5.0</v>
      </c>
      <c r="L58" s="20">
        <v>4.0</v>
      </c>
      <c r="N58" s="58">
        <v>45209.0</v>
      </c>
      <c r="O58" s="31">
        <f>$G$8</f>
        <v>0</v>
      </c>
      <c r="P58" s="32">
        <f t="shared" ref="P58:T58" si="51">H58/A$84</f>
        <v>0.02058947962</v>
      </c>
      <c r="Q58" s="32">
        <f t="shared" si="51"/>
        <v>0.01414723605</v>
      </c>
      <c r="R58" s="32">
        <f t="shared" si="51"/>
        <v>0.04861111111</v>
      </c>
      <c r="S58" s="32">
        <f t="shared" si="51"/>
        <v>0.01976284585</v>
      </c>
      <c r="T58" s="32">
        <f t="shared" si="51"/>
        <v>0.02</v>
      </c>
    </row>
    <row r="59" ht="15.75" customHeight="1">
      <c r="F59" s="23"/>
      <c r="G59" s="19">
        <f>$G$9</f>
        <v>1</v>
      </c>
      <c r="H59" s="20">
        <v>168.0</v>
      </c>
      <c r="I59" s="20">
        <v>43.0</v>
      </c>
      <c r="J59" s="20">
        <v>0.0</v>
      </c>
      <c r="K59" s="20">
        <v>4.0</v>
      </c>
      <c r="L59" s="20">
        <v>4.0</v>
      </c>
      <c r="N59" s="23"/>
      <c r="O59" s="31">
        <f>$G$9</f>
        <v>1</v>
      </c>
      <c r="P59" s="32">
        <f t="shared" ref="P59:T59" si="52">H59/A$84</f>
        <v>0.01184600197</v>
      </c>
      <c r="Q59" s="32">
        <f t="shared" si="52"/>
        <v>0.01126539167</v>
      </c>
      <c r="R59" s="32">
        <f t="shared" si="52"/>
        <v>0</v>
      </c>
      <c r="S59" s="32">
        <f t="shared" si="52"/>
        <v>0.01581027668</v>
      </c>
      <c r="T59" s="32">
        <f t="shared" si="52"/>
        <v>0.02</v>
      </c>
    </row>
    <row r="60" ht="15.75" customHeight="1">
      <c r="A60" s="16" t="s">
        <v>16</v>
      </c>
      <c r="F60" s="23"/>
      <c r="G60" s="19">
        <f>$G$10</f>
        <v>2</v>
      </c>
      <c r="H60" s="16">
        <v>122.0</v>
      </c>
      <c r="I60" s="16">
        <v>18.0</v>
      </c>
      <c r="J60" s="16">
        <v>2.0</v>
      </c>
      <c r="K60" s="16">
        <v>2.0</v>
      </c>
      <c r="L60" s="16">
        <v>4.0</v>
      </c>
      <c r="N60" s="23"/>
      <c r="O60" s="31">
        <f>$G$10</f>
        <v>2</v>
      </c>
      <c r="P60" s="32">
        <f t="shared" ref="P60:T60" si="53">H60/A$84</f>
        <v>0.008602453815</v>
      </c>
      <c r="Q60" s="32">
        <f t="shared" si="53"/>
        <v>0.00471574535</v>
      </c>
      <c r="R60" s="32">
        <f t="shared" si="53"/>
        <v>0.01388888889</v>
      </c>
      <c r="S60" s="32">
        <f t="shared" si="53"/>
        <v>0.00790513834</v>
      </c>
      <c r="T60" s="32">
        <f t="shared" si="53"/>
        <v>0.02</v>
      </c>
    </row>
    <row r="61" ht="15.75" customHeight="1">
      <c r="A61" s="16" t="s">
        <v>17</v>
      </c>
      <c r="F61" s="23"/>
      <c r="G61" s="19">
        <f>$G$11</f>
        <v>3</v>
      </c>
      <c r="H61" s="20">
        <v>81.0</v>
      </c>
      <c r="I61" s="20">
        <v>20.0</v>
      </c>
      <c r="J61" s="20">
        <v>1.0</v>
      </c>
      <c r="K61" s="20">
        <v>3.0</v>
      </c>
      <c r="L61" s="20">
        <v>3.0</v>
      </c>
      <c r="N61" s="23"/>
      <c r="O61" s="31">
        <f>$G$11</f>
        <v>3</v>
      </c>
      <c r="P61" s="32">
        <f t="shared" ref="P61:T61" si="54">H61/A$84</f>
        <v>0.005711465238</v>
      </c>
      <c r="Q61" s="32">
        <f t="shared" si="54"/>
        <v>0.005239717055</v>
      </c>
      <c r="R61" s="32">
        <f t="shared" si="54"/>
        <v>0.006944444444</v>
      </c>
      <c r="S61" s="32">
        <f t="shared" si="54"/>
        <v>0.01185770751</v>
      </c>
      <c r="T61" s="32">
        <f t="shared" si="54"/>
        <v>0.015</v>
      </c>
    </row>
    <row r="62" ht="15.75" customHeight="1">
      <c r="A62" s="16" t="s">
        <v>18</v>
      </c>
      <c r="F62" s="23"/>
      <c r="G62" s="19">
        <f>$G$12</f>
        <v>4</v>
      </c>
      <c r="H62" s="20">
        <v>93.0</v>
      </c>
      <c r="I62" s="20">
        <v>24.0</v>
      </c>
      <c r="J62" s="20">
        <v>5.0</v>
      </c>
      <c r="K62" s="20">
        <v>3.0</v>
      </c>
      <c r="L62" s="20">
        <v>4.0</v>
      </c>
      <c r="N62" s="23"/>
      <c r="O62" s="31">
        <f>$G$12</f>
        <v>4</v>
      </c>
      <c r="P62" s="32">
        <f t="shared" ref="P62:T62" si="55">H62/A$84</f>
        <v>0.006557608236</v>
      </c>
      <c r="Q62" s="32">
        <f t="shared" si="55"/>
        <v>0.006287660466</v>
      </c>
      <c r="R62" s="32">
        <f t="shared" si="55"/>
        <v>0.03472222222</v>
      </c>
      <c r="S62" s="32">
        <f t="shared" si="55"/>
        <v>0.01185770751</v>
      </c>
      <c r="T62" s="32">
        <f t="shared" si="55"/>
        <v>0.02</v>
      </c>
    </row>
    <row r="63" ht="15.75" customHeight="1">
      <c r="A63" s="16" t="s">
        <v>19</v>
      </c>
      <c r="F63" s="23"/>
      <c r="G63" s="19">
        <f>$G$13</f>
        <v>5</v>
      </c>
      <c r="H63" s="20">
        <v>125.0</v>
      </c>
      <c r="I63" s="20">
        <v>42.0</v>
      </c>
      <c r="J63" s="20">
        <v>0.0</v>
      </c>
      <c r="K63" s="20">
        <v>4.0</v>
      </c>
      <c r="L63" s="20">
        <v>6.0</v>
      </c>
      <c r="N63" s="23"/>
      <c r="O63" s="31">
        <f>$G$13</f>
        <v>5</v>
      </c>
      <c r="P63" s="32">
        <f t="shared" ref="P63:T63" si="56">H63/A$84</f>
        <v>0.008813989564</v>
      </c>
      <c r="Q63" s="32">
        <f t="shared" si="56"/>
        <v>0.01100340582</v>
      </c>
      <c r="R63" s="32">
        <f t="shared" si="56"/>
        <v>0</v>
      </c>
      <c r="S63" s="32">
        <f t="shared" si="56"/>
        <v>0.01581027668</v>
      </c>
      <c r="T63" s="32">
        <f t="shared" si="56"/>
        <v>0.03</v>
      </c>
    </row>
    <row r="64" ht="15.75" customHeight="1">
      <c r="A64" s="16" t="s">
        <v>20</v>
      </c>
      <c r="F64" s="23"/>
      <c r="G64" s="19">
        <f>$G$14</f>
        <v>6</v>
      </c>
      <c r="H64" s="20">
        <v>244.0</v>
      </c>
      <c r="I64" s="20">
        <v>134.0</v>
      </c>
      <c r="J64" s="20">
        <v>0.0</v>
      </c>
      <c r="K64" s="20">
        <v>9.0</v>
      </c>
      <c r="L64" s="20">
        <v>11.0</v>
      </c>
      <c r="N64" s="23"/>
      <c r="O64" s="31">
        <f>$G$14</f>
        <v>6</v>
      </c>
      <c r="P64" s="32">
        <f t="shared" ref="P64:T64" si="57">H64/A$84</f>
        <v>0.01720490763</v>
      </c>
      <c r="Q64" s="32">
        <f t="shared" si="57"/>
        <v>0.03510610427</v>
      </c>
      <c r="R64" s="32">
        <f t="shared" si="57"/>
        <v>0</v>
      </c>
      <c r="S64" s="32">
        <f t="shared" si="57"/>
        <v>0.03557312253</v>
      </c>
      <c r="T64" s="32">
        <f t="shared" si="57"/>
        <v>0.055</v>
      </c>
    </row>
    <row r="65" ht="15.75" customHeight="1">
      <c r="A65" s="16" t="s">
        <v>21</v>
      </c>
      <c r="F65" s="23"/>
      <c r="G65" s="19">
        <f>$G$15</f>
        <v>7</v>
      </c>
      <c r="H65" s="20">
        <v>280.0</v>
      </c>
      <c r="I65" s="20">
        <v>120.0</v>
      </c>
      <c r="J65" s="20">
        <v>1.0</v>
      </c>
      <c r="K65" s="20">
        <v>17.0</v>
      </c>
      <c r="L65" s="20">
        <v>3.0</v>
      </c>
      <c r="N65" s="23"/>
      <c r="O65" s="31">
        <f>$G$15</f>
        <v>7</v>
      </c>
      <c r="P65" s="32">
        <f t="shared" ref="P65:T65" si="58">H65/A$84</f>
        <v>0.01974333662</v>
      </c>
      <c r="Q65" s="32">
        <f t="shared" si="58"/>
        <v>0.03143830233</v>
      </c>
      <c r="R65" s="32">
        <f t="shared" si="58"/>
        <v>0.006944444444</v>
      </c>
      <c r="S65" s="32">
        <f t="shared" si="58"/>
        <v>0.06719367589</v>
      </c>
      <c r="T65" s="32">
        <f t="shared" si="58"/>
        <v>0.015</v>
      </c>
    </row>
    <row r="66" ht="15.75" customHeight="1">
      <c r="A66" s="16" t="s">
        <v>22</v>
      </c>
      <c r="F66" s="23"/>
      <c r="G66" s="19">
        <f>$G$16</f>
        <v>8</v>
      </c>
      <c r="H66" s="20">
        <v>324.0</v>
      </c>
      <c r="I66" s="20">
        <v>106.0</v>
      </c>
      <c r="J66" s="20">
        <v>2.0</v>
      </c>
      <c r="K66" s="20">
        <v>20.0</v>
      </c>
      <c r="L66" s="20">
        <v>9.0</v>
      </c>
      <c r="N66" s="23"/>
      <c r="O66" s="31">
        <f>$G$16</f>
        <v>8</v>
      </c>
      <c r="P66" s="32">
        <f t="shared" ref="P66:T66" si="59">H66/A$84</f>
        <v>0.02284586095</v>
      </c>
      <c r="Q66" s="32">
        <f t="shared" si="59"/>
        <v>0.02777050039</v>
      </c>
      <c r="R66" s="32">
        <f t="shared" si="59"/>
        <v>0.01388888889</v>
      </c>
      <c r="S66" s="32">
        <f t="shared" si="59"/>
        <v>0.0790513834</v>
      </c>
      <c r="T66" s="32">
        <f t="shared" si="59"/>
        <v>0.045</v>
      </c>
    </row>
    <row r="67" ht="15.75" customHeight="1">
      <c r="A67" s="16" t="s">
        <v>23</v>
      </c>
      <c r="F67" s="23"/>
      <c r="G67" s="19">
        <f>$G$17</f>
        <v>9</v>
      </c>
      <c r="H67" s="20">
        <v>461.0</v>
      </c>
      <c r="I67" s="20">
        <v>168.0</v>
      </c>
      <c r="J67" s="20">
        <v>8.0</v>
      </c>
      <c r="K67" s="20">
        <v>18.0</v>
      </c>
      <c r="L67" s="20">
        <v>32.0</v>
      </c>
      <c r="N67" s="23"/>
      <c r="O67" s="31">
        <f>$G$17</f>
        <v>9</v>
      </c>
      <c r="P67" s="32">
        <f t="shared" ref="P67:T67" si="60">H67/A$84</f>
        <v>0.03250599351</v>
      </c>
      <c r="Q67" s="32">
        <f t="shared" si="60"/>
        <v>0.04401362326</v>
      </c>
      <c r="R67" s="32">
        <f t="shared" si="60"/>
        <v>0.05555555556</v>
      </c>
      <c r="S67" s="32">
        <f t="shared" si="60"/>
        <v>0.07114624506</v>
      </c>
      <c r="T67" s="32">
        <f t="shared" si="60"/>
        <v>0.16</v>
      </c>
    </row>
    <row r="68" ht="15.75" customHeight="1">
      <c r="A68" s="16" t="s">
        <v>24</v>
      </c>
      <c r="F68" s="23"/>
      <c r="G68" s="19">
        <f>$G$18</f>
        <v>10</v>
      </c>
      <c r="H68" s="20">
        <v>667.0</v>
      </c>
      <c r="I68" s="20">
        <v>208.0</v>
      </c>
      <c r="J68" s="20">
        <v>8.0</v>
      </c>
      <c r="K68" s="20">
        <v>19.0</v>
      </c>
      <c r="L68" s="20">
        <v>14.0</v>
      </c>
      <c r="N68" s="23"/>
      <c r="O68" s="31">
        <f>$G$18</f>
        <v>10</v>
      </c>
      <c r="P68" s="32">
        <f t="shared" ref="P68:T68" si="61">H68/A$84</f>
        <v>0.04703144831</v>
      </c>
      <c r="Q68" s="32">
        <f t="shared" si="61"/>
        <v>0.05449305737</v>
      </c>
      <c r="R68" s="32">
        <f t="shared" si="61"/>
        <v>0.05555555556</v>
      </c>
      <c r="S68" s="32">
        <f t="shared" si="61"/>
        <v>0.07509881423</v>
      </c>
      <c r="T68" s="32">
        <f t="shared" si="61"/>
        <v>0.07</v>
      </c>
    </row>
    <row r="69" ht="15.75" customHeight="1">
      <c r="A69" s="16" t="s">
        <v>25</v>
      </c>
      <c r="F69" s="23"/>
      <c r="G69" s="19">
        <f>$G$19</f>
        <v>11</v>
      </c>
      <c r="H69" s="20">
        <v>764.0</v>
      </c>
      <c r="I69" s="20">
        <v>208.0</v>
      </c>
      <c r="J69" s="20">
        <v>0.0</v>
      </c>
      <c r="K69" s="20">
        <v>13.0</v>
      </c>
      <c r="L69" s="20">
        <v>17.0</v>
      </c>
      <c r="N69" s="23"/>
      <c r="O69" s="31">
        <f>$G$19</f>
        <v>11</v>
      </c>
      <c r="P69" s="32">
        <f t="shared" ref="P69:T69" si="62">H69/A$84</f>
        <v>0.05387110422</v>
      </c>
      <c r="Q69" s="32">
        <f t="shared" si="62"/>
        <v>0.05449305737</v>
      </c>
      <c r="R69" s="32">
        <f t="shared" si="62"/>
        <v>0</v>
      </c>
      <c r="S69" s="32">
        <f t="shared" si="62"/>
        <v>0.05138339921</v>
      </c>
      <c r="T69" s="32">
        <f t="shared" si="62"/>
        <v>0.085</v>
      </c>
    </row>
    <row r="70" ht="15.75" customHeight="1">
      <c r="A70" s="16" t="s">
        <v>26</v>
      </c>
      <c r="F70" s="23"/>
      <c r="G70" s="19">
        <f>$G$20</f>
        <v>12</v>
      </c>
      <c r="H70" s="20">
        <v>1018.0</v>
      </c>
      <c r="I70" s="20">
        <v>238.0</v>
      </c>
      <c r="J70" s="20">
        <v>11.0</v>
      </c>
      <c r="K70" s="20">
        <v>21.0</v>
      </c>
      <c r="L70" s="20">
        <v>12.0</v>
      </c>
      <c r="N70" s="23"/>
      <c r="O70" s="31">
        <f>$G$20</f>
        <v>12</v>
      </c>
      <c r="P70" s="32">
        <f t="shared" ref="P70:T70" si="63">H70/A$84</f>
        <v>0.07178113101</v>
      </c>
      <c r="Q70" s="32">
        <f t="shared" si="63"/>
        <v>0.06235263296</v>
      </c>
      <c r="R70" s="32">
        <f t="shared" si="63"/>
        <v>0.07638888889</v>
      </c>
      <c r="S70" s="32">
        <f t="shared" si="63"/>
        <v>0.08300395257</v>
      </c>
      <c r="T70" s="32">
        <f t="shared" si="63"/>
        <v>0.06</v>
      </c>
    </row>
    <row r="71" ht="15.75" customHeight="1">
      <c r="A71" s="16" t="s">
        <v>27</v>
      </c>
      <c r="F71" s="23"/>
      <c r="G71" s="19">
        <f>$G$21</f>
        <v>13</v>
      </c>
      <c r="H71" s="20">
        <v>1122.0</v>
      </c>
      <c r="I71" s="20">
        <v>272.0</v>
      </c>
      <c r="J71" s="20">
        <v>11.0</v>
      </c>
      <c r="K71" s="20">
        <v>13.0</v>
      </c>
      <c r="L71" s="20">
        <v>13.0</v>
      </c>
      <c r="N71" s="23"/>
      <c r="O71" s="31">
        <f>$G$21</f>
        <v>13</v>
      </c>
      <c r="P71" s="32">
        <f t="shared" ref="P71:T71" si="64">H71/A$84</f>
        <v>0.07911437033</v>
      </c>
      <c r="Q71" s="32">
        <f t="shared" si="64"/>
        <v>0.07126015195</v>
      </c>
      <c r="R71" s="32">
        <f t="shared" si="64"/>
        <v>0.07638888889</v>
      </c>
      <c r="S71" s="32">
        <f t="shared" si="64"/>
        <v>0.05138339921</v>
      </c>
      <c r="T71" s="32">
        <f t="shared" si="64"/>
        <v>0.065</v>
      </c>
    </row>
    <row r="72" ht="15.75" customHeight="1">
      <c r="A72" s="16" t="s">
        <v>28</v>
      </c>
      <c r="F72" s="23"/>
      <c r="G72" s="19">
        <f>$G$22</f>
        <v>14</v>
      </c>
      <c r="H72" s="20">
        <v>1173.0</v>
      </c>
      <c r="I72" s="20">
        <v>286.0</v>
      </c>
      <c r="J72" s="20">
        <v>4.0</v>
      </c>
      <c r="K72" s="20">
        <v>18.0</v>
      </c>
      <c r="L72" s="20">
        <v>12.0</v>
      </c>
      <c r="N72" s="23"/>
      <c r="O72" s="31">
        <f>$G$22</f>
        <v>14</v>
      </c>
      <c r="P72" s="32">
        <f t="shared" ref="P72:T72" si="65">H72/A$84</f>
        <v>0.08271047807</v>
      </c>
      <c r="Q72" s="32">
        <f t="shared" si="65"/>
        <v>0.07492795389</v>
      </c>
      <c r="R72" s="32">
        <f t="shared" si="65"/>
        <v>0.02777777778</v>
      </c>
      <c r="S72" s="32">
        <f t="shared" si="65"/>
        <v>0.07114624506</v>
      </c>
      <c r="T72" s="32">
        <f t="shared" si="65"/>
        <v>0.06</v>
      </c>
    </row>
    <row r="73" ht="15.75" customHeight="1">
      <c r="A73" s="16" t="s">
        <v>29</v>
      </c>
      <c r="F73" s="23"/>
      <c r="G73" s="19">
        <f>$G$23</f>
        <v>15</v>
      </c>
      <c r="H73" s="20">
        <v>1264.0</v>
      </c>
      <c r="I73" s="20">
        <v>337.0</v>
      </c>
      <c r="J73" s="20">
        <v>6.0</v>
      </c>
      <c r="K73" s="20">
        <v>11.0</v>
      </c>
      <c r="L73" s="20">
        <v>10.0</v>
      </c>
      <c r="N73" s="23"/>
      <c r="O73" s="31">
        <f>$G$23</f>
        <v>15</v>
      </c>
      <c r="P73" s="32">
        <f t="shared" ref="P73:T73" si="66">H73/A$84</f>
        <v>0.08912706247</v>
      </c>
      <c r="Q73" s="32">
        <f t="shared" si="66"/>
        <v>0.08828923238</v>
      </c>
      <c r="R73" s="32">
        <f t="shared" si="66"/>
        <v>0.04166666667</v>
      </c>
      <c r="S73" s="32">
        <f t="shared" si="66"/>
        <v>0.04347826087</v>
      </c>
      <c r="T73" s="32">
        <f t="shared" si="66"/>
        <v>0.05</v>
      </c>
    </row>
    <row r="74" ht="15.75" customHeight="1">
      <c r="A74" s="16" t="s">
        <v>30</v>
      </c>
      <c r="F74" s="23"/>
      <c r="G74" s="19">
        <f>$G$24</f>
        <v>16</v>
      </c>
      <c r="H74" s="20">
        <v>1234.0</v>
      </c>
      <c r="I74" s="20">
        <v>291.0</v>
      </c>
      <c r="J74" s="20">
        <v>6.0</v>
      </c>
      <c r="K74" s="20">
        <v>16.0</v>
      </c>
      <c r="L74" s="20">
        <v>5.0</v>
      </c>
      <c r="N74" s="23"/>
      <c r="O74" s="31">
        <f>$G$24</f>
        <v>16</v>
      </c>
      <c r="P74" s="32">
        <f t="shared" ref="P74:T74" si="67">H74/A$84</f>
        <v>0.08701170498</v>
      </c>
      <c r="Q74" s="32">
        <f t="shared" si="67"/>
        <v>0.07623788315</v>
      </c>
      <c r="R74" s="32">
        <f t="shared" si="67"/>
        <v>0.04166666667</v>
      </c>
      <c r="S74" s="32">
        <f t="shared" si="67"/>
        <v>0.06324110672</v>
      </c>
      <c r="T74" s="32">
        <f t="shared" si="67"/>
        <v>0.025</v>
      </c>
    </row>
    <row r="75" ht="15.75" customHeight="1">
      <c r="A75" s="16" t="s">
        <v>31</v>
      </c>
      <c r="F75" s="23"/>
      <c r="G75" s="19">
        <f>$G$25</f>
        <v>17</v>
      </c>
      <c r="H75" s="20">
        <v>1175.0</v>
      </c>
      <c r="I75" s="20">
        <v>333.0</v>
      </c>
      <c r="J75" s="20">
        <v>8.0</v>
      </c>
      <c r="K75" s="20">
        <v>11.0</v>
      </c>
      <c r="L75" s="20">
        <v>2.0</v>
      </c>
      <c r="N75" s="23"/>
      <c r="O75" s="31">
        <f>$G$25</f>
        <v>17</v>
      </c>
      <c r="P75" s="32">
        <f t="shared" ref="P75:T75" si="68">H75/A$84</f>
        <v>0.0828515019</v>
      </c>
      <c r="Q75" s="32">
        <f t="shared" si="68"/>
        <v>0.08724128897</v>
      </c>
      <c r="R75" s="32">
        <f t="shared" si="68"/>
        <v>0.05555555556</v>
      </c>
      <c r="S75" s="32">
        <f t="shared" si="68"/>
        <v>0.04347826087</v>
      </c>
      <c r="T75" s="32">
        <f t="shared" si="68"/>
        <v>0.01</v>
      </c>
    </row>
    <row r="76" ht="15.75" customHeight="1">
      <c r="A76" s="16" t="s">
        <v>32</v>
      </c>
      <c r="F76" s="23"/>
      <c r="G76" s="19">
        <f>$G$26</f>
        <v>18</v>
      </c>
      <c r="H76" s="20">
        <v>996.0</v>
      </c>
      <c r="I76" s="20">
        <v>264.0</v>
      </c>
      <c r="J76" s="20">
        <v>11.0</v>
      </c>
      <c r="K76" s="20">
        <v>7.0</v>
      </c>
      <c r="L76" s="20">
        <v>2.0</v>
      </c>
      <c r="N76" s="23"/>
      <c r="O76" s="31">
        <f>$G$26</f>
        <v>18</v>
      </c>
      <c r="P76" s="32">
        <f t="shared" ref="P76:T76" si="69">H76/A$84</f>
        <v>0.07022986885</v>
      </c>
      <c r="Q76" s="32">
        <f t="shared" si="69"/>
        <v>0.06916426513</v>
      </c>
      <c r="R76" s="32">
        <f t="shared" si="69"/>
        <v>0.07638888889</v>
      </c>
      <c r="S76" s="32">
        <f t="shared" si="69"/>
        <v>0.02766798419</v>
      </c>
      <c r="T76" s="32">
        <f t="shared" si="69"/>
        <v>0.01</v>
      </c>
    </row>
    <row r="77" ht="15.75" customHeight="1">
      <c r="A77" s="16" t="s">
        <v>33</v>
      </c>
      <c r="F77" s="23"/>
      <c r="G77" s="19">
        <f>$G$27</f>
        <v>19</v>
      </c>
      <c r="H77" s="20">
        <v>876.0</v>
      </c>
      <c r="I77" s="20">
        <v>229.0</v>
      </c>
      <c r="J77" s="20">
        <v>4.0</v>
      </c>
      <c r="K77" s="20">
        <v>13.0</v>
      </c>
      <c r="L77" s="20">
        <v>5.0</v>
      </c>
      <c r="N77" s="23"/>
      <c r="O77" s="31">
        <f>$G$27</f>
        <v>19</v>
      </c>
      <c r="P77" s="32">
        <f t="shared" ref="P77:T77" si="70">H77/A$84</f>
        <v>0.06176843887</v>
      </c>
      <c r="Q77" s="32">
        <f t="shared" si="70"/>
        <v>0.05999476028</v>
      </c>
      <c r="R77" s="32">
        <f t="shared" si="70"/>
        <v>0.02777777778</v>
      </c>
      <c r="S77" s="32">
        <f t="shared" si="70"/>
        <v>0.05138339921</v>
      </c>
      <c r="T77" s="32">
        <f t="shared" si="70"/>
        <v>0.025</v>
      </c>
    </row>
    <row r="78" ht="15.75" customHeight="1">
      <c r="A78" s="16" t="s">
        <v>34</v>
      </c>
      <c r="F78" s="23"/>
      <c r="G78" s="19">
        <f>$G$28</f>
        <v>20</v>
      </c>
      <c r="H78" s="20">
        <v>695.0</v>
      </c>
      <c r="I78" s="20">
        <v>153.0</v>
      </c>
      <c r="J78" s="20">
        <v>6.0</v>
      </c>
      <c r="K78" s="20">
        <v>9.0</v>
      </c>
      <c r="L78" s="20">
        <v>7.0</v>
      </c>
      <c r="N78" s="23"/>
      <c r="O78" s="31">
        <f>$G$28</f>
        <v>20</v>
      </c>
      <c r="P78" s="32">
        <f t="shared" ref="P78:T78" si="71">H78/A$84</f>
        <v>0.04900578198</v>
      </c>
      <c r="Q78" s="32">
        <f t="shared" si="71"/>
        <v>0.04008383547</v>
      </c>
      <c r="R78" s="32">
        <f t="shared" si="71"/>
        <v>0.04166666667</v>
      </c>
      <c r="S78" s="32">
        <f t="shared" si="71"/>
        <v>0.03557312253</v>
      </c>
      <c r="T78" s="32">
        <f t="shared" si="71"/>
        <v>0.035</v>
      </c>
    </row>
    <row r="79" ht="15.75" customHeight="1">
      <c r="A79" s="16" t="s">
        <v>35</v>
      </c>
      <c r="F79" s="23"/>
      <c r="G79" s="19">
        <f>$G$29</f>
        <v>21</v>
      </c>
      <c r="H79" s="20">
        <v>494.0</v>
      </c>
      <c r="I79" s="20">
        <v>110.0</v>
      </c>
      <c r="J79" s="20">
        <v>32.0</v>
      </c>
      <c r="K79" s="20">
        <v>11.0</v>
      </c>
      <c r="L79" s="20">
        <v>7.0</v>
      </c>
      <c r="N79" s="23"/>
      <c r="O79" s="31">
        <f>$G$29</f>
        <v>21</v>
      </c>
      <c r="P79" s="32">
        <f t="shared" ref="P79:T79" si="72">H79/A$84</f>
        <v>0.03483288676</v>
      </c>
      <c r="Q79" s="32">
        <f t="shared" si="72"/>
        <v>0.0288184438</v>
      </c>
      <c r="R79" s="32">
        <f t="shared" si="72"/>
        <v>0.2222222222</v>
      </c>
      <c r="S79" s="32">
        <f t="shared" si="72"/>
        <v>0.04347826087</v>
      </c>
      <c r="T79" s="32">
        <f t="shared" si="72"/>
        <v>0.035</v>
      </c>
    </row>
    <row r="80" ht="15.75" customHeight="1">
      <c r="A80" s="16" t="s">
        <v>36</v>
      </c>
      <c r="F80" s="23"/>
      <c r="G80" s="19">
        <f>$G$30</f>
        <v>22</v>
      </c>
      <c r="H80" s="20">
        <v>327.0</v>
      </c>
      <c r="I80" s="20">
        <v>95.0</v>
      </c>
      <c r="J80" s="20">
        <v>8.0</v>
      </c>
      <c r="K80" s="20">
        <v>4.0</v>
      </c>
      <c r="L80" s="20">
        <v>8.0</v>
      </c>
      <c r="N80" s="23"/>
      <c r="O80" s="31">
        <f>$G$30</f>
        <v>22</v>
      </c>
      <c r="P80" s="32">
        <f t="shared" ref="P80:T80" si="73">H80/A$84</f>
        <v>0.0230573967</v>
      </c>
      <c r="Q80" s="32">
        <f t="shared" si="73"/>
        <v>0.02488865601</v>
      </c>
      <c r="R80" s="32">
        <f t="shared" si="73"/>
        <v>0.05555555556</v>
      </c>
      <c r="S80" s="32">
        <f t="shared" si="73"/>
        <v>0.01581027668</v>
      </c>
      <c r="T80" s="32">
        <f t="shared" si="73"/>
        <v>0.04</v>
      </c>
    </row>
    <row r="81" ht="15.75" customHeight="1">
      <c r="A81" s="16" t="s">
        <v>37</v>
      </c>
      <c r="F81" s="27"/>
      <c r="G81" s="19">
        <f>$G$31</f>
        <v>23</v>
      </c>
      <c r="H81" s="20">
        <v>187.0</v>
      </c>
      <c r="I81" s="20">
        <v>64.0</v>
      </c>
      <c r="J81" s="20">
        <v>3.0</v>
      </c>
      <c r="K81" s="20">
        <v>2.0</v>
      </c>
      <c r="L81" s="20">
        <v>6.0</v>
      </c>
      <c r="N81" s="27"/>
      <c r="O81" s="31">
        <f>$G$31</f>
        <v>23</v>
      </c>
      <c r="P81" s="32">
        <f t="shared" ref="P81:T81" si="74">H81/A$84</f>
        <v>0.01318572839</v>
      </c>
      <c r="Q81" s="32">
        <f t="shared" si="74"/>
        <v>0.01676709458</v>
      </c>
      <c r="R81" s="32">
        <f t="shared" si="74"/>
        <v>0.02083333333</v>
      </c>
      <c r="S81" s="32">
        <f t="shared" si="74"/>
        <v>0.00790513834</v>
      </c>
      <c r="T81" s="32">
        <f t="shared" si="74"/>
        <v>0.03</v>
      </c>
    </row>
    <row r="82" ht="15.75" customHeight="1">
      <c r="A82" s="16" t="s">
        <v>38</v>
      </c>
      <c r="F82" s="56">
        <v>45210.0</v>
      </c>
      <c r="G82" s="19">
        <f>$G$8</f>
        <v>0</v>
      </c>
      <c r="H82" s="38">
        <v>100.0</v>
      </c>
      <c r="I82" s="38">
        <v>27.0</v>
      </c>
      <c r="J82" s="38">
        <v>2.0</v>
      </c>
      <c r="K82" s="38">
        <v>1.0</v>
      </c>
      <c r="L82" s="38">
        <v>10.0</v>
      </c>
      <c r="N82" s="58">
        <v>45210.0</v>
      </c>
      <c r="O82" s="31">
        <f>$G$8</f>
        <v>0</v>
      </c>
      <c r="P82" s="32">
        <f t="shared" ref="P82:T82" si="75">H82/A$110</f>
        <v>0.01370801919</v>
      </c>
      <c r="Q82" s="32">
        <f t="shared" si="75"/>
        <v>0.008961168271</v>
      </c>
      <c r="R82" s="32">
        <f t="shared" si="75"/>
        <v>0.02666666667</v>
      </c>
      <c r="S82" s="32">
        <f t="shared" si="75"/>
        <v>0.001798561151</v>
      </c>
      <c r="T82" s="32">
        <f t="shared" si="75"/>
        <v>0.01402524544</v>
      </c>
    </row>
    <row r="83" ht="15.75" customHeight="1">
      <c r="A83" s="16" t="s">
        <v>39</v>
      </c>
      <c r="F83" s="23"/>
      <c r="G83" s="19">
        <f>$G$9</f>
        <v>1</v>
      </c>
      <c r="H83" s="38">
        <v>69.0</v>
      </c>
      <c r="I83" s="38">
        <v>19.0</v>
      </c>
      <c r="J83" s="38">
        <v>1.0</v>
      </c>
      <c r="K83" s="38">
        <v>7.0</v>
      </c>
      <c r="L83" s="38">
        <v>4.0</v>
      </c>
      <c r="N83" s="23"/>
      <c r="O83" s="31">
        <f>$G$9</f>
        <v>1</v>
      </c>
      <c r="P83" s="32">
        <f t="shared" ref="P83:T83" si="76">H83/A$110</f>
        <v>0.009458533242</v>
      </c>
      <c r="Q83" s="32">
        <f t="shared" si="76"/>
        <v>0.006306007302</v>
      </c>
      <c r="R83" s="32">
        <f t="shared" si="76"/>
        <v>0.01333333333</v>
      </c>
      <c r="S83" s="32">
        <f t="shared" si="76"/>
        <v>0.01258992806</v>
      </c>
      <c r="T83" s="32">
        <f t="shared" si="76"/>
        <v>0.005610098177</v>
      </c>
    </row>
    <row r="84" ht="15.75" customHeight="1">
      <c r="A84" s="26">
        <f t="shared" ref="A84:E84" si="77">SUM(H58:H81)</f>
        <v>14182</v>
      </c>
      <c r="B84" s="26">
        <f t="shared" si="77"/>
        <v>3817</v>
      </c>
      <c r="C84" s="26">
        <f t="shared" si="77"/>
        <v>144</v>
      </c>
      <c r="D84" s="26">
        <f t="shared" si="77"/>
        <v>253</v>
      </c>
      <c r="E84" s="26">
        <f t="shared" si="77"/>
        <v>200</v>
      </c>
      <c r="F84" s="23"/>
      <c r="G84" s="19">
        <f>$G$10</f>
        <v>2</v>
      </c>
      <c r="H84" s="38">
        <v>36.0</v>
      </c>
      <c r="I84" s="38">
        <v>11.0</v>
      </c>
      <c r="J84" s="38">
        <v>0.0</v>
      </c>
      <c r="K84" s="38">
        <v>3.0</v>
      </c>
      <c r="L84" s="38">
        <v>5.0</v>
      </c>
      <c r="N84" s="23"/>
      <c r="O84" s="31">
        <f>$G$10</f>
        <v>2</v>
      </c>
      <c r="P84" s="32">
        <f t="shared" ref="P84:T84" si="78">H84/A$110</f>
        <v>0.004934886909</v>
      </c>
      <c r="Q84" s="32">
        <f t="shared" si="78"/>
        <v>0.003650846333</v>
      </c>
      <c r="R84" s="32">
        <f t="shared" si="78"/>
        <v>0</v>
      </c>
      <c r="S84" s="32">
        <f t="shared" si="78"/>
        <v>0.005395683453</v>
      </c>
      <c r="T84" s="32">
        <f t="shared" si="78"/>
        <v>0.007012622721</v>
      </c>
    </row>
    <row r="85" ht="15.75" customHeight="1">
      <c r="A85" s="17">
        <f>$H$7</f>
        <v>31</v>
      </c>
      <c r="B85" s="17">
        <f>$I$7</f>
        <v>32</v>
      </c>
      <c r="C85" s="17">
        <f>$J$7</f>
        <v>41</v>
      </c>
      <c r="D85" s="17">
        <f>$K$7</f>
        <v>42</v>
      </c>
      <c r="E85" s="17">
        <f>$L$7</f>
        <v>5</v>
      </c>
      <c r="F85" s="23"/>
      <c r="G85" s="19">
        <f>$G$11</f>
        <v>3</v>
      </c>
      <c r="H85" s="38">
        <v>26.0</v>
      </c>
      <c r="I85" s="38">
        <v>14.0</v>
      </c>
      <c r="J85" s="38">
        <v>0.0</v>
      </c>
      <c r="K85" s="38">
        <v>1.0</v>
      </c>
      <c r="L85" s="38">
        <v>10.0</v>
      </c>
      <c r="N85" s="23"/>
      <c r="O85" s="31">
        <f>$G$11</f>
        <v>3</v>
      </c>
      <c r="P85" s="32">
        <f t="shared" ref="P85:T85" si="79">H85/A$110</f>
        <v>0.00356408499</v>
      </c>
      <c r="Q85" s="32">
        <f t="shared" si="79"/>
        <v>0.004646531696</v>
      </c>
      <c r="R85" s="32">
        <f t="shared" si="79"/>
        <v>0</v>
      </c>
      <c r="S85" s="32">
        <f t="shared" si="79"/>
        <v>0.001798561151</v>
      </c>
      <c r="T85" s="32">
        <f t="shared" si="79"/>
        <v>0.01402524544</v>
      </c>
    </row>
    <row r="86" ht="15.75" customHeight="1">
      <c r="A86" s="16" t="s">
        <v>40</v>
      </c>
      <c r="F86" s="23"/>
      <c r="G86" s="19">
        <f>$G$12</f>
        <v>4</v>
      </c>
      <c r="H86" s="38">
        <v>39.0</v>
      </c>
      <c r="I86" s="38">
        <v>18.0</v>
      </c>
      <c r="J86" s="38">
        <v>1.0</v>
      </c>
      <c r="K86" s="38">
        <v>7.0</v>
      </c>
      <c r="L86" s="38">
        <v>13.0</v>
      </c>
      <c r="N86" s="23"/>
      <c r="O86" s="31">
        <f>$G$12</f>
        <v>4</v>
      </c>
      <c r="P86" s="32">
        <f t="shared" ref="P86:T86" si="80">H86/A$110</f>
        <v>0.005346127485</v>
      </c>
      <c r="Q86" s="32">
        <f t="shared" si="80"/>
        <v>0.005974112181</v>
      </c>
      <c r="R86" s="32">
        <f t="shared" si="80"/>
        <v>0.01333333333</v>
      </c>
      <c r="S86" s="32">
        <f t="shared" si="80"/>
        <v>0.01258992806</v>
      </c>
      <c r="T86" s="32">
        <f t="shared" si="80"/>
        <v>0.01823281907</v>
      </c>
    </row>
    <row r="87" ht="15.75" customHeight="1">
      <c r="A87" s="16" t="s">
        <v>41</v>
      </c>
      <c r="F87" s="23"/>
      <c r="G87" s="19">
        <f>$G$13</f>
        <v>5</v>
      </c>
      <c r="H87" s="38">
        <v>93.0</v>
      </c>
      <c r="I87" s="38">
        <v>56.0</v>
      </c>
      <c r="J87" s="38">
        <v>2.0</v>
      </c>
      <c r="K87" s="38">
        <v>12.0</v>
      </c>
      <c r="L87" s="38">
        <v>29.0</v>
      </c>
      <c r="N87" s="23"/>
      <c r="O87" s="31">
        <f>$G$13</f>
        <v>5</v>
      </c>
      <c r="P87" s="32">
        <f t="shared" ref="P87:T87" si="81">H87/A$110</f>
        <v>0.01274845785</v>
      </c>
      <c r="Q87" s="32">
        <f t="shared" si="81"/>
        <v>0.01858612678</v>
      </c>
      <c r="R87" s="32">
        <f t="shared" si="81"/>
        <v>0.02666666667</v>
      </c>
      <c r="S87" s="32">
        <f t="shared" si="81"/>
        <v>0.02158273381</v>
      </c>
      <c r="T87" s="32">
        <f t="shared" si="81"/>
        <v>0.04067321178</v>
      </c>
    </row>
    <row r="88" ht="15.75" customHeight="1">
      <c r="A88" s="16" t="s">
        <v>42</v>
      </c>
      <c r="F88" s="23"/>
      <c r="G88" s="19">
        <f>$G$14</f>
        <v>6</v>
      </c>
      <c r="H88" s="38">
        <v>300.0</v>
      </c>
      <c r="I88" s="38">
        <v>168.0</v>
      </c>
      <c r="J88" s="38">
        <v>4.0</v>
      </c>
      <c r="K88" s="38">
        <v>13.0</v>
      </c>
      <c r="L88" s="38">
        <v>14.0</v>
      </c>
      <c r="N88" s="23"/>
      <c r="O88" s="31">
        <f>$G$14</f>
        <v>6</v>
      </c>
      <c r="P88" s="32">
        <f t="shared" ref="P88:T88" si="82">H88/A$110</f>
        <v>0.04112405757</v>
      </c>
      <c r="Q88" s="32">
        <f t="shared" si="82"/>
        <v>0.05575838035</v>
      </c>
      <c r="R88" s="32">
        <f t="shared" si="82"/>
        <v>0.05333333333</v>
      </c>
      <c r="S88" s="32">
        <f t="shared" si="82"/>
        <v>0.02338129496</v>
      </c>
      <c r="T88" s="32">
        <f t="shared" si="82"/>
        <v>0.01963534362</v>
      </c>
    </row>
    <row r="89" ht="15.75" customHeight="1">
      <c r="A89" s="16" t="s">
        <v>43</v>
      </c>
      <c r="F89" s="23"/>
      <c r="G89" s="19">
        <f>$G$15</f>
        <v>7</v>
      </c>
      <c r="H89" s="38">
        <v>428.0</v>
      </c>
      <c r="I89" s="38">
        <v>175.0</v>
      </c>
      <c r="J89" s="38">
        <v>1.0</v>
      </c>
      <c r="K89" s="38">
        <v>16.0</v>
      </c>
      <c r="L89" s="38">
        <v>35.0</v>
      </c>
      <c r="N89" s="23"/>
      <c r="O89" s="31">
        <f>$G$15</f>
        <v>7</v>
      </c>
      <c r="P89" s="32">
        <f t="shared" ref="P89:T89" si="83">H89/A$110</f>
        <v>0.05867032214</v>
      </c>
      <c r="Q89" s="32">
        <f t="shared" si="83"/>
        <v>0.0580816462</v>
      </c>
      <c r="R89" s="32">
        <f t="shared" si="83"/>
        <v>0.01333333333</v>
      </c>
      <c r="S89" s="32">
        <f t="shared" si="83"/>
        <v>0.02877697842</v>
      </c>
      <c r="T89" s="32">
        <f t="shared" si="83"/>
        <v>0.04908835905</v>
      </c>
    </row>
    <row r="90" ht="15.75" customHeight="1">
      <c r="A90" s="16" t="s">
        <v>44</v>
      </c>
      <c r="F90" s="23"/>
      <c r="G90" s="19">
        <f>$G$16</f>
        <v>8</v>
      </c>
      <c r="H90" s="38">
        <v>330.0</v>
      </c>
      <c r="I90" s="38">
        <v>142.0</v>
      </c>
      <c r="J90" s="38">
        <v>8.0</v>
      </c>
      <c r="K90" s="38">
        <v>34.0</v>
      </c>
      <c r="L90" s="38">
        <v>46.0</v>
      </c>
      <c r="N90" s="23"/>
      <c r="O90" s="31">
        <f>$G$16</f>
        <v>8</v>
      </c>
      <c r="P90" s="32">
        <f t="shared" ref="P90:T90" si="84">H90/A$110</f>
        <v>0.04523646333</v>
      </c>
      <c r="Q90" s="32">
        <f t="shared" si="84"/>
        <v>0.0471291072</v>
      </c>
      <c r="R90" s="32">
        <f t="shared" si="84"/>
        <v>0.1066666667</v>
      </c>
      <c r="S90" s="32">
        <f t="shared" si="84"/>
        <v>0.06115107914</v>
      </c>
      <c r="T90" s="32">
        <f t="shared" si="84"/>
        <v>0.06451612903</v>
      </c>
    </row>
    <row r="91" ht="15.75" customHeight="1">
      <c r="A91" s="16" t="s">
        <v>45</v>
      </c>
      <c r="F91" s="23"/>
      <c r="G91" s="19">
        <f>$G$17</f>
        <v>9</v>
      </c>
      <c r="H91" s="38">
        <v>375.0</v>
      </c>
      <c r="I91" s="38">
        <v>154.0</v>
      </c>
      <c r="J91" s="38">
        <v>3.0</v>
      </c>
      <c r="K91" s="38">
        <v>36.0</v>
      </c>
      <c r="L91" s="38">
        <v>53.0</v>
      </c>
      <c r="N91" s="23"/>
      <c r="O91" s="31">
        <f>$G$17</f>
        <v>9</v>
      </c>
      <c r="P91" s="32">
        <f t="shared" ref="P91:T91" si="85">H91/A$110</f>
        <v>0.05140507197</v>
      </c>
      <c r="Q91" s="32">
        <f t="shared" si="85"/>
        <v>0.05111184866</v>
      </c>
      <c r="R91" s="32">
        <f t="shared" si="85"/>
        <v>0.04</v>
      </c>
      <c r="S91" s="32">
        <f t="shared" si="85"/>
        <v>0.06474820144</v>
      </c>
      <c r="T91" s="32">
        <f t="shared" si="85"/>
        <v>0.07433380084</v>
      </c>
    </row>
    <row r="92" ht="15.75" customHeight="1">
      <c r="A92" s="16" t="s">
        <v>46</v>
      </c>
      <c r="F92" s="23"/>
      <c r="G92" s="19">
        <f>$G$18</f>
        <v>10</v>
      </c>
      <c r="H92" s="38">
        <v>389.0</v>
      </c>
      <c r="I92" s="38">
        <v>171.0</v>
      </c>
      <c r="J92" s="38">
        <v>1.0</v>
      </c>
      <c r="K92" s="38">
        <v>37.0</v>
      </c>
      <c r="L92" s="38">
        <v>53.0</v>
      </c>
      <c r="N92" s="23"/>
      <c r="O92" s="31">
        <f>$G$18</f>
        <v>10</v>
      </c>
      <c r="P92" s="32">
        <f t="shared" ref="P92:T92" si="86">H92/A$110</f>
        <v>0.05332419465</v>
      </c>
      <c r="Q92" s="32">
        <f t="shared" si="86"/>
        <v>0.05675406572</v>
      </c>
      <c r="R92" s="32">
        <f t="shared" si="86"/>
        <v>0.01333333333</v>
      </c>
      <c r="S92" s="32">
        <f t="shared" si="86"/>
        <v>0.06654676259</v>
      </c>
      <c r="T92" s="32">
        <f t="shared" si="86"/>
        <v>0.07433380084</v>
      </c>
    </row>
    <row r="93" ht="15.75" customHeight="1">
      <c r="A93" s="16" t="s">
        <v>47</v>
      </c>
      <c r="F93" s="23"/>
      <c r="G93" s="19">
        <f>$G$19</f>
        <v>11</v>
      </c>
      <c r="H93" s="38">
        <v>375.0</v>
      </c>
      <c r="I93" s="38">
        <v>176.0</v>
      </c>
      <c r="J93" s="38">
        <v>0.0</v>
      </c>
      <c r="K93" s="38">
        <v>41.0</v>
      </c>
      <c r="L93" s="38">
        <v>62.0</v>
      </c>
      <c r="N93" s="23"/>
      <c r="O93" s="31">
        <f>$G$19</f>
        <v>11</v>
      </c>
      <c r="P93" s="32">
        <f t="shared" ref="P93:T93" si="87">H93/A$110</f>
        <v>0.05140507197</v>
      </c>
      <c r="Q93" s="32">
        <f t="shared" si="87"/>
        <v>0.05841354132</v>
      </c>
      <c r="R93" s="32">
        <f t="shared" si="87"/>
        <v>0</v>
      </c>
      <c r="S93" s="32">
        <f t="shared" si="87"/>
        <v>0.07374100719</v>
      </c>
      <c r="T93" s="32">
        <f t="shared" si="87"/>
        <v>0.08695652174</v>
      </c>
    </row>
    <row r="94" ht="15.75" customHeight="1">
      <c r="A94" s="16" t="s">
        <v>48</v>
      </c>
      <c r="F94" s="23"/>
      <c r="G94" s="19">
        <f>$G$20</f>
        <v>12</v>
      </c>
      <c r="H94" s="38">
        <v>433.0</v>
      </c>
      <c r="I94" s="38">
        <v>188.0</v>
      </c>
      <c r="J94" s="38">
        <v>4.0</v>
      </c>
      <c r="K94" s="38">
        <v>40.0</v>
      </c>
      <c r="L94" s="38">
        <v>68.0</v>
      </c>
      <c r="N94" s="23"/>
      <c r="O94" s="31">
        <f>$G$20</f>
        <v>12</v>
      </c>
      <c r="P94" s="32">
        <f t="shared" ref="P94:T94" si="88">H94/A$110</f>
        <v>0.0593557231</v>
      </c>
      <c r="Q94" s="32">
        <f t="shared" si="88"/>
        <v>0.06239628277</v>
      </c>
      <c r="R94" s="32">
        <f t="shared" si="88"/>
        <v>0.05333333333</v>
      </c>
      <c r="S94" s="32">
        <f t="shared" si="88"/>
        <v>0.07194244604</v>
      </c>
      <c r="T94" s="32">
        <f t="shared" si="88"/>
        <v>0.095371669</v>
      </c>
    </row>
    <row r="95" ht="15.75" customHeight="1">
      <c r="A95" s="16" t="s">
        <v>49</v>
      </c>
      <c r="F95" s="23"/>
      <c r="G95" s="19">
        <f>$G$21</f>
        <v>13</v>
      </c>
      <c r="H95" s="38">
        <v>504.0</v>
      </c>
      <c r="I95" s="38">
        <v>220.0</v>
      </c>
      <c r="J95" s="38">
        <v>10.0</v>
      </c>
      <c r="K95" s="38">
        <v>48.0</v>
      </c>
      <c r="L95" s="38">
        <v>62.0</v>
      </c>
      <c r="N95" s="23"/>
      <c r="O95" s="31">
        <f>$G$21</f>
        <v>13</v>
      </c>
      <c r="P95" s="32">
        <f t="shared" ref="P95:T95" si="89">H95/A$110</f>
        <v>0.06908841672</v>
      </c>
      <c r="Q95" s="32">
        <f t="shared" si="89"/>
        <v>0.07301692665</v>
      </c>
      <c r="R95" s="32">
        <f t="shared" si="89"/>
        <v>0.1333333333</v>
      </c>
      <c r="S95" s="32">
        <f t="shared" si="89"/>
        <v>0.08633093525</v>
      </c>
      <c r="T95" s="32">
        <f t="shared" si="89"/>
        <v>0.08695652174</v>
      </c>
    </row>
    <row r="96" ht="15.75" customHeight="1">
      <c r="A96" s="16" t="s">
        <v>50</v>
      </c>
      <c r="F96" s="23"/>
      <c r="G96" s="19">
        <f>$G$22</f>
        <v>14</v>
      </c>
      <c r="H96" s="38">
        <v>520.0</v>
      </c>
      <c r="I96" s="38">
        <v>226.0</v>
      </c>
      <c r="J96" s="38">
        <v>8.0</v>
      </c>
      <c r="K96" s="38">
        <v>38.0</v>
      </c>
      <c r="L96" s="38">
        <v>51.0</v>
      </c>
      <c r="N96" s="23"/>
      <c r="O96" s="31">
        <f>$G$22</f>
        <v>14</v>
      </c>
      <c r="P96" s="32">
        <f t="shared" ref="P96:T96" si="90">H96/A$110</f>
        <v>0.07128169979</v>
      </c>
      <c r="Q96" s="32">
        <f t="shared" si="90"/>
        <v>0.07500829738</v>
      </c>
      <c r="R96" s="32">
        <f t="shared" si="90"/>
        <v>0.1066666667</v>
      </c>
      <c r="S96" s="32">
        <f t="shared" si="90"/>
        <v>0.06834532374</v>
      </c>
      <c r="T96" s="32">
        <f t="shared" si="90"/>
        <v>0.07152875175</v>
      </c>
    </row>
    <row r="97" ht="15.75" customHeight="1">
      <c r="A97" s="16" t="s">
        <v>51</v>
      </c>
      <c r="F97" s="23"/>
      <c r="G97" s="19">
        <f>$G$23</f>
        <v>15</v>
      </c>
      <c r="H97" s="38">
        <v>532.0</v>
      </c>
      <c r="I97" s="38">
        <v>250.0</v>
      </c>
      <c r="J97" s="38">
        <v>3.0</v>
      </c>
      <c r="K97" s="38">
        <v>52.0</v>
      </c>
      <c r="L97" s="38">
        <v>49.0</v>
      </c>
      <c r="N97" s="23"/>
      <c r="O97" s="31">
        <f>$G$23</f>
        <v>15</v>
      </c>
      <c r="P97" s="32">
        <f t="shared" ref="P97:T97" si="91">H97/A$110</f>
        <v>0.0729266621</v>
      </c>
      <c r="Q97" s="32">
        <f t="shared" si="91"/>
        <v>0.08297378029</v>
      </c>
      <c r="R97" s="32">
        <f t="shared" si="91"/>
        <v>0.04</v>
      </c>
      <c r="S97" s="32">
        <f t="shared" si="91"/>
        <v>0.09352517986</v>
      </c>
      <c r="T97" s="32">
        <f t="shared" si="91"/>
        <v>0.06872370266</v>
      </c>
    </row>
    <row r="98" ht="15.75" customHeight="1">
      <c r="A98" s="16" t="s">
        <v>52</v>
      </c>
      <c r="F98" s="23"/>
      <c r="G98" s="19">
        <f>$G$24</f>
        <v>16</v>
      </c>
      <c r="H98" s="38">
        <v>615.0</v>
      </c>
      <c r="I98" s="38">
        <v>268.0</v>
      </c>
      <c r="J98" s="38">
        <v>5.0</v>
      </c>
      <c r="K98" s="38">
        <v>47.0</v>
      </c>
      <c r="L98" s="38">
        <v>46.0</v>
      </c>
      <c r="N98" s="23"/>
      <c r="O98" s="31">
        <f>$G$24</f>
        <v>16</v>
      </c>
      <c r="P98" s="32">
        <f t="shared" ref="P98:T98" si="92">H98/A$110</f>
        <v>0.08430431803</v>
      </c>
      <c r="Q98" s="32">
        <f t="shared" si="92"/>
        <v>0.08894789247</v>
      </c>
      <c r="R98" s="32">
        <f t="shared" si="92"/>
        <v>0.06666666667</v>
      </c>
      <c r="S98" s="32">
        <f t="shared" si="92"/>
        <v>0.0845323741</v>
      </c>
      <c r="T98" s="32">
        <f t="shared" si="92"/>
        <v>0.06451612903</v>
      </c>
    </row>
    <row r="99" ht="15.75" customHeight="1">
      <c r="A99" s="16" t="s">
        <v>53</v>
      </c>
      <c r="F99" s="23"/>
      <c r="G99" s="19">
        <f>$G$25</f>
        <v>17</v>
      </c>
      <c r="H99" s="38">
        <v>619.0</v>
      </c>
      <c r="I99" s="38">
        <v>235.0</v>
      </c>
      <c r="J99" s="38">
        <v>13.0</v>
      </c>
      <c r="K99" s="38">
        <v>29.0</v>
      </c>
      <c r="L99" s="38">
        <v>20.0</v>
      </c>
      <c r="N99" s="23"/>
      <c r="O99" s="31">
        <f>$G$25</f>
        <v>17</v>
      </c>
      <c r="P99" s="32">
        <f t="shared" ref="P99:T99" si="93">H99/A$110</f>
        <v>0.08485263879</v>
      </c>
      <c r="Q99" s="32">
        <f t="shared" si="93"/>
        <v>0.07799535347</v>
      </c>
      <c r="R99" s="32">
        <f t="shared" si="93"/>
        <v>0.1733333333</v>
      </c>
      <c r="S99" s="32">
        <f t="shared" si="93"/>
        <v>0.05215827338</v>
      </c>
      <c r="T99" s="32">
        <f t="shared" si="93"/>
        <v>0.02805049088</v>
      </c>
    </row>
    <row r="100" ht="15.75" customHeight="1">
      <c r="A100" s="16" t="s">
        <v>54</v>
      </c>
      <c r="F100" s="23"/>
      <c r="G100" s="19">
        <f>$G$26</f>
        <v>18</v>
      </c>
      <c r="H100" s="38">
        <v>513.0</v>
      </c>
      <c r="I100" s="38">
        <v>159.0</v>
      </c>
      <c r="J100" s="38">
        <v>4.0</v>
      </c>
      <c r="K100" s="38">
        <v>29.0</v>
      </c>
      <c r="L100" s="38">
        <v>20.0</v>
      </c>
      <c r="N100" s="23"/>
      <c r="O100" s="31">
        <f>$G$26</f>
        <v>18</v>
      </c>
      <c r="P100" s="32">
        <f t="shared" ref="P100:T100" si="94">H100/A$110</f>
        <v>0.07032213845</v>
      </c>
      <c r="Q100" s="32">
        <f t="shared" si="94"/>
        <v>0.05277132426</v>
      </c>
      <c r="R100" s="32">
        <f t="shared" si="94"/>
        <v>0.05333333333</v>
      </c>
      <c r="S100" s="32">
        <f t="shared" si="94"/>
        <v>0.05215827338</v>
      </c>
      <c r="T100" s="32">
        <f t="shared" si="94"/>
        <v>0.02805049088</v>
      </c>
    </row>
    <row r="101" ht="15.75" customHeight="1">
      <c r="A101" s="16" t="s">
        <v>55</v>
      </c>
      <c r="F101" s="23"/>
      <c r="G101" s="19">
        <f>$G$27</f>
        <v>19</v>
      </c>
      <c r="H101" s="38">
        <v>337.0</v>
      </c>
      <c r="I101" s="38">
        <v>107.0</v>
      </c>
      <c r="J101" s="38">
        <v>4.0</v>
      </c>
      <c r="K101" s="38">
        <v>22.0</v>
      </c>
      <c r="L101" s="38">
        <v>17.0</v>
      </c>
      <c r="N101" s="23"/>
      <c r="O101" s="31">
        <f>$G$27</f>
        <v>19</v>
      </c>
      <c r="P101" s="32">
        <f t="shared" ref="P101:T101" si="95">H101/A$110</f>
        <v>0.04619602467</v>
      </c>
      <c r="Q101" s="32">
        <f t="shared" si="95"/>
        <v>0.03551277796</v>
      </c>
      <c r="R101" s="32">
        <f t="shared" si="95"/>
        <v>0.05333333333</v>
      </c>
      <c r="S101" s="32">
        <f t="shared" si="95"/>
        <v>0.03956834532</v>
      </c>
      <c r="T101" s="32">
        <f t="shared" si="95"/>
        <v>0.02384291725</v>
      </c>
    </row>
    <row r="102" ht="15.75" customHeight="1">
      <c r="A102" s="16" t="s">
        <v>56</v>
      </c>
      <c r="F102" s="23"/>
      <c r="G102" s="19">
        <f>$G$28</f>
        <v>20</v>
      </c>
      <c r="H102" s="38">
        <v>255.0</v>
      </c>
      <c r="I102" s="38">
        <v>93.0</v>
      </c>
      <c r="J102" s="38">
        <v>1.0</v>
      </c>
      <c r="K102" s="38">
        <v>18.0</v>
      </c>
      <c r="L102" s="38">
        <v>12.0</v>
      </c>
      <c r="N102" s="23"/>
      <c r="O102" s="31">
        <f>$G$28</f>
        <v>20</v>
      </c>
      <c r="P102" s="32">
        <f t="shared" ref="P102:T102" si="96">H102/A$110</f>
        <v>0.03495544894</v>
      </c>
      <c r="Q102" s="32">
        <f t="shared" si="96"/>
        <v>0.03086624627</v>
      </c>
      <c r="R102" s="32">
        <f t="shared" si="96"/>
        <v>0.01333333333</v>
      </c>
      <c r="S102" s="32">
        <f t="shared" si="96"/>
        <v>0.03237410072</v>
      </c>
      <c r="T102" s="32">
        <f t="shared" si="96"/>
        <v>0.01683029453</v>
      </c>
    </row>
    <row r="103" ht="15.75" customHeight="1">
      <c r="A103" s="16" t="s">
        <v>57</v>
      </c>
      <c r="F103" s="23"/>
      <c r="G103" s="19">
        <f>$G$29</f>
        <v>21</v>
      </c>
      <c r="H103" s="38">
        <v>183.0</v>
      </c>
      <c r="I103" s="38">
        <v>60.0</v>
      </c>
      <c r="J103" s="38">
        <v>0.0</v>
      </c>
      <c r="K103" s="38">
        <v>12.0</v>
      </c>
      <c r="L103" s="38">
        <v>16.0</v>
      </c>
      <c r="N103" s="23"/>
      <c r="O103" s="31">
        <f>$G$29</f>
        <v>21</v>
      </c>
      <c r="P103" s="32">
        <f t="shared" ref="P103:T103" si="97">H103/A$110</f>
        <v>0.02508567512</v>
      </c>
      <c r="Q103" s="32">
        <f t="shared" si="97"/>
        <v>0.01991370727</v>
      </c>
      <c r="R103" s="32">
        <f t="shared" si="97"/>
        <v>0</v>
      </c>
      <c r="S103" s="32">
        <f t="shared" si="97"/>
        <v>0.02158273381</v>
      </c>
      <c r="T103" s="32">
        <f t="shared" si="97"/>
        <v>0.02244039271</v>
      </c>
    </row>
    <row r="104" ht="15.75" customHeight="1">
      <c r="A104" s="16" t="s">
        <v>58</v>
      </c>
      <c r="F104" s="23"/>
      <c r="G104" s="19">
        <f>$G$30</f>
        <v>22</v>
      </c>
      <c r="H104" s="38">
        <v>127.0</v>
      </c>
      <c r="I104" s="38">
        <v>40.0</v>
      </c>
      <c r="J104" s="38">
        <v>0.0</v>
      </c>
      <c r="K104" s="38">
        <v>5.0</v>
      </c>
      <c r="L104" s="38">
        <v>7.0</v>
      </c>
      <c r="N104" s="23"/>
      <c r="O104" s="31">
        <f>$G$30</f>
        <v>22</v>
      </c>
      <c r="P104" s="32">
        <f t="shared" ref="P104:T104" si="98">H104/A$110</f>
        <v>0.01740918437</v>
      </c>
      <c r="Q104" s="32">
        <f t="shared" si="98"/>
        <v>0.01327580485</v>
      </c>
      <c r="R104" s="32">
        <f t="shared" si="98"/>
        <v>0</v>
      </c>
      <c r="S104" s="32">
        <f t="shared" si="98"/>
        <v>0.008992805755</v>
      </c>
      <c r="T104" s="32">
        <f t="shared" si="98"/>
        <v>0.009817671809</v>
      </c>
    </row>
    <row r="105" ht="15.75" customHeight="1">
      <c r="A105" s="16" t="s">
        <v>59</v>
      </c>
      <c r="F105" s="27"/>
      <c r="G105" s="19">
        <f>$G$31</f>
        <v>23</v>
      </c>
      <c r="H105" s="38">
        <v>97.0</v>
      </c>
      <c r="I105" s="38">
        <v>36.0</v>
      </c>
      <c r="J105" s="38">
        <v>0.0</v>
      </c>
      <c r="K105" s="38">
        <v>8.0</v>
      </c>
      <c r="L105" s="38">
        <v>11.0</v>
      </c>
      <c r="N105" s="27"/>
      <c r="O105" s="31">
        <f>$G$31</f>
        <v>23</v>
      </c>
      <c r="P105" s="32">
        <f t="shared" ref="P105:T105" si="99">H105/A$110</f>
        <v>0.01329677862</v>
      </c>
      <c r="Q105" s="32">
        <f t="shared" si="99"/>
        <v>0.01194822436</v>
      </c>
      <c r="R105" s="32">
        <f t="shared" si="99"/>
        <v>0</v>
      </c>
      <c r="S105" s="32">
        <f t="shared" si="99"/>
        <v>0.01438848921</v>
      </c>
      <c r="T105" s="32">
        <f t="shared" si="99"/>
        <v>0.01542776999</v>
      </c>
    </row>
    <row r="106" ht="15.75" customHeight="1">
      <c r="A106" s="16" t="s">
        <v>60</v>
      </c>
      <c r="F106" s="56">
        <v>45211.0</v>
      </c>
      <c r="G106" s="19">
        <f>$G$8</f>
        <v>0</v>
      </c>
      <c r="H106" s="38">
        <v>56.0</v>
      </c>
      <c r="I106" s="38">
        <v>12.0</v>
      </c>
      <c r="J106" s="38">
        <v>1.0</v>
      </c>
      <c r="K106" s="38">
        <v>2.0</v>
      </c>
      <c r="L106" s="38">
        <v>4.0</v>
      </c>
      <c r="N106" s="58">
        <v>45211.0</v>
      </c>
      <c r="O106" s="31">
        <f>$G$8</f>
        <v>0</v>
      </c>
      <c r="P106" s="32">
        <f t="shared" ref="P106:T106" si="100">H106/A$133</f>
        <v>0.007989727493</v>
      </c>
      <c r="Q106" s="32">
        <f t="shared" si="100"/>
        <v>0.003972194638</v>
      </c>
      <c r="R106" s="32">
        <f t="shared" si="100"/>
        <v>0.009345794393</v>
      </c>
      <c r="S106" s="32">
        <f t="shared" si="100"/>
        <v>0.003412969283</v>
      </c>
      <c r="T106" s="32">
        <f t="shared" si="100"/>
        <v>0.005095541401</v>
      </c>
    </row>
    <row r="107" ht="15.75" customHeight="1">
      <c r="A107" s="16" t="s">
        <v>61</v>
      </c>
      <c r="F107" s="23"/>
      <c r="G107" s="19">
        <f>$G$9</f>
        <v>1</v>
      </c>
      <c r="H107" s="38">
        <v>50.0</v>
      </c>
      <c r="I107" s="38">
        <v>13.0</v>
      </c>
      <c r="J107" s="38">
        <v>0.0</v>
      </c>
      <c r="K107" s="38">
        <v>3.0</v>
      </c>
      <c r="L107" s="38">
        <v>4.0</v>
      </c>
      <c r="N107" s="23"/>
      <c r="O107" s="31">
        <f>$G$9</f>
        <v>1</v>
      </c>
      <c r="P107" s="32">
        <f t="shared" ref="P107:T107" si="101">H107/A$133</f>
        <v>0.007133685262</v>
      </c>
      <c r="Q107" s="32">
        <f t="shared" si="101"/>
        <v>0.004303210857</v>
      </c>
      <c r="R107" s="32">
        <f t="shared" si="101"/>
        <v>0</v>
      </c>
      <c r="S107" s="32">
        <f t="shared" si="101"/>
        <v>0.005119453925</v>
      </c>
      <c r="T107" s="32">
        <f t="shared" si="101"/>
        <v>0.005095541401</v>
      </c>
    </row>
    <row r="108" ht="15.75" customHeight="1">
      <c r="A108" s="16" t="s">
        <v>62</v>
      </c>
      <c r="F108" s="23"/>
      <c r="G108" s="19">
        <f>$G$10</f>
        <v>2</v>
      </c>
      <c r="H108" s="38">
        <v>19.0</v>
      </c>
      <c r="I108" s="38">
        <v>14.0</v>
      </c>
      <c r="J108" s="38">
        <v>0.0</v>
      </c>
      <c r="K108" s="38">
        <v>5.0</v>
      </c>
      <c r="L108" s="38">
        <v>6.0</v>
      </c>
      <c r="N108" s="23"/>
      <c r="O108" s="31">
        <f>$G$10</f>
        <v>2</v>
      </c>
      <c r="P108" s="32">
        <f t="shared" ref="P108:T108" si="102">H108/A$133</f>
        <v>0.002710800399</v>
      </c>
      <c r="Q108" s="32">
        <f t="shared" si="102"/>
        <v>0.004634227077</v>
      </c>
      <c r="R108" s="32">
        <f t="shared" si="102"/>
        <v>0</v>
      </c>
      <c r="S108" s="32">
        <f t="shared" si="102"/>
        <v>0.008532423208</v>
      </c>
      <c r="T108" s="32">
        <f t="shared" si="102"/>
        <v>0.007643312102</v>
      </c>
    </row>
    <row r="109" ht="15.75" customHeight="1">
      <c r="A109" s="16" t="s">
        <v>63</v>
      </c>
      <c r="F109" s="23"/>
      <c r="G109" s="19">
        <f>$G$11</f>
        <v>3</v>
      </c>
      <c r="H109" s="38">
        <v>24.0</v>
      </c>
      <c r="I109" s="38">
        <v>10.0</v>
      </c>
      <c r="J109" s="38">
        <v>0.0</v>
      </c>
      <c r="K109" s="38">
        <v>2.0</v>
      </c>
      <c r="L109" s="38">
        <v>15.0</v>
      </c>
      <c r="N109" s="23"/>
      <c r="O109" s="31">
        <f>$G$11</f>
        <v>3</v>
      </c>
      <c r="P109" s="32">
        <f t="shared" ref="P109:T109" si="103">H109/A$133</f>
        <v>0.003424168926</v>
      </c>
      <c r="Q109" s="32">
        <f t="shared" si="103"/>
        <v>0.003310162198</v>
      </c>
      <c r="R109" s="32">
        <f t="shared" si="103"/>
        <v>0</v>
      </c>
      <c r="S109" s="32">
        <f t="shared" si="103"/>
        <v>0.003412969283</v>
      </c>
      <c r="T109" s="32">
        <f t="shared" si="103"/>
        <v>0.01910828025</v>
      </c>
    </row>
    <row r="110" ht="15.75" customHeight="1">
      <c r="A110" s="26">
        <f t="shared" ref="A110:E110" si="104">SUM(H82:H105)</f>
        <v>7295</v>
      </c>
      <c r="B110" s="26">
        <f t="shared" si="104"/>
        <v>3013</v>
      </c>
      <c r="C110" s="26">
        <f t="shared" si="104"/>
        <v>75</v>
      </c>
      <c r="D110" s="26">
        <f t="shared" si="104"/>
        <v>556</v>
      </c>
      <c r="E110" s="26">
        <f t="shared" si="104"/>
        <v>713</v>
      </c>
      <c r="F110" s="23"/>
      <c r="G110" s="19">
        <f>$G$12</f>
        <v>4</v>
      </c>
      <c r="H110" s="38">
        <v>44.0</v>
      </c>
      <c r="I110" s="38">
        <v>17.0</v>
      </c>
      <c r="J110" s="38">
        <v>0.0</v>
      </c>
      <c r="K110" s="38">
        <v>12.0</v>
      </c>
      <c r="L110" s="38">
        <v>15.0</v>
      </c>
      <c r="N110" s="23"/>
      <c r="O110" s="31">
        <f>$G$12</f>
        <v>4</v>
      </c>
      <c r="P110" s="32">
        <f t="shared" ref="P110:T110" si="105">H110/A$133</f>
        <v>0.00627764303</v>
      </c>
      <c r="Q110" s="32">
        <f t="shared" si="105"/>
        <v>0.005627275737</v>
      </c>
      <c r="R110" s="32">
        <f t="shared" si="105"/>
        <v>0</v>
      </c>
      <c r="S110" s="32">
        <f t="shared" si="105"/>
        <v>0.0204778157</v>
      </c>
      <c r="T110" s="32">
        <f t="shared" si="105"/>
        <v>0.01910828025</v>
      </c>
    </row>
    <row r="111" ht="15.75" customHeight="1">
      <c r="A111" s="17">
        <f>$H$7</f>
        <v>31</v>
      </c>
      <c r="B111" s="17">
        <f>$I$7</f>
        <v>32</v>
      </c>
      <c r="C111" s="17">
        <f>$J$7</f>
        <v>41</v>
      </c>
      <c r="D111" s="17">
        <f>$K$7</f>
        <v>42</v>
      </c>
      <c r="E111" s="17">
        <f>$L$7</f>
        <v>5</v>
      </c>
      <c r="F111" s="23"/>
      <c r="G111" s="19">
        <f>$G$13</f>
        <v>5</v>
      </c>
      <c r="H111" s="38">
        <v>84.0</v>
      </c>
      <c r="I111" s="38">
        <v>39.0</v>
      </c>
      <c r="J111" s="38">
        <v>0.0</v>
      </c>
      <c r="K111" s="38">
        <v>5.0</v>
      </c>
      <c r="L111" s="38">
        <v>26.0</v>
      </c>
      <c r="N111" s="23"/>
      <c r="O111" s="31">
        <f>$G$13</f>
        <v>5</v>
      </c>
      <c r="P111" s="32">
        <f t="shared" ref="P111:T111" si="106">H111/A$133</f>
        <v>0.01198459124</v>
      </c>
      <c r="Q111" s="32">
        <f t="shared" si="106"/>
        <v>0.01290963257</v>
      </c>
      <c r="R111" s="32">
        <f t="shared" si="106"/>
        <v>0</v>
      </c>
      <c r="S111" s="32">
        <f t="shared" si="106"/>
        <v>0.008532423208</v>
      </c>
      <c r="T111" s="32">
        <f t="shared" si="106"/>
        <v>0.03312101911</v>
      </c>
    </row>
    <row r="112" ht="15.75" customHeight="1">
      <c r="F112" s="23"/>
      <c r="G112" s="19">
        <f>$G$14</f>
        <v>6</v>
      </c>
      <c r="H112" s="38">
        <v>267.0</v>
      </c>
      <c r="I112" s="38">
        <v>157.0</v>
      </c>
      <c r="J112" s="38">
        <v>3.0</v>
      </c>
      <c r="K112" s="38">
        <v>23.0</v>
      </c>
      <c r="L112" s="38">
        <v>26.0</v>
      </c>
      <c r="N112" s="23"/>
      <c r="O112" s="31">
        <f>$G$14</f>
        <v>6</v>
      </c>
      <c r="P112" s="32">
        <f t="shared" ref="P112:T112" si="107">H112/A$133</f>
        <v>0.0380938793</v>
      </c>
      <c r="Q112" s="32">
        <f t="shared" si="107"/>
        <v>0.05196954651</v>
      </c>
      <c r="R112" s="32">
        <f t="shared" si="107"/>
        <v>0.02803738318</v>
      </c>
      <c r="S112" s="32">
        <f t="shared" si="107"/>
        <v>0.03924914676</v>
      </c>
      <c r="T112" s="32">
        <f t="shared" si="107"/>
        <v>0.03312101911</v>
      </c>
    </row>
    <row r="113" ht="15.75" customHeight="1">
      <c r="F113" s="23"/>
      <c r="G113" s="19">
        <f>$G$15</f>
        <v>7</v>
      </c>
      <c r="H113" s="38">
        <v>399.0</v>
      </c>
      <c r="I113" s="38">
        <v>160.0</v>
      </c>
      <c r="J113" s="38">
        <v>2.0</v>
      </c>
      <c r="K113" s="38">
        <v>19.0</v>
      </c>
      <c r="L113" s="38">
        <v>39.0</v>
      </c>
      <c r="N113" s="23"/>
      <c r="O113" s="31">
        <f>$G$15</f>
        <v>7</v>
      </c>
      <c r="P113" s="32">
        <f t="shared" ref="P113:T113" si="108">H113/A$133</f>
        <v>0.05692680839</v>
      </c>
      <c r="Q113" s="32">
        <f t="shared" si="108"/>
        <v>0.05296259517</v>
      </c>
      <c r="R113" s="32">
        <f t="shared" si="108"/>
        <v>0.01869158879</v>
      </c>
      <c r="S113" s="32">
        <f t="shared" si="108"/>
        <v>0.03242320819</v>
      </c>
      <c r="T113" s="32">
        <f t="shared" si="108"/>
        <v>0.04968152866</v>
      </c>
    </row>
    <row r="114" ht="15.75" customHeight="1">
      <c r="F114" s="23"/>
      <c r="G114" s="19">
        <f>$G$16</f>
        <v>8</v>
      </c>
      <c r="H114" s="38">
        <v>363.0</v>
      </c>
      <c r="I114" s="38">
        <v>136.0</v>
      </c>
      <c r="J114" s="38">
        <v>7.0</v>
      </c>
      <c r="K114" s="38">
        <v>29.0</v>
      </c>
      <c r="L114" s="38">
        <v>59.0</v>
      </c>
      <c r="N114" s="23"/>
      <c r="O114" s="31">
        <f>$G$16</f>
        <v>8</v>
      </c>
      <c r="P114" s="32">
        <f t="shared" ref="P114:T114" si="109">H114/A$133</f>
        <v>0.051790555</v>
      </c>
      <c r="Q114" s="32">
        <f t="shared" si="109"/>
        <v>0.04501820589</v>
      </c>
      <c r="R114" s="32">
        <f t="shared" si="109"/>
        <v>0.06542056075</v>
      </c>
      <c r="S114" s="32">
        <f t="shared" si="109"/>
        <v>0.04948805461</v>
      </c>
      <c r="T114" s="32">
        <f t="shared" si="109"/>
        <v>0.07515923567</v>
      </c>
    </row>
    <row r="115" ht="15.75" customHeight="1">
      <c r="F115" s="23"/>
      <c r="G115" s="19">
        <f>$G$17</f>
        <v>9</v>
      </c>
      <c r="H115" s="38">
        <v>305.0</v>
      </c>
      <c r="I115" s="38">
        <v>143.0</v>
      </c>
      <c r="J115" s="38">
        <v>12.0</v>
      </c>
      <c r="K115" s="38">
        <v>34.0</v>
      </c>
      <c r="L115" s="38">
        <v>64.0</v>
      </c>
      <c r="N115" s="23"/>
      <c r="O115" s="31">
        <f>$G$17</f>
        <v>9</v>
      </c>
      <c r="P115" s="32">
        <f t="shared" ref="P115:T115" si="110">H115/A$133</f>
        <v>0.0435154801</v>
      </c>
      <c r="Q115" s="32">
        <f t="shared" si="110"/>
        <v>0.04733531943</v>
      </c>
      <c r="R115" s="32">
        <f t="shared" si="110"/>
        <v>0.1121495327</v>
      </c>
      <c r="S115" s="32">
        <f t="shared" si="110"/>
        <v>0.05802047782</v>
      </c>
      <c r="T115" s="32">
        <f t="shared" si="110"/>
        <v>0.08152866242</v>
      </c>
    </row>
    <row r="116" ht="15.75" customHeight="1">
      <c r="F116" s="23"/>
      <c r="G116" s="19">
        <f>$G$18</f>
        <v>10</v>
      </c>
      <c r="H116" s="38">
        <v>336.0</v>
      </c>
      <c r="I116" s="38">
        <v>155.0</v>
      </c>
      <c r="J116" s="38">
        <v>7.0</v>
      </c>
      <c r="K116" s="38">
        <v>43.0</v>
      </c>
      <c r="L116" s="38">
        <v>68.0</v>
      </c>
      <c r="N116" s="23"/>
      <c r="O116" s="31">
        <f>$G$18</f>
        <v>10</v>
      </c>
      <c r="P116" s="32">
        <f t="shared" ref="P116:T116" si="111">H116/A$133</f>
        <v>0.04793836496</v>
      </c>
      <c r="Q116" s="32">
        <f t="shared" si="111"/>
        <v>0.05130751407</v>
      </c>
      <c r="R116" s="32">
        <f t="shared" si="111"/>
        <v>0.06542056075</v>
      </c>
      <c r="S116" s="32">
        <f t="shared" si="111"/>
        <v>0.07337883959</v>
      </c>
      <c r="T116" s="32">
        <f t="shared" si="111"/>
        <v>0.08662420382</v>
      </c>
    </row>
    <row r="117" ht="15.75" customHeight="1">
      <c r="F117" s="23"/>
      <c r="G117" s="19">
        <f>$G$19</f>
        <v>11</v>
      </c>
      <c r="H117" s="38">
        <v>344.0</v>
      </c>
      <c r="I117" s="38">
        <v>181.0</v>
      </c>
      <c r="J117" s="38">
        <v>5.0</v>
      </c>
      <c r="K117" s="38">
        <v>36.0</v>
      </c>
      <c r="L117" s="38">
        <v>76.0</v>
      </c>
      <c r="N117" s="23"/>
      <c r="O117" s="31">
        <f>$G$19</f>
        <v>11</v>
      </c>
      <c r="P117" s="32">
        <f t="shared" ref="P117:T117" si="112">H117/A$133</f>
        <v>0.0490797546</v>
      </c>
      <c r="Q117" s="32">
        <f t="shared" si="112"/>
        <v>0.05991393578</v>
      </c>
      <c r="R117" s="32">
        <f t="shared" si="112"/>
        <v>0.04672897196</v>
      </c>
      <c r="S117" s="32">
        <f t="shared" si="112"/>
        <v>0.0614334471</v>
      </c>
      <c r="T117" s="32">
        <f t="shared" si="112"/>
        <v>0.09681528662</v>
      </c>
    </row>
    <row r="118" ht="15.75" customHeight="1">
      <c r="F118" s="23"/>
      <c r="G118" s="19">
        <f>$G$20</f>
        <v>12</v>
      </c>
      <c r="H118" s="38">
        <v>418.0</v>
      </c>
      <c r="I118" s="38">
        <v>165.0</v>
      </c>
      <c r="J118" s="38">
        <v>6.0</v>
      </c>
      <c r="K118" s="38">
        <v>42.0</v>
      </c>
      <c r="L118" s="38">
        <v>53.0</v>
      </c>
      <c r="N118" s="23"/>
      <c r="O118" s="31">
        <f>$G$20</f>
        <v>12</v>
      </c>
      <c r="P118" s="32">
        <f t="shared" ref="P118:T118" si="113">H118/A$133</f>
        <v>0.05963760879</v>
      </c>
      <c r="Q118" s="32">
        <f t="shared" si="113"/>
        <v>0.05461767627</v>
      </c>
      <c r="R118" s="32">
        <f t="shared" si="113"/>
        <v>0.05607476636</v>
      </c>
      <c r="S118" s="32">
        <f t="shared" si="113"/>
        <v>0.07167235495</v>
      </c>
      <c r="T118" s="32">
        <f t="shared" si="113"/>
        <v>0.06751592357</v>
      </c>
    </row>
    <row r="119" ht="15.75" customHeight="1">
      <c r="F119" s="23"/>
      <c r="G119" s="19">
        <f>$G$21</f>
        <v>13</v>
      </c>
      <c r="H119" s="38">
        <v>417.0</v>
      </c>
      <c r="I119" s="38">
        <v>183.0</v>
      </c>
      <c r="J119" s="38">
        <v>9.0</v>
      </c>
      <c r="K119" s="38">
        <v>37.0</v>
      </c>
      <c r="L119" s="38">
        <v>47.0</v>
      </c>
      <c r="N119" s="23"/>
      <c r="O119" s="31">
        <f>$G$21</f>
        <v>13</v>
      </c>
      <c r="P119" s="32">
        <f t="shared" ref="P119:T119" si="114">H119/A$133</f>
        <v>0.05949493508</v>
      </c>
      <c r="Q119" s="32">
        <f t="shared" si="114"/>
        <v>0.06057596822</v>
      </c>
      <c r="R119" s="32">
        <f t="shared" si="114"/>
        <v>0.08411214953</v>
      </c>
      <c r="S119" s="32">
        <f t="shared" si="114"/>
        <v>0.06313993174</v>
      </c>
      <c r="T119" s="32">
        <f t="shared" si="114"/>
        <v>0.05987261146</v>
      </c>
    </row>
    <row r="120" ht="15.75" customHeight="1">
      <c r="F120" s="23"/>
      <c r="G120" s="19">
        <f>$G$22</f>
        <v>14</v>
      </c>
      <c r="H120" s="38">
        <v>496.0</v>
      </c>
      <c r="I120" s="38">
        <v>215.0</v>
      </c>
      <c r="J120" s="38">
        <v>5.0</v>
      </c>
      <c r="K120" s="38">
        <v>68.0</v>
      </c>
      <c r="L120" s="38">
        <v>63.0</v>
      </c>
      <c r="N120" s="23"/>
      <c r="O120" s="31">
        <f>$G$22</f>
        <v>14</v>
      </c>
      <c r="P120" s="32">
        <f t="shared" ref="P120:T120" si="115">H120/A$133</f>
        <v>0.0707661578</v>
      </c>
      <c r="Q120" s="32">
        <f t="shared" si="115"/>
        <v>0.07116848726</v>
      </c>
      <c r="R120" s="32">
        <f t="shared" si="115"/>
        <v>0.04672897196</v>
      </c>
      <c r="S120" s="32">
        <f t="shared" si="115"/>
        <v>0.1160409556</v>
      </c>
      <c r="T120" s="32">
        <f t="shared" si="115"/>
        <v>0.08025477707</v>
      </c>
    </row>
    <row r="121" ht="15.75" customHeight="1">
      <c r="F121" s="23"/>
      <c r="G121" s="19">
        <f>$G$23</f>
        <v>15</v>
      </c>
      <c r="H121" s="38">
        <v>545.0</v>
      </c>
      <c r="I121" s="38">
        <v>275.0</v>
      </c>
      <c r="J121" s="38">
        <v>10.0</v>
      </c>
      <c r="K121" s="38">
        <v>50.0</v>
      </c>
      <c r="L121" s="38">
        <v>59.0</v>
      </c>
      <c r="N121" s="23"/>
      <c r="O121" s="31">
        <f>$G$23</f>
        <v>15</v>
      </c>
      <c r="P121" s="32">
        <f t="shared" ref="P121:T121" si="116">H121/A$133</f>
        <v>0.07775716935</v>
      </c>
      <c r="Q121" s="32">
        <f t="shared" si="116"/>
        <v>0.09102946044</v>
      </c>
      <c r="R121" s="32">
        <f t="shared" si="116"/>
        <v>0.09345794393</v>
      </c>
      <c r="S121" s="32">
        <f t="shared" si="116"/>
        <v>0.08532423208</v>
      </c>
      <c r="T121" s="32">
        <f t="shared" si="116"/>
        <v>0.07515923567</v>
      </c>
    </row>
    <row r="122" ht="15.75" customHeight="1">
      <c r="F122" s="23"/>
      <c r="G122" s="19">
        <f>$G$24</f>
        <v>16</v>
      </c>
      <c r="H122" s="38">
        <v>643.0</v>
      </c>
      <c r="I122" s="38">
        <v>303.0</v>
      </c>
      <c r="J122" s="38">
        <v>10.0</v>
      </c>
      <c r="K122" s="38">
        <v>38.0</v>
      </c>
      <c r="L122" s="38">
        <v>55.0</v>
      </c>
      <c r="N122" s="23"/>
      <c r="O122" s="31">
        <f>$G$24</f>
        <v>16</v>
      </c>
      <c r="P122" s="32">
        <f t="shared" ref="P122:T122" si="117">H122/A$133</f>
        <v>0.09173919247</v>
      </c>
      <c r="Q122" s="32">
        <f t="shared" si="117"/>
        <v>0.1002979146</v>
      </c>
      <c r="R122" s="32">
        <f t="shared" si="117"/>
        <v>0.09345794393</v>
      </c>
      <c r="S122" s="32">
        <f t="shared" si="117"/>
        <v>0.06484641638</v>
      </c>
      <c r="T122" s="32">
        <f t="shared" si="117"/>
        <v>0.07006369427</v>
      </c>
    </row>
    <row r="123" ht="15.75" customHeight="1">
      <c r="F123" s="23"/>
      <c r="G123" s="19">
        <f>$G$25</f>
        <v>17</v>
      </c>
      <c r="H123" s="38">
        <v>687.0</v>
      </c>
      <c r="I123" s="38">
        <v>304.0</v>
      </c>
      <c r="J123" s="38">
        <v>14.0</v>
      </c>
      <c r="K123" s="38">
        <v>42.0</v>
      </c>
      <c r="L123" s="38">
        <v>31.0</v>
      </c>
      <c r="N123" s="23"/>
      <c r="O123" s="31">
        <f>$G$25</f>
        <v>17</v>
      </c>
      <c r="P123" s="32">
        <f t="shared" ref="P123:T123" si="118">H123/A$133</f>
        <v>0.0980168355</v>
      </c>
      <c r="Q123" s="32">
        <f t="shared" si="118"/>
        <v>0.1006289308</v>
      </c>
      <c r="R123" s="32">
        <f t="shared" si="118"/>
        <v>0.1308411215</v>
      </c>
      <c r="S123" s="32">
        <f t="shared" si="118"/>
        <v>0.07167235495</v>
      </c>
      <c r="T123" s="32">
        <f t="shared" si="118"/>
        <v>0.03949044586</v>
      </c>
    </row>
    <row r="124" ht="15.75" customHeight="1">
      <c r="F124" s="23"/>
      <c r="G124" s="19">
        <f>$G$26</f>
        <v>18</v>
      </c>
      <c r="H124" s="38">
        <v>476.0</v>
      </c>
      <c r="I124" s="38">
        <v>182.0</v>
      </c>
      <c r="J124" s="38">
        <v>6.0</v>
      </c>
      <c r="K124" s="38">
        <v>23.0</v>
      </c>
      <c r="L124" s="38">
        <v>17.0</v>
      </c>
      <c r="N124" s="23"/>
      <c r="O124" s="31">
        <f>$G$26</f>
        <v>18</v>
      </c>
      <c r="P124" s="32">
        <f t="shared" ref="P124:T124" si="119">H124/A$133</f>
        <v>0.06791268369</v>
      </c>
      <c r="Q124" s="32">
        <f t="shared" si="119"/>
        <v>0.060244952</v>
      </c>
      <c r="R124" s="32">
        <f t="shared" si="119"/>
        <v>0.05607476636</v>
      </c>
      <c r="S124" s="32">
        <f t="shared" si="119"/>
        <v>0.03924914676</v>
      </c>
      <c r="T124" s="32">
        <f t="shared" si="119"/>
        <v>0.02165605096</v>
      </c>
    </row>
    <row r="125" ht="15.75" customHeight="1">
      <c r="F125" s="23"/>
      <c r="G125" s="19">
        <f>$G$27</f>
        <v>19</v>
      </c>
      <c r="H125" s="38">
        <v>369.0</v>
      </c>
      <c r="I125" s="38">
        <v>123.0</v>
      </c>
      <c r="J125" s="38">
        <v>5.0</v>
      </c>
      <c r="K125" s="38">
        <v>23.0</v>
      </c>
      <c r="L125" s="38">
        <v>17.0</v>
      </c>
      <c r="N125" s="23"/>
      <c r="O125" s="31">
        <f>$G$27</f>
        <v>19</v>
      </c>
      <c r="P125" s="32">
        <f t="shared" ref="P125:T125" si="120">H125/A$133</f>
        <v>0.05264659723</v>
      </c>
      <c r="Q125" s="32">
        <f t="shared" si="120"/>
        <v>0.04071499503</v>
      </c>
      <c r="R125" s="32">
        <f t="shared" si="120"/>
        <v>0.04672897196</v>
      </c>
      <c r="S125" s="32">
        <f t="shared" si="120"/>
        <v>0.03924914676</v>
      </c>
      <c r="T125" s="32">
        <f t="shared" si="120"/>
        <v>0.02165605096</v>
      </c>
    </row>
    <row r="126" ht="15.75" customHeight="1">
      <c r="F126" s="23"/>
      <c r="G126" s="19">
        <f>$G$28</f>
        <v>20</v>
      </c>
      <c r="H126" s="38">
        <v>252.0</v>
      </c>
      <c r="I126" s="38">
        <v>90.0</v>
      </c>
      <c r="J126" s="38">
        <v>3.0</v>
      </c>
      <c r="K126" s="38">
        <v>19.0</v>
      </c>
      <c r="L126" s="38">
        <v>16.0</v>
      </c>
      <c r="N126" s="23"/>
      <c r="O126" s="31">
        <f>$G$28</f>
        <v>20</v>
      </c>
      <c r="P126" s="32">
        <f t="shared" ref="P126:T126" si="121">H126/A$133</f>
        <v>0.03595377372</v>
      </c>
      <c r="Q126" s="32">
        <f t="shared" si="121"/>
        <v>0.02979145978</v>
      </c>
      <c r="R126" s="32">
        <f t="shared" si="121"/>
        <v>0.02803738318</v>
      </c>
      <c r="S126" s="32">
        <f t="shared" si="121"/>
        <v>0.03242320819</v>
      </c>
      <c r="T126" s="32">
        <f t="shared" si="121"/>
        <v>0.02038216561</v>
      </c>
    </row>
    <row r="127" ht="15.75" customHeight="1">
      <c r="F127" s="23"/>
      <c r="G127" s="19">
        <f>$G$29</f>
        <v>21</v>
      </c>
      <c r="H127" s="38">
        <v>193.0</v>
      </c>
      <c r="I127" s="38">
        <v>61.0</v>
      </c>
      <c r="J127" s="38">
        <v>1.0</v>
      </c>
      <c r="K127" s="38">
        <v>14.0</v>
      </c>
      <c r="L127" s="38">
        <v>10.0</v>
      </c>
      <c r="N127" s="23"/>
      <c r="O127" s="31">
        <f>$G$29</f>
        <v>21</v>
      </c>
      <c r="P127" s="32">
        <f t="shared" ref="P127:T127" si="122">H127/A$133</f>
        <v>0.02753602511</v>
      </c>
      <c r="Q127" s="32">
        <f t="shared" si="122"/>
        <v>0.02019198941</v>
      </c>
      <c r="R127" s="32">
        <f t="shared" si="122"/>
        <v>0.009345794393</v>
      </c>
      <c r="S127" s="32">
        <f t="shared" si="122"/>
        <v>0.02389078498</v>
      </c>
      <c r="T127" s="32">
        <f t="shared" si="122"/>
        <v>0.0127388535</v>
      </c>
    </row>
    <row r="128" ht="15.75" customHeight="1">
      <c r="F128" s="23"/>
      <c r="G128" s="19">
        <f>$G$30</f>
        <v>22</v>
      </c>
      <c r="H128" s="38">
        <v>129.0</v>
      </c>
      <c r="I128" s="38">
        <v>54.0</v>
      </c>
      <c r="J128" s="38">
        <v>1.0</v>
      </c>
      <c r="K128" s="38">
        <v>9.0</v>
      </c>
      <c r="L128" s="38">
        <v>9.0</v>
      </c>
      <c r="N128" s="23"/>
      <c r="O128" s="31">
        <f>$G$30</f>
        <v>22</v>
      </c>
      <c r="P128" s="32">
        <f t="shared" ref="P128:T128" si="123">H128/A$133</f>
        <v>0.01840490798</v>
      </c>
      <c r="Q128" s="32">
        <f t="shared" si="123"/>
        <v>0.01787487587</v>
      </c>
      <c r="R128" s="32">
        <f t="shared" si="123"/>
        <v>0.009345794393</v>
      </c>
      <c r="S128" s="32">
        <f t="shared" si="123"/>
        <v>0.01535836177</v>
      </c>
      <c r="T128" s="32">
        <f t="shared" si="123"/>
        <v>0.01146496815</v>
      </c>
    </row>
    <row r="129" ht="15.75" customHeight="1">
      <c r="F129" s="27"/>
      <c r="G129" s="19">
        <f>$G$31</f>
        <v>23</v>
      </c>
      <c r="H129" s="38">
        <v>93.0</v>
      </c>
      <c r="I129" s="38">
        <v>29.0</v>
      </c>
      <c r="J129" s="38">
        <v>0.0</v>
      </c>
      <c r="K129" s="38">
        <v>8.0</v>
      </c>
      <c r="L129" s="38">
        <v>6.0</v>
      </c>
      <c r="N129" s="27"/>
      <c r="O129" s="31">
        <f>$G$31</f>
        <v>23</v>
      </c>
      <c r="P129" s="32">
        <f t="shared" ref="P129:T129" si="124">H129/A$133</f>
        <v>0.01326865459</v>
      </c>
      <c r="Q129" s="32">
        <f t="shared" si="124"/>
        <v>0.009599470374</v>
      </c>
      <c r="R129" s="32">
        <f t="shared" si="124"/>
        <v>0</v>
      </c>
      <c r="S129" s="32">
        <f t="shared" si="124"/>
        <v>0.01365187713</v>
      </c>
      <c r="T129" s="32">
        <f t="shared" si="124"/>
        <v>0.007643312102</v>
      </c>
    </row>
    <row r="130" ht="15.75" customHeight="1">
      <c r="F130" s="56">
        <v>45212.0</v>
      </c>
      <c r="G130" s="19">
        <f>$G$8</f>
        <v>0</v>
      </c>
      <c r="H130" s="20">
        <v>52.0</v>
      </c>
      <c r="I130" s="20">
        <v>18.0</v>
      </c>
      <c r="J130" s="20">
        <v>3.0</v>
      </c>
      <c r="K130" s="20">
        <v>9.0</v>
      </c>
      <c r="L130" s="20">
        <v>9.0</v>
      </c>
      <c r="N130" s="58">
        <v>45212.0</v>
      </c>
      <c r="O130" s="31">
        <f>$G$8</f>
        <v>0</v>
      </c>
      <c r="P130" s="32">
        <f t="shared" ref="P130:T130" si="125">H130/A$159</f>
        <v>0.006409466289</v>
      </c>
      <c r="Q130" s="32">
        <f t="shared" si="125"/>
        <v>0.005676442763</v>
      </c>
      <c r="R130" s="32">
        <f t="shared" si="125"/>
        <v>0.01714285714</v>
      </c>
      <c r="S130" s="32">
        <f t="shared" si="125"/>
        <v>0.01551724138</v>
      </c>
      <c r="T130" s="32">
        <f t="shared" si="125"/>
        <v>0.01171875</v>
      </c>
    </row>
    <row r="131" ht="15.75" customHeight="1">
      <c r="F131" s="23"/>
      <c r="G131" s="19">
        <f>$G$9</f>
        <v>1</v>
      </c>
      <c r="H131" s="20">
        <v>28.0</v>
      </c>
      <c r="I131" s="20">
        <v>9.0</v>
      </c>
      <c r="J131" s="20">
        <v>1.0</v>
      </c>
      <c r="K131" s="20">
        <v>5.0</v>
      </c>
      <c r="L131" s="20">
        <v>5.0</v>
      </c>
      <c r="N131" s="23"/>
      <c r="O131" s="31">
        <f>$G$9</f>
        <v>1</v>
      </c>
      <c r="P131" s="32">
        <f t="shared" ref="P131:T131" si="126">H131/A$159</f>
        <v>0.003451251079</v>
      </c>
      <c r="Q131" s="32">
        <f t="shared" si="126"/>
        <v>0.002838221381</v>
      </c>
      <c r="R131" s="32">
        <f t="shared" si="126"/>
        <v>0.005714285714</v>
      </c>
      <c r="S131" s="32">
        <f t="shared" si="126"/>
        <v>0.008620689655</v>
      </c>
      <c r="T131" s="32">
        <f t="shared" si="126"/>
        <v>0.006510416667</v>
      </c>
    </row>
    <row r="132" ht="15.75" customHeight="1">
      <c r="F132" s="23"/>
      <c r="G132" s="19">
        <f>$G$10</f>
        <v>2</v>
      </c>
      <c r="H132" s="16">
        <v>25.0</v>
      </c>
      <c r="I132" s="16">
        <v>12.0</v>
      </c>
      <c r="J132" s="16">
        <v>0.0</v>
      </c>
      <c r="K132" s="16">
        <v>4.0</v>
      </c>
      <c r="L132" s="16">
        <v>7.0</v>
      </c>
      <c r="N132" s="23"/>
      <c r="O132" s="31">
        <f>$G$10</f>
        <v>2</v>
      </c>
      <c r="P132" s="32">
        <f t="shared" ref="P132:T132" si="127">H132/A$159</f>
        <v>0.003081474177</v>
      </c>
      <c r="Q132" s="32">
        <f t="shared" si="127"/>
        <v>0.003784295175</v>
      </c>
      <c r="R132" s="32">
        <f t="shared" si="127"/>
        <v>0</v>
      </c>
      <c r="S132" s="32">
        <f t="shared" si="127"/>
        <v>0.006896551724</v>
      </c>
      <c r="T132" s="32">
        <f t="shared" si="127"/>
        <v>0.009114583333</v>
      </c>
    </row>
    <row r="133" ht="15.75" customHeight="1">
      <c r="A133" s="26">
        <f t="shared" ref="A133:E133" si="128">SUM(H106:H129)</f>
        <v>7009</v>
      </c>
      <c r="B133" s="26">
        <f t="shared" si="128"/>
        <v>3021</v>
      </c>
      <c r="C133" s="26">
        <f t="shared" si="128"/>
        <v>107</v>
      </c>
      <c r="D133" s="26">
        <f t="shared" si="128"/>
        <v>586</v>
      </c>
      <c r="E133" s="26">
        <f t="shared" si="128"/>
        <v>785</v>
      </c>
      <c r="F133" s="23"/>
      <c r="G133" s="19">
        <f>$G$11</f>
        <v>3</v>
      </c>
      <c r="H133" s="20">
        <v>19.0</v>
      </c>
      <c r="I133" s="20">
        <v>16.0</v>
      </c>
      <c r="J133" s="20">
        <v>0.0</v>
      </c>
      <c r="K133" s="20">
        <v>3.0</v>
      </c>
      <c r="L133" s="20">
        <v>9.0</v>
      </c>
      <c r="N133" s="23"/>
      <c r="O133" s="31">
        <f>$G$11</f>
        <v>3</v>
      </c>
      <c r="P133" s="32">
        <f t="shared" ref="P133:T133" si="129">H133/A$159</f>
        <v>0.002341920375</v>
      </c>
      <c r="Q133" s="32">
        <f t="shared" si="129"/>
        <v>0.0050457269</v>
      </c>
      <c r="R133" s="32">
        <f t="shared" si="129"/>
        <v>0</v>
      </c>
      <c r="S133" s="32">
        <f t="shared" si="129"/>
        <v>0.005172413793</v>
      </c>
      <c r="T133" s="32">
        <f t="shared" si="129"/>
        <v>0.01171875</v>
      </c>
    </row>
    <row r="134" ht="15.75" customHeight="1">
      <c r="A134" s="17">
        <f>$H$7</f>
        <v>31</v>
      </c>
      <c r="B134" s="17">
        <f>$I$7</f>
        <v>32</v>
      </c>
      <c r="C134" s="17">
        <f>$J$7</f>
        <v>41</v>
      </c>
      <c r="D134" s="17">
        <f>$K$7</f>
        <v>42</v>
      </c>
      <c r="E134" s="17">
        <f>$L$7</f>
        <v>5</v>
      </c>
      <c r="F134" s="23"/>
      <c r="G134" s="19">
        <f>$G$12</f>
        <v>4</v>
      </c>
      <c r="H134" s="20">
        <v>22.0</v>
      </c>
      <c r="I134" s="20">
        <v>15.0</v>
      </c>
      <c r="J134" s="20">
        <v>0.0</v>
      </c>
      <c r="K134" s="20">
        <v>2.0</v>
      </c>
      <c r="L134" s="20">
        <v>12.0</v>
      </c>
      <c r="N134" s="23"/>
      <c r="O134" s="31">
        <f>$G$12</f>
        <v>4</v>
      </c>
      <c r="P134" s="32">
        <f t="shared" ref="P134:T134" si="130">H134/A$159</f>
        <v>0.002711697276</v>
      </c>
      <c r="Q134" s="32">
        <f t="shared" si="130"/>
        <v>0.004730368969</v>
      </c>
      <c r="R134" s="32">
        <f t="shared" si="130"/>
        <v>0</v>
      </c>
      <c r="S134" s="32">
        <f t="shared" si="130"/>
        <v>0.003448275862</v>
      </c>
      <c r="T134" s="32">
        <f t="shared" si="130"/>
        <v>0.015625</v>
      </c>
    </row>
    <row r="135" ht="15.75" customHeight="1">
      <c r="F135" s="23"/>
      <c r="G135" s="19">
        <f>$G$13</f>
        <v>5</v>
      </c>
      <c r="H135" s="20">
        <v>56.0</v>
      </c>
      <c r="I135" s="20">
        <v>35.0</v>
      </c>
      <c r="J135" s="20">
        <v>0.0</v>
      </c>
      <c r="K135" s="20">
        <v>9.0</v>
      </c>
      <c r="L135" s="20">
        <v>30.0</v>
      </c>
      <c r="N135" s="23"/>
      <c r="O135" s="31">
        <f>$G$13</f>
        <v>5</v>
      </c>
      <c r="P135" s="32">
        <f t="shared" ref="P135:T135" si="131">H135/A$159</f>
        <v>0.006902502157</v>
      </c>
      <c r="Q135" s="32">
        <f t="shared" si="131"/>
        <v>0.01103752759</v>
      </c>
      <c r="R135" s="32">
        <f t="shared" si="131"/>
        <v>0</v>
      </c>
      <c r="S135" s="32">
        <f t="shared" si="131"/>
        <v>0.01551724138</v>
      </c>
      <c r="T135" s="32">
        <f t="shared" si="131"/>
        <v>0.0390625</v>
      </c>
    </row>
    <row r="136" ht="15.75" customHeight="1">
      <c r="F136" s="23"/>
      <c r="G136" s="19">
        <f>$G$14</f>
        <v>6</v>
      </c>
      <c r="H136" s="20">
        <v>249.0</v>
      </c>
      <c r="I136" s="20">
        <v>146.0</v>
      </c>
      <c r="J136" s="20">
        <v>3.0</v>
      </c>
      <c r="K136" s="20">
        <v>19.0</v>
      </c>
      <c r="L136" s="20">
        <v>24.0</v>
      </c>
      <c r="N136" s="23"/>
      <c r="O136" s="31">
        <f>$G$14</f>
        <v>6</v>
      </c>
      <c r="P136" s="32">
        <f t="shared" ref="P136:T136" si="132">H136/A$159</f>
        <v>0.03069148281</v>
      </c>
      <c r="Q136" s="32">
        <f t="shared" si="132"/>
        <v>0.04604225796</v>
      </c>
      <c r="R136" s="32">
        <f t="shared" si="132"/>
        <v>0.01714285714</v>
      </c>
      <c r="S136" s="32">
        <f t="shared" si="132"/>
        <v>0.03275862069</v>
      </c>
      <c r="T136" s="32">
        <f t="shared" si="132"/>
        <v>0.03125</v>
      </c>
    </row>
    <row r="137" ht="15.75" customHeight="1">
      <c r="F137" s="23"/>
      <c r="G137" s="19">
        <f>$G$15</f>
        <v>7</v>
      </c>
      <c r="H137" s="20">
        <v>375.0</v>
      </c>
      <c r="I137" s="20">
        <v>142.0</v>
      </c>
      <c r="J137" s="20">
        <v>1.0</v>
      </c>
      <c r="K137" s="20">
        <v>21.0</v>
      </c>
      <c r="L137" s="20">
        <v>27.0</v>
      </c>
      <c r="N137" s="23"/>
      <c r="O137" s="31">
        <f>$G$15</f>
        <v>7</v>
      </c>
      <c r="P137" s="32">
        <f t="shared" ref="P137:T137" si="133">H137/A$159</f>
        <v>0.04622211266</v>
      </c>
      <c r="Q137" s="32">
        <f t="shared" si="133"/>
        <v>0.04478082624</v>
      </c>
      <c r="R137" s="32">
        <f t="shared" si="133"/>
        <v>0.005714285714</v>
      </c>
      <c r="S137" s="32">
        <f t="shared" si="133"/>
        <v>0.03620689655</v>
      </c>
      <c r="T137" s="32">
        <f t="shared" si="133"/>
        <v>0.03515625</v>
      </c>
      <c r="U137" s="25">
        <f>$H$7</f>
        <v>31</v>
      </c>
      <c r="V137" s="25">
        <f>$I$7</f>
        <v>32</v>
      </c>
      <c r="W137" s="25">
        <f>$J$7</f>
        <v>41</v>
      </c>
      <c r="X137" s="25">
        <f>$K$7</f>
        <v>42</v>
      </c>
      <c r="Y137" s="25">
        <f>$L$7</f>
        <v>5</v>
      </c>
    </row>
    <row r="138" ht="15.75" customHeight="1">
      <c r="F138" s="23"/>
      <c r="G138" s="19">
        <f>$G$16</f>
        <v>8</v>
      </c>
      <c r="H138" s="20">
        <v>302.0</v>
      </c>
      <c r="I138" s="20">
        <v>115.0</v>
      </c>
      <c r="J138" s="20">
        <v>5.0</v>
      </c>
      <c r="K138" s="20">
        <v>34.0</v>
      </c>
      <c r="L138" s="20">
        <v>64.0</v>
      </c>
      <c r="N138" s="23"/>
      <c r="O138" s="31">
        <f>$G$16</f>
        <v>8</v>
      </c>
      <c r="P138" s="32">
        <f t="shared" ref="P138:T138" si="134">H138/A$159</f>
        <v>0.03722420806</v>
      </c>
      <c r="Q138" s="32">
        <f t="shared" si="134"/>
        <v>0.03626616209</v>
      </c>
      <c r="R138" s="32">
        <f t="shared" si="134"/>
        <v>0.02857142857</v>
      </c>
      <c r="S138" s="32">
        <f t="shared" si="134"/>
        <v>0.05862068966</v>
      </c>
      <c r="T138" s="32">
        <f t="shared" si="134"/>
        <v>0.08333333333</v>
      </c>
    </row>
    <row r="139" ht="15.75" customHeight="1">
      <c r="F139" s="23"/>
      <c r="G139" s="19">
        <f>$G$17</f>
        <v>9</v>
      </c>
      <c r="H139" s="20">
        <v>326.0</v>
      </c>
      <c r="I139" s="20">
        <v>147.0</v>
      </c>
      <c r="J139" s="20">
        <v>5.0</v>
      </c>
      <c r="K139" s="20">
        <v>39.0</v>
      </c>
      <c r="L139" s="20">
        <v>71.0</v>
      </c>
      <c r="N139" s="23"/>
      <c r="O139" s="31">
        <f>$G$17</f>
        <v>9</v>
      </c>
      <c r="P139" s="32">
        <f t="shared" ref="P139:T139" si="135">H139/A$159</f>
        <v>0.04018242327</v>
      </c>
      <c r="Q139" s="32">
        <f t="shared" si="135"/>
        <v>0.04635761589</v>
      </c>
      <c r="R139" s="32">
        <f t="shared" si="135"/>
        <v>0.02857142857</v>
      </c>
      <c r="S139" s="32">
        <f t="shared" si="135"/>
        <v>0.06724137931</v>
      </c>
      <c r="T139" s="32">
        <f t="shared" si="135"/>
        <v>0.09244791667</v>
      </c>
    </row>
    <row r="140" ht="15.75" customHeight="1">
      <c r="F140" s="23"/>
      <c r="G140" s="19">
        <f>$G$18</f>
        <v>10</v>
      </c>
      <c r="H140" s="20">
        <v>314.0</v>
      </c>
      <c r="I140" s="20">
        <v>148.0</v>
      </c>
      <c r="J140" s="20">
        <v>3.0</v>
      </c>
      <c r="K140" s="20">
        <v>52.0</v>
      </c>
      <c r="L140" s="20">
        <v>60.0</v>
      </c>
      <c r="N140" s="23"/>
      <c r="O140" s="31">
        <f>$G$18</f>
        <v>10</v>
      </c>
      <c r="P140" s="32">
        <f t="shared" ref="P140:T140" si="136">H140/A$159</f>
        <v>0.03870331567</v>
      </c>
      <c r="Q140" s="32">
        <f t="shared" si="136"/>
        <v>0.04667297383</v>
      </c>
      <c r="R140" s="32">
        <f t="shared" si="136"/>
        <v>0.01714285714</v>
      </c>
      <c r="S140" s="32">
        <f t="shared" si="136"/>
        <v>0.08965517241</v>
      </c>
      <c r="T140" s="32">
        <f t="shared" si="136"/>
        <v>0.078125</v>
      </c>
    </row>
    <row r="141" ht="15.75" customHeight="1">
      <c r="F141" s="23"/>
      <c r="G141" s="19">
        <f>$G$19</f>
        <v>11</v>
      </c>
      <c r="H141" s="20">
        <v>363.0</v>
      </c>
      <c r="I141" s="20">
        <v>183.0</v>
      </c>
      <c r="J141" s="20">
        <v>18.0</v>
      </c>
      <c r="K141" s="20">
        <v>43.0</v>
      </c>
      <c r="L141" s="20">
        <v>72.0</v>
      </c>
      <c r="N141" s="23"/>
      <c r="O141" s="31">
        <f>$G$19</f>
        <v>11</v>
      </c>
      <c r="P141" s="32">
        <f t="shared" ref="P141:T141" si="137">H141/A$159</f>
        <v>0.04474300505</v>
      </c>
      <c r="Q141" s="32">
        <f t="shared" si="137"/>
        <v>0.05771050142</v>
      </c>
      <c r="R141" s="32">
        <f t="shared" si="137"/>
        <v>0.1028571429</v>
      </c>
      <c r="S141" s="32">
        <f t="shared" si="137"/>
        <v>0.07413793103</v>
      </c>
      <c r="T141" s="32">
        <f t="shared" si="137"/>
        <v>0.09375</v>
      </c>
    </row>
    <row r="142" ht="15.75" customHeight="1">
      <c r="F142" s="23"/>
      <c r="G142" s="19">
        <f>$G$20</f>
        <v>12</v>
      </c>
      <c r="H142" s="20">
        <v>470.0</v>
      </c>
      <c r="I142" s="20">
        <v>170.0</v>
      </c>
      <c r="J142" s="20">
        <v>8.0</v>
      </c>
      <c r="K142" s="20">
        <v>40.0</v>
      </c>
      <c r="L142" s="20">
        <v>63.0</v>
      </c>
      <c r="N142" s="23"/>
      <c r="O142" s="31">
        <f>$G$20</f>
        <v>12</v>
      </c>
      <c r="P142" s="32">
        <f t="shared" ref="P142:T142" si="138">H142/A$159</f>
        <v>0.05793171453</v>
      </c>
      <c r="Q142" s="32">
        <f t="shared" si="138"/>
        <v>0.05361084831</v>
      </c>
      <c r="R142" s="32">
        <f t="shared" si="138"/>
        <v>0.04571428571</v>
      </c>
      <c r="S142" s="32">
        <f t="shared" si="138"/>
        <v>0.06896551724</v>
      </c>
      <c r="T142" s="32">
        <f t="shared" si="138"/>
        <v>0.08203125</v>
      </c>
    </row>
    <row r="143" ht="15.75" customHeight="1">
      <c r="F143" s="23"/>
      <c r="G143" s="19">
        <f>$G$21</f>
        <v>13</v>
      </c>
      <c r="H143" s="20">
        <v>513.0</v>
      </c>
      <c r="I143" s="20">
        <v>204.0</v>
      </c>
      <c r="J143" s="20">
        <v>25.0</v>
      </c>
      <c r="K143" s="20">
        <v>40.0</v>
      </c>
      <c r="L143" s="20">
        <v>57.0</v>
      </c>
      <c r="N143" s="23"/>
      <c r="O143" s="31">
        <f>$G$21</f>
        <v>13</v>
      </c>
      <c r="P143" s="32">
        <f t="shared" ref="P143:T143" si="139">H143/A$159</f>
        <v>0.06323185012</v>
      </c>
      <c r="Q143" s="32">
        <f t="shared" si="139"/>
        <v>0.06433301798</v>
      </c>
      <c r="R143" s="32">
        <f t="shared" si="139"/>
        <v>0.1428571429</v>
      </c>
      <c r="S143" s="32">
        <f t="shared" si="139"/>
        <v>0.06896551724</v>
      </c>
      <c r="T143" s="32">
        <f t="shared" si="139"/>
        <v>0.07421875</v>
      </c>
    </row>
    <row r="144" ht="15.75" customHeight="1">
      <c r="F144" s="23"/>
      <c r="G144" s="19">
        <f>$G$22</f>
        <v>14</v>
      </c>
      <c r="H144" s="20">
        <v>618.0</v>
      </c>
      <c r="I144" s="20">
        <v>263.0</v>
      </c>
      <c r="J144" s="20">
        <v>10.0</v>
      </c>
      <c r="K144" s="20">
        <v>56.0</v>
      </c>
      <c r="L144" s="20">
        <v>47.0</v>
      </c>
      <c r="N144" s="23"/>
      <c r="O144" s="31">
        <f>$G$22</f>
        <v>14</v>
      </c>
      <c r="P144" s="32">
        <f t="shared" ref="P144:T144" si="140">H144/A$159</f>
        <v>0.07617404166</v>
      </c>
      <c r="Q144" s="32">
        <f t="shared" si="140"/>
        <v>0.08293913592</v>
      </c>
      <c r="R144" s="32">
        <f t="shared" si="140"/>
        <v>0.05714285714</v>
      </c>
      <c r="S144" s="32">
        <f t="shared" si="140"/>
        <v>0.09655172414</v>
      </c>
      <c r="T144" s="32">
        <f t="shared" si="140"/>
        <v>0.06119791667</v>
      </c>
    </row>
    <row r="145" ht="15.75" customHeight="1">
      <c r="F145" s="23"/>
      <c r="G145" s="19">
        <f>$G$23</f>
        <v>15</v>
      </c>
      <c r="H145" s="20">
        <v>595.0</v>
      </c>
      <c r="I145" s="20">
        <v>277.0</v>
      </c>
      <c r="J145" s="20">
        <v>28.0</v>
      </c>
      <c r="K145" s="20">
        <v>45.0</v>
      </c>
      <c r="L145" s="20">
        <v>67.0</v>
      </c>
      <c r="N145" s="23"/>
      <c r="O145" s="31">
        <f>$G$23</f>
        <v>15</v>
      </c>
      <c r="P145" s="32">
        <f t="shared" ref="P145:T145" si="141">H145/A$159</f>
        <v>0.07333908542</v>
      </c>
      <c r="Q145" s="32">
        <f t="shared" si="141"/>
        <v>0.08735414696</v>
      </c>
      <c r="R145" s="32">
        <f t="shared" si="141"/>
        <v>0.16</v>
      </c>
      <c r="S145" s="32">
        <f t="shared" si="141"/>
        <v>0.0775862069</v>
      </c>
      <c r="T145" s="32">
        <f t="shared" si="141"/>
        <v>0.08723958333</v>
      </c>
    </row>
    <row r="146" ht="15.75" customHeight="1">
      <c r="F146" s="23"/>
      <c r="G146" s="19">
        <f>$G$24</f>
        <v>16</v>
      </c>
      <c r="H146" s="20">
        <v>678.0</v>
      </c>
      <c r="I146" s="20">
        <v>300.0</v>
      </c>
      <c r="J146" s="20">
        <v>10.0</v>
      </c>
      <c r="K146" s="20">
        <v>31.0</v>
      </c>
      <c r="L146" s="20">
        <v>47.0</v>
      </c>
      <c r="N146" s="23"/>
      <c r="O146" s="31">
        <f>$G$24</f>
        <v>16</v>
      </c>
      <c r="P146" s="32">
        <f t="shared" ref="P146:T146" si="142">H146/A$159</f>
        <v>0.08356957969</v>
      </c>
      <c r="Q146" s="32">
        <f t="shared" si="142"/>
        <v>0.09460737938</v>
      </c>
      <c r="R146" s="32">
        <f t="shared" si="142"/>
        <v>0.05714285714</v>
      </c>
      <c r="S146" s="32">
        <f t="shared" si="142"/>
        <v>0.05344827586</v>
      </c>
      <c r="T146" s="32">
        <f t="shared" si="142"/>
        <v>0.06119791667</v>
      </c>
    </row>
    <row r="147" ht="15.75" customHeight="1">
      <c r="F147" s="23"/>
      <c r="G147" s="19">
        <f>$G$25</f>
        <v>17</v>
      </c>
      <c r="H147" s="20">
        <v>794.0</v>
      </c>
      <c r="I147" s="20">
        <v>279.0</v>
      </c>
      <c r="J147" s="20">
        <v>18.0</v>
      </c>
      <c r="K147" s="20">
        <v>31.0</v>
      </c>
      <c r="L147" s="20">
        <v>24.0</v>
      </c>
      <c r="N147" s="23"/>
      <c r="O147" s="31">
        <f>$G$25</f>
        <v>17</v>
      </c>
      <c r="P147" s="32">
        <f t="shared" ref="P147:T147" si="143">H147/A$159</f>
        <v>0.09786761987</v>
      </c>
      <c r="Q147" s="32">
        <f t="shared" si="143"/>
        <v>0.08798486282</v>
      </c>
      <c r="R147" s="32">
        <f t="shared" si="143"/>
        <v>0.1028571429</v>
      </c>
      <c r="S147" s="32">
        <f t="shared" si="143"/>
        <v>0.05344827586</v>
      </c>
      <c r="T147" s="32">
        <f t="shared" si="143"/>
        <v>0.03125</v>
      </c>
    </row>
    <row r="148" ht="15.75" customHeight="1">
      <c r="F148" s="23"/>
      <c r="G148" s="19">
        <f>$G$26</f>
        <v>18</v>
      </c>
      <c r="H148" s="20">
        <v>755.0</v>
      </c>
      <c r="I148" s="20">
        <v>232.0</v>
      </c>
      <c r="J148" s="20">
        <v>15.0</v>
      </c>
      <c r="K148" s="20">
        <v>27.0</v>
      </c>
      <c r="L148" s="20">
        <v>19.0</v>
      </c>
      <c r="N148" s="23"/>
      <c r="O148" s="31">
        <f>$G$26</f>
        <v>18</v>
      </c>
      <c r="P148" s="32">
        <f t="shared" ref="P148:T148" si="144">H148/A$159</f>
        <v>0.09306052015</v>
      </c>
      <c r="Q148" s="32">
        <f t="shared" si="144"/>
        <v>0.07316304005</v>
      </c>
      <c r="R148" s="32">
        <f t="shared" si="144"/>
        <v>0.08571428571</v>
      </c>
      <c r="S148" s="32">
        <f t="shared" si="144"/>
        <v>0.04655172414</v>
      </c>
      <c r="T148" s="32">
        <f t="shared" si="144"/>
        <v>0.02473958333</v>
      </c>
    </row>
    <row r="149" ht="15.75" customHeight="1">
      <c r="F149" s="23"/>
      <c r="G149" s="19">
        <f>$G$27</f>
        <v>19</v>
      </c>
      <c r="H149" s="20">
        <v>584.0</v>
      </c>
      <c r="I149" s="20">
        <v>173.0</v>
      </c>
      <c r="J149" s="20">
        <v>7.0</v>
      </c>
      <c r="K149" s="20">
        <v>22.0</v>
      </c>
      <c r="L149" s="20">
        <v>21.0</v>
      </c>
      <c r="N149" s="23"/>
      <c r="O149" s="31">
        <f>$G$27</f>
        <v>19</v>
      </c>
      <c r="P149" s="32">
        <f t="shared" ref="P149:T149" si="145">H149/A$159</f>
        <v>0.07198323678</v>
      </c>
      <c r="Q149" s="32">
        <f t="shared" si="145"/>
        <v>0.05455692211</v>
      </c>
      <c r="R149" s="32">
        <f t="shared" si="145"/>
        <v>0.04</v>
      </c>
      <c r="S149" s="32">
        <f t="shared" si="145"/>
        <v>0.03793103448</v>
      </c>
      <c r="T149" s="32">
        <f t="shared" si="145"/>
        <v>0.02734375</v>
      </c>
    </row>
    <row r="150" ht="15.75" customHeight="1">
      <c r="F150" s="23"/>
      <c r="G150" s="19">
        <f>$G$28</f>
        <v>20</v>
      </c>
      <c r="H150" s="20">
        <v>395.0</v>
      </c>
      <c r="I150" s="20">
        <v>111.0</v>
      </c>
      <c r="J150" s="20">
        <v>8.0</v>
      </c>
      <c r="K150" s="20">
        <v>17.0</v>
      </c>
      <c r="L150" s="20">
        <v>10.0</v>
      </c>
      <c r="N150" s="23"/>
      <c r="O150" s="31">
        <f>$G$28</f>
        <v>20</v>
      </c>
      <c r="P150" s="32">
        <f t="shared" ref="P150:T150" si="146">H150/A$159</f>
        <v>0.048687292</v>
      </c>
      <c r="Q150" s="32">
        <f t="shared" si="146"/>
        <v>0.03500473037</v>
      </c>
      <c r="R150" s="32">
        <f t="shared" si="146"/>
        <v>0.04571428571</v>
      </c>
      <c r="S150" s="32">
        <f t="shared" si="146"/>
        <v>0.02931034483</v>
      </c>
      <c r="T150" s="32">
        <f t="shared" si="146"/>
        <v>0.01302083333</v>
      </c>
    </row>
    <row r="151" ht="15.75" customHeight="1">
      <c r="F151" s="23"/>
      <c r="G151" s="19">
        <f>$G$29</f>
        <v>21</v>
      </c>
      <c r="H151" s="20">
        <v>264.0</v>
      </c>
      <c r="I151" s="20">
        <v>81.0</v>
      </c>
      <c r="J151" s="20">
        <v>1.0</v>
      </c>
      <c r="K151" s="20">
        <v>21.0</v>
      </c>
      <c r="L151" s="20">
        <v>13.0</v>
      </c>
      <c r="N151" s="23"/>
      <c r="O151" s="31">
        <f>$G$29</f>
        <v>21</v>
      </c>
      <c r="P151" s="32">
        <f t="shared" ref="P151:T151" si="147">H151/A$159</f>
        <v>0.03254036731</v>
      </c>
      <c r="Q151" s="32">
        <f t="shared" si="147"/>
        <v>0.02554399243</v>
      </c>
      <c r="R151" s="32">
        <f t="shared" si="147"/>
        <v>0.005714285714</v>
      </c>
      <c r="S151" s="32">
        <f t="shared" si="147"/>
        <v>0.03620689655</v>
      </c>
      <c r="T151" s="32">
        <f t="shared" si="147"/>
        <v>0.01692708333</v>
      </c>
    </row>
    <row r="152" ht="15.75" customHeight="1">
      <c r="F152" s="23"/>
      <c r="G152" s="19">
        <f>$G$30</f>
        <v>22</v>
      </c>
      <c r="H152" s="20">
        <v>174.0</v>
      </c>
      <c r="I152" s="20">
        <v>62.0</v>
      </c>
      <c r="J152" s="20">
        <v>5.0</v>
      </c>
      <c r="K152" s="20">
        <v>6.0</v>
      </c>
      <c r="L152" s="20">
        <v>1.0</v>
      </c>
      <c r="N152" s="23"/>
      <c r="O152" s="31">
        <f>$G$30</f>
        <v>22</v>
      </c>
      <c r="P152" s="32">
        <f t="shared" ref="P152:T152" si="148">H152/A$159</f>
        <v>0.02144706027</v>
      </c>
      <c r="Q152" s="32">
        <f t="shared" si="148"/>
        <v>0.01955219174</v>
      </c>
      <c r="R152" s="32">
        <f t="shared" si="148"/>
        <v>0.02857142857</v>
      </c>
      <c r="S152" s="32">
        <f t="shared" si="148"/>
        <v>0.01034482759</v>
      </c>
      <c r="T152" s="32">
        <f t="shared" si="148"/>
        <v>0.001302083333</v>
      </c>
    </row>
    <row r="153" ht="15.75" customHeight="1">
      <c r="F153" s="27"/>
      <c r="G153" s="19">
        <f>$G$31</f>
        <v>23</v>
      </c>
      <c r="H153" s="20">
        <v>142.0</v>
      </c>
      <c r="I153" s="20">
        <v>33.0</v>
      </c>
      <c r="J153" s="20">
        <v>1.0</v>
      </c>
      <c r="K153" s="20">
        <v>4.0</v>
      </c>
      <c r="L153" s="20">
        <v>9.0</v>
      </c>
      <c r="N153" s="27"/>
      <c r="O153" s="31">
        <f>$G$31</f>
        <v>23</v>
      </c>
      <c r="P153" s="32">
        <f t="shared" ref="P153:T153" si="149">H153/A$159</f>
        <v>0.01750277333</v>
      </c>
      <c r="Q153" s="32">
        <f t="shared" si="149"/>
        <v>0.01040681173</v>
      </c>
      <c r="R153" s="32">
        <f t="shared" si="149"/>
        <v>0.005714285714</v>
      </c>
      <c r="S153" s="32">
        <f t="shared" si="149"/>
        <v>0.006896551724</v>
      </c>
      <c r="T153" s="32">
        <f t="shared" si="149"/>
        <v>0.01171875</v>
      </c>
    </row>
    <row r="154" ht="15.75" customHeight="1">
      <c r="F154" s="56">
        <v>45213.0</v>
      </c>
      <c r="G154" s="19">
        <f>$G$8</f>
        <v>0</v>
      </c>
      <c r="H154" s="20">
        <v>91.0</v>
      </c>
      <c r="I154" s="20">
        <v>31.0</v>
      </c>
      <c r="J154" s="20">
        <v>1.0</v>
      </c>
      <c r="K154" s="20">
        <v>5.0</v>
      </c>
      <c r="L154" s="20">
        <v>7.0</v>
      </c>
      <c r="N154" s="58">
        <v>45213.0</v>
      </c>
      <c r="O154" s="31">
        <f>$G$8</f>
        <v>0</v>
      </c>
      <c r="P154" s="32">
        <f t="shared" ref="P154:T154" si="150">H154/A$184</f>
        <v>0.009976976209</v>
      </c>
      <c r="Q154" s="32">
        <f t="shared" si="150"/>
        <v>0.01030927835</v>
      </c>
      <c r="R154" s="32">
        <f t="shared" si="150"/>
        <v>0.005847953216</v>
      </c>
      <c r="S154" s="32">
        <f t="shared" si="150"/>
        <v>0.01543209877</v>
      </c>
      <c r="T154" s="32">
        <f t="shared" si="150"/>
        <v>0.01170568562</v>
      </c>
    </row>
    <row r="155" ht="15.75" customHeight="1">
      <c r="F155" s="23"/>
      <c r="G155" s="19">
        <f>$G$9</f>
        <v>1</v>
      </c>
      <c r="H155" s="20">
        <v>42.0</v>
      </c>
      <c r="I155" s="20">
        <v>16.0</v>
      </c>
      <c r="J155" s="20">
        <v>0.0</v>
      </c>
      <c r="K155" s="20">
        <v>5.0</v>
      </c>
      <c r="L155" s="20">
        <v>5.0</v>
      </c>
      <c r="N155" s="23"/>
      <c r="O155" s="31">
        <f>$G$9</f>
        <v>1</v>
      </c>
      <c r="P155" s="32">
        <f t="shared" ref="P155:T155" si="151">H155/A$184</f>
        <v>0.00460475825</v>
      </c>
      <c r="Q155" s="32">
        <f t="shared" si="151"/>
        <v>0.005320917858</v>
      </c>
      <c r="R155" s="32">
        <f t="shared" si="151"/>
        <v>0</v>
      </c>
      <c r="S155" s="32">
        <f t="shared" si="151"/>
        <v>0.01543209877</v>
      </c>
      <c r="T155" s="32">
        <f t="shared" si="151"/>
        <v>0.008361204013</v>
      </c>
    </row>
    <row r="156" ht="15.75" customHeight="1">
      <c r="F156" s="23"/>
      <c r="G156" s="19">
        <f>$G$10</f>
        <v>2</v>
      </c>
      <c r="H156" s="34">
        <v>46.0</v>
      </c>
      <c r="I156" s="34">
        <v>15.0</v>
      </c>
      <c r="J156" s="34">
        <v>0.0</v>
      </c>
      <c r="K156" s="34">
        <v>8.0</v>
      </c>
      <c r="L156" s="34">
        <v>8.0</v>
      </c>
      <c r="N156" s="23"/>
      <c r="O156" s="31">
        <f>$G$10</f>
        <v>2</v>
      </c>
      <c r="P156" s="32">
        <f t="shared" ref="P156:T156" si="152">H156/A$184</f>
        <v>0.005043306655</v>
      </c>
      <c r="Q156" s="32">
        <f t="shared" si="152"/>
        <v>0.004988360492</v>
      </c>
      <c r="R156" s="32">
        <f t="shared" si="152"/>
        <v>0</v>
      </c>
      <c r="S156" s="32">
        <f t="shared" si="152"/>
        <v>0.02469135802</v>
      </c>
      <c r="T156" s="32">
        <f t="shared" si="152"/>
        <v>0.01337792642</v>
      </c>
    </row>
    <row r="157" ht="15.75" customHeight="1">
      <c r="F157" s="23"/>
      <c r="G157" s="19">
        <f>$G$11</f>
        <v>3</v>
      </c>
      <c r="H157" s="20">
        <v>29.0</v>
      </c>
      <c r="I157" s="20">
        <v>20.0</v>
      </c>
      <c r="J157" s="20">
        <v>0.0</v>
      </c>
      <c r="K157" s="20">
        <v>3.0</v>
      </c>
      <c r="L157" s="20">
        <v>4.0</v>
      </c>
      <c r="N157" s="23"/>
      <c r="O157" s="31">
        <f>$G$11</f>
        <v>3</v>
      </c>
      <c r="P157" s="32">
        <f t="shared" ref="P157:T157" si="153">H157/A$184</f>
        <v>0.003179475935</v>
      </c>
      <c r="Q157" s="32">
        <f t="shared" si="153"/>
        <v>0.006651147323</v>
      </c>
      <c r="R157" s="32">
        <f t="shared" si="153"/>
        <v>0</v>
      </c>
      <c r="S157" s="32">
        <f t="shared" si="153"/>
        <v>0.009259259259</v>
      </c>
      <c r="T157" s="32">
        <f t="shared" si="153"/>
        <v>0.006688963211</v>
      </c>
    </row>
    <row r="158" ht="15.75" customHeight="1">
      <c r="F158" s="23"/>
      <c r="G158" s="19">
        <f>$G$12</f>
        <v>4</v>
      </c>
      <c r="H158" s="20">
        <v>39.0</v>
      </c>
      <c r="I158" s="20">
        <v>21.0</v>
      </c>
      <c r="J158" s="20">
        <v>0.0</v>
      </c>
      <c r="K158" s="20">
        <v>3.0</v>
      </c>
      <c r="L158" s="20">
        <v>4.0</v>
      </c>
      <c r="N158" s="23"/>
      <c r="O158" s="31">
        <f>$G$12</f>
        <v>4</v>
      </c>
      <c r="P158" s="32">
        <f t="shared" ref="P158:T158" si="154">H158/A$184</f>
        <v>0.004275846947</v>
      </c>
      <c r="Q158" s="32">
        <f t="shared" si="154"/>
        <v>0.006983704689</v>
      </c>
      <c r="R158" s="32">
        <f t="shared" si="154"/>
        <v>0</v>
      </c>
      <c r="S158" s="32">
        <f t="shared" si="154"/>
        <v>0.009259259259</v>
      </c>
      <c r="T158" s="32">
        <f t="shared" si="154"/>
        <v>0.006688963211</v>
      </c>
    </row>
    <row r="159" ht="15.75" customHeight="1">
      <c r="A159" s="26">
        <f t="shared" ref="A159:E159" si="155">SUM(H130:H153)</f>
        <v>8113</v>
      </c>
      <c r="B159" s="26">
        <f t="shared" si="155"/>
        <v>3171</v>
      </c>
      <c r="C159" s="26">
        <f t="shared" si="155"/>
        <v>175</v>
      </c>
      <c r="D159" s="26">
        <f t="shared" si="155"/>
        <v>580</v>
      </c>
      <c r="E159" s="26">
        <f t="shared" si="155"/>
        <v>768</v>
      </c>
      <c r="F159" s="23"/>
      <c r="G159" s="19">
        <f>$G$13</f>
        <v>5</v>
      </c>
      <c r="H159" s="20">
        <v>76.0</v>
      </c>
      <c r="I159" s="20">
        <v>28.0</v>
      </c>
      <c r="J159" s="20">
        <v>5.0</v>
      </c>
      <c r="K159" s="20">
        <v>6.0</v>
      </c>
      <c r="L159" s="20">
        <v>19.0</v>
      </c>
      <c r="N159" s="23"/>
      <c r="O159" s="31">
        <f>$G$13</f>
        <v>5</v>
      </c>
      <c r="P159" s="32">
        <f t="shared" ref="P159:T159" si="156">H159/A$184</f>
        <v>0.008332419691</v>
      </c>
      <c r="Q159" s="32">
        <f t="shared" si="156"/>
        <v>0.009311606252</v>
      </c>
      <c r="R159" s="32">
        <f t="shared" si="156"/>
        <v>0.02923976608</v>
      </c>
      <c r="S159" s="32">
        <f t="shared" si="156"/>
        <v>0.01851851852</v>
      </c>
      <c r="T159" s="32">
        <f t="shared" si="156"/>
        <v>0.03177257525</v>
      </c>
    </row>
    <row r="160" ht="15.75" customHeight="1">
      <c r="A160" s="17">
        <f>$H$7</f>
        <v>31</v>
      </c>
      <c r="B160" s="17">
        <f>$I$7</f>
        <v>32</v>
      </c>
      <c r="C160" s="17">
        <f>$J$7</f>
        <v>41</v>
      </c>
      <c r="D160" s="17">
        <f>$K$7</f>
        <v>42</v>
      </c>
      <c r="E160" s="17">
        <f>$L$7</f>
        <v>5</v>
      </c>
      <c r="F160" s="23"/>
      <c r="G160" s="19">
        <f>$G$14</f>
        <v>6</v>
      </c>
      <c r="H160" s="20">
        <v>172.0</v>
      </c>
      <c r="I160" s="20">
        <v>120.0</v>
      </c>
      <c r="J160" s="20">
        <v>4.0</v>
      </c>
      <c r="K160" s="20">
        <v>12.0</v>
      </c>
      <c r="L160" s="20">
        <v>15.0</v>
      </c>
      <c r="N160" s="23"/>
      <c r="O160" s="31">
        <f>$G$14</f>
        <v>6</v>
      </c>
      <c r="P160" s="32">
        <f t="shared" ref="P160:T160" si="157">H160/A$184</f>
        <v>0.01885758141</v>
      </c>
      <c r="Q160" s="32">
        <f t="shared" si="157"/>
        <v>0.03990688394</v>
      </c>
      <c r="R160" s="32">
        <f t="shared" si="157"/>
        <v>0.02339181287</v>
      </c>
      <c r="S160" s="32">
        <f t="shared" si="157"/>
        <v>0.03703703704</v>
      </c>
      <c r="T160" s="32">
        <f t="shared" si="157"/>
        <v>0.02508361204</v>
      </c>
    </row>
    <row r="161" ht="15.75" customHeight="1">
      <c r="F161" s="23"/>
      <c r="G161" s="19">
        <f>$G$15</f>
        <v>7</v>
      </c>
      <c r="H161" s="20">
        <v>278.0</v>
      </c>
      <c r="I161" s="20">
        <v>123.0</v>
      </c>
      <c r="J161" s="20">
        <v>14.0</v>
      </c>
      <c r="K161" s="20">
        <v>13.0</v>
      </c>
      <c r="L161" s="20">
        <v>26.0</v>
      </c>
      <c r="N161" s="23"/>
      <c r="O161" s="31">
        <f>$G$15</f>
        <v>7</v>
      </c>
      <c r="P161" s="32">
        <f t="shared" ref="P161:T161" si="158">H161/A$184</f>
        <v>0.03047911413</v>
      </c>
      <c r="Q161" s="32">
        <f t="shared" si="158"/>
        <v>0.04090455604</v>
      </c>
      <c r="R161" s="32">
        <f t="shared" si="158"/>
        <v>0.08187134503</v>
      </c>
      <c r="S161" s="32">
        <f t="shared" si="158"/>
        <v>0.04012345679</v>
      </c>
      <c r="T161" s="32">
        <f t="shared" si="158"/>
        <v>0.04347826087</v>
      </c>
    </row>
    <row r="162" ht="15.75" customHeight="1">
      <c r="F162" s="23"/>
      <c r="G162" s="19">
        <f>$G$16</f>
        <v>8</v>
      </c>
      <c r="H162" s="20">
        <v>288.0</v>
      </c>
      <c r="I162" s="20">
        <v>129.0</v>
      </c>
      <c r="J162" s="20">
        <v>10.0</v>
      </c>
      <c r="K162" s="20">
        <v>23.0</v>
      </c>
      <c r="L162" s="20">
        <v>45.0</v>
      </c>
      <c r="N162" s="23"/>
      <c r="O162" s="31">
        <f>$G$16</f>
        <v>8</v>
      </c>
      <c r="P162" s="32">
        <f t="shared" ref="P162:T162" si="159">H162/A$184</f>
        <v>0.03157548514</v>
      </c>
      <c r="Q162" s="32">
        <f t="shared" si="159"/>
        <v>0.04289990023</v>
      </c>
      <c r="R162" s="32">
        <f t="shared" si="159"/>
        <v>0.05847953216</v>
      </c>
      <c r="S162" s="32">
        <f t="shared" si="159"/>
        <v>0.07098765432</v>
      </c>
      <c r="T162" s="32">
        <f t="shared" si="159"/>
        <v>0.07525083612</v>
      </c>
    </row>
    <row r="163" ht="15.75" customHeight="1">
      <c r="F163" s="23"/>
      <c r="G163" s="19">
        <f>$G$17</f>
        <v>9</v>
      </c>
      <c r="H163" s="20">
        <v>369.0</v>
      </c>
      <c r="I163" s="20">
        <v>126.0</v>
      </c>
      <c r="J163" s="20">
        <v>8.0</v>
      </c>
      <c r="K163" s="20">
        <v>19.0</v>
      </c>
      <c r="L163" s="20">
        <v>66.0</v>
      </c>
      <c r="N163" s="23"/>
      <c r="O163" s="31">
        <f>$G$17</f>
        <v>9</v>
      </c>
      <c r="P163" s="32">
        <f t="shared" ref="P163:T163" si="160">H163/A$184</f>
        <v>0.04045609034</v>
      </c>
      <c r="Q163" s="32">
        <f t="shared" si="160"/>
        <v>0.04190222813</v>
      </c>
      <c r="R163" s="32">
        <f t="shared" si="160"/>
        <v>0.04678362573</v>
      </c>
      <c r="S163" s="32">
        <f t="shared" si="160"/>
        <v>0.05864197531</v>
      </c>
      <c r="T163" s="32">
        <f t="shared" si="160"/>
        <v>0.110367893</v>
      </c>
    </row>
    <row r="164" ht="15.75" customHeight="1">
      <c r="F164" s="23"/>
      <c r="G164" s="19">
        <f>$G$18</f>
        <v>10</v>
      </c>
      <c r="H164" s="20">
        <v>438.0</v>
      </c>
      <c r="I164" s="20">
        <v>148.0</v>
      </c>
      <c r="J164" s="20">
        <v>8.0</v>
      </c>
      <c r="K164" s="20">
        <v>19.0</v>
      </c>
      <c r="L164" s="20">
        <v>61.0</v>
      </c>
      <c r="N164" s="23"/>
      <c r="O164" s="31">
        <f>$G$18</f>
        <v>10</v>
      </c>
      <c r="P164" s="32">
        <f t="shared" ref="P164:T164" si="161">H164/A$184</f>
        <v>0.04802105032</v>
      </c>
      <c r="Q164" s="32">
        <f t="shared" si="161"/>
        <v>0.04921849019</v>
      </c>
      <c r="R164" s="32">
        <f t="shared" si="161"/>
        <v>0.04678362573</v>
      </c>
      <c r="S164" s="32">
        <f t="shared" si="161"/>
        <v>0.05864197531</v>
      </c>
      <c r="T164" s="32">
        <f t="shared" si="161"/>
        <v>0.102006689</v>
      </c>
    </row>
    <row r="165" ht="15.75" customHeight="1">
      <c r="F165" s="23"/>
      <c r="G165" s="19">
        <f>$G$19</f>
        <v>11</v>
      </c>
      <c r="H165" s="20">
        <v>474.0</v>
      </c>
      <c r="I165" s="20">
        <v>163.0</v>
      </c>
      <c r="J165" s="20">
        <v>7.0</v>
      </c>
      <c r="K165" s="20">
        <v>27.0</v>
      </c>
      <c r="L165" s="20">
        <v>54.0</v>
      </c>
      <c r="N165" s="23"/>
      <c r="O165" s="31">
        <f>$G$19</f>
        <v>11</v>
      </c>
      <c r="P165" s="32">
        <f t="shared" ref="P165:T165" si="162">H165/A$184</f>
        <v>0.05196798597</v>
      </c>
      <c r="Q165" s="32">
        <f t="shared" si="162"/>
        <v>0.05420685068</v>
      </c>
      <c r="R165" s="32">
        <f t="shared" si="162"/>
        <v>0.04093567251</v>
      </c>
      <c r="S165" s="32">
        <f t="shared" si="162"/>
        <v>0.08333333333</v>
      </c>
      <c r="T165" s="32">
        <f t="shared" si="162"/>
        <v>0.09030100334</v>
      </c>
    </row>
    <row r="166" ht="15.75" customHeight="1">
      <c r="F166" s="23"/>
      <c r="G166" s="19">
        <f>$G$20</f>
        <v>12</v>
      </c>
      <c r="H166" s="20">
        <v>514.0</v>
      </c>
      <c r="I166" s="20">
        <v>170.0</v>
      </c>
      <c r="J166" s="20">
        <v>14.0</v>
      </c>
      <c r="K166" s="20">
        <v>27.0</v>
      </c>
      <c r="L166" s="20">
        <v>53.0</v>
      </c>
      <c r="N166" s="23"/>
      <c r="O166" s="31">
        <f>$G$20</f>
        <v>12</v>
      </c>
      <c r="P166" s="32">
        <f t="shared" ref="P166:T166" si="163">H166/A$184</f>
        <v>0.05635347001</v>
      </c>
      <c r="Q166" s="32">
        <f t="shared" si="163"/>
        <v>0.05653475224</v>
      </c>
      <c r="R166" s="32">
        <f t="shared" si="163"/>
        <v>0.08187134503</v>
      </c>
      <c r="S166" s="32">
        <f t="shared" si="163"/>
        <v>0.08333333333</v>
      </c>
      <c r="T166" s="32">
        <f t="shared" si="163"/>
        <v>0.08862876254</v>
      </c>
    </row>
    <row r="167" ht="15.75" customHeight="1">
      <c r="F167" s="23"/>
      <c r="G167" s="19">
        <f>$G$21</f>
        <v>13</v>
      </c>
      <c r="H167" s="20">
        <v>562.0</v>
      </c>
      <c r="I167" s="20">
        <v>174.0</v>
      </c>
      <c r="J167" s="20">
        <v>3.0</v>
      </c>
      <c r="K167" s="20">
        <v>20.0</v>
      </c>
      <c r="L167" s="20">
        <v>57.0</v>
      </c>
      <c r="N167" s="23"/>
      <c r="O167" s="31">
        <f>$G$21</f>
        <v>13</v>
      </c>
      <c r="P167" s="32">
        <f t="shared" ref="P167:T167" si="164">H167/A$184</f>
        <v>0.06161605087</v>
      </c>
      <c r="Q167" s="32">
        <f t="shared" si="164"/>
        <v>0.05786498171</v>
      </c>
      <c r="R167" s="32">
        <f t="shared" si="164"/>
        <v>0.01754385965</v>
      </c>
      <c r="S167" s="32">
        <f t="shared" si="164"/>
        <v>0.06172839506</v>
      </c>
      <c r="T167" s="32">
        <f t="shared" si="164"/>
        <v>0.09531772575</v>
      </c>
    </row>
    <row r="168" ht="15.75" customHeight="1">
      <c r="F168" s="23"/>
      <c r="G168" s="19">
        <f>$G$22</f>
        <v>14</v>
      </c>
      <c r="H168" s="20">
        <v>641.0</v>
      </c>
      <c r="I168" s="20">
        <v>225.0</v>
      </c>
      <c r="J168" s="20">
        <v>6.0</v>
      </c>
      <c r="K168" s="20">
        <v>18.0</v>
      </c>
      <c r="L168" s="20">
        <v>44.0</v>
      </c>
      <c r="N168" s="23"/>
      <c r="O168" s="31">
        <f>$G$22</f>
        <v>14</v>
      </c>
      <c r="P168" s="32">
        <f t="shared" ref="P168:T168" si="165">H168/A$184</f>
        <v>0.07027738187</v>
      </c>
      <c r="Q168" s="32">
        <f t="shared" si="165"/>
        <v>0.07482540738</v>
      </c>
      <c r="R168" s="32">
        <f t="shared" si="165"/>
        <v>0.0350877193</v>
      </c>
      <c r="S168" s="32">
        <f t="shared" si="165"/>
        <v>0.05555555556</v>
      </c>
      <c r="T168" s="32">
        <f t="shared" si="165"/>
        <v>0.07357859532</v>
      </c>
    </row>
    <row r="169" ht="15.75" customHeight="1">
      <c r="F169" s="23"/>
      <c r="G169" s="19">
        <f>$G$23</f>
        <v>15</v>
      </c>
      <c r="H169" s="20">
        <v>735.0</v>
      </c>
      <c r="I169" s="20">
        <v>208.0</v>
      </c>
      <c r="J169" s="20">
        <v>16.0</v>
      </c>
      <c r="K169" s="20">
        <v>12.0</v>
      </c>
      <c r="L169" s="20">
        <v>50.0</v>
      </c>
      <c r="N169" s="23"/>
      <c r="O169" s="31">
        <f>$G$23</f>
        <v>15</v>
      </c>
      <c r="P169" s="32">
        <f t="shared" ref="P169:T169" si="166">H169/A$184</f>
        <v>0.08058326938</v>
      </c>
      <c r="Q169" s="32">
        <f t="shared" si="166"/>
        <v>0.06917193216</v>
      </c>
      <c r="R169" s="32">
        <f t="shared" si="166"/>
        <v>0.09356725146</v>
      </c>
      <c r="S169" s="32">
        <f t="shared" si="166"/>
        <v>0.03703703704</v>
      </c>
      <c r="T169" s="32">
        <f t="shared" si="166"/>
        <v>0.08361204013</v>
      </c>
    </row>
    <row r="170" ht="15.75" customHeight="1">
      <c r="F170" s="23"/>
      <c r="G170" s="19">
        <f>$G$24</f>
        <v>16</v>
      </c>
      <c r="H170" s="20">
        <v>828.0</v>
      </c>
      <c r="I170" s="20">
        <v>277.0</v>
      </c>
      <c r="J170" s="20">
        <v>12.0</v>
      </c>
      <c r="K170" s="20">
        <v>26.0</v>
      </c>
      <c r="L170" s="20">
        <v>21.0</v>
      </c>
      <c r="N170" s="23"/>
      <c r="O170" s="31">
        <f>$G$24</f>
        <v>16</v>
      </c>
      <c r="P170" s="32">
        <f t="shared" ref="P170:T170" si="167">H170/A$184</f>
        <v>0.09077951979</v>
      </c>
      <c r="Q170" s="32">
        <f t="shared" si="167"/>
        <v>0.09211839042</v>
      </c>
      <c r="R170" s="32">
        <f t="shared" si="167"/>
        <v>0.0701754386</v>
      </c>
      <c r="S170" s="32">
        <f t="shared" si="167"/>
        <v>0.08024691358</v>
      </c>
      <c r="T170" s="32">
        <f t="shared" si="167"/>
        <v>0.03511705686</v>
      </c>
    </row>
    <row r="171" ht="15.75" customHeight="1">
      <c r="F171" s="23"/>
      <c r="G171" s="19">
        <f>$G$25</f>
        <v>17</v>
      </c>
      <c r="H171" s="20">
        <v>794.0</v>
      </c>
      <c r="I171" s="20">
        <v>262.0</v>
      </c>
      <c r="J171" s="20">
        <v>26.0</v>
      </c>
      <c r="K171" s="20">
        <v>22.0</v>
      </c>
      <c r="L171" s="20">
        <v>16.0</v>
      </c>
      <c r="N171" s="23"/>
      <c r="O171" s="31">
        <f>$G$25</f>
        <v>17</v>
      </c>
      <c r="P171" s="32">
        <f t="shared" ref="P171:T171" si="168">H171/A$184</f>
        <v>0.08705185835</v>
      </c>
      <c r="Q171" s="32">
        <f t="shared" si="168"/>
        <v>0.08713002993</v>
      </c>
      <c r="R171" s="32">
        <f t="shared" si="168"/>
        <v>0.1520467836</v>
      </c>
      <c r="S171" s="32">
        <f t="shared" si="168"/>
        <v>0.06790123457</v>
      </c>
      <c r="T171" s="32">
        <f t="shared" si="168"/>
        <v>0.02675585284</v>
      </c>
    </row>
    <row r="172" ht="15.75" customHeight="1">
      <c r="F172" s="23"/>
      <c r="G172" s="19">
        <f>$G$26</f>
        <v>18</v>
      </c>
      <c r="H172" s="20">
        <v>770.0</v>
      </c>
      <c r="I172" s="20">
        <v>234.0</v>
      </c>
      <c r="J172" s="20">
        <v>11.0</v>
      </c>
      <c r="K172" s="20">
        <v>17.0</v>
      </c>
      <c r="L172" s="20">
        <v>7.0</v>
      </c>
      <c r="N172" s="23"/>
      <c r="O172" s="31">
        <f>$G$26</f>
        <v>18</v>
      </c>
      <c r="P172" s="32">
        <f t="shared" ref="P172:T172" si="169">H172/A$184</f>
        <v>0.08442056792</v>
      </c>
      <c r="Q172" s="32">
        <f t="shared" si="169"/>
        <v>0.07781842368</v>
      </c>
      <c r="R172" s="32">
        <f t="shared" si="169"/>
        <v>0.06432748538</v>
      </c>
      <c r="S172" s="32">
        <f t="shared" si="169"/>
        <v>0.0524691358</v>
      </c>
      <c r="T172" s="32">
        <f t="shared" si="169"/>
        <v>0.01170568562</v>
      </c>
    </row>
    <row r="173" ht="15.75" customHeight="1">
      <c r="F173" s="23"/>
      <c r="G173" s="19">
        <f>$G$27</f>
        <v>19</v>
      </c>
      <c r="H173" s="20">
        <v>646.0</v>
      </c>
      <c r="I173" s="20">
        <v>169.0</v>
      </c>
      <c r="J173" s="20">
        <v>4.0</v>
      </c>
      <c r="K173" s="20">
        <v>10.0</v>
      </c>
      <c r="L173" s="20">
        <v>8.0</v>
      </c>
      <c r="N173" s="23"/>
      <c r="O173" s="31">
        <f>$G$27</f>
        <v>19</v>
      </c>
      <c r="P173" s="32">
        <f t="shared" ref="P173:T173" si="170">H173/A$184</f>
        <v>0.07082556737</v>
      </c>
      <c r="Q173" s="32">
        <f t="shared" si="170"/>
        <v>0.05620219488</v>
      </c>
      <c r="R173" s="32">
        <f t="shared" si="170"/>
        <v>0.02339181287</v>
      </c>
      <c r="S173" s="32">
        <f t="shared" si="170"/>
        <v>0.03086419753</v>
      </c>
      <c r="T173" s="32">
        <f t="shared" si="170"/>
        <v>0.01337792642</v>
      </c>
    </row>
    <row r="174" ht="15.75" customHeight="1">
      <c r="F174" s="23"/>
      <c r="G174" s="19">
        <f>$G$28</f>
        <v>20</v>
      </c>
      <c r="H174" s="20">
        <v>498.0</v>
      </c>
      <c r="I174" s="20">
        <v>128.0</v>
      </c>
      <c r="J174" s="20">
        <v>17.0</v>
      </c>
      <c r="K174" s="20">
        <v>12.0</v>
      </c>
      <c r="L174" s="20">
        <v>17.0</v>
      </c>
      <c r="N174" s="23"/>
      <c r="O174" s="31">
        <f>$G$28</f>
        <v>20</v>
      </c>
      <c r="P174" s="32">
        <f t="shared" ref="P174:T174" si="171">H174/A$184</f>
        <v>0.0545992764</v>
      </c>
      <c r="Q174" s="32">
        <f t="shared" si="171"/>
        <v>0.04256734287</v>
      </c>
      <c r="R174" s="32">
        <f t="shared" si="171"/>
        <v>0.09941520468</v>
      </c>
      <c r="S174" s="32">
        <f t="shared" si="171"/>
        <v>0.03703703704</v>
      </c>
      <c r="T174" s="32">
        <f t="shared" si="171"/>
        <v>0.02842809365</v>
      </c>
    </row>
    <row r="175" ht="15.75" customHeight="1">
      <c r="F175" s="23"/>
      <c r="G175" s="19">
        <f>$G$29</f>
        <v>21</v>
      </c>
      <c r="H175" s="20">
        <v>386.0</v>
      </c>
      <c r="I175" s="20">
        <v>108.0</v>
      </c>
      <c r="J175" s="20">
        <v>2.0</v>
      </c>
      <c r="K175" s="20">
        <v>8.0</v>
      </c>
      <c r="L175" s="20">
        <v>6.0</v>
      </c>
      <c r="N175" s="23"/>
      <c r="O175" s="31">
        <f>$G$29</f>
        <v>21</v>
      </c>
      <c r="P175" s="32">
        <f t="shared" ref="P175:T175" si="172">H175/A$184</f>
        <v>0.04231992106</v>
      </c>
      <c r="Q175" s="32">
        <f t="shared" si="172"/>
        <v>0.03591619554</v>
      </c>
      <c r="R175" s="32">
        <f t="shared" si="172"/>
        <v>0.01169590643</v>
      </c>
      <c r="S175" s="32">
        <f t="shared" si="172"/>
        <v>0.02469135802</v>
      </c>
      <c r="T175" s="32">
        <f t="shared" si="172"/>
        <v>0.01003344482</v>
      </c>
    </row>
    <row r="176" ht="15.75" customHeight="1">
      <c r="F176" s="23"/>
      <c r="G176" s="19">
        <f>$G$30</f>
        <v>22</v>
      </c>
      <c r="H176" s="20">
        <v>243.0</v>
      </c>
      <c r="I176" s="20">
        <v>74.0</v>
      </c>
      <c r="J176" s="20">
        <v>2.0</v>
      </c>
      <c r="K176" s="20">
        <v>4.0</v>
      </c>
      <c r="L176" s="20">
        <v>2.0</v>
      </c>
      <c r="N176" s="23"/>
      <c r="O176" s="31">
        <f>$G$30</f>
        <v>22</v>
      </c>
      <c r="P176" s="32">
        <f t="shared" ref="P176:T176" si="173">H176/A$184</f>
        <v>0.02664181559</v>
      </c>
      <c r="Q176" s="32">
        <f t="shared" si="173"/>
        <v>0.02460924509</v>
      </c>
      <c r="R176" s="32">
        <f t="shared" si="173"/>
        <v>0.01169590643</v>
      </c>
      <c r="S176" s="32">
        <f t="shared" si="173"/>
        <v>0.01234567901</v>
      </c>
      <c r="T176" s="32">
        <f t="shared" si="173"/>
        <v>0.003344481605</v>
      </c>
    </row>
    <row r="177" ht="15.75" customHeight="1">
      <c r="F177" s="27"/>
      <c r="G177" s="19">
        <f>$G$31</f>
        <v>23</v>
      </c>
      <c r="H177" s="20">
        <v>162.0</v>
      </c>
      <c r="I177" s="20">
        <v>38.0</v>
      </c>
      <c r="J177" s="20">
        <v>1.0</v>
      </c>
      <c r="K177" s="20">
        <v>5.0</v>
      </c>
      <c r="L177" s="20">
        <v>3.0</v>
      </c>
      <c r="N177" s="27"/>
      <c r="O177" s="31">
        <f>$G$31</f>
        <v>23</v>
      </c>
      <c r="P177" s="32">
        <f t="shared" ref="P177:T177" si="174">H177/A$184</f>
        <v>0.01776121039</v>
      </c>
      <c r="Q177" s="32">
        <f t="shared" si="174"/>
        <v>0.01263717991</v>
      </c>
      <c r="R177" s="32">
        <f t="shared" si="174"/>
        <v>0.005847953216</v>
      </c>
      <c r="S177" s="32">
        <f t="shared" si="174"/>
        <v>0.01543209877</v>
      </c>
      <c r="T177" s="32">
        <f t="shared" si="174"/>
        <v>0.005016722408</v>
      </c>
    </row>
    <row r="178" ht="15.75" customHeight="1">
      <c r="F178" s="56">
        <v>45214.0</v>
      </c>
      <c r="G178" s="19">
        <f>$G$8</f>
        <v>0</v>
      </c>
      <c r="H178" s="20">
        <v>102.0</v>
      </c>
      <c r="I178" s="20">
        <v>28.0</v>
      </c>
      <c r="J178" s="20">
        <v>1.0</v>
      </c>
      <c r="K178" s="20">
        <v>2.0</v>
      </c>
      <c r="L178" s="20">
        <v>1.0</v>
      </c>
      <c r="N178" s="56">
        <v>45214.0</v>
      </c>
      <c r="O178" s="19">
        <f>$G$8</f>
        <v>0</v>
      </c>
      <c r="P178" s="40">
        <f t="shared" ref="P178:T178" si="175">H178/H$214</f>
        <v>0.008032128514</v>
      </c>
      <c r="Q178" s="40">
        <f t="shared" si="175"/>
        <v>0.008343265793</v>
      </c>
      <c r="R178" s="40">
        <f t="shared" si="175"/>
        <v>0.003484320557</v>
      </c>
      <c r="S178" s="40">
        <f t="shared" si="175"/>
        <v>0.0127388535</v>
      </c>
      <c r="T178" s="40">
        <f t="shared" si="175"/>
        <v>0.004237288136</v>
      </c>
    </row>
    <row r="179" ht="15.75" customHeight="1">
      <c r="F179" s="23"/>
      <c r="G179" s="19">
        <f>$G$9</f>
        <v>1</v>
      </c>
      <c r="H179" s="20">
        <v>70.0</v>
      </c>
      <c r="I179" s="20">
        <v>21.0</v>
      </c>
      <c r="J179" s="20">
        <v>1.0</v>
      </c>
      <c r="K179" s="20">
        <v>4.0</v>
      </c>
      <c r="L179" s="20"/>
      <c r="N179" s="23"/>
      <c r="O179" s="19">
        <f>$G$9</f>
        <v>1</v>
      </c>
      <c r="P179" s="40">
        <f t="shared" ref="P179:T179" si="176">H179/H$214</f>
        <v>0.005512245059</v>
      </c>
      <c r="Q179" s="40">
        <f t="shared" si="176"/>
        <v>0.006257449344</v>
      </c>
      <c r="R179" s="40">
        <f t="shared" si="176"/>
        <v>0.003484320557</v>
      </c>
      <c r="S179" s="40">
        <f t="shared" si="176"/>
        <v>0.02547770701</v>
      </c>
      <c r="T179" s="40">
        <f t="shared" si="176"/>
        <v>0</v>
      </c>
    </row>
    <row r="180" ht="15.75" customHeight="1">
      <c r="F180" s="23"/>
      <c r="G180" s="19">
        <f>$G$10</f>
        <v>2</v>
      </c>
      <c r="H180" s="16">
        <v>62.0</v>
      </c>
      <c r="I180" s="16">
        <v>19.0</v>
      </c>
      <c r="J180" s="16"/>
      <c r="K180" s="16">
        <v>1.0</v>
      </c>
      <c r="L180" s="16">
        <v>4.0</v>
      </c>
      <c r="N180" s="23"/>
      <c r="O180" s="19">
        <f>$G$10</f>
        <v>2</v>
      </c>
      <c r="P180" s="40">
        <f t="shared" ref="P180:T180" si="177">H180/H$214</f>
        <v>0.004882274195</v>
      </c>
      <c r="Q180" s="40">
        <f t="shared" si="177"/>
        <v>0.005661501788</v>
      </c>
      <c r="R180" s="40">
        <f t="shared" si="177"/>
        <v>0</v>
      </c>
      <c r="S180" s="40">
        <f t="shared" si="177"/>
        <v>0.006369426752</v>
      </c>
      <c r="T180" s="40">
        <f t="shared" si="177"/>
        <v>0.01694915254</v>
      </c>
    </row>
    <row r="181" ht="15.75" customHeight="1">
      <c r="F181" s="23"/>
      <c r="G181" s="19">
        <f>$G$11</f>
        <v>3</v>
      </c>
      <c r="H181" s="20">
        <v>45.0</v>
      </c>
      <c r="I181" s="20">
        <v>12.0</v>
      </c>
      <c r="J181" s="20">
        <v>2.0</v>
      </c>
      <c r="K181" s="20">
        <v>2.0</v>
      </c>
      <c r="L181" s="20">
        <v>3.0</v>
      </c>
      <c r="N181" s="23"/>
      <c r="O181" s="19">
        <f>$G$11</f>
        <v>3</v>
      </c>
      <c r="P181" s="40">
        <f t="shared" ref="P181:T181" si="178">H181/H$214</f>
        <v>0.003543586109</v>
      </c>
      <c r="Q181" s="40">
        <f t="shared" si="178"/>
        <v>0.00357568534</v>
      </c>
      <c r="R181" s="40">
        <f t="shared" si="178"/>
        <v>0.006968641115</v>
      </c>
      <c r="S181" s="40">
        <f t="shared" si="178"/>
        <v>0.0127388535</v>
      </c>
      <c r="T181" s="40">
        <f t="shared" si="178"/>
        <v>0.01271186441</v>
      </c>
    </row>
    <row r="182" ht="15.75" customHeight="1">
      <c r="F182" s="23"/>
      <c r="G182" s="19">
        <f>$G$12</f>
        <v>4</v>
      </c>
      <c r="H182" s="20">
        <v>40.0</v>
      </c>
      <c r="I182" s="20">
        <v>15.0</v>
      </c>
      <c r="J182" s="20">
        <v>1.0</v>
      </c>
      <c r="K182" s="20">
        <v>2.0</v>
      </c>
      <c r="L182" s="20">
        <v>1.0</v>
      </c>
      <c r="N182" s="23"/>
      <c r="O182" s="19">
        <f>$G$12</f>
        <v>4</v>
      </c>
      <c r="P182" s="40">
        <f t="shared" ref="P182:T182" si="179">H182/H$214</f>
        <v>0.003149854319</v>
      </c>
      <c r="Q182" s="40">
        <f t="shared" si="179"/>
        <v>0.004469606675</v>
      </c>
      <c r="R182" s="40">
        <f t="shared" si="179"/>
        <v>0.003484320557</v>
      </c>
      <c r="S182" s="40">
        <f t="shared" si="179"/>
        <v>0.0127388535</v>
      </c>
      <c r="T182" s="40">
        <f t="shared" si="179"/>
        <v>0.004237288136</v>
      </c>
    </row>
    <row r="183" ht="15.75" customHeight="1">
      <c r="F183" s="23"/>
      <c r="G183" s="19">
        <f>$G$13</f>
        <v>5</v>
      </c>
      <c r="H183" s="20">
        <v>49.0</v>
      </c>
      <c r="I183" s="20">
        <v>26.0</v>
      </c>
      <c r="J183" s="20">
        <v>3.0</v>
      </c>
      <c r="K183" s="20">
        <v>4.0</v>
      </c>
      <c r="L183" s="20">
        <v>2.0</v>
      </c>
      <c r="N183" s="23"/>
      <c r="O183" s="19">
        <f>$G$13</f>
        <v>5</v>
      </c>
      <c r="P183" s="40">
        <f t="shared" ref="P183:T183" si="180">H183/H$214</f>
        <v>0.003858571541</v>
      </c>
      <c r="Q183" s="40">
        <f t="shared" si="180"/>
        <v>0.007747318236</v>
      </c>
      <c r="R183" s="40">
        <f t="shared" si="180"/>
        <v>0.01045296167</v>
      </c>
      <c r="S183" s="40">
        <f t="shared" si="180"/>
        <v>0.02547770701</v>
      </c>
      <c r="T183" s="40">
        <f t="shared" si="180"/>
        <v>0.008474576271</v>
      </c>
    </row>
    <row r="184" ht="15.75" customHeight="1">
      <c r="A184" s="26">
        <f t="shared" ref="A184:E184" si="181">SUM(H154:H177)</f>
        <v>9121</v>
      </c>
      <c r="B184" s="26">
        <f t="shared" si="181"/>
        <v>3007</v>
      </c>
      <c r="C184" s="26">
        <f t="shared" si="181"/>
        <v>171</v>
      </c>
      <c r="D184" s="26">
        <f t="shared" si="181"/>
        <v>324</v>
      </c>
      <c r="E184" s="26">
        <f t="shared" si="181"/>
        <v>598</v>
      </c>
      <c r="F184" s="23"/>
      <c r="G184" s="19">
        <f>$G$14</f>
        <v>6</v>
      </c>
      <c r="H184" s="20">
        <v>150.0</v>
      </c>
      <c r="I184" s="20">
        <v>71.0</v>
      </c>
      <c r="J184" s="20">
        <v>4.0</v>
      </c>
      <c r="K184" s="20">
        <v>8.0</v>
      </c>
      <c r="L184" s="20">
        <v>7.0</v>
      </c>
      <c r="N184" s="23"/>
      <c r="O184" s="19">
        <f>$G$14</f>
        <v>6</v>
      </c>
      <c r="P184" s="40">
        <f t="shared" ref="P184:T184" si="182">H184/H$214</f>
        <v>0.0118119537</v>
      </c>
      <c r="Q184" s="40">
        <f t="shared" si="182"/>
        <v>0.02115613826</v>
      </c>
      <c r="R184" s="40">
        <f t="shared" si="182"/>
        <v>0.01393728223</v>
      </c>
      <c r="S184" s="40">
        <f t="shared" si="182"/>
        <v>0.05095541401</v>
      </c>
      <c r="T184" s="40">
        <f t="shared" si="182"/>
        <v>0.02966101695</v>
      </c>
    </row>
    <row r="185" ht="15.75" customHeight="1">
      <c r="A185" s="17">
        <f>$H$7</f>
        <v>31</v>
      </c>
      <c r="B185" s="17">
        <f>$I$7</f>
        <v>32</v>
      </c>
      <c r="C185" s="17">
        <f>$J$7</f>
        <v>41</v>
      </c>
      <c r="D185" s="17">
        <f>$K$7</f>
        <v>42</v>
      </c>
      <c r="E185" s="17">
        <f>$L$7</f>
        <v>5</v>
      </c>
      <c r="F185" s="23"/>
      <c r="G185" s="19">
        <f>$G$15</f>
        <v>7</v>
      </c>
      <c r="H185" s="20">
        <v>174.0</v>
      </c>
      <c r="I185" s="20">
        <v>67.0</v>
      </c>
      <c r="J185" s="20">
        <v>7.0</v>
      </c>
      <c r="K185" s="20">
        <v>7.0</v>
      </c>
      <c r="L185" s="20">
        <v>9.0</v>
      </c>
      <c r="N185" s="23"/>
      <c r="O185" s="19">
        <f>$G$15</f>
        <v>7</v>
      </c>
      <c r="P185" s="40">
        <f t="shared" ref="P185:T185" si="183">H185/H$214</f>
        <v>0.01370186629</v>
      </c>
      <c r="Q185" s="40">
        <f t="shared" si="183"/>
        <v>0.01996424315</v>
      </c>
      <c r="R185" s="40">
        <f t="shared" si="183"/>
        <v>0.0243902439</v>
      </c>
      <c r="S185" s="40">
        <f t="shared" si="183"/>
        <v>0.04458598726</v>
      </c>
      <c r="T185" s="40">
        <f t="shared" si="183"/>
        <v>0.03813559322</v>
      </c>
    </row>
    <row r="186" ht="15.75" customHeight="1">
      <c r="F186" s="23"/>
      <c r="G186" s="19">
        <f>$G$16</f>
        <v>8</v>
      </c>
      <c r="H186" s="20">
        <v>269.0</v>
      </c>
      <c r="I186" s="20">
        <v>101.0</v>
      </c>
      <c r="J186" s="20">
        <v>19.0</v>
      </c>
      <c r="K186" s="20">
        <v>9.0</v>
      </c>
      <c r="L186" s="20">
        <v>24.0</v>
      </c>
      <c r="N186" s="23"/>
      <c r="O186" s="19">
        <f>$G$16</f>
        <v>8</v>
      </c>
      <c r="P186" s="40">
        <f t="shared" ref="P186:T186" si="184">H186/H$214</f>
        <v>0.0211827703</v>
      </c>
      <c r="Q186" s="40">
        <f t="shared" si="184"/>
        <v>0.03009535161</v>
      </c>
      <c r="R186" s="40">
        <f t="shared" si="184"/>
        <v>0.06620209059</v>
      </c>
      <c r="S186" s="40">
        <f t="shared" si="184"/>
        <v>0.05732484076</v>
      </c>
      <c r="T186" s="40">
        <f t="shared" si="184"/>
        <v>0.1016949153</v>
      </c>
    </row>
    <row r="187" ht="15.75" customHeight="1">
      <c r="F187" s="23"/>
      <c r="G187" s="19">
        <f>$G$17</f>
        <v>9</v>
      </c>
      <c r="H187" s="20">
        <v>346.0</v>
      </c>
      <c r="I187" s="20">
        <v>100.0</v>
      </c>
      <c r="J187" s="20">
        <v>12.0</v>
      </c>
      <c r="K187" s="20">
        <v>8.0</v>
      </c>
      <c r="L187" s="20">
        <v>28.0</v>
      </c>
      <c r="N187" s="23"/>
      <c r="O187" s="19">
        <f>$G$17</f>
        <v>9</v>
      </c>
      <c r="P187" s="40">
        <f t="shared" ref="P187:T187" si="185">H187/H$214</f>
        <v>0.02724623986</v>
      </c>
      <c r="Q187" s="40">
        <f t="shared" si="185"/>
        <v>0.02979737783</v>
      </c>
      <c r="R187" s="40">
        <f t="shared" si="185"/>
        <v>0.04181184669</v>
      </c>
      <c r="S187" s="40">
        <f t="shared" si="185"/>
        <v>0.05095541401</v>
      </c>
      <c r="T187" s="40">
        <f t="shared" si="185"/>
        <v>0.1186440678</v>
      </c>
    </row>
    <row r="188" ht="15.75" customHeight="1">
      <c r="F188" s="23"/>
      <c r="G188" s="19">
        <f>$G$18</f>
        <v>10</v>
      </c>
      <c r="H188" s="20">
        <v>447.0</v>
      </c>
      <c r="I188" s="20">
        <v>144.0</v>
      </c>
      <c r="J188" s="20">
        <v>13.0</v>
      </c>
      <c r="K188" s="20">
        <v>15.0</v>
      </c>
      <c r="L188" s="20">
        <v>31.0</v>
      </c>
      <c r="N188" s="23"/>
      <c r="O188" s="19">
        <f>$G$18</f>
        <v>10</v>
      </c>
      <c r="P188" s="40">
        <f t="shared" ref="P188:T188" si="186">H188/H$214</f>
        <v>0.03519962202</v>
      </c>
      <c r="Q188" s="40">
        <f t="shared" si="186"/>
        <v>0.04290822408</v>
      </c>
      <c r="R188" s="40">
        <f t="shared" si="186"/>
        <v>0.04529616725</v>
      </c>
      <c r="S188" s="40">
        <f t="shared" si="186"/>
        <v>0.09554140127</v>
      </c>
      <c r="T188" s="40">
        <f t="shared" si="186"/>
        <v>0.1313559322</v>
      </c>
    </row>
    <row r="189" ht="15.75" customHeight="1">
      <c r="F189" s="23"/>
      <c r="G189" s="19">
        <f>$G$19</f>
        <v>11</v>
      </c>
      <c r="H189" s="20">
        <v>545.0</v>
      </c>
      <c r="I189" s="20">
        <v>157.0</v>
      </c>
      <c r="J189" s="20">
        <v>9.0</v>
      </c>
      <c r="K189" s="20">
        <v>17.0</v>
      </c>
      <c r="L189" s="20">
        <v>26.0</v>
      </c>
      <c r="N189" s="23"/>
      <c r="O189" s="19">
        <f>$G$19</f>
        <v>11</v>
      </c>
      <c r="P189" s="40">
        <f t="shared" ref="P189:T189" si="187">H189/H$214</f>
        <v>0.0429167651</v>
      </c>
      <c r="Q189" s="40">
        <f t="shared" si="187"/>
        <v>0.04678188319</v>
      </c>
      <c r="R189" s="40">
        <f t="shared" si="187"/>
        <v>0.03135888502</v>
      </c>
      <c r="S189" s="40">
        <f t="shared" si="187"/>
        <v>0.1082802548</v>
      </c>
      <c r="T189" s="40">
        <f t="shared" si="187"/>
        <v>0.1101694915</v>
      </c>
    </row>
    <row r="190" ht="15.75" customHeight="1">
      <c r="F190" s="23"/>
      <c r="G190" s="19">
        <f>$G$20</f>
        <v>12</v>
      </c>
      <c r="H190" s="20">
        <v>758.0</v>
      </c>
      <c r="I190" s="20">
        <v>183.0</v>
      </c>
      <c r="J190" s="20">
        <v>8.0</v>
      </c>
      <c r="K190" s="20">
        <v>7.0</v>
      </c>
      <c r="L190" s="20">
        <v>15.0</v>
      </c>
      <c r="N190" s="23"/>
      <c r="O190" s="19">
        <f>$G$20</f>
        <v>12</v>
      </c>
      <c r="P190" s="40">
        <f t="shared" ref="P190:T190" si="188">H190/H$214</f>
        <v>0.05968973935</v>
      </c>
      <c r="Q190" s="40">
        <f t="shared" si="188"/>
        <v>0.05452920143</v>
      </c>
      <c r="R190" s="40">
        <f t="shared" si="188"/>
        <v>0.02787456446</v>
      </c>
      <c r="S190" s="40">
        <f t="shared" si="188"/>
        <v>0.04458598726</v>
      </c>
      <c r="T190" s="40">
        <f t="shared" si="188"/>
        <v>0.06355932203</v>
      </c>
    </row>
    <row r="191" ht="15.75" customHeight="1">
      <c r="F191" s="23"/>
      <c r="G191" s="19">
        <f>$G$21</f>
        <v>13</v>
      </c>
      <c r="H191" s="20">
        <v>952.0</v>
      </c>
      <c r="I191" s="20">
        <v>243.0</v>
      </c>
      <c r="J191" s="20">
        <v>20.0</v>
      </c>
      <c r="K191" s="20">
        <v>5.0</v>
      </c>
      <c r="L191" s="20">
        <v>15.0</v>
      </c>
      <c r="N191" s="23"/>
      <c r="O191" s="19">
        <f>$G$21</f>
        <v>13</v>
      </c>
      <c r="P191" s="40">
        <f t="shared" ref="P191:T191" si="189">H191/H$214</f>
        <v>0.0749665328</v>
      </c>
      <c r="Q191" s="40">
        <f t="shared" si="189"/>
        <v>0.07240762813</v>
      </c>
      <c r="R191" s="40">
        <f t="shared" si="189"/>
        <v>0.06968641115</v>
      </c>
      <c r="S191" s="40">
        <f t="shared" si="189"/>
        <v>0.03184713376</v>
      </c>
      <c r="T191" s="40">
        <f t="shared" si="189"/>
        <v>0.06355932203</v>
      </c>
    </row>
    <row r="192" ht="15.75" customHeight="1">
      <c r="F192" s="23"/>
      <c r="G192" s="19">
        <f>$G$22</f>
        <v>14</v>
      </c>
      <c r="H192" s="20">
        <v>1066.0</v>
      </c>
      <c r="I192" s="20">
        <v>274.0</v>
      </c>
      <c r="J192" s="20">
        <v>19.0</v>
      </c>
      <c r="K192" s="20">
        <v>7.0</v>
      </c>
      <c r="L192" s="20">
        <v>15.0</v>
      </c>
      <c r="N192" s="23"/>
      <c r="O192" s="19">
        <f>$G$22</f>
        <v>14</v>
      </c>
      <c r="P192" s="40">
        <f t="shared" ref="P192:T192" si="190">H192/H$214</f>
        <v>0.08394361761</v>
      </c>
      <c r="Q192" s="40">
        <f t="shared" si="190"/>
        <v>0.08164481526</v>
      </c>
      <c r="R192" s="40">
        <f t="shared" si="190"/>
        <v>0.06620209059</v>
      </c>
      <c r="S192" s="40">
        <f t="shared" si="190"/>
        <v>0.04458598726</v>
      </c>
      <c r="T192" s="40">
        <f t="shared" si="190"/>
        <v>0.06355932203</v>
      </c>
    </row>
    <row r="193" ht="15.75" customHeight="1">
      <c r="F193" s="23"/>
      <c r="G193" s="19">
        <f>$G$23</f>
        <v>15</v>
      </c>
      <c r="H193" s="20">
        <v>1249.0</v>
      </c>
      <c r="I193" s="20">
        <v>289.0</v>
      </c>
      <c r="J193" s="20">
        <v>14.0</v>
      </c>
      <c r="K193" s="20">
        <v>7.0</v>
      </c>
      <c r="L193" s="20">
        <v>10.0</v>
      </c>
      <c r="N193" s="23"/>
      <c r="O193" s="19">
        <f>$G$23</f>
        <v>15</v>
      </c>
      <c r="P193" s="40">
        <f t="shared" ref="P193:T193" si="191">H193/H$214</f>
        <v>0.09835420112</v>
      </c>
      <c r="Q193" s="40">
        <f t="shared" si="191"/>
        <v>0.08611442193</v>
      </c>
      <c r="R193" s="40">
        <f t="shared" si="191"/>
        <v>0.0487804878</v>
      </c>
      <c r="S193" s="40">
        <f t="shared" si="191"/>
        <v>0.04458598726</v>
      </c>
      <c r="T193" s="40">
        <f t="shared" si="191"/>
        <v>0.04237288136</v>
      </c>
    </row>
    <row r="194" ht="15.75" customHeight="1">
      <c r="F194" s="23"/>
      <c r="G194" s="19">
        <f>$G$24</f>
        <v>16</v>
      </c>
      <c r="H194" s="20">
        <v>1258.0</v>
      </c>
      <c r="I194" s="20">
        <v>314.0</v>
      </c>
      <c r="J194" s="20">
        <v>28.0</v>
      </c>
      <c r="K194" s="20">
        <v>7.0</v>
      </c>
      <c r="L194" s="20">
        <v>3.0</v>
      </c>
      <c r="N194" s="23"/>
      <c r="O194" s="19">
        <f>$G$24</f>
        <v>16</v>
      </c>
      <c r="P194" s="40">
        <f t="shared" ref="P194:T194" si="192">H194/H$214</f>
        <v>0.09906291834</v>
      </c>
      <c r="Q194" s="40">
        <f t="shared" si="192"/>
        <v>0.09356376639</v>
      </c>
      <c r="R194" s="40">
        <f t="shared" si="192"/>
        <v>0.09756097561</v>
      </c>
      <c r="S194" s="40">
        <f t="shared" si="192"/>
        <v>0.04458598726</v>
      </c>
      <c r="T194" s="40">
        <f t="shared" si="192"/>
        <v>0.01271186441</v>
      </c>
    </row>
    <row r="195" ht="15.75" customHeight="1">
      <c r="F195" s="23"/>
      <c r="G195" s="19">
        <f>$G$25</f>
        <v>17</v>
      </c>
      <c r="H195" s="20">
        <v>1193.0</v>
      </c>
      <c r="I195" s="20">
        <v>293.0</v>
      </c>
      <c r="J195" s="20">
        <v>25.0</v>
      </c>
      <c r="K195" s="20">
        <v>7.0</v>
      </c>
      <c r="L195" s="20">
        <v>4.0</v>
      </c>
      <c r="N195" s="23"/>
      <c r="O195" s="19">
        <f>$G$25</f>
        <v>17</v>
      </c>
      <c r="P195" s="40">
        <f t="shared" ref="P195:T195" si="193">H195/H$214</f>
        <v>0.09394440507</v>
      </c>
      <c r="Q195" s="40">
        <f t="shared" si="193"/>
        <v>0.08730631704</v>
      </c>
      <c r="R195" s="40">
        <f t="shared" si="193"/>
        <v>0.08710801394</v>
      </c>
      <c r="S195" s="40">
        <f t="shared" si="193"/>
        <v>0.04458598726</v>
      </c>
      <c r="T195" s="40">
        <f t="shared" si="193"/>
        <v>0.01694915254</v>
      </c>
    </row>
    <row r="196" ht="15.75" customHeight="1">
      <c r="F196" s="23"/>
      <c r="G196" s="19">
        <f>$G$26</f>
        <v>18</v>
      </c>
      <c r="H196" s="20">
        <v>1278.0</v>
      </c>
      <c r="I196" s="20">
        <v>279.0</v>
      </c>
      <c r="J196" s="20">
        <v>19.0</v>
      </c>
      <c r="K196" s="20">
        <v>10.0</v>
      </c>
      <c r="L196" s="20">
        <v>4.0</v>
      </c>
      <c r="N196" s="23"/>
      <c r="O196" s="19">
        <f>$G$26</f>
        <v>18</v>
      </c>
      <c r="P196" s="40">
        <f t="shared" ref="P196:T196" si="194">H196/H$214</f>
        <v>0.1006378455</v>
      </c>
      <c r="Q196" s="40">
        <f t="shared" si="194"/>
        <v>0.08313468415</v>
      </c>
      <c r="R196" s="40">
        <f t="shared" si="194"/>
        <v>0.06620209059</v>
      </c>
      <c r="S196" s="40">
        <f t="shared" si="194"/>
        <v>0.06369426752</v>
      </c>
      <c r="T196" s="40">
        <f t="shared" si="194"/>
        <v>0.01694915254</v>
      </c>
    </row>
    <row r="197" ht="15.75" customHeight="1">
      <c r="F197" s="23"/>
      <c r="G197" s="19">
        <f>$G$27</f>
        <v>19</v>
      </c>
      <c r="H197" s="20">
        <v>915.0</v>
      </c>
      <c r="I197" s="20">
        <v>255.0</v>
      </c>
      <c r="J197" s="20">
        <v>19.0</v>
      </c>
      <c r="K197" s="20">
        <v>8.0</v>
      </c>
      <c r="L197" s="20">
        <v>8.0</v>
      </c>
      <c r="N197" s="23"/>
      <c r="O197" s="19">
        <f>$G$27</f>
        <v>19</v>
      </c>
      <c r="P197" s="40">
        <f t="shared" ref="P197:T197" si="195">H197/H$214</f>
        <v>0.07205291755</v>
      </c>
      <c r="Q197" s="40">
        <f t="shared" si="195"/>
        <v>0.07598331347</v>
      </c>
      <c r="R197" s="40">
        <f t="shared" si="195"/>
        <v>0.06620209059</v>
      </c>
      <c r="S197" s="40">
        <f t="shared" si="195"/>
        <v>0.05095541401</v>
      </c>
      <c r="T197" s="40">
        <f t="shared" si="195"/>
        <v>0.03389830508</v>
      </c>
    </row>
    <row r="198" ht="15.75" customHeight="1">
      <c r="F198" s="23"/>
      <c r="G198" s="19">
        <f>$G$28</f>
        <v>20</v>
      </c>
      <c r="H198" s="20">
        <v>808.0</v>
      </c>
      <c r="I198" s="20">
        <v>206.0</v>
      </c>
      <c r="J198" s="20">
        <v>22.0</v>
      </c>
      <c r="K198" s="20">
        <v>5.0</v>
      </c>
      <c r="L198" s="20">
        <v>4.0</v>
      </c>
      <c r="N198" s="23"/>
      <c r="O198" s="19">
        <f>$G$28</f>
        <v>20</v>
      </c>
      <c r="P198" s="40">
        <f t="shared" ref="P198:T198" si="196">H198/H$214</f>
        <v>0.06362705725</v>
      </c>
      <c r="Q198" s="40">
        <f t="shared" si="196"/>
        <v>0.06138259833</v>
      </c>
      <c r="R198" s="40">
        <f t="shared" si="196"/>
        <v>0.07665505226</v>
      </c>
      <c r="S198" s="40">
        <f t="shared" si="196"/>
        <v>0.03184713376</v>
      </c>
      <c r="T198" s="40">
        <f t="shared" si="196"/>
        <v>0.01694915254</v>
      </c>
    </row>
    <row r="199" ht="15.75" customHeight="1">
      <c r="F199" s="23"/>
      <c r="G199" s="19">
        <f>$G$29</f>
        <v>21</v>
      </c>
      <c r="H199" s="20">
        <v>503.0</v>
      </c>
      <c r="I199" s="20">
        <v>128.0</v>
      </c>
      <c r="J199" s="20">
        <v>23.0</v>
      </c>
      <c r="K199" s="20">
        <v>8.0</v>
      </c>
      <c r="L199" s="20">
        <v>7.0</v>
      </c>
      <c r="N199" s="23"/>
      <c r="O199" s="19">
        <f>$G$29</f>
        <v>21</v>
      </c>
      <c r="P199" s="40">
        <f t="shared" ref="P199:T199" si="197">H199/H$214</f>
        <v>0.03960941806</v>
      </c>
      <c r="Q199" s="40">
        <f t="shared" si="197"/>
        <v>0.03814064362</v>
      </c>
      <c r="R199" s="40">
        <f t="shared" si="197"/>
        <v>0.08013937282</v>
      </c>
      <c r="S199" s="40">
        <f t="shared" si="197"/>
        <v>0.05095541401</v>
      </c>
      <c r="T199" s="40">
        <f t="shared" si="197"/>
        <v>0.02966101695</v>
      </c>
    </row>
    <row r="200" ht="15.75" customHeight="1">
      <c r="F200" s="23"/>
      <c r="G200" s="19">
        <f>$G$30</f>
        <v>22</v>
      </c>
      <c r="H200" s="20">
        <v>277.0</v>
      </c>
      <c r="I200" s="20">
        <v>63.0</v>
      </c>
      <c r="J200" s="20">
        <v>17.0</v>
      </c>
      <c r="K200" s="20">
        <v>3.0</v>
      </c>
      <c r="L200" s="20">
        <v>9.0</v>
      </c>
      <c r="N200" s="23"/>
      <c r="O200" s="19">
        <f>$G$30</f>
        <v>22</v>
      </c>
      <c r="P200" s="40">
        <f t="shared" ref="P200:T200" si="198">H200/H$214</f>
        <v>0.02181274116</v>
      </c>
      <c r="Q200" s="40">
        <f t="shared" si="198"/>
        <v>0.01877234803</v>
      </c>
      <c r="R200" s="40">
        <f t="shared" si="198"/>
        <v>0.05923344948</v>
      </c>
      <c r="S200" s="40">
        <f t="shared" si="198"/>
        <v>0.01910828025</v>
      </c>
      <c r="T200" s="40">
        <f t="shared" si="198"/>
        <v>0.03813559322</v>
      </c>
    </row>
    <row r="201" ht="15.75" customHeight="1">
      <c r="F201" s="27"/>
      <c r="G201" s="19">
        <f>$G$31</f>
        <v>23</v>
      </c>
      <c r="H201" s="20">
        <v>143.0</v>
      </c>
      <c r="I201" s="20">
        <v>68.0</v>
      </c>
      <c r="J201" s="20">
        <v>1.0</v>
      </c>
      <c r="K201" s="20">
        <v>4.0</v>
      </c>
      <c r="L201" s="20">
        <v>6.0</v>
      </c>
      <c r="N201" s="27"/>
      <c r="O201" s="19">
        <f>$G$31</f>
        <v>23</v>
      </c>
      <c r="P201" s="40">
        <f t="shared" ref="P201:T201" si="199">H201/H$214</f>
        <v>0.01126072919</v>
      </c>
      <c r="Q201" s="40">
        <f t="shared" si="199"/>
        <v>0.02026221692</v>
      </c>
      <c r="R201" s="40">
        <f t="shared" si="199"/>
        <v>0.003484320557</v>
      </c>
      <c r="S201" s="40">
        <f t="shared" si="199"/>
        <v>0.02547770701</v>
      </c>
      <c r="T201" s="40">
        <f t="shared" si="199"/>
        <v>0.02542372881</v>
      </c>
    </row>
    <row r="202" ht="15.75" customHeight="1">
      <c r="T202" s="22">
        <f>SUM(T178:T201)</f>
        <v>1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>
      <c r="A213" s="43"/>
      <c r="B213" s="59"/>
      <c r="C213" s="59"/>
      <c r="D213" s="59"/>
      <c r="E213" s="59"/>
    </row>
    <row r="214" ht="15.75" customHeight="1">
      <c r="F214" s="41"/>
      <c r="G214" s="16"/>
      <c r="H214" s="26">
        <f t="shared" ref="H214:L214" si="200">SUM(H178:H201)</f>
        <v>12699</v>
      </c>
      <c r="I214" s="26">
        <f t="shared" si="200"/>
        <v>3356</v>
      </c>
      <c r="J214" s="26">
        <f t="shared" si="200"/>
        <v>287</v>
      </c>
      <c r="K214" s="26">
        <f t="shared" si="200"/>
        <v>157</v>
      </c>
      <c r="L214" s="26">
        <f t="shared" si="200"/>
        <v>236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N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82.0</v>
      </c>
      <c r="I216" s="20">
        <v>42.0</v>
      </c>
      <c r="J216" s="20">
        <v>3.0</v>
      </c>
      <c r="K216" s="20">
        <v>4.0</v>
      </c>
      <c r="L216" s="20">
        <v>7.0</v>
      </c>
      <c r="N216" s="56">
        <v>45215.0</v>
      </c>
      <c r="O216" s="19">
        <f>$G$8</f>
        <v>0</v>
      </c>
      <c r="P216" s="40">
        <f t="shared" ref="P216:T216" si="201">H216/A$240</f>
        <v>0.01035092148</v>
      </c>
      <c r="Q216" s="40">
        <f t="shared" si="201"/>
        <v>0.01450777202</v>
      </c>
      <c r="R216" s="40">
        <f t="shared" si="201"/>
        <v>0.02419354839</v>
      </c>
      <c r="S216" s="40">
        <f t="shared" si="201"/>
        <v>0.007677543186</v>
      </c>
      <c r="T216" s="40">
        <f t="shared" si="201"/>
        <v>0.01090342679</v>
      </c>
    </row>
    <row r="217" ht="15.75" customHeight="1">
      <c r="F217" s="23"/>
      <c r="G217" s="19">
        <f>$G$9</f>
        <v>1</v>
      </c>
      <c r="H217" s="20">
        <v>50.0</v>
      </c>
      <c r="I217" s="20">
        <v>16.0</v>
      </c>
      <c r="J217" s="20"/>
      <c r="K217" s="20">
        <v>3.0</v>
      </c>
      <c r="L217" s="20">
        <v>1.0</v>
      </c>
      <c r="N217" s="23"/>
      <c r="O217" s="19">
        <f>$G$9</f>
        <v>1</v>
      </c>
      <c r="P217" s="40">
        <f t="shared" ref="P217:T217" si="202">H217/A$240</f>
        <v>0.006311537491</v>
      </c>
      <c r="Q217" s="40">
        <f t="shared" si="202"/>
        <v>0.005526770294</v>
      </c>
      <c r="R217" s="40">
        <f t="shared" si="202"/>
        <v>0</v>
      </c>
      <c r="S217" s="40">
        <f t="shared" si="202"/>
        <v>0.00575815739</v>
      </c>
      <c r="T217" s="40">
        <f t="shared" si="202"/>
        <v>0.001557632399</v>
      </c>
    </row>
    <row r="218" ht="15.75" customHeight="1">
      <c r="F218" s="23"/>
      <c r="G218" s="19">
        <f>$G$10</f>
        <v>2</v>
      </c>
      <c r="H218" s="16">
        <v>30.0</v>
      </c>
      <c r="I218" s="16">
        <v>10.0</v>
      </c>
      <c r="J218" s="16"/>
      <c r="K218" s="16"/>
      <c r="L218" s="16">
        <v>9.0</v>
      </c>
      <c r="N218" s="23"/>
      <c r="O218" s="19">
        <f>$G$10</f>
        <v>2</v>
      </c>
      <c r="P218" s="40">
        <f t="shared" ref="P218:T218" si="203">H218/A$240</f>
        <v>0.003786922494</v>
      </c>
      <c r="Q218" s="40">
        <f t="shared" si="203"/>
        <v>0.003454231434</v>
      </c>
      <c r="R218" s="40">
        <f t="shared" si="203"/>
        <v>0</v>
      </c>
      <c r="S218" s="40">
        <f t="shared" si="203"/>
        <v>0</v>
      </c>
      <c r="T218" s="40">
        <f t="shared" si="203"/>
        <v>0.01401869159</v>
      </c>
    </row>
    <row r="219" ht="15.75" customHeight="1">
      <c r="F219" s="23"/>
      <c r="G219" s="19">
        <f>$G$11</f>
        <v>3</v>
      </c>
      <c r="H219" s="20">
        <v>20.0</v>
      </c>
      <c r="I219" s="20">
        <v>13.0</v>
      </c>
      <c r="J219" s="20"/>
      <c r="K219" s="20">
        <v>1.0</v>
      </c>
      <c r="L219" s="20">
        <v>6.0</v>
      </c>
      <c r="N219" s="23"/>
      <c r="O219" s="19">
        <f>$G$11</f>
        <v>3</v>
      </c>
      <c r="P219" s="40">
        <f t="shared" ref="P219:T219" si="204">H219/A$240</f>
        <v>0.002524614996</v>
      </c>
      <c r="Q219" s="40">
        <f t="shared" si="204"/>
        <v>0.004490500864</v>
      </c>
      <c r="R219" s="40">
        <f t="shared" si="204"/>
        <v>0</v>
      </c>
      <c r="S219" s="40">
        <f t="shared" si="204"/>
        <v>0.001919385797</v>
      </c>
      <c r="T219" s="40">
        <f t="shared" si="204"/>
        <v>0.009345794393</v>
      </c>
    </row>
    <row r="220" ht="15.75" customHeight="1">
      <c r="F220" s="23"/>
      <c r="G220" s="19">
        <f>$G$12</f>
        <v>4</v>
      </c>
      <c r="H220" s="20">
        <v>21.0</v>
      </c>
      <c r="I220" s="20">
        <v>13.0</v>
      </c>
      <c r="J220" s="20">
        <v>1.0</v>
      </c>
      <c r="K220" s="20">
        <v>5.0</v>
      </c>
      <c r="L220" s="20">
        <v>5.0</v>
      </c>
      <c r="N220" s="23"/>
      <c r="O220" s="19">
        <f>$G$12</f>
        <v>4</v>
      </c>
      <c r="P220" s="40">
        <f t="shared" ref="P220:T220" si="205">H220/A$240</f>
        <v>0.002650845746</v>
      </c>
      <c r="Q220" s="40">
        <f t="shared" si="205"/>
        <v>0.004490500864</v>
      </c>
      <c r="R220" s="40">
        <f t="shared" si="205"/>
        <v>0.008064516129</v>
      </c>
      <c r="S220" s="40">
        <f t="shared" si="205"/>
        <v>0.009596928983</v>
      </c>
      <c r="T220" s="40">
        <f t="shared" si="205"/>
        <v>0.007788161994</v>
      </c>
    </row>
    <row r="221" ht="15.75" customHeight="1">
      <c r="F221" s="23"/>
      <c r="G221" s="19">
        <f>$G$13</f>
        <v>5</v>
      </c>
      <c r="H221" s="20">
        <v>86.0</v>
      </c>
      <c r="I221" s="20">
        <v>38.0</v>
      </c>
      <c r="J221" s="20">
        <v>1.0</v>
      </c>
      <c r="K221" s="20">
        <v>6.0</v>
      </c>
      <c r="L221" s="20">
        <v>20.0</v>
      </c>
      <c r="N221" s="23"/>
      <c r="O221" s="19">
        <f>$G$13</f>
        <v>5</v>
      </c>
      <c r="P221" s="40">
        <f t="shared" ref="P221:T221" si="206">H221/A$240</f>
        <v>0.01085584448</v>
      </c>
      <c r="Q221" s="40">
        <f t="shared" si="206"/>
        <v>0.01312607945</v>
      </c>
      <c r="R221" s="40">
        <f t="shared" si="206"/>
        <v>0.008064516129</v>
      </c>
      <c r="S221" s="40">
        <f t="shared" si="206"/>
        <v>0.01151631478</v>
      </c>
      <c r="T221" s="40">
        <f t="shared" si="206"/>
        <v>0.03115264798</v>
      </c>
    </row>
    <row r="222" ht="15.75" customHeight="1">
      <c r="F222" s="23"/>
      <c r="G222" s="19">
        <f>$G$14</f>
        <v>6</v>
      </c>
      <c r="H222" s="20">
        <v>256.0</v>
      </c>
      <c r="I222" s="20">
        <v>139.0</v>
      </c>
      <c r="J222" s="20"/>
      <c r="K222" s="20">
        <v>10.0</v>
      </c>
      <c r="L222" s="20">
        <v>15.0</v>
      </c>
      <c r="N222" s="23"/>
      <c r="O222" s="19">
        <f>$G$14</f>
        <v>6</v>
      </c>
      <c r="P222" s="40">
        <f t="shared" ref="P222:T222" si="207">H222/A$240</f>
        <v>0.03231507195</v>
      </c>
      <c r="Q222" s="40">
        <f t="shared" si="207"/>
        <v>0.04801381693</v>
      </c>
      <c r="R222" s="40">
        <f t="shared" si="207"/>
        <v>0</v>
      </c>
      <c r="S222" s="40">
        <f t="shared" si="207"/>
        <v>0.01919385797</v>
      </c>
      <c r="T222" s="40">
        <f t="shared" si="207"/>
        <v>0.02336448598</v>
      </c>
    </row>
    <row r="223" ht="15.75" customHeight="1">
      <c r="F223" s="23"/>
      <c r="G223" s="19">
        <f>$G$15</f>
        <v>7</v>
      </c>
      <c r="H223" s="20">
        <v>397.0</v>
      </c>
      <c r="I223" s="20">
        <v>133.0</v>
      </c>
      <c r="J223" s="20">
        <v>2.0</v>
      </c>
      <c r="K223" s="20">
        <v>16.0</v>
      </c>
      <c r="L223" s="20">
        <v>38.0</v>
      </c>
      <c r="N223" s="23"/>
      <c r="O223" s="19">
        <f>$G$15</f>
        <v>7</v>
      </c>
      <c r="P223" s="40">
        <f t="shared" ref="P223:T223" si="208">H223/A$240</f>
        <v>0.05011360767</v>
      </c>
      <c r="Q223" s="40">
        <f t="shared" si="208"/>
        <v>0.04594127807</v>
      </c>
      <c r="R223" s="40">
        <f t="shared" si="208"/>
        <v>0.01612903226</v>
      </c>
      <c r="S223" s="40">
        <f t="shared" si="208"/>
        <v>0.03071017274</v>
      </c>
      <c r="T223" s="40">
        <f t="shared" si="208"/>
        <v>0.05919003115</v>
      </c>
    </row>
    <row r="224" ht="15.75" customHeight="1">
      <c r="F224" s="23"/>
      <c r="G224" s="19">
        <f>$G$16</f>
        <v>8</v>
      </c>
      <c r="H224" s="20">
        <v>275.0</v>
      </c>
      <c r="I224" s="20">
        <v>132.0</v>
      </c>
      <c r="J224" s="20">
        <v>4.0</v>
      </c>
      <c r="K224" s="20">
        <v>22.0</v>
      </c>
      <c r="L224" s="20">
        <v>42.0</v>
      </c>
      <c r="N224" s="23"/>
      <c r="O224" s="19">
        <f>$G$16</f>
        <v>8</v>
      </c>
      <c r="P224" s="40">
        <f t="shared" ref="P224:T224" si="209">H224/A$240</f>
        <v>0.0347134562</v>
      </c>
      <c r="Q224" s="40">
        <f t="shared" si="209"/>
        <v>0.04559585492</v>
      </c>
      <c r="R224" s="40">
        <f t="shared" si="209"/>
        <v>0.03225806452</v>
      </c>
      <c r="S224" s="40">
        <f t="shared" si="209"/>
        <v>0.04222648752</v>
      </c>
      <c r="T224" s="40">
        <f t="shared" si="209"/>
        <v>0.06542056075</v>
      </c>
    </row>
    <row r="225" ht="15.75" customHeight="1">
      <c r="F225" s="23"/>
      <c r="G225" s="19">
        <f>$G$17</f>
        <v>9</v>
      </c>
      <c r="H225" s="20">
        <v>322.0</v>
      </c>
      <c r="I225" s="20">
        <v>143.0</v>
      </c>
      <c r="J225" s="20">
        <v>10.0</v>
      </c>
      <c r="K225" s="20">
        <v>29.0</v>
      </c>
      <c r="L225" s="20">
        <v>53.0</v>
      </c>
      <c r="N225" s="23"/>
      <c r="O225" s="19">
        <f>$G$17</f>
        <v>9</v>
      </c>
      <c r="P225" s="40">
        <f t="shared" ref="P225:T225" si="210">H225/A$240</f>
        <v>0.04064630144</v>
      </c>
      <c r="Q225" s="40">
        <f t="shared" si="210"/>
        <v>0.0493955095</v>
      </c>
      <c r="R225" s="40">
        <f t="shared" si="210"/>
        <v>0.08064516129</v>
      </c>
      <c r="S225" s="40">
        <f t="shared" si="210"/>
        <v>0.0556621881</v>
      </c>
      <c r="T225" s="40">
        <f t="shared" si="210"/>
        <v>0.08255451713</v>
      </c>
    </row>
    <row r="226" ht="15.75" customHeight="1">
      <c r="F226" s="23"/>
      <c r="G226" s="19">
        <f>$G$18</f>
        <v>10</v>
      </c>
      <c r="H226" s="20">
        <v>350.0</v>
      </c>
      <c r="I226" s="20">
        <v>156.0</v>
      </c>
      <c r="J226" s="20">
        <v>7.0</v>
      </c>
      <c r="K226" s="20">
        <v>40.0</v>
      </c>
      <c r="L226" s="20">
        <v>47.0</v>
      </c>
      <c r="N226" s="23"/>
      <c r="O226" s="19">
        <f>$G$18</f>
        <v>10</v>
      </c>
      <c r="P226" s="40">
        <f t="shared" ref="P226:T226" si="211">H226/A$240</f>
        <v>0.04418076243</v>
      </c>
      <c r="Q226" s="40">
        <f t="shared" si="211"/>
        <v>0.05388601036</v>
      </c>
      <c r="R226" s="40">
        <f t="shared" si="211"/>
        <v>0.0564516129</v>
      </c>
      <c r="S226" s="40">
        <f t="shared" si="211"/>
        <v>0.07677543186</v>
      </c>
      <c r="T226" s="40">
        <f t="shared" si="211"/>
        <v>0.07320872274</v>
      </c>
    </row>
    <row r="227" ht="15.75" customHeight="1">
      <c r="F227" s="23"/>
      <c r="G227" s="19">
        <f>$G$19</f>
        <v>11</v>
      </c>
      <c r="H227" s="20">
        <v>381.0</v>
      </c>
      <c r="I227" s="20">
        <v>181.0</v>
      </c>
      <c r="J227" s="20">
        <v>6.0</v>
      </c>
      <c r="K227" s="20">
        <v>35.0</v>
      </c>
      <c r="L227" s="20">
        <v>45.0</v>
      </c>
      <c r="N227" s="23"/>
      <c r="O227" s="19">
        <f>$G$19</f>
        <v>11</v>
      </c>
      <c r="P227" s="40">
        <f t="shared" ref="P227:T227" si="212">H227/A$240</f>
        <v>0.04809391568</v>
      </c>
      <c r="Q227" s="40">
        <f t="shared" si="212"/>
        <v>0.06252158895</v>
      </c>
      <c r="R227" s="40">
        <f t="shared" si="212"/>
        <v>0.04838709677</v>
      </c>
      <c r="S227" s="40">
        <f t="shared" si="212"/>
        <v>0.06717850288</v>
      </c>
      <c r="T227" s="40">
        <f t="shared" si="212"/>
        <v>0.07009345794</v>
      </c>
    </row>
    <row r="228" ht="15.75" customHeight="1">
      <c r="F228" s="23"/>
      <c r="G228" s="19">
        <f>$G$20</f>
        <v>12</v>
      </c>
      <c r="H228" s="20">
        <v>496.0</v>
      </c>
      <c r="I228" s="20">
        <v>158.0</v>
      </c>
      <c r="J228" s="20">
        <v>7.0</v>
      </c>
      <c r="K228" s="20">
        <v>41.0</v>
      </c>
      <c r="L228" s="20">
        <v>54.0</v>
      </c>
      <c r="N228" s="23"/>
      <c r="O228" s="19">
        <f>$G$20</f>
        <v>12</v>
      </c>
      <c r="P228" s="40">
        <f t="shared" ref="P228:T228" si="213">H228/A$240</f>
        <v>0.06261045191</v>
      </c>
      <c r="Q228" s="40">
        <f t="shared" si="213"/>
        <v>0.05457685665</v>
      </c>
      <c r="R228" s="40">
        <f t="shared" si="213"/>
        <v>0.0564516129</v>
      </c>
      <c r="S228" s="40">
        <f t="shared" si="213"/>
        <v>0.07869481766</v>
      </c>
      <c r="T228" s="40">
        <f t="shared" si="213"/>
        <v>0.08411214953</v>
      </c>
    </row>
    <row r="229" ht="15.75" customHeight="1">
      <c r="F229" s="23"/>
      <c r="G229" s="19">
        <f>$G$21</f>
        <v>13</v>
      </c>
      <c r="H229" s="20">
        <v>560.0</v>
      </c>
      <c r="I229" s="20">
        <v>199.0</v>
      </c>
      <c r="J229" s="20">
        <v>6.0</v>
      </c>
      <c r="K229" s="20">
        <v>44.0</v>
      </c>
      <c r="L229" s="20">
        <v>51.0</v>
      </c>
      <c r="N229" s="23"/>
      <c r="O229" s="19">
        <f>$G$21</f>
        <v>13</v>
      </c>
      <c r="P229" s="40">
        <f t="shared" ref="P229:T229" si="214">H229/A$240</f>
        <v>0.07068921989</v>
      </c>
      <c r="Q229" s="40">
        <f t="shared" si="214"/>
        <v>0.06873920553</v>
      </c>
      <c r="R229" s="40">
        <f t="shared" si="214"/>
        <v>0.04838709677</v>
      </c>
      <c r="S229" s="40">
        <f t="shared" si="214"/>
        <v>0.08445297505</v>
      </c>
      <c r="T229" s="40">
        <f t="shared" si="214"/>
        <v>0.07943925234</v>
      </c>
    </row>
    <row r="230" ht="15.75" customHeight="1">
      <c r="F230" s="23"/>
      <c r="G230" s="19">
        <f>$G$22</f>
        <v>14</v>
      </c>
      <c r="H230" s="20">
        <v>580.0</v>
      </c>
      <c r="I230" s="20">
        <v>213.0</v>
      </c>
      <c r="J230" s="20">
        <v>13.0</v>
      </c>
      <c r="K230" s="20">
        <v>41.0</v>
      </c>
      <c r="L230" s="20">
        <v>52.0</v>
      </c>
      <c r="N230" s="23"/>
      <c r="O230" s="19">
        <f>$G$22</f>
        <v>14</v>
      </c>
      <c r="P230" s="40">
        <f t="shared" ref="P230:T230" si="215">H230/A$240</f>
        <v>0.07321383489</v>
      </c>
      <c r="Q230" s="40">
        <f t="shared" si="215"/>
        <v>0.07357512953</v>
      </c>
      <c r="R230" s="40">
        <f t="shared" si="215"/>
        <v>0.1048387097</v>
      </c>
      <c r="S230" s="40">
        <f t="shared" si="215"/>
        <v>0.07869481766</v>
      </c>
      <c r="T230" s="40">
        <f t="shared" si="215"/>
        <v>0.08099688474</v>
      </c>
    </row>
    <row r="231" ht="15.75" customHeight="1">
      <c r="F231" s="23"/>
      <c r="G231" s="19">
        <f>$G$23</f>
        <v>15</v>
      </c>
      <c r="H231" s="20">
        <v>671.0</v>
      </c>
      <c r="I231" s="20">
        <v>274.0</v>
      </c>
      <c r="J231" s="20">
        <v>12.0</v>
      </c>
      <c r="K231" s="20">
        <v>48.0</v>
      </c>
      <c r="L231" s="20">
        <v>61.0</v>
      </c>
      <c r="N231" s="23"/>
      <c r="O231" s="19">
        <f>$G$23</f>
        <v>15</v>
      </c>
      <c r="P231" s="40">
        <f t="shared" ref="P231:T231" si="216">H231/A$240</f>
        <v>0.08470083312</v>
      </c>
      <c r="Q231" s="40">
        <f t="shared" si="216"/>
        <v>0.09464594128</v>
      </c>
      <c r="R231" s="40">
        <f t="shared" si="216"/>
        <v>0.09677419355</v>
      </c>
      <c r="S231" s="40">
        <f t="shared" si="216"/>
        <v>0.09213051823</v>
      </c>
      <c r="T231" s="40">
        <f t="shared" si="216"/>
        <v>0.09501557632</v>
      </c>
    </row>
    <row r="232" ht="15.75" customHeight="1">
      <c r="F232" s="23"/>
      <c r="G232" s="19">
        <f>$G$24</f>
        <v>16</v>
      </c>
      <c r="H232" s="20">
        <v>867.0</v>
      </c>
      <c r="I232" s="20">
        <v>275.0</v>
      </c>
      <c r="J232" s="20">
        <v>19.0</v>
      </c>
      <c r="K232" s="20">
        <v>52.0</v>
      </c>
      <c r="L232" s="20">
        <v>40.0</v>
      </c>
      <c r="N232" s="23"/>
      <c r="O232" s="19">
        <f>$G$24</f>
        <v>16</v>
      </c>
      <c r="P232" s="40">
        <f t="shared" ref="P232:T232" si="217">H232/A$240</f>
        <v>0.1094420601</v>
      </c>
      <c r="Q232" s="40">
        <f t="shared" si="217"/>
        <v>0.09499136442</v>
      </c>
      <c r="R232" s="40">
        <f t="shared" si="217"/>
        <v>0.1532258065</v>
      </c>
      <c r="S232" s="40">
        <f t="shared" si="217"/>
        <v>0.09980806142</v>
      </c>
      <c r="T232" s="40">
        <f t="shared" si="217"/>
        <v>0.06230529595</v>
      </c>
    </row>
    <row r="233" ht="15.75" customHeight="1">
      <c r="F233" s="23"/>
      <c r="G233" s="19">
        <f>$G$25</f>
        <v>17</v>
      </c>
      <c r="H233" s="20">
        <v>852.0</v>
      </c>
      <c r="I233" s="20">
        <v>256.0</v>
      </c>
      <c r="J233" s="20">
        <v>13.0</v>
      </c>
      <c r="K233" s="20">
        <v>20.0</v>
      </c>
      <c r="L233" s="20">
        <v>19.0</v>
      </c>
      <c r="N233" s="23"/>
      <c r="O233" s="19">
        <f>$G$25</f>
        <v>17</v>
      </c>
      <c r="P233" s="40">
        <f t="shared" ref="P233:T233" si="218">H233/A$240</f>
        <v>0.1075485988</v>
      </c>
      <c r="Q233" s="40">
        <f t="shared" si="218"/>
        <v>0.0884283247</v>
      </c>
      <c r="R233" s="40">
        <f t="shared" si="218"/>
        <v>0.1048387097</v>
      </c>
      <c r="S233" s="40">
        <f t="shared" si="218"/>
        <v>0.03838771593</v>
      </c>
      <c r="T233" s="40">
        <f t="shared" si="218"/>
        <v>0.02959501558</v>
      </c>
    </row>
    <row r="234" ht="15.75" customHeight="1">
      <c r="F234" s="23"/>
      <c r="G234" s="19">
        <f>$G$26</f>
        <v>18</v>
      </c>
      <c r="H234" s="20">
        <v>581.0</v>
      </c>
      <c r="I234" s="20">
        <v>197.0</v>
      </c>
      <c r="J234" s="20">
        <v>11.0</v>
      </c>
      <c r="K234" s="20">
        <v>29.0</v>
      </c>
      <c r="L234" s="20">
        <v>14.0</v>
      </c>
      <c r="N234" s="23"/>
      <c r="O234" s="19">
        <f>$G$26</f>
        <v>18</v>
      </c>
      <c r="P234" s="40">
        <f t="shared" ref="P234:T234" si="219">H234/A$240</f>
        <v>0.07334006564</v>
      </c>
      <c r="Q234" s="40">
        <f t="shared" si="219"/>
        <v>0.06804835924</v>
      </c>
      <c r="R234" s="40">
        <f t="shared" si="219"/>
        <v>0.08870967742</v>
      </c>
      <c r="S234" s="40">
        <f t="shared" si="219"/>
        <v>0.0556621881</v>
      </c>
      <c r="T234" s="40">
        <f t="shared" si="219"/>
        <v>0.02180685358</v>
      </c>
    </row>
    <row r="235" ht="15.75" customHeight="1">
      <c r="F235" s="23"/>
      <c r="G235" s="19">
        <f>$G$27</f>
        <v>19</v>
      </c>
      <c r="H235" s="20">
        <v>374.0</v>
      </c>
      <c r="I235" s="20">
        <v>113.0</v>
      </c>
      <c r="J235" s="20">
        <v>3.0</v>
      </c>
      <c r="K235" s="20">
        <v>25.0</v>
      </c>
      <c r="L235" s="20">
        <v>15.0</v>
      </c>
      <c r="N235" s="23"/>
      <c r="O235" s="19">
        <f>$G$27</f>
        <v>19</v>
      </c>
      <c r="P235" s="40">
        <f t="shared" ref="P235:T235" si="220">H235/A$240</f>
        <v>0.04721030043</v>
      </c>
      <c r="Q235" s="40">
        <f t="shared" si="220"/>
        <v>0.0390328152</v>
      </c>
      <c r="R235" s="40">
        <f t="shared" si="220"/>
        <v>0.02419354839</v>
      </c>
      <c r="S235" s="40">
        <f t="shared" si="220"/>
        <v>0.04798464491</v>
      </c>
      <c r="T235" s="40">
        <f t="shared" si="220"/>
        <v>0.02336448598</v>
      </c>
    </row>
    <row r="236" ht="15.75" customHeight="1">
      <c r="F236" s="23"/>
      <c r="G236" s="19">
        <f>$G$28</f>
        <v>20</v>
      </c>
      <c r="H236" s="20">
        <v>258.0</v>
      </c>
      <c r="I236" s="20">
        <v>76.0</v>
      </c>
      <c r="J236" s="20">
        <v>3.0</v>
      </c>
      <c r="K236" s="20">
        <v>21.0</v>
      </c>
      <c r="L236" s="20">
        <v>21.0</v>
      </c>
      <c r="N236" s="23"/>
      <c r="O236" s="19">
        <f>$G$28</f>
        <v>20</v>
      </c>
      <c r="P236" s="40">
        <f t="shared" ref="P236:T236" si="221">H236/A$240</f>
        <v>0.03256753345</v>
      </c>
      <c r="Q236" s="40">
        <f t="shared" si="221"/>
        <v>0.02625215889</v>
      </c>
      <c r="R236" s="40">
        <f t="shared" si="221"/>
        <v>0.02419354839</v>
      </c>
      <c r="S236" s="40">
        <f t="shared" si="221"/>
        <v>0.04030710173</v>
      </c>
      <c r="T236" s="40">
        <f t="shared" si="221"/>
        <v>0.03271028037</v>
      </c>
    </row>
    <row r="237" ht="15.75" customHeight="1">
      <c r="F237" s="23"/>
      <c r="G237" s="19">
        <f>$G$29</f>
        <v>21</v>
      </c>
      <c r="H237" s="20">
        <v>167.0</v>
      </c>
      <c r="I237" s="20">
        <v>54.0</v>
      </c>
      <c r="J237" s="20">
        <v>2.0</v>
      </c>
      <c r="K237" s="20">
        <v>16.0</v>
      </c>
      <c r="L237" s="20">
        <v>10.0</v>
      </c>
      <c r="N237" s="23"/>
      <c r="O237" s="19">
        <f>$G$29</f>
        <v>21</v>
      </c>
      <c r="P237" s="40">
        <f t="shared" ref="P237:T237" si="222">H237/A$240</f>
        <v>0.02108053522</v>
      </c>
      <c r="Q237" s="40">
        <f t="shared" si="222"/>
        <v>0.01865284974</v>
      </c>
      <c r="R237" s="40">
        <f t="shared" si="222"/>
        <v>0.01612903226</v>
      </c>
      <c r="S237" s="40">
        <f t="shared" si="222"/>
        <v>0.03071017274</v>
      </c>
      <c r="T237" s="40">
        <f t="shared" si="222"/>
        <v>0.01557632399</v>
      </c>
    </row>
    <row r="238" ht="15.75" customHeight="1">
      <c r="F238" s="23"/>
      <c r="G238" s="19">
        <f>$G$30</f>
        <v>22</v>
      </c>
      <c r="H238" s="20">
        <v>149.0</v>
      </c>
      <c r="I238" s="20">
        <v>39.0</v>
      </c>
      <c r="J238" s="20">
        <v>1.0</v>
      </c>
      <c r="K238" s="20">
        <v>6.0</v>
      </c>
      <c r="L238" s="20">
        <v>12.0</v>
      </c>
      <c r="N238" s="23"/>
      <c r="O238" s="19">
        <f>$G$30</f>
        <v>22</v>
      </c>
      <c r="P238" s="40">
        <f t="shared" ref="P238:T238" si="223">H238/A$240</f>
        <v>0.01880838172</v>
      </c>
      <c r="Q238" s="40">
        <f t="shared" si="223"/>
        <v>0.01347150259</v>
      </c>
      <c r="R238" s="40">
        <f t="shared" si="223"/>
        <v>0.008064516129</v>
      </c>
      <c r="S238" s="40">
        <f t="shared" si="223"/>
        <v>0.01151631478</v>
      </c>
      <c r="T238" s="40">
        <f t="shared" si="223"/>
        <v>0.01869158879</v>
      </c>
    </row>
    <row r="239" ht="15.75" customHeight="1">
      <c r="F239" s="27"/>
      <c r="G239" s="19">
        <f>$G$31</f>
        <v>23</v>
      </c>
      <c r="H239" s="20">
        <v>97.0</v>
      </c>
      <c r="I239" s="20">
        <v>25.0</v>
      </c>
      <c r="J239" s="20"/>
      <c r="K239" s="20">
        <v>7.0</v>
      </c>
      <c r="L239" s="20">
        <v>5.0</v>
      </c>
      <c r="N239" s="27"/>
      <c r="O239" s="19">
        <f>$G$31</f>
        <v>23</v>
      </c>
      <c r="P239" s="40">
        <f t="shared" ref="P239:T239" si="224">H239/A$240</f>
        <v>0.01224438273</v>
      </c>
      <c r="Q239" s="40">
        <f t="shared" si="224"/>
        <v>0.008635578584</v>
      </c>
      <c r="R239" s="40">
        <f t="shared" si="224"/>
        <v>0</v>
      </c>
      <c r="S239" s="40">
        <f t="shared" si="224"/>
        <v>0.01343570058</v>
      </c>
      <c r="T239" s="40">
        <f t="shared" si="224"/>
        <v>0.007788161994</v>
      </c>
    </row>
    <row r="240" ht="15.75" customHeight="1">
      <c r="A240" s="26">
        <f t="shared" ref="A240:E240" si="225">SUM(H216:H239)</f>
        <v>7922</v>
      </c>
      <c r="B240" s="26">
        <f t="shared" si="225"/>
        <v>2895</v>
      </c>
      <c r="C240" s="26">
        <f t="shared" si="225"/>
        <v>124</v>
      </c>
      <c r="D240" s="26">
        <f t="shared" si="225"/>
        <v>521</v>
      </c>
      <c r="E240" s="26">
        <f t="shared" si="225"/>
        <v>642</v>
      </c>
      <c r="F240" s="56">
        <v>45216.0</v>
      </c>
      <c r="G240" s="19">
        <f>$G$8</f>
        <v>0</v>
      </c>
      <c r="H240" s="20">
        <v>46.0</v>
      </c>
      <c r="I240" s="20">
        <v>21.0</v>
      </c>
      <c r="J240" s="20">
        <v>1.0</v>
      </c>
      <c r="K240" s="20">
        <v>6.0</v>
      </c>
      <c r="L240" s="20">
        <v>7.0</v>
      </c>
      <c r="N240" s="56">
        <v>45216.0</v>
      </c>
      <c r="O240" s="19">
        <f>$G$8</f>
        <v>0</v>
      </c>
      <c r="P240" s="40">
        <f t="shared" ref="P240:T240" si="226">H240/A$265</f>
        <v>0.006663769376</v>
      </c>
      <c r="Q240" s="40">
        <f t="shared" si="226"/>
        <v>0.007489300999</v>
      </c>
      <c r="R240" s="40">
        <f t="shared" si="226"/>
        <v>0.006944444444</v>
      </c>
      <c r="S240" s="40">
        <f t="shared" si="226"/>
        <v>0.01075268817</v>
      </c>
      <c r="T240" s="40">
        <f t="shared" si="226"/>
        <v>0.009296148738</v>
      </c>
    </row>
    <row r="241" ht="15.75" customHeight="1">
      <c r="F241" s="23"/>
      <c r="G241" s="19">
        <f>$G$9</f>
        <v>1</v>
      </c>
      <c r="H241" s="20">
        <v>31.0</v>
      </c>
      <c r="I241" s="20">
        <v>15.0</v>
      </c>
      <c r="J241" s="20">
        <v>1.0</v>
      </c>
      <c r="K241" s="20">
        <v>7.0</v>
      </c>
      <c r="L241" s="20">
        <v>3.0</v>
      </c>
      <c r="N241" s="23"/>
      <c r="O241" s="19">
        <f>$G$9</f>
        <v>1</v>
      </c>
      <c r="P241" s="40">
        <f t="shared" ref="P241:T241" si="227">H241/A$265</f>
        <v>0.004490801101</v>
      </c>
      <c r="Q241" s="40">
        <f t="shared" si="227"/>
        <v>0.005349500713</v>
      </c>
      <c r="R241" s="40">
        <f t="shared" si="227"/>
        <v>0.006944444444</v>
      </c>
      <c r="S241" s="40">
        <f t="shared" si="227"/>
        <v>0.01254480287</v>
      </c>
      <c r="T241" s="40">
        <f t="shared" si="227"/>
        <v>0.003984063745</v>
      </c>
    </row>
    <row r="242" ht="15.75" customHeight="1">
      <c r="F242" s="23"/>
      <c r="G242" s="19">
        <f>$G$10</f>
        <v>2</v>
      </c>
      <c r="H242" s="16">
        <v>18.0</v>
      </c>
      <c r="I242" s="16">
        <v>13.0</v>
      </c>
      <c r="J242" s="16"/>
      <c r="K242" s="16">
        <v>2.0</v>
      </c>
      <c r="L242" s="16">
        <v>7.0</v>
      </c>
      <c r="N242" s="23"/>
      <c r="O242" s="19">
        <f>$G$10</f>
        <v>2</v>
      </c>
      <c r="P242" s="40">
        <f t="shared" ref="P242:T242" si="228">H242/A$265</f>
        <v>0.00260756193</v>
      </c>
      <c r="Q242" s="40">
        <f t="shared" si="228"/>
        <v>0.004636233951</v>
      </c>
      <c r="R242" s="40">
        <f t="shared" si="228"/>
        <v>0</v>
      </c>
      <c r="S242" s="40">
        <f t="shared" si="228"/>
        <v>0.003584229391</v>
      </c>
      <c r="T242" s="40">
        <f t="shared" si="228"/>
        <v>0.009296148738</v>
      </c>
    </row>
    <row r="243" ht="15.75" customHeight="1">
      <c r="F243" s="23"/>
      <c r="G243" s="19">
        <f>$G$11</f>
        <v>3</v>
      </c>
      <c r="H243" s="20">
        <v>18.0</v>
      </c>
      <c r="I243" s="20">
        <v>10.0</v>
      </c>
      <c r="J243" s="20"/>
      <c r="K243" s="20">
        <v>7.0</v>
      </c>
      <c r="L243" s="20">
        <v>13.0</v>
      </c>
      <c r="N243" s="23"/>
      <c r="O243" s="19">
        <f>$G$11</f>
        <v>3</v>
      </c>
      <c r="P243" s="40">
        <f t="shared" ref="P243:T243" si="229">H243/A$265</f>
        <v>0.00260756193</v>
      </c>
      <c r="Q243" s="40">
        <f t="shared" si="229"/>
        <v>0.003566333809</v>
      </c>
      <c r="R243" s="40">
        <f t="shared" si="229"/>
        <v>0</v>
      </c>
      <c r="S243" s="40">
        <f t="shared" si="229"/>
        <v>0.01254480287</v>
      </c>
      <c r="T243" s="40">
        <f t="shared" si="229"/>
        <v>0.01726427623</v>
      </c>
    </row>
    <row r="244" ht="15.75" customHeight="1">
      <c r="F244" s="23"/>
      <c r="G244" s="19">
        <f>$G$12</f>
        <v>4</v>
      </c>
      <c r="H244" s="20">
        <v>37.0</v>
      </c>
      <c r="I244" s="20">
        <v>17.0</v>
      </c>
      <c r="J244" s="20"/>
      <c r="K244" s="20">
        <v>8.0</v>
      </c>
      <c r="L244" s="20">
        <v>9.0</v>
      </c>
      <c r="N244" s="23"/>
      <c r="O244" s="19">
        <f>$G$12</f>
        <v>4</v>
      </c>
      <c r="P244" s="40">
        <f t="shared" ref="P244:T244" si="230">H244/A$265</f>
        <v>0.005359988411</v>
      </c>
      <c r="Q244" s="40">
        <f t="shared" si="230"/>
        <v>0.006062767475</v>
      </c>
      <c r="R244" s="40">
        <f t="shared" si="230"/>
        <v>0</v>
      </c>
      <c r="S244" s="40">
        <f t="shared" si="230"/>
        <v>0.01433691756</v>
      </c>
      <c r="T244" s="40">
        <f t="shared" si="230"/>
        <v>0.01195219124</v>
      </c>
    </row>
    <row r="245" ht="15.75" customHeight="1">
      <c r="F245" s="23"/>
      <c r="G245" s="19">
        <f>$G$13</f>
        <v>5</v>
      </c>
      <c r="H245" s="20">
        <v>68.0</v>
      </c>
      <c r="I245" s="20">
        <v>31.0</v>
      </c>
      <c r="J245" s="20">
        <v>1.0</v>
      </c>
      <c r="K245" s="20">
        <v>6.0</v>
      </c>
      <c r="L245" s="20">
        <v>20.0</v>
      </c>
      <c r="N245" s="23"/>
      <c r="O245" s="19">
        <f>$G$13</f>
        <v>5</v>
      </c>
      <c r="P245" s="40">
        <f t="shared" ref="P245:T245" si="231">H245/A$265</f>
        <v>0.009850789512</v>
      </c>
      <c r="Q245" s="40">
        <f t="shared" si="231"/>
        <v>0.01105563481</v>
      </c>
      <c r="R245" s="40">
        <f t="shared" si="231"/>
        <v>0.006944444444</v>
      </c>
      <c r="S245" s="40">
        <f t="shared" si="231"/>
        <v>0.01075268817</v>
      </c>
      <c r="T245" s="40">
        <f t="shared" si="231"/>
        <v>0.02656042497</v>
      </c>
    </row>
    <row r="246" ht="15.75" customHeight="1">
      <c r="F246" s="23"/>
      <c r="G246" s="19">
        <f>$G$14</f>
        <v>6</v>
      </c>
      <c r="H246" s="20">
        <v>211.0</v>
      </c>
      <c r="I246" s="20">
        <v>133.0</v>
      </c>
      <c r="J246" s="20"/>
      <c r="K246" s="20">
        <v>12.0</v>
      </c>
      <c r="L246" s="20">
        <v>23.0</v>
      </c>
      <c r="N246" s="23"/>
      <c r="O246" s="19">
        <f>$G$14</f>
        <v>6</v>
      </c>
      <c r="P246" s="40">
        <f t="shared" ref="P246:T246" si="232">H246/A$265</f>
        <v>0.0305664204</v>
      </c>
      <c r="Q246" s="40">
        <f t="shared" si="232"/>
        <v>0.04743223966</v>
      </c>
      <c r="R246" s="40">
        <f t="shared" si="232"/>
        <v>0</v>
      </c>
      <c r="S246" s="40">
        <f t="shared" si="232"/>
        <v>0.02150537634</v>
      </c>
      <c r="T246" s="40">
        <f t="shared" si="232"/>
        <v>0.03054448871</v>
      </c>
    </row>
    <row r="247" ht="15.75" customHeight="1">
      <c r="F247" s="23"/>
      <c r="G247" s="19">
        <f>$G$15</f>
        <v>7</v>
      </c>
      <c r="H247" s="20">
        <v>351.0</v>
      </c>
      <c r="I247" s="20">
        <v>144.0</v>
      </c>
      <c r="J247" s="20">
        <v>6.0</v>
      </c>
      <c r="K247" s="20">
        <v>21.0</v>
      </c>
      <c r="L247" s="20">
        <v>37.0</v>
      </c>
      <c r="N247" s="23"/>
      <c r="O247" s="19">
        <f>$G$15</f>
        <v>7</v>
      </c>
      <c r="P247" s="40">
        <f t="shared" ref="P247:T247" si="233">H247/A$265</f>
        <v>0.05084745763</v>
      </c>
      <c r="Q247" s="40">
        <f t="shared" si="233"/>
        <v>0.05135520685</v>
      </c>
      <c r="R247" s="40">
        <f t="shared" si="233"/>
        <v>0.04166666667</v>
      </c>
      <c r="S247" s="40">
        <f t="shared" si="233"/>
        <v>0.0376344086</v>
      </c>
      <c r="T247" s="40">
        <f t="shared" si="233"/>
        <v>0.04913678619</v>
      </c>
    </row>
    <row r="248" ht="15.75" customHeight="1">
      <c r="F248" s="23"/>
      <c r="G248" s="19">
        <f>$G$16</f>
        <v>8</v>
      </c>
      <c r="H248" s="20">
        <v>304.0</v>
      </c>
      <c r="I248" s="20">
        <v>126.0</v>
      </c>
      <c r="J248" s="20">
        <v>8.0</v>
      </c>
      <c r="K248" s="20">
        <v>43.0</v>
      </c>
      <c r="L248" s="20">
        <v>54.0</v>
      </c>
      <c r="N248" s="23"/>
      <c r="O248" s="19">
        <f>$G$16</f>
        <v>8</v>
      </c>
      <c r="P248" s="40">
        <f t="shared" ref="P248:T248" si="234">H248/A$265</f>
        <v>0.0440388237</v>
      </c>
      <c r="Q248" s="40">
        <f t="shared" si="234"/>
        <v>0.04493580599</v>
      </c>
      <c r="R248" s="40">
        <f t="shared" si="234"/>
        <v>0.05555555556</v>
      </c>
      <c r="S248" s="40">
        <f t="shared" si="234"/>
        <v>0.0770609319</v>
      </c>
      <c r="T248" s="40">
        <f t="shared" si="234"/>
        <v>0.07171314741</v>
      </c>
    </row>
    <row r="249" ht="15.75" customHeight="1">
      <c r="F249" s="23"/>
      <c r="G249" s="19">
        <f>$G$17</f>
        <v>9</v>
      </c>
      <c r="H249" s="20">
        <v>313.0</v>
      </c>
      <c r="I249" s="20">
        <v>123.0</v>
      </c>
      <c r="J249" s="20">
        <v>8.0</v>
      </c>
      <c r="K249" s="20">
        <v>29.0</v>
      </c>
      <c r="L249" s="20">
        <v>56.0</v>
      </c>
      <c r="N249" s="23"/>
      <c r="O249" s="19">
        <f>$G$17</f>
        <v>9</v>
      </c>
      <c r="P249" s="40">
        <f t="shared" ref="P249:T249" si="235">H249/A$265</f>
        <v>0.04534260466</v>
      </c>
      <c r="Q249" s="40">
        <f t="shared" si="235"/>
        <v>0.04386590585</v>
      </c>
      <c r="R249" s="40">
        <f t="shared" si="235"/>
        <v>0.05555555556</v>
      </c>
      <c r="S249" s="40">
        <f t="shared" si="235"/>
        <v>0.05197132616</v>
      </c>
      <c r="T249" s="40">
        <f t="shared" si="235"/>
        <v>0.07436918991</v>
      </c>
    </row>
    <row r="250" ht="15.75" customHeight="1">
      <c r="F250" s="23"/>
      <c r="G250" s="19">
        <f>$G$18</f>
        <v>10</v>
      </c>
      <c r="H250" s="20">
        <v>344.0</v>
      </c>
      <c r="I250" s="20">
        <v>139.0</v>
      </c>
      <c r="J250" s="20">
        <v>6.0</v>
      </c>
      <c r="K250" s="20">
        <v>31.0</v>
      </c>
      <c r="L250" s="20">
        <v>60.0</v>
      </c>
      <c r="N250" s="23"/>
      <c r="O250" s="19">
        <f>$G$18</f>
        <v>10</v>
      </c>
      <c r="P250" s="40">
        <f t="shared" ref="P250:T250" si="236">H250/A$265</f>
        <v>0.04983340577</v>
      </c>
      <c r="Q250" s="40">
        <f t="shared" si="236"/>
        <v>0.04957203994</v>
      </c>
      <c r="R250" s="40">
        <f t="shared" si="236"/>
        <v>0.04166666667</v>
      </c>
      <c r="S250" s="40">
        <f t="shared" si="236"/>
        <v>0.05555555556</v>
      </c>
      <c r="T250" s="40">
        <f t="shared" si="236"/>
        <v>0.0796812749</v>
      </c>
    </row>
    <row r="251" ht="15.75" customHeight="1">
      <c r="F251" s="23"/>
      <c r="G251" s="19">
        <f>$G$19</f>
        <v>11</v>
      </c>
      <c r="H251" s="20">
        <v>361.0</v>
      </c>
      <c r="I251" s="20">
        <v>165.0</v>
      </c>
      <c r="J251" s="20">
        <v>5.0</v>
      </c>
      <c r="K251" s="20">
        <v>35.0</v>
      </c>
      <c r="L251" s="20">
        <v>54.0</v>
      </c>
      <c r="N251" s="23"/>
      <c r="O251" s="19">
        <f>$G$19</f>
        <v>11</v>
      </c>
      <c r="P251" s="40">
        <f t="shared" ref="P251:T251" si="237">H251/A$265</f>
        <v>0.05229610314</v>
      </c>
      <c r="Q251" s="40">
        <f t="shared" si="237"/>
        <v>0.05884450785</v>
      </c>
      <c r="R251" s="40">
        <f t="shared" si="237"/>
        <v>0.03472222222</v>
      </c>
      <c r="S251" s="40">
        <f t="shared" si="237"/>
        <v>0.06272401434</v>
      </c>
      <c r="T251" s="40">
        <f t="shared" si="237"/>
        <v>0.07171314741</v>
      </c>
    </row>
    <row r="252" ht="15.75" customHeight="1">
      <c r="F252" s="23"/>
      <c r="G252" s="19">
        <f>$G$20</f>
        <v>12</v>
      </c>
      <c r="H252" s="20">
        <v>396.0</v>
      </c>
      <c r="I252" s="20">
        <v>158.0</v>
      </c>
      <c r="J252" s="20">
        <v>4.0</v>
      </c>
      <c r="K252" s="20">
        <v>43.0</v>
      </c>
      <c r="L252" s="20">
        <v>69.0</v>
      </c>
      <c r="N252" s="23"/>
      <c r="O252" s="19">
        <f>$G$20</f>
        <v>12</v>
      </c>
      <c r="P252" s="40">
        <f t="shared" ref="P252:T252" si="238">H252/A$265</f>
        <v>0.05736636245</v>
      </c>
      <c r="Q252" s="40">
        <f t="shared" si="238"/>
        <v>0.05634807418</v>
      </c>
      <c r="R252" s="40">
        <f t="shared" si="238"/>
        <v>0.02777777778</v>
      </c>
      <c r="S252" s="40">
        <f t="shared" si="238"/>
        <v>0.0770609319</v>
      </c>
      <c r="T252" s="40">
        <f t="shared" si="238"/>
        <v>0.09163346614</v>
      </c>
    </row>
    <row r="253" ht="15.75" customHeight="1">
      <c r="F253" s="23"/>
      <c r="G253" s="19">
        <f>$G$21</f>
        <v>13</v>
      </c>
      <c r="H253" s="20">
        <v>431.0</v>
      </c>
      <c r="I253" s="20">
        <v>181.0</v>
      </c>
      <c r="J253" s="20">
        <v>7.0</v>
      </c>
      <c r="K253" s="20">
        <v>51.0</v>
      </c>
      <c r="L253" s="20">
        <v>51.0</v>
      </c>
      <c r="N253" s="23"/>
      <c r="O253" s="19">
        <f>$G$21</f>
        <v>13</v>
      </c>
      <c r="P253" s="40">
        <f t="shared" ref="P253:T253" si="239">H253/A$265</f>
        <v>0.06243662176</v>
      </c>
      <c r="Q253" s="40">
        <f t="shared" si="239"/>
        <v>0.06455064194</v>
      </c>
      <c r="R253" s="40">
        <f t="shared" si="239"/>
        <v>0.04861111111</v>
      </c>
      <c r="S253" s="40">
        <f t="shared" si="239"/>
        <v>0.09139784946</v>
      </c>
      <c r="T253" s="40">
        <f t="shared" si="239"/>
        <v>0.06772908367</v>
      </c>
    </row>
    <row r="254" ht="15.75" customHeight="1">
      <c r="F254" s="23"/>
      <c r="G254" s="19">
        <f>$G$22</f>
        <v>14</v>
      </c>
      <c r="H254" s="20">
        <v>538.0</v>
      </c>
      <c r="I254" s="20">
        <v>235.0</v>
      </c>
      <c r="J254" s="20">
        <v>10.0</v>
      </c>
      <c r="K254" s="20">
        <v>44.0</v>
      </c>
      <c r="L254" s="20">
        <v>57.0</v>
      </c>
      <c r="N254" s="23"/>
      <c r="O254" s="19">
        <f>$G$22</f>
        <v>14</v>
      </c>
      <c r="P254" s="40">
        <f t="shared" ref="P254:T254" si="240">H254/A$265</f>
        <v>0.07793712878</v>
      </c>
      <c r="Q254" s="40">
        <f t="shared" si="240"/>
        <v>0.08380884451</v>
      </c>
      <c r="R254" s="40">
        <f t="shared" si="240"/>
        <v>0.06944444444</v>
      </c>
      <c r="S254" s="40">
        <f t="shared" si="240"/>
        <v>0.07885304659</v>
      </c>
      <c r="T254" s="40">
        <f t="shared" si="240"/>
        <v>0.07569721116</v>
      </c>
    </row>
    <row r="255" ht="15.75" customHeight="1">
      <c r="F255" s="23"/>
      <c r="G255" s="19">
        <f>$G$23</f>
        <v>15</v>
      </c>
      <c r="H255" s="20">
        <v>544.0</v>
      </c>
      <c r="I255" s="20">
        <v>253.0</v>
      </c>
      <c r="J255" s="20">
        <v>30.0</v>
      </c>
      <c r="K255" s="20">
        <v>48.0</v>
      </c>
      <c r="L255" s="20">
        <v>72.0</v>
      </c>
      <c r="N255" s="23"/>
      <c r="O255" s="19">
        <f>$G$23</f>
        <v>15</v>
      </c>
      <c r="P255" s="40">
        <f t="shared" ref="P255:T255" si="241">H255/A$265</f>
        <v>0.07880631609</v>
      </c>
      <c r="Q255" s="40">
        <f t="shared" si="241"/>
        <v>0.09022824536</v>
      </c>
      <c r="R255" s="40">
        <f t="shared" si="241"/>
        <v>0.2083333333</v>
      </c>
      <c r="S255" s="40">
        <f t="shared" si="241"/>
        <v>0.08602150538</v>
      </c>
      <c r="T255" s="40">
        <f t="shared" si="241"/>
        <v>0.09561752988</v>
      </c>
    </row>
    <row r="256" ht="15.75" customHeight="1">
      <c r="F256" s="23"/>
      <c r="G256" s="19">
        <f>$G$24</f>
        <v>16</v>
      </c>
      <c r="H256" s="20">
        <v>656.0</v>
      </c>
      <c r="I256" s="20">
        <v>291.0</v>
      </c>
      <c r="J256" s="20">
        <v>9.0</v>
      </c>
      <c r="K256" s="20">
        <v>32.0</v>
      </c>
      <c r="L256" s="20">
        <v>53.0</v>
      </c>
      <c r="N256" s="23"/>
      <c r="O256" s="19">
        <f>$G$24</f>
        <v>16</v>
      </c>
      <c r="P256" s="40">
        <f t="shared" ref="P256:T256" si="242">H256/A$265</f>
        <v>0.09503114588</v>
      </c>
      <c r="Q256" s="40">
        <f t="shared" si="242"/>
        <v>0.1037803138</v>
      </c>
      <c r="R256" s="40">
        <f t="shared" si="242"/>
        <v>0.0625</v>
      </c>
      <c r="S256" s="40">
        <f t="shared" si="242"/>
        <v>0.05734767025</v>
      </c>
      <c r="T256" s="40">
        <f t="shared" si="242"/>
        <v>0.07038512616</v>
      </c>
    </row>
    <row r="257" ht="15.75" customHeight="1">
      <c r="F257" s="23"/>
      <c r="G257" s="19">
        <f>$G$25</f>
        <v>17</v>
      </c>
      <c r="H257" s="20">
        <v>698.0</v>
      </c>
      <c r="I257" s="20">
        <v>249.0</v>
      </c>
      <c r="J257" s="20">
        <v>21.0</v>
      </c>
      <c r="K257" s="20">
        <v>32.0</v>
      </c>
      <c r="L257" s="20">
        <v>28.0</v>
      </c>
      <c r="N257" s="23"/>
      <c r="O257" s="19">
        <f>$G$25</f>
        <v>17</v>
      </c>
      <c r="P257" s="40">
        <f t="shared" ref="P257:T257" si="243">H257/A$265</f>
        <v>0.101115457</v>
      </c>
      <c r="Q257" s="40">
        <f t="shared" si="243"/>
        <v>0.08880171184</v>
      </c>
      <c r="R257" s="40">
        <f t="shared" si="243"/>
        <v>0.1458333333</v>
      </c>
      <c r="S257" s="40">
        <f t="shared" si="243"/>
        <v>0.05734767025</v>
      </c>
      <c r="T257" s="40">
        <f t="shared" si="243"/>
        <v>0.03718459495</v>
      </c>
    </row>
    <row r="258" ht="15.75" customHeight="1">
      <c r="F258" s="23"/>
      <c r="G258" s="19">
        <f>$G$26</f>
        <v>18</v>
      </c>
      <c r="H258" s="20">
        <v>499.0</v>
      </c>
      <c r="I258" s="20">
        <v>173.0</v>
      </c>
      <c r="J258" s="20">
        <v>16.0</v>
      </c>
      <c r="K258" s="20">
        <v>25.0</v>
      </c>
      <c r="L258" s="20">
        <v>18.0</v>
      </c>
      <c r="N258" s="23"/>
      <c r="O258" s="19">
        <f>$G$26</f>
        <v>18</v>
      </c>
      <c r="P258" s="40">
        <f t="shared" ref="P258:T258" si="244">H258/A$265</f>
        <v>0.07228741127</v>
      </c>
      <c r="Q258" s="40">
        <f t="shared" si="244"/>
        <v>0.06169757489</v>
      </c>
      <c r="R258" s="40">
        <f t="shared" si="244"/>
        <v>0.1111111111</v>
      </c>
      <c r="S258" s="40">
        <f t="shared" si="244"/>
        <v>0.04480286738</v>
      </c>
      <c r="T258" s="40">
        <f t="shared" si="244"/>
        <v>0.02390438247</v>
      </c>
    </row>
    <row r="259" ht="15.75" customHeight="1">
      <c r="F259" s="23"/>
      <c r="G259" s="19">
        <f>$G$27</f>
        <v>19</v>
      </c>
      <c r="H259" s="20">
        <v>380.0</v>
      </c>
      <c r="I259" s="20">
        <v>126.0</v>
      </c>
      <c r="J259" s="20">
        <v>3.0</v>
      </c>
      <c r="K259" s="20">
        <v>24.0</v>
      </c>
      <c r="L259" s="20">
        <v>17.0</v>
      </c>
      <c r="N259" s="23"/>
      <c r="O259" s="19">
        <f>$G$27</f>
        <v>19</v>
      </c>
      <c r="P259" s="40">
        <f t="shared" ref="P259:T259" si="245">H259/A$265</f>
        <v>0.05504852962</v>
      </c>
      <c r="Q259" s="40">
        <f t="shared" si="245"/>
        <v>0.04493580599</v>
      </c>
      <c r="R259" s="40">
        <f t="shared" si="245"/>
        <v>0.02083333333</v>
      </c>
      <c r="S259" s="40">
        <f t="shared" si="245"/>
        <v>0.04301075269</v>
      </c>
      <c r="T259" s="40">
        <f t="shared" si="245"/>
        <v>0.02257636122</v>
      </c>
    </row>
    <row r="260" ht="15.75" customHeight="1">
      <c r="F260" s="23"/>
      <c r="G260" s="19">
        <f>$G$28</f>
        <v>20</v>
      </c>
      <c r="H260" s="20">
        <v>259.0</v>
      </c>
      <c r="I260" s="20">
        <v>82.0</v>
      </c>
      <c r="J260" s="20">
        <v>4.0</v>
      </c>
      <c r="K260" s="20">
        <v>24.0</v>
      </c>
      <c r="L260" s="20">
        <v>18.0</v>
      </c>
      <c r="N260" s="23"/>
      <c r="O260" s="19">
        <f>$G$28</f>
        <v>20</v>
      </c>
      <c r="P260" s="40">
        <f t="shared" ref="P260:T260" si="246">H260/A$265</f>
        <v>0.03751991888</v>
      </c>
      <c r="Q260" s="40">
        <f t="shared" si="246"/>
        <v>0.02924393723</v>
      </c>
      <c r="R260" s="40">
        <f t="shared" si="246"/>
        <v>0.02777777778</v>
      </c>
      <c r="S260" s="40">
        <f t="shared" si="246"/>
        <v>0.04301075269</v>
      </c>
      <c r="T260" s="40">
        <f t="shared" si="246"/>
        <v>0.02390438247</v>
      </c>
    </row>
    <row r="261" ht="15.75" customHeight="1">
      <c r="F261" s="23"/>
      <c r="G261" s="19">
        <f>$G$29</f>
        <v>21</v>
      </c>
      <c r="H261" s="20">
        <v>191.0</v>
      </c>
      <c r="I261" s="20">
        <v>57.0</v>
      </c>
      <c r="J261" s="20">
        <v>4.0</v>
      </c>
      <c r="K261" s="20">
        <v>12.0</v>
      </c>
      <c r="L261" s="20">
        <v>12.0</v>
      </c>
      <c r="N261" s="23"/>
      <c r="O261" s="19">
        <f>$G$29</f>
        <v>21</v>
      </c>
      <c r="P261" s="40">
        <f t="shared" ref="P261:T261" si="247">H261/A$265</f>
        <v>0.02766912936</v>
      </c>
      <c r="Q261" s="40">
        <f t="shared" si="247"/>
        <v>0.02032810271</v>
      </c>
      <c r="R261" s="40">
        <f t="shared" si="247"/>
        <v>0.02777777778</v>
      </c>
      <c r="S261" s="40">
        <f t="shared" si="247"/>
        <v>0.02150537634</v>
      </c>
      <c r="T261" s="40">
        <f t="shared" si="247"/>
        <v>0.01593625498</v>
      </c>
    </row>
    <row r="262" ht="15.75" customHeight="1">
      <c r="F262" s="23"/>
      <c r="G262" s="19">
        <f>$G$30</f>
        <v>22</v>
      </c>
      <c r="H262" s="20">
        <v>124.0</v>
      </c>
      <c r="I262" s="20">
        <v>36.0</v>
      </c>
      <c r="J262" s="20"/>
      <c r="K262" s="20">
        <v>10.0</v>
      </c>
      <c r="L262" s="20">
        <v>7.0</v>
      </c>
      <c r="N262" s="23"/>
      <c r="O262" s="19">
        <f>$G$30</f>
        <v>22</v>
      </c>
      <c r="P262" s="40">
        <f t="shared" ref="P262:T262" si="248">H262/A$265</f>
        <v>0.0179632044</v>
      </c>
      <c r="Q262" s="40">
        <f t="shared" si="248"/>
        <v>0.01283880171</v>
      </c>
      <c r="R262" s="40">
        <f t="shared" si="248"/>
        <v>0</v>
      </c>
      <c r="S262" s="40">
        <f t="shared" si="248"/>
        <v>0.01792114695</v>
      </c>
      <c r="T262" s="40">
        <f t="shared" si="248"/>
        <v>0.009296148738</v>
      </c>
    </row>
    <row r="263" ht="15.75" customHeight="1">
      <c r="F263" s="27"/>
      <c r="G263" s="19">
        <f>$G$31</f>
        <v>23</v>
      </c>
      <c r="H263" s="20">
        <v>85.0</v>
      </c>
      <c r="I263" s="20">
        <v>26.0</v>
      </c>
      <c r="J263" s="20"/>
      <c r="K263" s="20">
        <v>6.0</v>
      </c>
      <c r="L263" s="20">
        <v>8.0</v>
      </c>
      <c r="N263" s="27"/>
      <c r="O263" s="19">
        <f>$G$31</f>
        <v>23</v>
      </c>
      <c r="P263" s="40">
        <f t="shared" ref="P263:T263" si="249">H263/A$265</f>
        <v>0.01231348689</v>
      </c>
      <c r="Q263" s="40">
        <f t="shared" si="249"/>
        <v>0.009272467903</v>
      </c>
      <c r="R263" s="40">
        <f t="shared" si="249"/>
        <v>0</v>
      </c>
      <c r="S263" s="40">
        <f t="shared" si="249"/>
        <v>0.01075268817</v>
      </c>
      <c r="T263" s="40">
        <f t="shared" si="249"/>
        <v>0.01062416999</v>
      </c>
    </row>
    <row r="264" ht="15.75" customHeight="1">
      <c r="F264" s="56">
        <v>45217.0</v>
      </c>
      <c r="G264" s="19">
        <f>$G$8</f>
        <v>0</v>
      </c>
      <c r="H264" s="20">
        <v>57.0</v>
      </c>
      <c r="I264" s="20">
        <v>15.0</v>
      </c>
      <c r="J264" s="20">
        <v>1.0</v>
      </c>
      <c r="K264" s="20">
        <v>6.0</v>
      </c>
      <c r="L264" s="20">
        <v>6.0</v>
      </c>
      <c r="N264" s="56">
        <v>45217.0</v>
      </c>
      <c r="O264" s="19">
        <f>$G$8</f>
        <v>0</v>
      </c>
      <c r="P264" s="40">
        <f t="shared" ref="P264:T264" si="250">H264/A$287</f>
        <v>0.008421985816</v>
      </c>
      <c r="Q264" s="40">
        <f t="shared" si="250"/>
        <v>0.005158184319</v>
      </c>
      <c r="R264" s="40">
        <f t="shared" si="250"/>
        <v>0.009259259259</v>
      </c>
      <c r="S264" s="40">
        <f t="shared" si="250"/>
        <v>0.01048951049</v>
      </c>
      <c r="T264" s="40">
        <f t="shared" si="250"/>
        <v>0.006772009029</v>
      </c>
    </row>
    <row r="265" ht="15.75" customHeight="1">
      <c r="A265" s="26">
        <f t="shared" ref="A265:E265" si="251">SUM(H240:H263)</f>
        <v>6903</v>
      </c>
      <c r="B265" s="26">
        <f t="shared" si="251"/>
        <v>2804</v>
      </c>
      <c r="C265" s="26">
        <f t="shared" si="251"/>
        <v>144</v>
      </c>
      <c r="D265" s="26">
        <f t="shared" si="251"/>
        <v>558</v>
      </c>
      <c r="E265" s="26">
        <f t="shared" si="251"/>
        <v>753</v>
      </c>
      <c r="F265" s="23"/>
      <c r="G265" s="19">
        <f>$G$9</f>
        <v>1</v>
      </c>
      <c r="H265" s="20">
        <v>27.0</v>
      </c>
      <c r="I265" s="20">
        <v>15.0</v>
      </c>
      <c r="J265" s="20"/>
      <c r="K265" s="20">
        <v>9.0</v>
      </c>
      <c r="L265" s="20">
        <v>8.0</v>
      </c>
      <c r="N265" s="23"/>
      <c r="O265" s="19">
        <f>$G$9</f>
        <v>1</v>
      </c>
      <c r="P265" s="40">
        <f t="shared" ref="P265:T265" si="252">H265/A$287</f>
        <v>0.003989361702</v>
      </c>
      <c r="Q265" s="40">
        <f t="shared" si="252"/>
        <v>0.005158184319</v>
      </c>
      <c r="R265" s="40">
        <f t="shared" si="252"/>
        <v>0</v>
      </c>
      <c r="S265" s="40">
        <f t="shared" si="252"/>
        <v>0.01573426573</v>
      </c>
      <c r="T265" s="40">
        <f t="shared" si="252"/>
        <v>0.009029345372</v>
      </c>
    </row>
    <row r="266" ht="15.75" customHeight="1">
      <c r="A266" s="17">
        <f>$H$7</f>
        <v>31</v>
      </c>
      <c r="B266" s="17">
        <f>$I$7</f>
        <v>32</v>
      </c>
      <c r="C266" s="17">
        <f>$J$7</f>
        <v>41</v>
      </c>
      <c r="D266" s="17">
        <f>$K$7</f>
        <v>42</v>
      </c>
      <c r="E266" s="17">
        <f>$L$7</f>
        <v>5</v>
      </c>
      <c r="F266" s="23"/>
      <c r="G266" s="19">
        <f>$G$10</f>
        <v>2</v>
      </c>
      <c r="H266" s="16">
        <v>23.0</v>
      </c>
      <c r="I266" s="16">
        <v>11.0</v>
      </c>
      <c r="J266" s="16"/>
      <c r="K266" s="16">
        <v>1.0</v>
      </c>
      <c r="L266" s="16">
        <v>12.0</v>
      </c>
      <c r="N266" s="23"/>
      <c r="O266" s="19">
        <f>$G$10</f>
        <v>2</v>
      </c>
      <c r="P266" s="40">
        <f t="shared" ref="P266:T266" si="253">H266/A$287</f>
        <v>0.003398345154</v>
      </c>
      <c r="Q266" s="40">
        <f t="shared" si="253"/>
        <v>0.003782668501</v>
      </c>
      <c r="R266" s="40">
        <f t="shared" si="253"/>
        <v>0</v>
      </c>
      <c r="S266" s="40">
        <f t="shared" si="253"/>
        <v>0.001748251748</v>
      </c>
      <c r="T266" s="40">
        <f t="shared" si="253"/>
        <v>0.01354401806</v>
      </c>
    </row>
    <row r="267" ht="15.75" customHeight="1">
      <c r="F267" s="23"/>
      <c r="G267" s="19">
        <f>$G$11</f>
        <v>3</v>
      </c>
      <c r="H267" s="20">
        <v>18.0</v>
      </c>
      <c r="I267" s="20">
        <v>11.0</v>
      </c>
      <c r="J267" s="20"/>
      <c r="K267" s="20">
        <v>6.0</v>
      </c>
      <c r="L267" s="20">
        <v>4.0</v>
      </c>
      <c r="N267" s="23"/>
      <c r="O267" s="19">
        <f>$G$11</f>
        <v>3</v>
      </c>
      <c r="P267" s="40">
        <f t="shared" ref="P267:T267" si="254">H267/A$287</f>
        <v>0.002659574468</v>
      </c>
      <c r="Q267" s="40">
        <f t="shared" si="254"/>
        <v>0.003782668501</v>
      </c>
      <c r="R267" s="40">
        <f t="shared" si="254"/>
        <v>0</v>
      </c>
      <c r="S267" s="40">
        <f t="shared" si="254"/>
        <v>0.01048951049</v>
      </c>
      <c r="T267" s="40">
        <f t="shared" si="254"/>
        <v>0.004514672686</v>
      </c>
    </row>
    <row r="268" ht="15.75" customHeight="1">
      <c r="F268" s="23"/>
      <c r="G268" s="19">
        <f>$G$12</f>
        <v>4</v>
      </c>
      <c r="H268" s="20">
        <v>17.0</v>
      </c>
      <c r="I268" s="20">
        <v>12.0</v>
      </c>
      <c r="J268" s="20"/>
      <c r="K268" s="20">
        <v>5.0</v>
      </c>
      <c r="L268" s="20">
        <v>16.0</v>
      </c>
      <c r="N268" s="23"/>
      <c r="O268" s="19">
        <f>$G$12</f>
        <v>4</v>
      </c>
      <c r="P268" s="40">
        <f t="shared" ref="P268:T268" si="255">H268/A$287</f>
        <v>0.002511820331</v>
      </c>
      <c r="Q268" s="40">
        <f t="shared" si="255"/>
        <v>0.004126547455</v>
      </c>
      <c r="R268" s="40">
        <f t="shared" si="255"/>
        <v>0</v>
      </c>
      <c r="S268" s="40">
        <f t="shared" si="255"/>
        <v>0.008741258741</v>
      </c>
      <c r="T268" s="40">
        <f t="shared" si="255"/>
        <v>0.01805869074</v>
      </c>
    </row>
    <row r="269" ht="15.75" customHeight="1">
      <c r="F269" s="23"/>
      <c r="G269" s="19">
        <f>$G$13</f>
        <v>5</v>
      </c>
      <c r="H269" s="20">
        <v>78.0</v>
      </c>
      <c r="I269" s="20">
        <v>31.0</v>
      </c>
      <c r="J269" s="20">
        <v>1.0</v>
      </c>
      <c r="K269" s="20">
        <v>6.0</v>
      </c>
      <c r="L269" s="20">
        <v>18.0</v>
      </c>
      <c r="N269" s="23"/>
      <c r="O269" s="19">
        <f>$G$13</f>
        <v>5</v>
      </c>
      <c r="P269" s="40">
        <f t="shared" ref="P269:T269" si="256">H269/A$287</f>
        <v>0.0115248227</v>
      </c>
      <c r="Q269" s="40">
        <f t="shared" si="256"/>
        <v>0.01066024759</v>
      </c>
      <c r="R269" s="40">
        <f t="shared" si="256"/>
        <v>0.009259259259</v>
      </c>
      <c r="S269" s="40">
        <f t="shared" si="256"/>
        <v>0.01048951049</v>
      </c>
      <c r="T269" s="40">
        <f t="shared" si="256"/>
        <v>0.02031602709</v>
      </c>
    </row>
    <row r="270" ht="15.75" customHeight="1">
      <c r="F270" s="23"/>
      <c r="G270" s="19">
        <f>$G$14</f>
        <v>6</v>
      </c>
      <c r="H270" s="20">
        <v>234.0</v>
      </c>
      <c r="I270" s="20">
        <v>148.0</v>
      </c>
      <c r="J270" s="20"/>
      <c r="K270" s="20">
        <v>18.0</v>
      </c>
      <c r="L270" s="20">
        <v>36.0</v>
      </c>
      <c r="N270" s="23"/>
      <c r="O270" s="19">
        <f>$G$14</f>
        <v>6</v>
      </c>
      <c r="P270" s="40">
        <f t="shared" ref="P270:T270" si="257">H270/A$287</f>
        <v>0.03457446809</v>
      </c>
      <c r="Q270" s="40">
        <f t="shared" si="257"/>
        <v>0.05089408528</v>
      </c>
      <c r="R270" s="40">
        <f t="shared" si="257"/>
        <v>0</v>
      </c>
      <c r="S270" s="40">
        <f t="shared" si="257"/>
        <v>0.03146853147</v>
      </c>
      <c r="T270" s="40">
        <f t="shared" si="257"/>
        <v>0.04063205418</v>
      </c>
    </row>
    <row r="271" ht="15.75" customHeight="1">
      <c r="F271" s="23"/>
      <c r="G271" s="19">
        <f>$G$15</f>
        <v>7</v>
      </c>
      <c r="H271" s="20">
        <v>391.0</v>
      </c>
      <c r="I271" s="20">
        <v>140.0</v>
      </c>
      <c r="J271" s="20">
        <v>2.0</v>
      </c>
      <c r="K271" s="20">
        <v>16.0</v>
      </c>
      <c r="L271" s="20">
        <v>56.0</v>
      </c>
      <c r="N271" s="23"/>
      <c r="O271" s="19">
        <f>$G$15</f>
        <v>7</v>
      </c>
      <c r="P271" s="40">
        <f t="shared" ref="P271:T271" si="258">H271/A$287</f>
        <v>0.05777186761</v>
      </c>
      <c r="Q271" s="40">
        <f t="shared" si="258"/>
        <v>0.04814305365</v>
      </c>
      <c r="R271" s="40">
        <f t="shared" si="258"/>
        <v>0.01851851852</v>
      </c>
      <c r="S271" s="40">
        <f t="shared" si="258"/>
        <v>0.02797202797</v>
      </c>
      <c r="T271" s="40">
        <f t="shared" si="258"/>
        <v>0.06320541761</v>
      </c>
    </row>
    <row r="272" ht="15.75" customHeight="1">
      <c r="F272" s="23"/>
      <c r="G272" s="19">
        <f>$G$16</f>
        <v>8</v>
      </c>
      <c r="H272" s="20">
        <v>292.0</v>
      </c>
      <c r="I272" s="20">
        <v>129.0</v>
      </c>
      <c r="J272" s="20">
        <v>6.0</v>
      </c>
      <c r="K272" s="20">
        <v>33.0</v>
      </c>
      <c r="L272" s="20">
        <v>57.0</v>
      </c>
      <c r="N272" s="23"/>
      <c r="O272" s="19">
        <f>$G$16</f>
        <v>8</v>
      </c>
      <c r="P272" s="40">
        <f t="shared" ref="P272:T272" si="259">H272/A$287</f>
        <v>0.04314420804</v>
      </c>
      <c r="Q272" s="40">
        <f t="shared" si="259"/>
        <v>0.04436038514</v>
      </c>
      <c r="R272" s="40">
        <f t="shared" si="259"/>
        <v>0.05555555556</v>
      </c>
      <c r="S272" s="40">
        <f t="shared" si="259"/>
        <v>0.05769230769</v>
      </c>
      <c r="T272" s="40">
        <f t="shared" si="259"/>
        <v>0.06433408578</v>
      </c>
    </row>
    <row r="273" ht="15.75" customHeight="1">
      <c r="F273" s="23"/>
      <c r="G273" s="19">
        <f>$G$17</f>
        <v>9</v>
      </c>
      <c r="H273" s="20">
        <v>325.0</v>
      </c>
      <c r="I273" s="20">
        <v>150.0</v>
      </c>
      <c r="J273" s="20">
        <v>14.0</v>
      </c>
      <c r="K273" s="20">
        <v>42.0</v>
      </c>
      <c r="L273" s="20">
        <v>75.0</v>
      </c>
      <c r="N273" s="23"/>
      <c r="O273" s="19">
        <f>$G$17</f>
        <v>9</v>
      </c>
      <c r="P273" s="40">
        <f t="shared" ref="P273:T273" si="260">H273/A$287</f>
        <v>0.04802009456</v>
      </c>
      <c r="Q273" s="40">
        <f t="shared" si="260"/>
        <v>0.05158184319</v>
      </c>
      <c r="R273" s="40">
        <f t="shared" si="260"/>
        <v>0.1296296296</v>
      </c>
      <c r="S273" s="40">
        <f t="shared" si="260"/>
        <v>0.07342657343</v>
      </c>
      <c r="T273" s="40">
        <f t="shared" si="260"/>
        <v>0.08465011287</v>
      </c>
    </row>
    <row r="274" ht="15.75" customHeight="1">
      <c r="F274" s="23"/>
      <c r="G274" s="19">
        <f>$G$18</f>
        <v>10</v>
      </c>
      <c r="H274" s="20">
        <v>316.0</v>
      </c>
      <c r="I274" s="20">
        <v>142.0</v>
      </c>
      <c r="J274" s="20">
        <v>6.0</v>
      </c>
      <c r="K274" s="20">
        <v>43.0</v>
      </c>
      <c r="L274" s="20">
        <v>89.0</v>
      </c>
      <c r="N274" s="23"/>
      <c r="O274" s="19">
        <f>$G$18</f>
        <v>10</v>
      </c>
      <c r="P274" s="40">
        <f t="shared" ref="P274:T274" si="261">H274/A$287</f>
        <v>0.04669030733</v>
      </c>
      <c r="Q274" s="40">
        <f t="shared" si="261"/>
        <v>0.04883081155</v>
      </c>
      <c r="R274" s="40">
        <f t="shared" si="261"/>
        <v>0.05555555556</v>
      </c>
      <c r="S274" s="40">
        <f t="shared" si="261"/>
        <v>0.07517482517</v>
      </c>
      <c r="T274" s="40">
        <f t="shared" si="261"/>
        <v>0.1004514673</v>
      </c>
    </row>
    <row r="275" ht="15.75" customHeight="1">
      <c r="F275" s="23"/>
      <c r="G275" s="19">
        <f>$G$19</f>
        <v>11</v>
      </c>
      <c r="H275" s="20">
        <v>331.0</v>
      </c>
      <c r="I275" s="20">
        <v>142.0</v>
      </c>
      <c r="J275" s="20">
        <v>3.0</v>
      </c>
      <c r="K275" s="20">
        <v>37.0</v>
      </c>
      <c r="L275" s="20">
        <v>79.0</v>
      </c>
      <c r="N275" s="23"/>
      <c r="O275" s="19">
        <f>$G$19</f>
        <v>11</v>
      </c>
      <c r="P275" s="40">
        <f t="shared" ref="P275:T275" si="262">H275/A$287</f>
        <v>0.04890661939</v>
      </c>
      <c r="Q275" s="40">
        <f t="shared" si="262"/>
        <v>0.04883081155</v>
      </c>
      <c r="R275" s="40">
        <f t="shared" si="262"/>
        <v>0.02777777778</v>
      </c>
      <c r="S275" s="40">
        <f t="shared" si="262"/>
        <v>0.06468531469</v>
      </c>
      <c r="T275" s="40">
        <f t="shared" si="262"/>
        <v>0.08916478555</v>
      </c>
    </row>
    <row r="276" ht="15.75" customHeight="1">
      <c r="F276" s="23"/>
      <c r="G276" s="19">
        <f>$G$20</f>
        <v>12</v>
      </c>
      <c r="H276" s="20">
        <v>423.0</v>
      </c>
      <c r="I276" s="20">
        <v>162.0</v>
      </c>
      <c r="J276" s="20">
        <v>9.0</v>
      </c>
      <c r="K276" s="20">
        <v>36.0</v>
      </c>
      <c r="L276" s="20">
        <v>66.0</v>
      </c>
      <c r="N276" s="23"/>
      <c r="O276" s="19">
        <f>$G$20</f>
        <v>12</v>
      </c>
      <c r="P276" s="40">
        <f t="shared" ref="P276:T276" si="263">H276/A$287</f>
        <v>0.0625</v>
      </c>
      <c r="Q276" s="40">
        <f t="shared" si="263"/>
        <v>0.05570839065</v>
      </c>
      <c r="R276" s="40">
        <f t="shared" si="263"/>
        <v>0.08333333333</v>
      </c>
      <c r="S276" s="40">
        <f t="shared" si="263"/>
        <v>0.06293706294</v>
      </c>
      <c r="T276" s="40">
        <f t="shared" si="263"/>
        <v>0.07449209932</v>
      </c>
    </row>
    <row r="277" ht="15.75" customHeight="1">
      <c r="F277" s="23"/>
      <c r="G277" s="19">
        <f>$G$21</f>
        <v>13</v>
      </c>
      <c r="H277" s="20">
        <v>442.0</v>
      </c>
      <c r="I277" s="20">
        <v>199.0</v>
      </c>
      <c r="J277" s="20">
        <v>5.0</v>
      </c>
      <c r="K277" s="20">
        <v>46.0</v>
      </c>
      <c r="L277" s="20">
        <v>56.0</v>
      </c>
      <c r="N277" s="23"/>
      <c r="O277" s="19">
        <f>$G$21</f>
        <v>13</v>
      </c>
      <c r="P277" s="40">
        <f t="shared" ref="P277:T277" si="264">H277/A$287</f>
        <v>0.06530732861</v>
      </c>
      <c r="Q277" s="40">
        <f t="shared" si="264"/>
        <v>0.06843191197</v>
      </c>
      <c r="R277" s="40">
        <f t="shared" si="264"/>
        <v>0.0462962963</v>
      </c>
      <c r="S277" s="40">
        <f t="shared" si="264"/>
        <v>0.08041958042</v>
      </c>
      <c r="T277" s="40">
        <f t="shared" si="264"/>
        <v>0.06320541761</v>
      </c>
    </row>
    <row r="278" ht="15.75" customHeight="1">
      <c r="F278" s="23"/>
      <c r="G278" s="19">
        <f>$G$22</f>
        <v>14</v>
      </c>
      <c r="H278" s="20">
        <v>509.0</v>
      </c>
      <c r="I278" s="20">
        <v>235.0</v>
      </c>
      <c r="J278" s="20">
        <v>9.0</v>
      </c>
      <c r="K278" s="20">
        <v>66.0</v>
      </c>
      <c r="L278" s="20">
        <v>67.0</v>
      </c>
      <c r="N278" s="23"/>
      <c r="O278" s="19">
        <f>$G$22</f>
        <v>14</v>
      </c>
      <c r="P278" s="40">
        <f t="shared" ref="P278:T278" si="265">H278/A$287</f>
        <v>0.07520685579</v>
      </c>
      <c r="Q278" s="40">
        <f t="shared" si="265"/>
        <v>0.08081155433</v>
      </c>
      <c r="R278" s="40">
        <f t="shared" si="265"/>
        <v>0.08333333333</v>
      </c>
      <c r="S278" s="40">
        <f t="shared" si="265"/>
        <v>0.1153846154</v>
      </c>
      <c r="T278" s="40">
        <f t="shared" si="265"/>
        <v>0.07562076749</v>
      </c>
    </row>
    <row r="279" ht="15.75" customHeight="1">
      <c r="F279" s="23"/>
      <c r="G279" s="19">
        <f>$G$23</f>
        <v>15</v>
      </c>
      <c r="H279" s="20">
        <v>521.0</v>
      </c>
      <c r="I279" s="20">
        <v>256.0</v>
      </c>
      <c r="J279" s="20">
        <v>5.0</v>
      </c>
      <c r="K279" s="20">
        <v>56.0</v>
      </c>
      <c r="L279" s="20">
        <v>76.0</v>
      </c>
      <c r="N279" s="23"/>
      <c r="O279" s="19">
        <f>$G$23</f>
        <v>15</v>
      </c>
      <c r="P279" s="40">
        <f t="shared" ref="P279:T279" si="266">H279/A$287</f>
        <v>0.07697990544</v>
      </c>
      <c r="Q279" s="40">
        <f t="shared" si="266"/>
        <v>0.08803301238</v>
      </c>
      <c r="R279" s="40">
        <f t="shared" si="266"/>
        <v>0.0462962963</v>
      </c>
      <c r="S279" s="40">
        <f t="shared" si="266"/>
        <v>0.0979020979</v>
      </c>
      <c r="T279" s="40">
        <f t="shared" si="266"/>
        <v>0.08577878104</v>
      </c>
    </row>
    <row r="280" ht="15.75" customHeight="1">
      <c r="F280" s="23"/>
      <c r="G280" s="19">
        <f>$G$24</f>
        <v>16</v>
      </c>
      <c r="H280" s="20">
        <v>603.0</v>
      </c>
      <c r="I280" s="20">
        <v>304.0</v>
      </c>
      <c r="J280" s="20">
        <v>12.0</v>
      </c>
      <c r="K280" s="20">
        <v>43.0</v>
      </c>
      <c r="L280" s="20">
        <v>64.0</v>
      </c>
      <c r="N280" s="23"/>
      <c r="O280" s="19">
        <f>$G$24</f>
        <v>16</v>
      </c>
      <c r="P280" s="40">
        <f t="shared" ref="P280:T280" si="267">H280/A$287</f>
        <v>0.08909574468</v>
      </c>
      <c r="Q280" s="40">
        <f t="shared" si="267"/>
        <v>0.1045392022</v>
      </c>
      <c r="R280" s="40">
        <f t="shared" si="267"/>
        <v>0.1111111111</v>
      </c>
      <c r="S280" s="40">
        <f t="shared" si="267"/>
        <v>0.07517482517</v>
      </c>
      <c r="T280" s="40">
        <f t="shared" si="267"/>
        <v>0.07223476298</v>
      </c>
    </row>
    <row r="281" ht="15.75" customHeight="1">
      <c r="F281" s="23"/>
      <c r="G281" s="19">
        <f>$G$25</f>
        <v>17</v>
      </c>
      <c r="H281" s="20">
        <v>674.0</v>
      </c>
      <c r="I281" s="20">
        <v>282.0</v>
      </c>
      <c r="J281" s="20">
        <v>16.0</v>
      </c>
      <c r="K281" s="20">
        <v>19.0</v>
      </c>
      <c r="L281" s="20">
        <v>33.0</v>
      </c>
      <c r="N281" s="23"/>
      <c r="O281" s="19">
        <f>$G$25</f>
        <v>17</v>
      </c>
      <c r="P281" s="40">
        <f t="shared" ref="P281:T281" si="268">H281/A$287</f>
        <v>0.09958628842</v>
      </c>
      <c r="Q281" s="40">
        <f t="shared" si="268"/>
        <v>0.0969738652</v>
      </c>
      <c r="R281" s="40">
        <f t="shared" si="268"/>
        <v>0.1481481481</v>
      </c>
      <c r="S281" s="40">
        <f t="shared" si="268"/>
        <v>0.03321678322</v>
      </c>
      <c r="T281" s="40">
        <f t="shared" si="268"/>
        <v>0.03724604966</v>
      </c>
    </row>
    <row r="282" ht="15.75" customHeight="1">
      <c r="F282" s="23"/>
      <c r="G282" s="19">
        <f>$G$26</f>
        <v>18</v>
      </c>
      <c r="H282" s="20">
        <v>535.0</v>
      </c>
      <c r="I282" s="20">
        <v>199.0</v>
      </c>
      <c r="J282" s="20">
        <v>16.0</v>
      </c>
      <c r="K282" s="20">
        <v>22.0</v>
      </c>
      <c r="L282" s="20">
        <v>21.0</v>
      </c>
      <c r="N282" s="23"/>
      <c r="O282" s="19">
        <f>$G$26</f>
        <v>18</v>
      </c>
      <c r="P282" s="40">
        <f t="shared" ref="P282:T282" si="269">H282/A$287</f>
        <v>0.07904846336</v>
      </c>
      <c r="Q282" s="40">
        <f t="shared" si="269"/>
        <v>0.06843191197</v>
      </c>
      <c r="R282" s="40">
        <f t="shared" si="269"/>
        <v>0.1481481481</v>
      </c>
      <c r="S282" s="40">
        <f t="shared" si="269"/>
        <v>0.03846153846</v>
      </c>
      <c r="T282" s="40">
        <f t="shared" si="269"/>
        <v>0.0237020316</v>
      </c>
    </row>
    <row r="283" ht="15.75" customHeight="1">
      <c r="F283" s="23"/>
      <c r="G283" s="19">
        <f>$G$27</f>
        <v>19</v>
      </c>
      <c r="H283" s="20">
        <v>319.0</v>
      </c>
      <c r="I283" s="20">
        <v>118.0</v>
      </c>
      <c r="J283" s="20">
        <v>1.0</v>
      </c>
      <c r="K283" s="20">
        <v>17.0</v>
      </c>
      <c r="L283" s="20">
        <v>12.0</v>
      </c>
      <c r="N283" s="23"/>
      <c r="O283" s="19">
        <f>$G$27</f>
        <v>19</v>
      </c>
      <c r="P283" s="40">
        <f t="shared" ref="P283:T283" si="270">H283/A$287</f>
        <v>0.04713356974</v>
      </c>
      <c r="Q283" s="40">
        <f t="shared" si="270"/>
        <v>0.04057771664</v>
      </c>
      <c r="R283" s="40">
        <f t="shared" si="270"/>
        <v>0.009259259259</v>
      </c>
      <c r="S283" s="40">
        <f t="shared" si="270"/>
        <v>0.02972027972</v>
      </c>
      <c r="T283" s="40">
        <f t="shared" si="270"/>
        <v>0.01354401806</v>
      </c>
    </row>
    <row r="284" ht="15.75" customHeight="1">
      <c r="F284" s="23"/>
      <c r="G284" s="19">
        <f>$G$28</f>
        <v>20</v>
      </c>
      <c r="H284" s="20">
        <v>235.0</v>
      </c>
      <c r="I284" s="20">
        <v>77.0</v>
      </c>
      <c r="J284" s="20">
        <v>2.0</v>
      </c>
      <c r="K284" s="20">
        <v>13.0</v>
      </c>
      <c r="L284" s="20">
        <v>17.0</v>
      </c>
      <c r="N284" s="23"/>
      <c r="O284" s="19">
        <f>$G$28</f>
        <v>20</v>
      </c>
      <c r="P284" s="40">
        <f t="shared" ref="P284:T284" si="271">H284/A$287</f>
        <v>0.03472222222</v>
      </c>
      <c r="Q284" s="40">
        <f t="shared" si="271"/>
        <v>0.0264786795</v>
      </c>
      <c r="R284" s="40">
        <f t="shared" si="271"/>
        <v>0.01851851852</v>
      </c>
      <c r="S284" s="40">
        <f t="shared" si="271"/>
        <v>0.02272727273</v>
      </c>
      <c r="T284" s="40">
        <f t="shared" si="271"/>
        <v>0.01918735892</v>
      </c>
    </row>
    <row r="285" ht="15.75" customHeight="1">
      <c r="F285" s="23"/>
      <c r="G285" s="19">
        <f>$G$29</f>
        <v>21</v>
      </c>
      <c r="H285" s="20">
        <v>215.0</v>
      </c>
      <c r="I285" s="20">
        <v>55.0</v>
      </c>
      <c r="J285" s="20"/>
      <c r="K285" s="20">
        <v>15.0</v>
      </c>
      <c r="L285" s="20">
        <v>12.0</v>
      </c>
      <c r="N285" s="23"/>
      <c r="O285" s="19">
        <f>$G$29</f>
        <v>21</v>
      </c>
      <c r="P285" s="40">
        <f t="shared" ref="P285:T285" si="272">H285/A$287</f>
        <v>0.03176713948</v>
      </c>
      <c r="Q285" s="40">
        <f t="shared" si="272"/>
        <v>0.0189133425</v>
      </c>
      <c r="R285" s="40">
        <f t="shared" si="272"/>
        <v>0</v>
      </c>
      <c r="S285" s="40">
        <f t="shared" si="272"/>
        <v>0.02622377622</v>
      </c>
      <c r="T285" s="40">
        <f t="shared" si="272"/>
        <v>0.01354401806</v>
      </c>
    </row>
    <row r="286" ht="15.75" customHeight="1">
      <c r="F286" s="23"/>
      <c r="G286" s="19">
        <f>$G$30</f>
        <v>22</v>
      </c>
      <c r="H286" s="20">
        <v>121.0</v>
      </c>
      <c r="I286" s="20">
        <v>43.0</v>
      </c>
      <c r="J286" s="20"/>
      <c r="K286" s="20">
        <v>10.0</v>
      </c>
      <c r="L286" s="20">
        <v>4.0</v>
      </c>
      <c r="N286" s="23"/>
      <c r="O286" s="19">
        <f>$G$30</f>
        <v>22</v>
      </c>
      <c r="P286" s="40">
        <f t="shared" ref="P286:T286" si="273">H286/A$287</f>
        <v>0.01787825059</v>
      </c>
      <c r="Q286" s="40">
        <f t="shared" si="273"/>
        <v>0.01478679505</v>
      </c>
      <c r="R286" s="40">
        <f t="shared" si="273"/>
        <v>0</v>
      </c>
      <c r="S286" s="40">
        <f t="shared" si="273"/>
        <v>0.01748251748</v>
      </c>
      <c r="T286" s="40">
        <f t="shared" si="273"/>
        <v>0.004514672686</v>
      </c>
    </row>
    <row r="287" ht="15.75" customHeight="1">
      <c r="A287" s="26">
        <f t="shared" ref="A287:E287" si="274">SUM(H264:H287)</f>
        <v>6768</v>
      </c>
      <c r="B287" s="26">
        <f t="shared" si="274"/>
        <v>2908</v>
      </c>
      <c r="C287" s="26">
        <f t="shared" si="274"/>
        <v>108</v>
      </c>
      <c r="D287" s="26">
        <f t="shared" si="274"/>
        <v>572</v>
      </c>
      <c r="E287" s="26">
        <f t="shared" si="274"/>
        <v>886</v>
      </c>
      <c r="F287" s="27"/>
      <c r="G287" s="19">
        <f>$G$31</f>
        <v>23</v>
      </c>
      <c r="H287" s="20">
        <v>62.0</v>
      </c>
      <c r="I287" s="20">
        <v>32.0</v>
      </c>
      <c r="J287" s="20"/>
      <c r="K287" s="20">
        <v>7.0</v>
      </c>
      <c r="L287" s="20">
        <v>2.0</v>
      </c>
      <c r="N287" s="27"/>
      <c r="O287" s="19">
        <f>$G$31</f>
        <v>23</v>
      </c>
      <c r="P287" s="40">
        <f t="shared" ref="P287:T287" si="275">H287/A$287</f>
        <v>0.009160756501</v>
      </c>
      <c r="Q287" s="40">
        <f t="shared" si="275"/>
        <v>0.01100412655</v>
      </c>
      <c r="R287" s="40">
        <f t="shared" si="275"/>
        <v>0</v>
      </c>
      <c r="S287" s="40">
        <f t="shared" si="275"/>
        <v>0.01223776224</v>
      </c>
      <c r="T287" s="40">
        <f t="shared" si="275"/>
        <v>0.002257336343</v>
      </c>
    </row>
    <row r="288" ht="15.75" customHeight="1">
      <c r="A288" s="17">
        <f>$H$7</f>
        <v>31</v>
      </c>
      <c r="B288" s="17">
        <f>$I$7</f>
        <v>32</v>
      </c>
      <c r="C288" s="17">
        <f>$J$7</f>
        <v>41</v>
      </c>
      <c r="D288" s="17">
        <f>$K$7</f>
        <v>42</v>
      </c>
      <c r="E288" s="17">
        <f>$L$7</f>
        <v>5</v>
      </c>
      <c r="F288" s="56">
        <v>45218.0</v>
      </c>
      <c r="G288" s="19">
        <f>$G$8</f>
        <v>0</v>
      </c>
      <c r="H288" s="19">
        <v>48.0</v>
      </c>
      <c r="I288" s="60">
        <v>17.0</v>
      </c>
      <c r="J288" s="60">
        <v>0.0</v>
      </c>
      <c r="K288" s="60">
        <v>3.0</v>
      </c>
      <c r="L288" s="60">
        <v>4.0</v>
      </c>
      <c r="N288" s="56">
        <v>45218.0</v>
      </c>
      <c r="O288" s="19">
        <f>$G$8</f>
        <v>0</v>
      </c>
      <c r="P288" s="44">
        <f t="shared" ref="P288:T288" si="276">H288/A$311</f>
        <v>0.006537728139</v>
      </c>
      <c r="Q288" s="44">
        <f t="shared" si="276"/>
        <v>0.005977496484</v>
      </c>
      <c r="R288" s="44">
        <f t="shared" si="276"/>
        <v>0</v>
      </c>
      <c r="S288" s="44">
        <f t="shared" si="276"/>
        <v>0.005535055351</v>
      </c>
      <c r="T288" s="44">
        <f t="shared" si="276"/>
        <v>0.004530011325</v>
      </c>
    </row>
    <row r="289" ht="15.75" customHeight="1">
      <c r="F289" s="23"/>
      <c r="G289" s="19">
        <f>$G$9</f>
        <v>1</v>
      </c>
      <c r="H289" s="45">
        <v>47.0</v>
      </c>
      <c r="I289" s="31">
        <v>14.0</v>
      </c>
      <c r="J289" s="31">
        <v>1.0</v>
      </c>
      <c r="K289" s="31">
        <v>2.0</v>
      </c>
      <c r="L289" s="31">
        <v>3.0</v>
      </c>
      <c r="N289" s="23"/>
      <c r="O289" s="19">
        <f>$G$9</f>
        <v>1</v>
      </c>
      <c r="P289" s="44">
        <f t="shared" ref="P289:T289" si="277">H289/A$311</f>
        <v>0.00640152547</v>
      </c>
      <c r="Q289" s="44">
        <f t="shared" si="277"/>
        <v>0.004922644163</v>
      </c>
      <c r="R289" s="44">
        <f t="shared" si="277"/>
        <v>0.008403361345</v>
      </c>
      <c r="S289" s="44">
        <f t="shared" si="277"/>
        <v>0.0036900369</v>
      </c>
      <c r="T289" s="44">
        <f t="shared" si="277"/>
        <v>0.003397508494</v>
      </c>
    </row>
    <row r="290" ht="15.75" customHeight="1">
      <c r="F290" s="23"/>
      <c r="G290" s="19">
        <f>$G$10</f>
        <v>2</v>
      </c>
      <c r="H290" s="45">
        <v>30.0</v>
      </c>
      <c r="I290" s="31">
        <v>15.0</v>
      </c>
      <c r="J290" s="20"/>
      <c r="K290" s="31">
        <v>5.0</v>
      </c>
      <c r="L290" s="31">
        <v>2.0</v>
      </c>
      <c r="N290" s="23"/>
      <c r="O290" s="19">
        <f>$G$10</f>
        <v>2</v>
      </c>
      <c r="P290" s="44">
        <f t="shared" ref="P290:T290" si="278">H290/A$311</f>
        <v>0.004086080087</v>
      </c>
      <c r="Q290" s="44">
        <f t="shared" si="278"/>
        <v>0.005274261603</v>
      </c>
      <c r="R290" s="44">
        <f t="shared" si="278"/>
        <v>0</v>
      </c>
      <c r="S290" s="44">
        <f t="shared" si="278"/>
        <v>0.009225092251</v>
      </c>
      <c r="T290" s="44">
        <f t="shared" si="278"/>
        <v>0.002265005663</v>
      </c>
    </row>
    <row r="291" ht="15.75" customHeight="1">
      <c r="F291" s="23"/>
      <c r="G291" s="19">
        <f>$G$11</f>
        <v>3</v>
      </c>
      <c r="H291" s="45">
        <v>27.0</v>
      </c>
      <c r="I291" s="31">
        <v>10.0</v>
      </c>
      <c r="J291" s="20"/>
      <c r="K291" s="31">
        <v>3.0</v>
      </c>
      <c r="L291" s="31">
        <v>11.0</v>
      </c>
      <c r="N291" s="23"/>
      <c r="O291" s="19">
        <f>$G$11</f>
        <v>3</v>
      </c>
      <c r="P291" s="44">
        <f t="shared" ref="P291:T291" si="279">H291/A$311</f>
        <v>0.003677472078</v>
      </c>
      <c r="Q291" s="44">
        <f t="shared" si="279"/>
        <v>0.003516174402</v>
      </c>
      <c r="R291" s="44">
        <f t="shared" si="279"/>
        <v>0</v>
      </c>
      <c r="S291" s="44">
        <f t="shared" si="279"/>
        <v>0.005535055351</v>
      </c>
      <c r="T291" s="44">
        <f t="shared" si="279"/>
        <v>0.01245753114</v>
      </c>
    </row>
    <row r="292" ht="15.75" customHeight="1">
      <c r="F292" s="23"/>
      <c r="G292" s="19">
        <f>$G$12</f>
        <v>4</v>
      </c>
      <c r="H292" s="45">
        <v>20.0</v>
      </c>
      <c r="I292" s="31">
        <v>19.0</v>
      </c>
      <c r="J292" s="31">
        <v>1.0</v>
      </c>
      <c r="K292" s="31">
        <v>5.0</v>
      </c>
      <c r="L292" s="31">
        <v>21.0</v>
      </c>
      <c r="N292" s="23"/>
      <c r="O292" s="19">
        <f>$G$12</f>
        <v>4</v>
      </c>
      <c r="P292" s="44">
        <f t="shared" ref="P292:T292" si="280">H292/A$311</f>
        <v>0.002724053391</v>
      </c>
      <c r="Q292" s="44">
        <f t="shared" si="280"/>
        <v>0.006680731364</v>
      </c>
      <c r="R292" s="44">
        <f t="shared" si="280"/>
        <v>0.008403361345</v>
      </c>
      <c r="S292" s="44">
        <f t="shared" si="280"/>
        <v>0.009225092251</v>
      </c>
      <c r="T292" s="44">
        <f t="shared" si="280"/>
        <v>0.02378255946</v>
      </c>
    </row>
    <row r="293" ht="15.75" customHeight="1">
      <c r="F293" s="23"/>
      <c r="G293" s="19">
        <f>$G$13</f>
        <v>5</v>
      </c>
      <c r="H293" s="45">
        <v>70.0</v>
      </c>
      <c r="I293" s="31">
        <v>32.0</v>
      </c>
      <c r="J293" s="31">
        <v>2.0</v>
      </c>
      <c r="K293" s="31">
        <v>8.0</v>
      </c>
      <c r="L293" s="31">
        <v>24.0</v>
      </c>
      <c r="N293" s="23"/>
      <c r="O293" s="19">
        <f>$G$13</f>
        <v>5</v>
      </c>
      <c r="P293" s="44">
        <f t="shared" ref="P293:T293" si="281">H293/A$311</f>
        <v>0.00953418687</v>
      </c>
      <c r="Q293" s="44">
        <f t="shared" si="281"/>
        <v>0.01125175809</v>
      </c>
      <c r="R293" s="44">
        <f t="shared" si="281"/>
        <v>0.01680672269</v>
      </c>
      <c r="S293" s="44">
        <f t="shared" si="281"/>
        <v>0.0147601476</v>
      </c>
      <c r="T293" s="44">
        <f t="shared" si="281"/>
        <v>0.02718006795</v>
      </c>
    </row>
    <row r="294" ht="15.75" customHeight="1">
      <c r="F294" s="23"/>
      <c r="G294" s="19">
        <f>$G$14</f>
        <v>6</v>
      </c>
      <c r="H294" s="45">
        <v>244.0</v>
      </c>
      <c r="I294" s="31">
        <v>135.0</v>
      </c>
      <c r="J294" s="31">
        <v>2.0</v>
      </c>
      <c r="K294" s="31">
        <v>23.0</v>
      </c>
      <c r="L294" s="31">
        <v>48.0</v>
      </c>
      <c r="N294" s="23"/>
      <c r="O294" s="19">
        <f>$G$14</f>
        <v>6</v>
      </c>
      <c r="P294" s="44">
        <f t="shared" ref="P294:T294" si="282">H294/A$311</f>
        <v>0.03323345138</v>
      </c>
      <c r="Q294" s="44">
        <f t="shared" si="282"/>
        <v>0.04746835443</v>
      </c>
      <c r="R294" s="44">
        <f t="shared" si="282"/>
        <v>0.01680672269</v>
      </c>
      <c r="S294" s="44">
        <f t="shared" si="282"/>
        <v>0.04243542435</v>
      </c>
      <c r="T294" s="44">
        <f t="shared" si="282"/>
        <v>0.0543601359</v>
      </c>
    </row>
    <row r="295" ht="15.75" customHeight="1">
      <c r="F295" s="23"/>
      <c r="G295" s="19">
        <f>$G$15</f>
        <v>7</v>
      </c>
      <c r="H295" s="45">
        <v>369.0</v>
      </c>
      <c r="I295" s="31">
        <v>171.0</v>
      </c>
      <c r="J295" s="31">
        <v>2.0</v>
      </c>
      <c r="K295" s="31">
        <v>21.0</v>
      </c>
      <c r="L295" s="31">
        <v>55.0</v>
      </c>
      <c r="N295" s="23"/>
      <c r="O295" s="19">
        <f>$G$15</f>
        <v>7</v>
      </c>
      <c r="P295" s="44">
        <f t="shared" ref="P295:T295" si="283">H295/A$311</f>
        <v>0.05025878507</v>
      </c>
      <c r="Q295" s="44">
        <f t="shared" si="283"/>
        <v>0.06012658228</v>
      </c>
      <c r="R295" s="44">
        <f t="shared" si="283"/>
        <v>0.01680672269</v>
      </c>
      <c r="S295" s="44">
        <f t="shared" si="283"/>
        <v>0.03874538745</v>
      </c>
      <c r="T295" s="44">
        <f t="shared" si="283"/>
        <v>0.06228765572</v>
      </c>
    </row>
    <row r="296" ht="15.75" customHeight="1">
      <c r="F296" s="23"/>
      <c r="G296" s="19">
        <f>$G$16</f>
        <v>8</v>
      </c>
      <c r="H296" s="45">
        <v>322.0</v>
      </c>
      <c r="I296" s="31">
        <v>132.0</v>
      </c>
      <c r="J296" s="31">
        <v>11.0</v>
      </c>
      <c r="K296" s="31">
        <v>26.0</v>
      </c>
      <c r="L296" s="31">
        <v>66.0</v>
      </c>
      <c r="N296" s="23"/>
      <c r="O296" s="19">
        <f>$G$16</f>
        <v>8</v>
      </c>
      <c r="P296" s="44">
        <f t="shared" ref="P296:T296" si="284">H296/A$311</f>
        <v>0.0438572596</v>
      </c>
      <c r="Q296" s="44">
        <f t="shared" si="284"/>
        <v>0.04641350211</v>
      </c>
      <c r="R296" s="44">
        <f t="shared" si="284"/>
        <v>0.09243697479</v>
      </c>
      <c r="S296" s="44">
        <f t="shared" si="284"/>
        <v>0.0479704797</v>
      </c>
      <c r="T296" s="44">
        <f t="shared" si="284"/>
        <v>0.07474518686</v>
      </c>
    </row>
    <row r="297" ht="15.75" customHeight="1">
      <c r="F297" s="23"/>
      <c r="G297" s="19">
        <f>$G$17</f>
        <v>9</v>
      </c>
      <c r="H297" s="45">
        <v>345.0</v>
      </c>
      <c r="I297" s="31">
        <v>95.0</v>
      </c>
      <c r="J297" s="31">
        <v>7.0</v>
      </c>
      <c r="K297" s="31">
        <v>37.0</v>
      </c>
      <c r="L297" s="31">
        <v>82.0</v>
      </c>
      <c r="N297" s="23"/>
      <c r="O297" s="19">
        <f>$G$17</f>
        <v>9</v>
      </c>
      <c r="P297" s="44">
        <f t="shared" ref="P297:T297" si="285">H297/A$311</f>
        <v>0.046989921</v>
      </c>
      <c r="Q297" s="44">
        <f t="shared" si="285"/>
        <v>0.03340365682</v>
      </c>
      <c r="R297" s="44">
        <f t="shared" si="285"/>
        <v>0.05882352941</v>
      </c>
      <c r="S297" s="44">
        <f t="shared" si="285"/>
        <v>0.06826568266</v>
      </c>
      <c r="T297" s="44">
        <f t="shared" si="285"/>
        <v>0.09286523216</v>
      </c>
    </row>
    <row r="298" ht="15.75" customHeight="1">
      <c r="F298" s="23"/>
      <c r="G298" s="19">
        <f>$G$18</f>
        <v>10</v>
      </c>
      <c r="H298" s="45">
        <v>321.0</v>
      </c>
      <c r="I298" s="31">
        <v>150.0</v>
      </c>
      <c r="J298" s="31">
        <v>7.0</v>
      </c>
      <c r="K298" s="31">
        <v>42.0</v>
      </c>
      <c r="L298" s="31">
        <v>80.0</v>
      </c>
      <c r="N298" s="23"/>
      <c r="O298" s="19">
        <f>$G$18</f>
        <v>10</v>
      </c>
      <c r="P298" s="44">
        <f t="shared" ref="P298:T298" si="286">H298/A$311</f>
        <v>0.04372105693</v>
      </c>
      <c r="Q298" s="44">
        <f t="shared" si="286"/>
        <v>0.05274261603</v>
      </c>
      <c r="R298" s="44">
        <f t="shared" si="286"/>
        <v>0.05882352941</v>
      </c>
      <c r="S298" s="44">
        <f t="shared" si="286"/>
        <v>0.07749077491</v>
      </c>
      <c r="T298" s="44">
        <f t="shared" si="286"/>
        <v>0.0906002265</v>
      </c>
    </row>
    <row r="299" ht="15.75" customHeight="1">
      <c r="F299" s="23"/>
      <c r="G299" s="19">
        <f>$G$19</f>
        <v>11</v>
      </c>
      <c r="H299" s="45">
        <v>390.0</v>
      </c>
      <c r="I299" s="31">
        <v>148.0</v>
      </c>
      <c r="J299" s="31">
        <v>3.0</v>
      </c>
      <c r="K299" s="31">
        <v>37.0</v>
      </c>
      <c r="L299" s="31">
        <v>98.0</v>
      </c>
      <c r="N299" s="23"/>
      <c r="O299" s="19">
        <f>$G$19</f>
        <v>11</v>
      </c>
      <c r="P299" s="44">
        <f t="shared" ref="P299:T299" si="287">H299/A$311</f>
        <v>0.05311904113</v>
      </c>
      <c r="Q299" s="44">
        <f t="shared" si="287"/>
        <v>0.05203938115</v>
      </c>
      <c r="R299" s="44">
        <f t="shared" si="287"/>
        <v>0.02521008403</v>
      </c>
      <c r="S299" s="44">
        <f t="shared" si="287"/>
        <v>0.06826568266</v>
      </c>
      <c r="T299" s="44">
        <f t="shared" si="287"/>
        <v>0.1109852775</v>
      </c>
    </row>
    <row r="300" ht="15.75" customHeight="1">
      <c r="F300" s="23"/>
      <c r="G300" s="19">
        <f>$G$20</f>
        <v>12</v>
      </c>
      <c r="H300" s="45">
        <v>422.0</v>
      </c>
      <c r="I300" s="31">
        <v>159.0</v>
      </c>
      <c r="J300" s="31">
        <v>4.0</v>
      </c>
      <c r="K300" s="31">
        <v>43.0</v>
      </c>
      <c r="L300" s="31">
        <v>61.0</v>
      </c>
      <c r="N300" s="23"/>
      <c r="O300" s="19">
        <f>$G$20</f>
        <v>12</v>
      </c>
      <c r="P300" s="44">
        <f t="shared" ref="P300:T300" si="288">H300/A$311</f>
        <v>0.05747752656</v>
      </c>
      <c r="Q300" s="44">
        <f t="shared" si="288"/>
        <v>0.055907173</v>
      </c>
      <c r="R300" s="44">
        <f t="shared" si="288"/>
        <v>0.03361344538</v>
      </c>
      <c r="S300" s="44">
        <f t="shared" si="288"/>
        <v>0.07933579336</v>
      </c>
      <c r="T300" s="44">
        <f t="shared" si="288"/>
        <v>0.06908267271</v>
      </c>
    </row>
    <row r="301" ht="15.75" customHeight="1">
      <c r="F301" s="23"/>
      <c r="G301" s="19">
        <f>$G$21</f>
        <v>13</v>
      </c>
      <c r="H301" s="45">
        <v>488.0</v>
      </c>
      <c r="I301" s="31">
        <v>201.0</v>
      </c>
      <c r="J301" s="31">
        <v>4.0</v>
      </c>
      <c r="K301" s="31">
        <v>42.0</v>
      </c>
      <c r="L301" s="31">
        <v>58.0</v>
      </c>
      <c r="N301" s="23"/>
      <c r="O301" s="19">
        <f>$G$21</f>
        <v>13</v>
      </c>
      <c r="P301" s="44">
        <f t="shared" ref="P301:T301" si="289">H301/A$311</f>
        <v>0.06646690275</v>
      </c>
      <c r="Q301" s="44">
        <f t="shared" si="289"/>
        <v>0.07067510549</v>
      </c>
      <c r="R301" s="44">
        <f t="shared" si="289"/>
        <v>0.03361344538</v>
      </c>
      <c r="S301" s="44">
        <f t="shared" si="289"/>
        <v>0.07749077491</v>
      </c>
      <c r="T301" s="44">
        <f t="shared" si="289"/>
        <v>0.06568516421</v>
      </c>
    </row>
    <row r="302" ht="15.75" customHeight="1">
      <c r="F302" s="23"/>
      <c r="G302" s="19">
        <f>$G$22</f>
        <v>14</v>
      </c>
      <c r="H302" s="45">
        <v>506.0</v>
      </c>
      <c r="I302" s="31">
        <v>228.0</v>
      </c>
      <c r="J302" s="31">
        <v>12.0</v>
      </c>
      <c r="K302" s="31">
        <v>44.0</v>
      </c>
      <c r="L302" s="31">
        <v>64.0</v>
      </c>
      <c r="N302" s="23"/>
      <c r="O302" s="19">
        <f>$G$22</f>
        <v>14</v>
      </c>
      <c r="P302" s="44">
        <f t="shared" ref="P302:T302" si="290">H302/A$311</f>
        <v>0.0689185508</v>
      </c>
      <c r="Q302" s="44">
        <f t="shared" si="290"/>
        <v>0.08016877637</v>
      </c>
      <c r="R302" s="44">
        <f t="shared" si="290"/>
        <v>0.1008403361</v>
      </c>
      <c r="S302" s="44">
        <f t="shared" si="290"/>
        <v>0.08118081181</v>
      </c>
      <c r="T302" s="44">
        <f t="shared" si="290"/>
        <v>0.0724801812</v>
      </c>
    </row>
    <row r="303" ht="15.75" customHeight="1">
      <c r="F303" s="23"/>
      <c r="G303" s="19">
        <f>$G$23</f>
        <v>15</v>
      </c>
      <c r="H303" s="45">
        <v>609.0</v>
      </c>
      <c r="I303" s="31">
        <v>246.0</v>
      </c>
      <c r="J303" s="31">
        <v>12.0</v>
      </c>
      <c r="K303" s="31">
        <v>46.0</v>
      </c>
      <c r="L303" s="31">
        <v>61.0</v>
      </c>
      <c r="N303" s="23"/>
      <c r="O303" s="19">
        <f>$G$23</f>
        <v>15</v>
      </c>
      <c r="P303" s="44">
        <f t="shared" ref="P303:T303" si="291">H303/A$311</f>
        <v>0.08294742577</v>
      </c>
      <c r="Q303" s="44">
        <f t="shared" si="291"/>
        <v>0.0864978903</v>
      </c>
      <c r="R303" s="44">
        <f t="shared" si="291"/>
        <v>0.1008403361</v>
      </c>
      <c r="S303" s="44">
        <f t="shared" si="291"/>
        <v>0.08487084871</v>
      </c>
      <c r="T303" s="44">
        <f t="shared" si="291"/>
        <v>0.06908267271</v>
      </c>
    </row>
    <row r="304" ht="15.75" customHeight="1">
      <c r="F304" s="23"/>
      <c r="G304" s="19">
        <f>$G$24</f>
        <v>16</v>
      </c>
      <c r="H304" s="45">
        <v>658.0</v>
      </c>
      <c r="I304" s="31">
        <v>286.0</v>
      </c>
      <c r="J304" s="31">
        <v>13.0</v>
      </c>
      <c r="K304" s="31">
        <v>46.0</v>
      </c>
      <c r="L304" s="31">
        <v>51.0</v>
      </c>
      <c r="N304" s="23"/>
      <c r="O304" s="19">
        <f>$G$24</f>
        <v>16</v>
      </c>
      <c r="P304" s="44">
        <f t="shared" ref="P304:T304" si="292">H304/A$311</f>
        <v>0.08962135658</v>
      </c>
      <c r="Q304" s="44">
        <f t="shared" si="292"/>
        <v>0.1005625879</v>
      </c>
      <c r="R304" s="44">
        <f t="shared" si="292"/>
        <v>0.1092436975</v>
      </c>
      <c r="S304" s="44">
        <f t="shared" si="292"/>
        <v>0.08487084871</v>
      </c>
      <c r="T304" s="44">
        <f t="shared" si="292"/>
        <v>0.05775764439</v>
      </c>
    </row>
    <row r="305" ht="15.75" customHeight="1">
      <c r="F305" s="23"/>
      <c r="G305" s="19">
        <f>$G$25</f>
        <v>17</v>
      </c>
      <c r="H305" s="45">
        <v>815.0</v>
      </c>
      <c r="I305" s="31">
        <v>285.0</v>
      </c>
      <c r="J305" s="31">
        <v>15.0</v>
      </c>
      <c r="K305" s="31">
        <v>33.0</v>
      </c>
      <c r="L305" s="31">
        <v>27.0</v>
      </c>
      <c r="N305" s="23"/>
      <c r="O305" s="19">
        <f>$G$25</f>
        <v>17</v>
      </c>
      <c r="P305" s="44">
        <f t="shared" ref="P305:T305" si="293">H305/A$311</f>
        <v>0.1110051757</v>
      </c>
      <c r="Q305" s="44">
        <f t="shared" si="293"/>
        <v>0.1002109705</v>
      </c>
      <c r="R305" s="44">
        <f t="shared" si="293"/>
        <v>0.1260504202</v>
      </c>
      <c r="S305" s="44">
        <f t="shared" si="293"/>
        <v>0.06088560886</v>
      </c>
      <c r="T305" s="44">
        <f t="shared" si="293"/>
        <v>0.03057757644</v>
      </c>
    </row>
    <row r="306" ht="15.75" customHeight="1">
      <c r="F306" s="23"/>
      <c r="G306" s="19">
        <f>$G$26</f>
        <v>18</v>
      </c>
      <c r="H306" s="45">
        <v>571.0</v>
      </c>
      <c r="I306" s="31">
        <v>185.0</v>
      </c>
      <c r="J306" s="31">
        <v>10.0</v>
      </c>
      <c r="K306" s="31">
        <v>19.0</v>
      </c>
      <c r="L306" s="31">
        <v>16.0</v>
      </c>
      <c r="N306" s="23"/>
      <c r="O306" s="19">
        <f>$G$26</f>
        <v>18</v>
      </c>
      <c r="P306" s="44">
        <f t="shared" ref="P306:T306" si="294">H306/A$311</f>
        <v>0.07777172433</v>
      </c>
      <c r="Q306" s="44">
        <f t="shared" si="294"/>
        <v>0.06504922644</v>
      </c>
      <c r="R306" s="44">
        <f t="shared" si="294"/>
        <v>0.08403361345</v>
      </c>
      <c r="S306" s="44">
        <f t="shared" si="294"/>
        <v>0.03505535055</v>
      </c>
      <c r="T306" s="44">
        <f t="shared" si="294"/>
        <v>0.0181200453</v>
      </c>
    </row>
    <row r="307" ht="15.75" customHeight="1">
      <c r="F307" s="23"/>
      <c r="G307" s="19">
        <f>$G$27</f>
        <v>19</v>
      </c>
      <c r="H307" s="45">
        <v>376.0</v>
      </c>
      <c r="I307" s="31">
        <v>102.0</v>
      </c>
      <c r="J307" s="31">
        <v>5.0</v>
      </c>
      <c r="K307" s="31">
        <v>19.0</v>
      </c>
      <c r="L307" s="31">
        <v>17.0</v>
      </c>
      <c r="N307" s="23"/>
      <c r="O307" s="19">
        <f>$G$27</f>
        <v>19</v>
      </c>
      <c r="P307" s="44">
        <f t="shared" ref="P307:T307" si="295">H307/A$311</f>
        <v>0.05121220376</v>
      </c>
      <c r="Q307" s="44">
        <f t="shared" si="295"/>
        <v>0.0358649789</v>
      </c>
      <c r="R307" s="44">
        <f t="shared" si="295"/>
        <v>0.04201680672</v>
      </c>
      <c r="S307" s="44">
        <f t="shared" si="295"/>
        <v>0.03505535055</v>
      </c>
      <c r="T307" s="44">
        <f t="shared" si="295"/>
        <v>0.01925254813</v>
      </c>
    </row>
    <row r="308" ht="15.75" customHeight="1">
      <c r="F308" s="23"/>
      <c r="G308" s="19">
        <f>$G$28</f>
        <v>20</v>
      </c>
      <c r="H308" s="45">
        <v>264.0</v>
      </c>
      <c r="I308" s="31">
        <v>86.0</v>
      </c>
      <c r="J308" s="31">
        <v>3.0</v>
      </c>
      <c r="K308" s="31">
        <v>18.0</v>
      </c>
      <c r="L308" s="31">
        <v>11.0</v>
      </c>
      <c r="N308" s="23"/>
      <c r="O308" s="19">
        <f>$G$28</f>
        <v>20</v>
      </c>
      <c r="P308" s="44">
        <f t="shared" ref="P308:T308" si="296">H308/A$311</f>
        <v>0.03595750477</v>
      </c>
      <c r="Q308" s="44">
        <f t="shared" si="296"/>
        <v>0.03023909986</v>
      </c>
      <c r="R308" s="44">
        <f t="shared" si="296"/>
        <v>0.02521008403</v>
      </c>
      <c r="S308" s="44">
        <f t="shared" si="296"/>
        <v>0.0332103321</v>
      </c>
      <c r="T308" s="44">
        <f t="shared" si="296"/>
        <v>0.01245753114</v>
      </c>
    </row>
    <row r="309" ht="15.75" customHeight="1">
      <c r="F309" s="23"/>
      <c r="G309" s="19">
        <f>$G$29</f>
        <v>21</v>
      </c>
      <c r="H309" s="45">
        <v>184.0</v>
      </c>
      <c r="I309" s="31">
        <v>46.0</v>
      </c>
      <c r="J309" s="31">
        <v>4.0</v>
      </c>
      <c r="K309" s="31">
        <v>8.0</v>
      </c>
      <c r="L309" s="31">
        <v>10.0</v>
      </c>
      <c r="N309" s="23"/>
      <c r="O309" s="19">
        <f>$G$29</f>
        <v>21</v>
      </c>
      <c r="P309" s="44">
        <f t="shared" ref="P309:T309" si="297">H309/A$311</f>
        <v>0.0250612912</v>
      </c>
      <c r="Q309" s="44">
        <f t="shared" si="297"/>
        <v>0.01617440225</v>
      </c>
      <c r="R309" s="44">
        <f t="shared" si="297"/>
        <v>0.03361344538</v>
      </c>
      <c r="S309" s="44">
        <f t="shared" si="297"/>
        <v>0.0147601476</v>
      </c>
      <c r="T309" s="44">
        <f t="shared" si="297"/>
        <v>0.01132502831</v>
      </c>
    </row>
    <row r="310" ht="15.75" customHeight="1">
      <c r="F310" s="23"/>
      <c r="G310" s="19">
        <f>$G$30</f>
        <v>22</v>
      </c>
      <c r="H310" s="45">
        <v>139.0</v>
      </c>
      <c r="I310" s="31">
        <v>43.0</v>
      </c>
      <c r="J310" s="20"/>
      <c r="K310" s="31">
        <v>7.0</v>
      </c>
      <c r="L310" s="31">
        <v>7.0</v>
      </c>
      <c r="N310" s="23"/>
      <c r="O310" s="19">
        <f>$G$30</f>
        <v>22</v>
      </c>
      <c r="P310" s="44">
        <f t="shared" ref="P310:T310" si="298">H310/A$311</f>
        <v>0.01893217107</v>
      </c>
      <c r="Q310" s="44">
        <f t="shared" si="298"/>
        <v>0.01511954993</v>
      </c>
      <c r="R310" s="44">
        <f t="shared" si="298"/>
        <v>0</v>
      </c>
      <c r="S310" s="44">
        <f t="shared" si="298"/>
        <v>0.01291512915</v>
      </c>
      <c r="T310" s="44">
        <f t="shared" si="298"/>
        <v>0.007927519819</v>
      </c>
    </row>
    <row r="311" ht="15.75" customHeight="1">
      <c r="A311" s="26">
        <f t="shared" ref="A311:E311" si="299">SUM(H288:H311)</f>
        <v>7342</v>
      </c>
      <c r="B311" s="26">
        <f t="shared" si="299"/>
        <v>2844</v>
      </c>
      <c r="C311" s="26">
        <f t="shared" si="299"/>
        <v>119</v>
      </c>
      <c r="D311" s="26">
        <f t="shared" si="299"/>
        <v>542</v>
      </c>
      <c r="E311" s="26">
        <f t="shared" si="299"/>
        <v>883</v>
      </c>
      <c r="F311" s="27"/>
      <c r="G311" s="19">
        <f>$G$31</f>
        <v>23</v>
      </c>
      <c r="H311" s="46">
        <v>77.0</v>
      </c>
      <c r="I311" s="61">
        <v>39.0</v>
      </c>
      <c r="J311" s="61">
        <v>1.0</v>
      </c>
      <c r="K311" s="61">
        <v>5.0</v>
      </c>
      <c r="L311" s="61">
        <v>6.0</v>
      </c>
      <c r="N311" s="27"/>
      <c r="O311" s="19">
        <f>$G$31</f>
        <v>23</v>
      </c>
      <c r="P311" s="44">
        <f t="shared" ref="P311:T311" si="300">H311/A$311</f>
        <v>0.01048760556</v>
      </c>
      <c r="Q311" s="44">
        <f t="shared" si="300"/>
        <v>0.01371308017</v>
      </c>
      <c r="R311" s="44">
        <f t="shared" si="300"/>
        <v>0.008403361345</v>
      </c>
      <c r="S311" s="44">
        <f t="shared" si="300"/>
        <v>0.009225092251</v>
      </c>
      <c r="T311" s="44">
        <f t="shared" si="300"/>
        <v>0.006795016988</v>
      </c>
    </row>
    <row r="312" ht="15.75" customHeight="1">
      <c r="A312" s="47">
        <f>$H$7</f>
        <v>31</v>
      </c>
      <c r="B312" s="47">
        <f>$I$7</f>
        <v>32</v>
      </c>
      <c r="C312" s="47">
        <f>$J$7</f>
        <v>41</v>
      </c>
      <c r="D312" s="47">
        <f>$K$7</f>
        <v>42</v>
      </c>
      <c r="E312" s="47">
        <f>$L$7</f>
        <v>5</v>
      </c>
      <c r="F312" s="56">
        <v>45219.0</v>
      </c>
      <c r="G312" s="19">
        <f>$G$8</f>
        <v>0</v>
      </c>
      <c r="H312" s="20">
        <v>50.0</v>
      </c>
      <c r="I312" s="20">
        <v>15.0</v>
      </c>
      <c r="J312" s="20">
        <v>1.0</v>
      </c>
      <c r="K312" s="20">
        <v>12.0</v>
      </c>
      <c r="L312" s="20">
        <v>3.0</v>
      </c>
      <c r="N312" s="56">
        <v>45219.0</v>
      </c>
      <c r="O312" s="19">
        <f>$G$8</f>
        <v>0</v>
      </c>
      <c r="P312" s="40">
        <f t="shared" ref="P312:T312" si="301">H312/A$336</f>
        <v>0.006083465142</v>
      </c>
      <c r="Q312" s="40">
        <f t="shared" si="301"/>
        <v>0.004567600487</v>
      </c>
      <c r="R312" s="40">
        <f t="shared" si="301"/>
        <v>0.005376344086</v>
      </c>
      <c r="S312" s="40">
        <f t="shared" si="301"/>
        <v>0.0197044335</v>
      </c>
      <c r="T312" s="40">
        <f t="shared" si="301"/>
        <v>0.003382187148</v>
      </c>
    </row>
    <row r="313" ht="15.75" customHeight="1">
      <c r="F313" s="23"/>
      <c r="G313" s="19">
        <f>$G$9</f>
        <v>1</v>
      </c>
      <c r="H313" s="20">
        <v>47.0</v>
      </c>
      <c r="I313" s="20">
        <v>20.0</v>
      </c>
      <c r="J313" s="20"/>
      <c r="K313" s="20">
        <v>8.0</v>
      </c>
      <c r="L313" s="20">
        <v>5.0</v>
      </c>
      <c r="N313" s="23"/>
      <c r="O313" s="19">
        <f>$G$9</f>
        <v>1</v>
      </c>
      <c r="P313" s="40">
        <f t="shared" ref="P313:T313" si="302">H313/A$336</f>
        <v>0.005718457233</v>
      </c>
      <c r="Q313" s="40">
        <f t="shared" si="302"/>
        <v>0.006090133983</v>
      </c>
      <c r="R313" s="40">
        <f t="shared" si="302"/>
        <v>0</v>
      </c>
      <c r="S313" s="40">
        <f t="shared" si="302"/>
        <v>0.013136289</v>
      </c>
      <c r="T313" s="40">
        <f t="shared" si="302"/>
        <v>0.005636978579</v>
      </c>
    </row>
    <row r="314" ht="15.75" customHeight="1">
      <c r="F314" s="23"/>
      <c r="G314" s="19">
        <f>$G$10</f>
        <v>2</v>
      </c>
      <c r="H314" s="16">
        <v>20.0</v>
      </c>
      <c r="I314" s="16">
        <v>15.0</v>
      </c>
      <c r="J314" s="16"/>
      <c r="K314" s="16">
        <v>2.0</v>
      </c>
      <c r="L314" s="16">
        <v>12.0</v>
      </c>
      <c r="N314" s="23"/>
      <c r="O314" s="19">
        <f>$G$10</f>
        <v>2</v>
      </c>
      <c r="P314" s="40">
        <f t="shared" ref="P314:T314" si="303">H314/A$336</f>
        <v>0.002433386057</v>
      </c>
      <c r="Q314" s="40">
        <f t="shared" si="303"/>
        <v>0.004567600487</v>
      </c>
      <c r="R314" s="40">
        <f t="shared" si="303"/>
        <v>0</v>
      </c>
      <c r="S314" s="40">
        <f t="shared" si="303"/>
        <v>0.00328407225</v>
      </c>
      <c r="T314" s="40">
        <f t="shared" si="303"/>
        <v>0.01352874859</v>
      </c>
    </row>
    <row r="315" ht="15.75" customHeight="1">
      <c r="F315" s="23"/>
      <c r="G315" s="19">
        <f>$G$11</f>
        <v>3</v>
      </c>
      <c r="H315" s="20">
        <v>19.0</v>
      </c>
      <c r="I315" s="20">
        <v>18.0</v>
      </c>
      <c r="J315" s="20"/>
      <c r="K315" s="20">
        <v>5.0</v>
      </c>
      <c r="L315" s="20">
        <v>4.0</v>
      </c>
      <c r="N315" s="23"/>
      <c r="O315" s="19">
        <f>$G$11</f>
        <v>3</v>
      </c>
      <c r="P315" s="40">
        <f t="shared" ref="P315:T315" si="304">H315/A$336</f>
        <v>0.002311716754</v>
      </c>
      <c r="Q315" s="40">
        <f t="shared" si="304"/>
        <v>0.005481120585</v>
      </c>
      <c r="R315" s="40">
        <f t="shared" si="304"/>
        <v>0</v>
      </c>
      <c r="S315" s="40">
        <f t="shared" si="304"/>
        <v>0.008210180624</v>
      </c>
      <c r="T315" s="40">
        <f t="shared" si="304"/>
        <v>0.004509582864</v>
      </c>
    </row>
    <row r="316" ht="15.75" customHeight="1">
      <c r="F316" s="23"/>
      <c r="G316" s="19">
        <f>$G$12</f>
        <v>4</v>
      </c>
      <c r="H316" s="20">
        <v>25.0</v>
      </c>
      <c r="I316" s="20">
        <v>12.0</v>
      </c>
      <c r="J316" s="20"/>
      <c r="K316" s="20">
        <v>4.0</v>
      </c>
      <c r="L316" s="20">
        <v>19.0</v>
      </c>
      <c r="N316" s="23"/>
      <c r="O316" s="19">
        <f>$G$12</f>
        <v>4</v>
      </c>
      <c r="P316" s="40">
        <f t="shared" ref="P316:T316" si="305">H316/A$336</f>
        <v>0.003041732571</v>
      </c>
      <c r="Q316" s="40">
        <f t="shared" si="305"/>
        <v>0.00365408039</v>
      </c>
      <c r="R316" s="40">
        <f t="shared" si="305"/>
        <v>0</v>
      </c>
      <c r="S316" s="40">
        <f t="shared" si="305"/>
        <v>0.006568144499</v>
      </c>
      <c r="T316" s="40">
        <f t="shared" si="305"/>
        <v>0.0214205186</v>
      </c>
    </row>
    <row r="317" ht="15.75" customHeight="1">
      <c r="F317" s="23"/>
      <c r="G317" s="19">
        <f>$G$13</f>
        <v>5</v>
      </c>
      <c r="H317" s="20">
        <v>69.0</v>
      </c>
      <c r="I317" s="20">
        <v>31.0</v>
      </c>
      <c r="J317" s="20"/>
      <c r="K317" s="20">
        <v>8.0</v>
      </c>
      <c r="L317" s="20">
        <v>18.0</v>
      </c>
      <c r="N317" s="23"/>
      <c r="O317" s="19">
        <f>$G$13</f>
        <v>5</v>
      </c>
      <c r="P317" s="40">
        <f t="shared" ref="P317:T317" si="306">H317/A$336</f>
        <v>0.008395181896</v>
      </c>
      <c r="Q317" s="40">
        <f t="shared" si="306"/>
        <v>0.009439707674</v>
      </c>
      <c r="R317" s="40">
        <f t="shared" si="306"/>
        <v>0</v>
      </c>
      <c r="S317" s="40">
        <f t="shared" si="306"/>
        <v>0.013136289</v>
      </c>
      <c r="T317" s="40">
        <f t="shared" si="306"/>
        <v>0.02029312289</v>
      </c>
    </row>
    <row r="318" ht="15.75" customHeight="1">
      <c r="F318" s="23"/>
      <c r="G318" s="19">
        <f>$G$14</f>
        <v>6</v>
      </c>
      <c r="H318" s="20">
        <v>241.0</v>
      </c>
      <c r="I318" s="20">
        <v>137.0</v>
      </c>
      <c r="J318" s="20">
        <v>1.0</v>
      </c>
      <c r="K318" s="20">
        <v>21.0</v>
      </c>
      <c r="L318" s="20">
        <v>48.0</v>
      </c>
      <c r="N318" s="23"/>
      <c r="O318" s="19">
        <f>$G$14</f>
        <v>6</v>
      </c>
      <c r="P318" s="40">
        <f t="shared" ref="P318:T318" si="307">H318/A$336</f>
        <v>0.02932230198</v>
      </c>
      <c r="Q318" s="40">
        <f t="shared" si="307"/>
        <v>0.04171741778</v>
      </c>
      <c r="R318" s="40">
        <f t="shared" si="307"/>
        <v>0.005376344086</v>
      </c>
      <c r="S318" s="40">
        <f t="shared" si="307"/>
        <v>0.03448275862</v>
      </c>
      <c r="T318" s="40">
        <f t="shared" si="307"/>
        <v>0.05411499436</v>
      </c>
    </row>
    <row r="319" ht="15.75" customHeight="1">
      <c r="F319" s="23"/>
      <c r="G319" s="19">
        <f>$G$15</f>
        <v>7</v>
      </c>
      <c r="H319" s="20">
        <v>374.0</v>
      </c>
      <c r="I319" s="20">
        <v>143.0</v>
      </c>
      <c r="J319" s="20">
        <v>9.0</v>
      </c>
      <c r="K319" s="20">
        <v>17.0</v>
      </c>
      <c r="L319" s="20">
        <v>48.0</v>
      </c>
      <c r="N319" s="23"/>
      <c r="O319" s="19">
        <f>$G$15</f>
        <v>7</v>
      </c>
      <c r="P319" s="40">
        <f t="shared" ref="P319:T319" si="308">H319/A$336</f>
        <v>0.04550431926</v>
      </c>
      <c r="Q319" s="40">
        <f t="shared" si="308"/>
        <v>0.04354445798</v>
      </c>
      <c r="R319" s="40">
        <f t="shared" si="308"/>
        <v>0.04838709677</v>
      </c>
      <c r="S319" s="40">
        <f t="shared" si="308"/>
        <v>0.02791461412</v>
      </c>
      <c r="T319" s="40">
        <f t="shared" si="308"/>
        <v>0.05411499436</v>
      </c>
    </row>
    <row r="320" ht="15.75" customHeight="1">
      <c r="F320" s="23"/>
      <c r="G320" s="19">
        <f>$G$16</f>
        <v>8</v>
      </c>
      <c r="H320" s="20">
        <v>319.0</v>
      </c>
      <c r="I320" s="20">
        <v>141.0</v>
      </c>
      <c r="J320" s="20">
        <v>9.0</v>
      </c>
      <c r="K320" s="20">
        <v>43.0</v>
      </c>
      <c r="L320" s="20">
        <v>59.0</v>
      </c>
      <c r="N320" s="23"/>
      <c r="O320" s="19">
        <f>$G$16</f>
        <v>8</v>
      </c>
      <c r="P320" s="40">
        <f t="shared" ref="P320:T320" si="309">H320/A$336</f>
        <v>0.0388125076</v>
      </c>
      <c r="Q320" s="40">
        <f t="shared" si="309"/>
        <v>0.04293544458</v>
      </c>
      <c r="R320" s="40">
        <f t="shared" si="309"/>
        <v>0.04838709677</v>
      </c>
      <c r="S320" s="40">
        <f t="shared" si="309"/>
        <v>0.07060755337</v>
      </c>
      <c r="T320" s="40">
        <f t="shared" si="309"/>
        <v>0.06651634724</v>
      </c>
    </row>
    <row r="321" ht="15.75" customHeight="1">
      <c r="F321" s="23"/>
      <c r="G321" s="19">
        <f>$G$17</f>
        <v>9</v>
      </c>
      <c r="H321" s="20">
        <v>318.0</v>
      </c>
      <c r="I321" s="20">
        <v>140.0</v>
      </c>
      <c r="J321" s="20">
        <v>14.0</v>
      </c>
      <c r="K321" s="20">
        <v>36.0</v>
      </c>
      <c r="L321" s="20">
        <v>84.0</v>
      </c>
      <c r="N321" s="23"/>
      <c r="O321" s="19">
        <f>$G$17</f>
        <v>9</v>
      </c>
      <c r="P321" s="40">
        <f t="shared" ref="P321:T321" si="310">H321/A$336</f>
        <v>0.0386908383</v>
      </c>
      <c r="Q321" s="40">
        <f t="shared" si="310"/>
        <v>0.04263093788</v>
      </c>
      <c r="R321" s="40">
        <f t="shared" si="310"/>
        <v>0.0752688172</v>
      </c>
      <c r="S321" s="40">
        <f t="shared" si="310"/>
        <v>0.05911330049</v>
      </c>
      <c r="T321" s="40">
        <f t="shared" si="310"/>
        <v>0.09470124014</v>
      </c>
    </row>
    <row r="322" ht="15.75" customHeight="1">
      <c r="F322" s="23"/>
      <c r="G322" s="19">
        <f>$G$18</f>
        <v>10</v>
      </c>
      <c r="H322" s="20">
        <v>395.0</v>
      </c>
      <c r="I322" s="20">
        <v>153.0</v>
      </c>
      <c r="J322" s="20">
        <v>13.0</v>
      </c>
      <c r="K322" s="20">
        <v>51.0</v>
      </c>
      <c r="L322" s="20">
        <v>83.0</v>
      </c>
      <c r="N322" s="23"/>
      <c r="O322" s="19">
        <f>$G$18</f>
        <v>10</v>
      </c>
      <c r="P322" s="40">
        <f t="shared" ref="P322:T322" si="311">H322/A$336</f>
        <v>0.04805937462</v>
      </c>
      <c r="Q322" s="40">
        <f t="shared" si="311"/>
        <v>0.04658952497</v>
      </c>
      <c r="R322" s="40">
        <f t="shared" si="311"/>
        <v>0.06989247312</v>
      </c>
      <c r="S322" s="40">
        <f t="shared" si="311"/>
        <v>0.08374384236</v>
      </c>
      <c r="T322" s="40">
        <f t="shared" si="311"/>
        <v>0.09357384442</v>
      </c>
    </row>
    <row r="323" ht="15.75" customHeight="1">
      <c r="F323" s="23"/>
      <c r="G323" s="19">
        <f>$G$19</f>
        <v>11</v>
      </c>
      <c r="H323" s="20">
        <v>383.0</v>
      </c>
      <c r="I323" s="20">
        <v>176.0</v>
      </c>
      <c r="J323" s="20">
        <v>5.0</v>
      </c>
      <c r="K323" s="20">
        <v>48.0</v>
      </c>
      <c r="L323" s="20">
        <v>72.0</v>
      </c>
      <c r="N323" s="23"/>
      <c r="O323" s="19">
        <f>$G$19</f>
        <v>11</v>
      </c>
      <c r="P323" s="40">
        <f t="shared" ref="P323:T323" si="312">H323/A$336</f>
        <v>0.04659934299</v>
      </c>
      <c r="Q323" s="40">
        <f t="shared" si="312"/>
        <v>0.05359317905</v>
      </c>
      <c r="R323" s="40">
        <f t="shared" si="312"/>
        <v>0.02688172043</v>
      </c>
      <c r="S323" s="40">
        <f t="shared" si="312"/>
        <v>0.07881773399</v>
      </c>
      <c r="T323" s="40">
        <f t="shared" si="312"/>
        <v>0.08117249154</v>
      </c>
    </row>
    <row r="324" ht="15.75" customHeight="1">
      <c r="F324" s="23"/>
      <c r="G324" s="19">
        <f>$G$20</f>
        <v>12</v>
      </c>
      <c r="H324" s="20">
        <v>460.0</v>
      </c>
      <c r="I324" s="20">
        <v>182.0</v>
      </c>
      <c r="J324" s="20">
        <v>9.0</v>
      </c>
      <c r="K324" s="20">
        <v>44.0</v>
      </c>
      <c r="L324" s="20">
        <v>77.0</v>
      </c>
      <c r="N324" s="23"/>
      <c r="O324" s="19">
        <f>$G$20</f>
        <v>12</v>
      </c>
      <c r="P324" s="40">
        <f t="shared" ref="P324:T324" si="313">H324/A$336</f>
        <v>0.0559678793</v>
      </c>
      <c r="Q324" s="40">
        <f t="shared" si="313"/>
        <v>0.05542021924</v>
      </c>
      <c r="R324" s="40">
        <f t="shared" si="313"/>
        <v>0.04838709677</v>
      </c>
      <c r="S324" s="40">
        <f t="shared" si="313"/>
        <v>0.07224958949</v>
      </c>
      <c r="T324" s="40">
        <f t="shared" si="313"/>
        <v>0.08680947012</v>
      </c>
    </row>
    <row r="325" ht="15.75" customHeight="1">
      <c r="F325" s="23"/>
      <c r="G325" s="19">
        <f>$G$21</f>
        <v>13</v>
      </c>
      <c r="H325" s="20">
        <v>514.0</v>
      </c>
      <c r="I325" s="20">
        <v>222.0</v>
      </c>
      <c r="J325" s="20">
        <v>6.0</v>
      </c>
      <c r="K325" s="20">
        <v>59.0</v>
      </c>
      <c r="L325" s="20">
        <v>74.0</v>
      </c>
      <c r="N325" s="23"/>
      <c r="O325" s="19">
        <f>$G$21</f>
        <v>13</v>
      </c>
      <c r="P325" s="40">
        <f t="shared" ref="P325:T325" si="314">H325/A$336</f>
        <v>0.06253802166</v>
      </c>
      <c r="Q325" s="40">
        <f t="shared" si="314"/>
        <v>0.06760048721</v>
      </c>
      <c r="R325" s="40">
        <f t="shared" si="314"/>
        <v>0.03225806452</v>
      </c>
      <c r="S325" s="40">
        <f t="shared" si="314"/>
        <v>0.09688013136</v>
      </c>
      <c r="T325" s="40">
        <f t="shared" si="314"/>
        <v>0.08342728298</v>
      </c>
    </row>
    <row r="326" ht="15.75" customHeight="1">
      <c r="F326" s="23"/>
      <c r="G326" s="19">
        <f>$G$22</f>
        <v>14</v>
      </c>
      <c r="H326" s="20">
        <v>589.0</v>
      </c>
      <c r="I326" s="20">
        <v>262.0</v>
      </c>
      <c r="J326" s="20">
        <v>28.0</v>
      </c>
      <c r="K326" s="20">
        <v>50.0</v>
      </c>
      <c r="L326" s="20">
        <v>73.0</v>
      </c>
      <c r="N326" s="23"/>
      <c r="O326" s="19">
        <f>$G$22</f>
        <v>14</v>
      </c>
      <c r="P326" s="40">
        <f t="shared" ref="P326:T326" si="315">H326/A$336</f>
        <v>0.07166321937</v>
      </c>
      <c r="Q326" s="40">
        <f t="shared" si="315"/>
        <v>0.07978075518</v>
      </c>
      <c r="R326" s="40">
        <f t="shared" si="315"/>
        <v>0.1505376344</v>
      </c>
      <c r="S326" s="40">
        <f t="shared" si="315"/>
        <v>0.08210180624</v>
      </c>
      <c r="T326" s="40">
        <f t="shared" si="315"/>
        <v>0.08229988726</v>
      </c>
    </row>
    <row r="327" ht="15.75" customHeight="1">
      <c r="F327" s="23"/>
      <c r="G327" s="19">
        <f>$G$23</f>
        <v>15</v>
      </c>
      <c r="H327" s="20">
        <v>649.0</v>
      </c>
      <c r="I327" s="20">
        <v>318.0</v>
      </c>
      <c r="J327" s="20">
        <v>23.0</v>
      </c>
      <c r="K327" s="20">
        <v>52.0</v>
      </c>
      <c r="L327" s="20">
        <v>68.0</v>
      </c>
      <c r="N327" s="23"/>
      <c r="O327" s="19">
        <f>$G$23</f>
        <v>15</v>
      </c>
      <c r="P327" s="40">
        <f t="shared" ref="P327:T327" si="316">H327/A$336</f>
        <v>0.07896337754</v>
      </c>
      <c r="Q327" s="40">
        <f t="shared" si="316"/>
        <v>0.09683313033</v>
      </c>
      <c r="R327" s="40">
        <f t="shared" si="316"/>
        <v>0.123655914</v>
      </c>
      <c r="S327" s="40">
        <f t="shared" si="316"/>
        <v>0.08538587849</v>
      </c>
      <c r="T327" s="40">
        <f t="shared" si="316"/>
        <v>0.07666290868</v>
      </c>
    </row>
    <row r="328" ht="15.75" customHeight="1">
      <c r="F328" s="23"/>
      <c r="G328" s="19">
        <f>$G$24</f>
        <v>16</v>
      </c>
      <c r="H328" s="20">
        <v>742.0</v>
      </c>
      <c r="I328" s="20">
        <v>338.0</v>
      </c>
      <c r="J328" s="20">
        <v>14.0</v>
      </c>
      <c r="K328" s="20">
        <v>33.0</v>
      </c>
      <c r="L328" s="20">
        <v>54.0</v>
      </c>
      <c r="N328" s="23"/>
      <c r="O328" s="19">
        <f>$G$24</f>
        <v>16</v>
      </c>
      <c r="P328" s="40">
        <f t="shared" ref="P328:T328" si="317">H328/A$336</f>
        <v>0.0902786227</v>
      </c>
      <c r="Q328" s="40">
        <f t="shared" si="317"/>
        <v>0.1029232643</v>
      </c>
      <c r="R328" s="40">
        <f t="shared" si="317"/>
        <v>0.0752688172</v>
      </c>
      <c r="S328" s="40">
        <f t="shared" si="317"/>
        <v>0.05418719212</v>
      </c>
      <c r="T328" s="40">
        <f t="shared" si="317"/>
        <v>0.06087936866</v>
      </c>
    </row>
    <row r="329" ht="15.75" customHeight="1">
      <c r="F329" s="23"/>
      <c r="G329" s="19">
        <f>$G$25</f>
        <v>17</v>
      </c>
      <c r="H329" s="20">
        <v>776.0</v>
      </c>
      <c r="I329" s="20">
        <v>287.0</v>
      </c>
      <c r="J329" s="20">
        <v>25.0</v>
      </c>
      <c r="K329" s="20">
        <v>33.0</v>
      </c>
      <c r="L329" s="20">
        <v>33.0</v>
      </c>
      <c r="N329" s="23"/>
      <c r="O329" s="19">
        <f>$G$25</f>
        <v>17</v>
      </c>
      <c r="P329" s="40">
        <f t="shared" ref="P329:T329" si="318">H329/A$336</f>
        <v>0.094415379</v>
      </c>
      <c r="Q329" s="40">
        <f t="shared" si="318"/>
        <v>0.08739342266</v>
      </c>
      <c r="R329" s="40">
        <f t="shared" si="318"/>
        <v>0.1344086022</v>
      </c>
      <c r="S329" s="40">
        <f t="shared" si="318"/>
        <v>0.05418719212</v>
      </c>
      <c r="T329" s="40">
        <f t="shared" si="318"/>
        <v>0.03720405862</v>
      </c>
    </row>
    <row r="330" ht="15.75" customHeight="1">
      <c r="F330" s="23"/>
      <c r="G330" s="19">
        <f>$G$26</f>
        <v>18</v>
      </c>
      <c r="H330" s="20">
        <v>671.0</v>
      </c>
      <c r="I330" s="20">
        <v>220.0</v>
      </c>
      <c r="J330" s="20">
        <v>12.0</v>
      </c>
      <c r="K330" s="20">
        <v>12.0</v>
      </c>
      <c r="L330" s="20">
        <v>15.0</v>
      </c>
      <c r="N330" s="23"/>
      <c r="O330" s="19">
        <f>$G$26</f>
        <v>18</v>
      </c>
      <c r="P330" s="40">
        <f t="shared" ref="P330:T330" si="319">H330/A$336</f>
        <v>0.0816401022</v>
      </c>
      <c r="Q330" s="40">
        <f t="shared" si="319"/>
        <v>0.06699147381</v>
      </c>
      <c r="R330" s="40">
        <f t="shared" si="319"/>
        <v>0.06451612903</v>
      </c>
      <c r="S330" s="40">
        <f t="shared" si="319"/>
        <v>0.0197044335</v>
      </c>
      <c r="T330" s="40">
        <f t="shared" si="319"/>
        <v>0.01691093574</v>
      </c>
    </row>
    <row r="331" ht="15.75" customHeight="1">
      <c r="F331" s="23"/>
      <c r="G331" s="19">
        <f>$G$27</f>
        <v>19</v>
      </c>
      <c r="H331" s="20">
        <v>526.0</v>
      </c>
      <c r="I331" s="20">
        <v>159.0</v>
      </c>
      <c r="J331" s="20">
        <v>4.0</v>
      </c>
      <c r="K331" s="20">
        <v>23.0</v>
      </c>
      <c r="L331" s="20">
        <v>12.0</v>
      </c>
      <c r="N331" s="23"/>
      <c r="O331" s="19">
        <f>$G$27</f>
        <v>19</v>
      </c>
      <c r="P331" s="40">
        <f t="shared" ref="P331:T331" si="320">H331/A$336</f>
        <v>0.06399805329</v>
      </c>
      <c r="Q331" s="40">
        <f t="shared" si="320"/>
        <v>0.04841656516</v>
      </c>
      <c r="R331" s="40">
        <f t="shared" si="320"/>
        <v>0.02150537634</v>
      </c>
      <c r="S331" s="40">
        <f t="shared" si="320"/>
        <v>0.03776683087</v>
      </c>
      <c r="T331" s="40">
        <f t="shared" si="320"/>
        <v>0.01352874859</v>
      </c>
    </row>
    <row r="332" ht="15.75" customHeight="1">
      <c r="F332" s="23"/>
      <c r="G332" s="19">
        <f>$G$28</f>
        <v>20</v>
      </c>
      <c r="H332" s="20">
        <v>366.0</v>
      </c>
      <c r="I332" s="20">
        <v>111.0</v>
      </c>
      <c r="J332" s="20">
        <v>7.0</v>
      </c>
      <c r="K332" s="20">
        <v>16.0</v>
      </c>
      <c r="L332" s="20">
        <v>14.0</v>
      </c>
      <c r="N332" s="23"/>
      <c r="O332" s="19">
        <f>$G$28</f>
        <v>20</v>
      </c>
      <c r="P332" s="40">
        <f t="shared" ref="P332:T332" si="321">H332/A$336</f>
        <v>0.04453096484</v>
      </c>
      <c r="Q332" s="40">
        <f t="shared" si="321"/>
        <v>0.03380024361</v>
      </c>
      <c r="R332" s="40">
        <f t="shared" si="321"/>
        <v>0.0376344086</v>
      </c>
      <c r="S332" s="40">
        <f t="shared" si="321"/>
        <v>0.026272578</v>
      </c>
      <c r="T332" s="40">
        <f t="shared" si="321"/>
        <v>0.01578354002</v>
      </c>
    </row>
    <row r="333" ht="15.75" customHeight="1">
      <c r="F333" s="23"/>
      <c r="G333" s="19">
        <f>$G$29</f>
        <v>21</v>
      </c>
      <c r="H333" s="20">
        <v>342.0</v>
      </c>
      <c r="I333" s="20">
        <v>88.0</v>
      </c>
      <c r="J333" s="20">
        <v>2.0</v>
      </c>
      <c r="K333" s="20">
        <v>16.0</v>
      </c>
      <c r="L333" s="20">
        <v>8.0</v>
      </c>
      <c r="N333" s="23"/>
      <c r="O333" s="19">
        <f>$G$29</f>
        <v>21</v>
      </c>
      <c r="P333" s="40">
        <f t="shared" ref="P333:T333" si="322">H333/A$336</f>
        <v>0.04161090157</v>
      </c>
      <c r="Q333" s="40">
        <f t="shared" si="322"/>
        <v>0.02679658952</v>
      </c>
      <c r="R333" s="40">
        <f t="shared" si="322"/>
        <v>0.01075268817</v>
      </c>
      <c r="S333" s="40">
        <f t="shared" si="322"/>
        <v>0.026272578</v>
      </c>
      <c r="T333" s="40">
        <f t="shared" si="322"/>
        <v>0.009019165727</v>
      </c>
    </row>
    <row r="334" ht="15.75" customHeight="1">
      <c r="F334" s="23"/>
      <c r="G334" s="19">
        <f>$G$30</f>
        <v>22</v>
      </c>
      <c r="H334" s="20">
        <v>184.0</v>
      </c>
      <c r="I334" s="20">
        <v>55.0</v>
      </c>
      <c r="J334" s="20">
        <v>2.0</v>
      </c>
      <c r="K334" s="20">
        <v>12.0</v>
      </c>
      <c r="L334" s="20">
        <v>2.0</v>
      </c>
      <c r="N334" s="23"/>
      <c r="O334" s="19">
        <f>$G$30</f>
        <v>22</v>
      </c>
      <c r="P334" s="40">
        <f t="shared" ref="P334:T334" si="323">H334/A$336</f>
        <v>0.02238715172</v>
      </c>
      <c r="Q334" s="40">
        <f t="shared" si="323"/>
        <v>0.01674786845</v>
      </c>
      <c r="R334" s="40">
        <f t="shared" si="323"/>
        <v>0.01075268817</v>
      </c>
      <c r="S334" s="40">
        <f t="shared" si="323"/>
        <v>0.0197044335</v>
      </c>
      <c r="T334" s="40">
        <f t="shared" si="323"/>
        <v>0.002254791432</v>
      </c>
    </row>
    <row r="335" ht="15.75" customHeight="1">
      <c r="F335" s="27"/>
      <c r="G335" s="19">
        <f>$G$31</f>
        <v>23</v>
      </c>
      <c r="H335" s="20">
        <v>140.0</v>
      </c>
      <c r="I335" s="20">
        <v>41.0</v>
      </c>
      <c r="J335" s="20">
        <v>2.0</v>
      </c>
      <c r="K335" s="20">
        <v>4.0</v>
      </c>
      <c r="L335" s="20">
        <v>2.0</v>
      </c>
      <c r="N335" s="27"/>
      <c r="O335" s="19">
        <f>$G$31</f>
        <v>23</v>
      </c>
      <c r="P335" s="40">
        <f t="shared" ref="P335:T335" si="324">H335/A$336</f>
        <v>0.0170337024</v>
      </c>
      <c r="Q335" s="40">
        <f t="shared" si="324"/>
        <v>0.01248477467</v>
      </c>
      <c r="R335" s="40">
        <f t="shared" si="324"/>
        <v>0.01075268817</v>
      </c>
      <c r="S335" s="40">
        <f t="shared" si="324"/>
        <v>0.006568144499</v>
      </c>
      <c r="T335" s="40">
        <f t="shared" si="324"/>
        <v>0.002254791432</v>
      </c>
    </row>
    <row r="336" ht="15.75" customHeight="1">
      <c r="A336" s="48">
        <f t="shared" ref="A336:E336" si="325">SUM(H312:H335)</f>
        <v>8219</v>
      </c>
      <c r="B336" s="48">
        <f t="shared" si="325"/>
        <v>3284</v>
      </c>
      <c r="C336" s="48">
        <f t="shared" si="325"/>
        <v>186</v>
      </c>
      <c r="D336" s="48">
        <f t="shared" si="325"/>
        <v>609</v>
      </c>
      <c r="E336" s="48">
        <f t="shared" si="325"/>
        <v>887</v>
      </c>
      <c r="F336" s="56">
        <v>45220.0</v>
      </c>
      <c r="G336" s="19">
        <f>$G$8</f>
        <v>0</v>
      </c>
      <c r="H336" s="20">
        <v>66.0</v>
      </c>
      <c r="I336" s="20">
        <v>19.0</v>
      </c>
      <c r="J336" s="20">
        <v>2.0</v>
      </c>
      <c r="K336" s="20">
        <v>2.0</v>
      </c>
      <c r="L336" s="20">
        <v>2.0</v>
      </c>
      <c r="N336" s="56">
        <v>45220.0</v>
      </c>
      <c r="O336" s="19">
        <f>$G$8</f>
        <v>0</v>
      </c>
      <c r="P336" s="40">
        <f t="shared" ref="P336:T336" si="326">H336/A$363</f>
        <v>0.007271124821</v>
      </c>
      <c r="Q336" s="40">
        <f t="shared" si="326"/>
        <v>0.006205094709</v>
      </c>
      <c r="R336" s="40">
        <f t="shared" si="326"/>
        <v>0.01481481481</v>
      </c>
      <c r="S336" s="40">
        <f t="shared" si="326"/>
        <v>0.006535947712</v>
      </c>
      <c r="T336" s="40">
        <f t="shared" si="326"/>
        <v>0.005235602094</v>
      </c>
    </row>
    <row r="337" ht="15.75" customHeight="1">
      <c r="A337" s="47">
        <f>$H$7</f>
        <v>31</v>
      </c>
      <c r="B337" s="47">
        <f>$I$7</f>
        <v>32</v>
      </c>
      <c r="C337" s="47">
        <f>$J$7</f>
        <v>41</v>
      </c>
      <c r="D337" s="47">
        <f>$K$7</f>
        <v>42</v>
      </c>
      <c r="E337" s="47">
        <f>$L$7</f>
        <v>5</v>
      </c>
      <c r="F337" s="23"/>
      <c r="G337" s="19">
        <f>$G$9</f>
        <v>1</v>
      </c>
      <c r="H337" s="20">
        <v>43.0</v>
      </c>
      <c r="I337" s="20">
        <v>19.0</v>
      </c>
      <c r="J337" s="20">
        <v>1.0</v>
      </c>
      <c r="K337" s="20">
        <v>4.0</v>
      </c>
      <c r="L337" s="20">
        <v>3.0</v>
      </c>
      <c r="N337" s="23"/>
      <c r="O337" s="19">
        <f>$G$9</f>
        <v>1</v>
      </c>
      <c r="P337" s="40">
        <f t="shared" ref="P337:T337" si="327">H337/A$363</f>
        <v>0.004737247989</v>
      </c>
      <c r="Q337" s="40">
        <f t="shared" si="327"/>
        <v>0.006205094709</v>
      </c>
      <c r="R337" s="40">
        <f t="shared" si="327"/>
        <v>0.007407407407</v>
      </c>
      <c r="S337" s="40">
        <f t="shared" si="327"/>
        <v>0.01307189542</v>
      </c>
      <c r="T337" s="40">
        <f t="shared" si="327"/>
        <v>0.007853403141</v>
      </c>
    </row>
    <row r="338" ht="15.75" customHeight="1">
      <c r="F338" s="23"/>
      <c r="G338" s="19">
        <f>$G$10</f>
        <v>2</v>
      </c>
      <c r="H338" s="34">
        <v>35.0</v>
      </c>
      <c r="I338" s="34">
        <v>17.0</v>
      </c>
      <c r="J338" s="34"/>
      <c r="K338" s="34">
        <v>5.0</v>
      </c>
      <c r="L338" s="34">
        <v>5.0</v>
      </c>
      <c r="N338" s="23"/>
      <c r="O338" s="19">
        <f>$G$10</f>
        <v>2</v>
      </c>
      <c r="P338" s="40">
        <f t="shared" ref="P338:T338" si="328">H338/A$363</f>
        <v>0.003855899526</v>
      </c>
      <c r="Q338" s="40">
        <f t="shared" si="328"/>
        <v>0.005551926845</v>
      </c>
      <c r="R338" s="40">
        <f t="shared" si="328"/>
        <v>0</v>
      </c>
      <c r="S338" s="40">
        <f t="shared" si="328"/>
        <v>0.01633986928</v>
      </c>
      <c r="T338" s="40">
        <f t="shared" si="328"/>
        <v>0.01308900524</v>
      </c>
    </row>
    <row r="339" ht="15.75" customHeight="1">
      <c r="F339" s="23"/>
      <c r="G339" s="19">
        <f>$G$11</f>
        <v>3</v>
      </c>
      <c r="H339" s="20">
        <v>23.0</v>
      </c>
      <c r="I339" s="20">
        <v>19.0</v>
      </c>
      <c r="J339" s="20"/>
      <c r="K339" s="20">
        <v>5.0</v>
      </c>
      <c r="L339" s="20">
        <v>4.0</v>
      </c>
      <c r="N339" s="23"/>
      <c r="O339" s="19">
        <f>$G$11</f>
        <v>3</v>
      </c>
      <c r="P339" s="40">
        <f t="shared" ref="P339:T339" si="329">H339/A$363</f>
        <v>0.002533876832</v>
      </c>
      <c r="Q339" s="40">
        <f t="shared" si="329"/>
        <v>0.006205094709</v>
      </c>
      <c r="R339" s="40">
        <f t="shared" si="329"/>
        <v>0</v>
      </c>
      <c r="S339" s="40">
        <f t="shared" si="329"/>
        <v>0.01633986928</v>
      </c>
      <c r="T339" s="40">
        <f t="shared" si="329"/>
        <v>0.01047120419</v>
      </c>
    </row>
    <row r="340" ht="15.75" customHeight="1">
      <c r="F340" s="23"/>
      <c r="G340" s="19">
        <f>$G$12</f>
        <v>4</v>
      </c>
      <c r="H340" s="20">
        <v>31.0</v>
      </c>
      <c r="I340" s="20">
        <v>20.0</v>
      </c>
      <c r="J340" s="20">
        <v>1.0</v>
      </c>
      <c r="K340" s="20">
        <v>7.0</v>
      </c>
      <c r="L340" s="20">
        <v>8.0</v>
      </c>
      <c r="N340" s="23"/>
      <c r="O340" s="19">
        <f>$G$12</f>
        <v>4</v>
      </c>
      <c r="P340" s="40">
        <f t="shared" ref="P340:T340" si="330">H340/A$363</f>
        <v>0.003415225295</v>
      </c>
      <c r="Q340" s="40">
        <f t="shared" si="330"/>
        <v>0.006531678641</v>
      </c>
      <c r="R340" s="40">
        <f t="shared" si="330"/>
        <v>0.007407407407</v>
      </c>
      <c r="S340" s="40">
        <f t="shared" si="330"/>
        <v>0.02287581699</v>
      </c>
      <c r="T340" s="40">
        <f t="shared" si="330"/>
        <v>0.02094240838</v>
      </c>
    </row>
    <row r="341" ht="15.75" customHeight="1">
      <c r="F341" s="23"/>
      <c r="G341" s="19">
        <f>$G$13</f>
        <v>5</v>
      </c>
      <c r="H341" s="20">
        <v>62.0</v>
      </c>
      <c r="I341" s="20">
        <v>37.0</v>
      </c>
      <c r="J341" s="20">
        <v>2.0</v>
      </c>
      <c r="K341" s="20">
        <v>7.0</v>
      </c>
      <c r="L341" s="20">
        <v>18.0</v>
      </c>
      <c r="N341" s="23"/>
      <c r="O341" s="19">
        <f>$G$13</f>
        <v>5</v>
      </c>
      <c r="P341" s="40">
        <f t="shared" ref="P341:T341" si="331">H341/A$363</f>
        <v>0.006830450589</v>
      </c>
      <c r="Q341" s="40">
        <f t="shared" si="331"/>
        <v>0.01208360549</v>
      </c>
      <c r="R341" s="40">
        <f t="shared" si="331"/>
        <v>0.01481481481</v>
      </c>
      <c r="S341" s="40">
        <f t="shared" si="331"/>
        <v>0.02287581699</v>
      </c>
      <c r="T341" s="40">
        <f t="shared" si="331"/>
        <v>0.04712041885</v>
      </c>
    </row>
    <row r="342" ht="15.75" customHeight="1">
      <c r="F342" s="23"/>
      <c r="G342" s="19">
        <f>$G$14</f>
        <v>6</v>
      </c>
      <c r="H342" s="20">
        <v>187.0</v>
      </c>
      <c r="I342" s="20">
        <v>113.0</v>
      </c>
      <c r="J342" s="20">
        <v>5.0</v>
      </c>
      <c r="K342" s="20">
        <v>11.0</v>
      </c>
      <c r="L342" s="20">
        <v>13.0</v>
      </c>
      <c r="N342" s="23"/>
      <c r="O342" s="19">
        <f>$G$14</f>
        <v>6</v>
      </c>
      <c r="P342" s="40">
        <f t="shared" ref="P342:T342" si="332">H342/A$363</f>
        <v>0.02060152033</v>
      </c>
      <c r="Q342" s="40">
        <f t="shared" si="332"/>
        <v>0.03690398432</v>
      </c>
      <c r="R342" s="40">
        <f t="shared" si="332"/>
        <v>0.03703703704</v>
      </c>
      <c r="S342" s="40">
        <f t="shared" si="332"/>
        <v>0.03594771242</v>
      </c>
      <c r="T342" s="40">
        <f t="shared" si="332"/>
        <v>0.03403141361</v>
      </c>
    </row>
    <row r="343" ht="15.75" customHeight="1">
      <c r="F343" s="23"/>
      <c r="G343" s="19">
        <f>$G$15</f>
        <v>7</v>
      </c>
      <c r="H343" s="20">
        <v>304.0</v>
      </c>
      <c r="I343" s="20">
        <v>105.0</v>
      </c>
      <c r="J343" s="20">
        <v>7.0</v>
      </c>
      <c r="K343" s="20">
        <v>14.0</v>
      </c>
      <c r="L343" s="20">
        <v>15.0</v>
      </c>
      <c r="N343" s="23"/>
      <c r="O343" s="19">
        <f>$G$15</f>
        <v>7</v>
      </c>
      <c r="P343" s="40">
        <f t="shared" ref="P343:T343" si="333">H343/A$363</f>
        <v>0.0334912416</v>
      </c>
      <c r="Q343" s="40">
        <f t="shared" si="333"/>
        <v>0.03429131287</v>
      </c>
      <c r="R343" s="40">
        <f t="shared" si="333"/>
        <v>0.05185185185</v>
      </c>
      <c r="S343" s="40">
        <f t="shared" si="333"/>
        <v>0.04575163399</v>
      </c>
      <c r="T343" s="40">
        <f t="shared" si="333"/>
        <v>0.03926701571</v>
      </c>
    </row>
    <row r="344" ht="15.75" customHeight="1">
      <c r="F344" s="23"/>
      <c r="G344" s="19">
        <f>$G$16</f>
        <v>8</v>
      </c>
      <c r="H344" s="20">
        <v>322.0</v>
      </c>
      <c r="I344" s="20">
        <v>131.0</v>
      </c>
      <c r="J344" s="20">
        <v>15.0</v>
      </c>
      <c r="K344" s="20">
        <v>16.0</v>
      </c>
      <c r="L344" s="20">
        <v>21.0</v>
      </c>
      <c r="N344" s="23"/>
      <c r="O344" s="19">
        <f>$G$16</f>
        <v>8</v>
      </c>
      <c r="P344" s="40">
        <f t="shared" ref="P344:T344" si="334">H344/A$363</f>
        <v>0.03547427564</v>
      </c>
      <c r="Q344" s="40">
        <f t="shared" si="334"/>
        <v>0.0427824951</v>
      </c>
      <c r="R344" s="40">
        <f t="shared" si="334"/>
        <v>0.1111111111</v>
      </c>
      <c r="S344" s="40">
        <f t="shared" si="334"/>
        <v>0.0522875817</v>
      </c>
      <c r="T344" s="40">
        <f t="shared" si="334"/>
        <v>0.05497382199</v>
      </c>
    </row>
    <row r="345" ht="15.75" customHeight="1">
      <c r="F345" s="23"/>
      <c r="G345" s="19">
        <f>$G$17</f>
        <v>9</v>
      </c>
      <c r="H345" s="20">
        <v>354.0</v>
      </c>
      <c r="I345" s="20">
        <v>125.0</v>
      </c>
      <c r="J345" s="20"/>
      <c r="K345" s="20">
        <v>23.0</v>
      </c>
      <c r="L345" s="20">
        <v>38.0</v>
      </c>
      <c r="N345" s="23"/>
      <c r="O345" s="19">
        <f>$G$17</f>
        <v>9</v>
      </c>
      <c r="P345" s="40">
        <f t="shared" ref="P345:T345" si="335">H345/A$363</f>
        <v>0.03899966949</v>
      </c>
      <c r="Q345" s="40">
        <f t="shared" si="335"/>
        <v>0.04082299151</v>
      </c>
      <c r="R345" s="40">
        <f t="shared" si="335"/>
        <v>0</v>
      </c>
      <c r="S345" s="40">
        <f t="shared" si="335"/>
        <v>0.07516339869</v>
      </c>
      <c r="T345" s="40">
        <f t="shared" si="335"/>
        <v>0.09947643979</v>
      </c>
    </row>
    <row r="346" ht="15.75" customHeight="1">
      <c r="F346" s="23"/>
      <c r="G346" s="19">
        <f>$G$18</f>
        <v>10</v>
      </c>
      <c r="H346" s="20">
        <v>442.0</v>
      </c>
      <c r="I346" s="20">
        <v>165.0</v>
      </c>
      <c r="J346" s="20">
        <v>6.0</v>
      </c>
      <c r="K346" s="20">
        <v>19.0</v>
      </c>
      <c r="L346" s="20">
        <v>29.0</v>
      </c>
      <c r="N346" s="23"/>
      <c r="O346" s="19">
        <f>$G$18</f>
        <v>10</v>
      </c>
      <c r="P346" s="40">
        <f t="shared" ref="P346:T346" si="336">H346/A$363</f>
        <v>0.04869450259</v>
      </c>
      <c r="Q346" s="40">
        <f t="shared" si="336"/>
        <v>0.05388634879</v>
      </c>
      <c r="R346" s="40">
        <f t="shared" si="336"/>
        <v>0.04444444444</v>
      </c>
      <c r="S346" s="40">
        <f t="shared" si="336"/>
        <v>0.06209150327</v>
      </c>
      <c r="T346" s="40">
        <f t="shared" si="336"/>
        <v>0.07591623037</v>
      </c>
    </row>
    <row r="347" ht="15.75" customHeight="1">
      <c r="F347" s="23"/>
      <c r="G347" s="19">
        <f>$G$19</f>
        <v>11</v>
      </c>
      <c r="H347" s="20">
        <v>465.0</v>
      </c>
      <c r="I347" s="20">
        <v>170.0</v>
      </c>
      <c r="J347" s="20">
        <v>7.0</v>
      </c>
      <c r="K347" s="20">
        <v>20.0</v>
      </c>
      <c r="L347" s="20">
        <v>43.0</v>
      </c>
      <c r="N347" s="23"/>
      <c r="O347" s="19">
        <f>$G$19</f>
        <v>11</v>
      </c>
      <c r="P347" s="40">
        <f t="shared" ref="P347:T347" si="337">H347/A$363</f>
        <v>0.05122837942</v>
      </c>
      <c r="Q347" s="40">
        <f t="shared" si="337"/>
        <v>0.05551926845</v>
      </c>
      <c r="R347" s="40">
        <f t="shared" si="337"/>
        <v>0.05185185185</v>
      </c>
      <c r="S347" s="40">
        <f t="shared" si="337"/>
        <v>0.06535947712</v>
      </c>
      <c r="T347" s="40">
        <f t="shared" si="337"/>
        <v>0.112565445</v>
      </c>
    </row>
    <row r="348" ht="15.75" customHeight="1">
      <c r="F348" s="23"/>
      <c r="G348" s="19">
        <f>$G$20</f>
        <v>12</v>
      </c>
      <c r="H348" s="20">
        <v>477.0</v>
      </c>
      <c r="I348" s="20">
        <v>170.0</v>
      </c>
      <c r="J348" s="20">
        <v>6.0</v>
      </c>
      <c r="K348" s="20">
        <v>20.0</v>
      </c>
      <c r="L348" s="20">
        <v>36.0</v>
      </c>
      <c r="N348" s="23"/>
      <c r="O348" s="19">
        <f>$G$20</f>
        <v>12</v>
      </c>
      <c r="P348" s="40">
        <f t="shared" ref="P348:T348" si="338">H348/A$363</f>
        <v>0.05255040212</v>
      </c>
      <c r="Q348" s="40">
        <f t="shared" si="338"/>
        <v>0.05551926845</v>
      </c>
      <c r="R348" s="40">
        <f t="shared" si="338"/>
        <v>0.04444444444</v>
      </c>
      <c r="S348" s="40">
        <f t="shared" si="338"/>
        <v>0.06535947712</v>
      </c>
      <c r="T348" s="40">
        <f t="shared" si="338"/>
        <v>0.0942408377</v>
      </c>
    </row>
    <row r="349" ht="15.75" customHeight="1">
      <c r="F349" s="23"/>
      <c r="G349" s="19">
        <f>$G$21</f>
        <v>13</v>
      </c>
      <c r="H349" s="20">
        <v>570.0</v>
      </c>
      <c r="I349" s="20">
        <v>200.0</v>
      </c>
      <c r="J349" s="20">
        <v>4.0</v>
      </c>
      <c r="K349" s="20">
        <v>27.0</v>
      </c>
      <c r="L349" s="20">
        <v>20.0</v>
      </c>
      <c r="N349" s="23"/>
      <c r="O349" s="19">
        <f>$G$21</f>
        <v>13</v>
      </c>
      <c r="P349" s="40">
        <f t="shared" ref="P349:T349" si="339">H349/A$363</f>
        <v>0.062796078</v>
      </c>
      <c r="Q349" s="40">
        <f t="shared" si="339"/>
        <v>0.06531678641</v>
      </c>
      <c r="R349" s="40">
        <f t="shared" si="339"/>
        <v>0.02962962963</v>
      </c>
      <c r="S349" s="40">
        <f t="shared" si="339"/>
        <v>0.08823529412</v>
      </c>
      <c r="T349" s="40">
        <f t="shared" si="339"/>
        <v>0.05235602094</v>
      </c>
    </row>
    <row r="350" ht="15.75" customHeight="1">
      <c r="F350" s="23"/>
      <c r="G350" s="19">
        <f>$G$22</f>
        <v>14</v>
      </c>
      <c r="H350" s="20">
        <v>656.0</v>
      </c>
      <c r="I350" s="20">
        <v>205.0</v>
      </c>
      <c r="J350" s="20">
        <v>15.0</v>
      </c>
      <c r="K350" s="20">
        <v>22.0</v>
      </c>
      <c r="L350" s="20">
        <v>36.0</v>
      </c>
      <c r="N350" s="23"/>
      <c r="O350" s="19">
        <f>$G$22</f>
        <v>14</v>
      </c>
      <c r="P350" s="40">
        <f t="shared" ref="P350:T350" si="340">H350/A$363</f>
        <v>0.07227057398</v>
      </c>
      <c r="Q350" s="40">
        <f t="shared" si="340"/>
        <v>0.06694970607</v>
      </c>
      <c r="R350" s="40">
        <f t="shared" si="340"/>
        <v>0.1111111111</v>
      </c>
      <c r="S350" s="40">
        <f t="shared" si="340"/>
        <v>0.07189542484</v>
      </c>
      <c r="T350" s="40">
        <f t="shared" si="340"/>
        <v>0.0942408377</v>
      </c>
    </row>
    <row r="351" ht="15.75" customHeight="1">
      <c r="F351" s="23"/>
      <c r="G351" s="19">
        <f>$G$23</f>
        <v>15</v>
      </c>
      <c r="H351" s="20">
        <v>776.0</v>
      </c>
      <c r="I351" s="20">
        <v>256.0</v>
      </c>
      <c r="J351" s="20">
        <v>11.0</v>
      </c>
      <c r="K351" s="20">
        <v>21.0</v>
      </c>
      <c r="L351" s="20">
        <v>18.0</v>
      </c>
      <c r="N351" s="23"/>
      <c r="O351" s="19">
        <f>$G$23</f>
        <v>15</v>
      </c>
      <c r="P351" s="40">
        <f t="shared" ref="P351:T351" si="341">H351/A$363</f>
        <v>0.08549080093</v>
      </c>
      <c r="Q351" s="40">
        <f t="shared" si="341"/>
        <v>0.08360548661</v>
      </c>
      <c r="R351" s="40">
        <f t="shared" si="341"/>
        <v>0.08148148148</v>
      </c>
      <c r="S351" s="40">
        <f t="shared" si="341"/>
        <v>0.06862745098</v>
      </c>
      <c r="T351" s="40">
        <f t="shared" si="341"/>
        <v>0.04712041885</v>
      </c>
    </row>
    <row r="352" ht="15.75" customHeight="1">
      <c r="F352" s="23"/>
      <c r="G352" s="19">
        <f>$G$24</f>
        <v>16</v>
      </c>
      <c r="H352" s="20">
        <v>813.0</v>
      </c>
      <c r="I352" s="20">
        <v>269.0</v>
      </c>
      <c r="J352" s="20">
        <v>16.0</v>
      </c>
      <c r="K352" s="20">
        <v>23.0</v>
      </c>
      <c r="L352" s="20">
        <v>19.0</v>
      </c>
      <c r="N352" s="23"/>
      <c r="O352" s="19">
        <f>$G$24</f>
        <v>16</v>
      </c>
      <c r="P352" s="40">
        <f t="shared" ref="P352:T352" si="342">H352/A$363</f>
        <v>0.08956703757</v>
      </c>
      <c r="Q352" s="40">
        <f t="shared" si="342"/>
        <v>0.08785107773</v>
      </c>
      <c r="R352" s="40">
        <f t="shared" si="342"/>
        <v>0.1185185185</v>
      </c>
      <c r="S352" s="40">
        <f t="shared" si="342"/>
        <v>0.07516339869</v>
      </c>
      <c r="T352" s="40">
        <f t="shared" si="342"/>
        <v>0.0497382199</v>
      </c>
    </row>
    <row r="353" ht="15.75" customHeight="1">
      <c r="F353" s="23"/>
      <c r="G353" s="19">
        <f>$G$25</f>
        <v>17</v>
      </c>
      <c r="H353" s="20">
        <v>791.0</v>
      </c>
      <c r="I353" s="20">
        <v>263.0</v>
      </c>
      <c r="J353" s="20">
        <v>15.0</v>
      </c>
      <c r="K353" s="20">
        <v>14.0</v>
      </c>
      <c r="L353" s="20">
        <v>17.0</v>
      </c>
      <c r="N353" s="23"/>
      <c r="O353" s="19">
        <f>$G$25</f>
        <v>17</v>
      </c>
      <c r="P353" s="40">
        <f t="shared" ref="P353:T353" si="343">H353/A$363</f>
        <v>0.08714332929</v>
      </c>
      <c r="Q353" s="40">
        <f t="shared" si="343"/>
        <v>0.08589157413</v>
      </c>
      <c r="R353" s="40">
        <f t="shared" si="343"/>
        <v>0.1111111111</v>
      </c>
      <c r="S353" s="40">
        <f t="shared" si="343"/>
        <v>0.04575163399</v>
      </c>
      <c r="T353" s="40">
        <f t="shared" si="343"/>
        <v>0.0445026178</v>
      </c>
    </row>
    <row r="354" ht="15.75" customHeight="1">
      <c r="F354" s="23"/>
      <c r="G354" s="19">
        <f>$G$26</f>
        <v>18</v>
      </c>
      <c r="H354" s="20">
        <v>752.0</v>
      </c>
      <c r="I354" s="20">
        <v>206.0</v>
      </c>
      <c r="J354" s="20">
        <v>9.0</v>
      </c>
      <c r="K354" s="20">
        <v>12.0</v>
      </c>
      <c r="L354" s="20">
        <v>9.0</v>
      </c>
      <c r="N354" s="23"/>
      <c r="O354" s="19">
        <f>$G$26</f>
        <v>18</v>
      </c>
      <c r="P354" s="40">
        <f t="shared" ref="P354:T354" si="344">H354/A$363</f>
        <v>0.08284675554</v>
      </c>
      <c r="Q354" s="40">
        <f t="shared" si="344"/>
        <v>0.06727629001</v>
      </c>
      <c r="R354" s="40">
        <f t="shared" si="344"/>
        <v>0.06666666667</v>
      </c>
      <c r="S354" s="40">
        <f t="shared" si="344"/>
        <v>0.03921568627</v>
      </c>
      <c r="T354" s="40">
        <f t="shared" si="344"/>
        <v>0.02356020942</v>
      </c>
    </row>
    <row r="355" ht="15.75" customHeight="1">
      <c r="F355" s="23"/>
      <c r="G355" s="19">
        <f>$G$27</f>
        <v>19</v>
      </c>
      <c r="H355" s="20">
        <v>633.0</v>
      </c>
      <c r="I355" s="20">
        <v>170.0</v>
      </c>
      <c r="J355" s="20">
        <v>4.0</v>
      </c>
      <c r="K355" s="20">
        <v>8.0</v>
      </c>
      <c r="L355" s="20">
        <v>11.0</v>
      </c>
      <c r="N355" s="23"/>
      <c r="O355" s="19">
        <f>$G$27</f>
        <v>19</v>
      </c>
      <c r="P355" s="40">
        <f t="shared" ref="P355:T355" si="345">H355/A$363</f>
        <v>0.06973669715</v>
      </c>
      <c r="Q355" s="40">
        <f t="shared" si="345"/>
        <v>0.05551926845</v>
      </c>
      <c r="R355" s="40">
        <f t="shared" si="345"/>
        <v>0.02962962963</v>
      </c>
      <c r="S355" s="40">
        <f t="shared" si="345"/>
        <v>0.02614379085</v>
      </c>
      <c r="T355" s="40">
        <f t="shared" si="345"/>
        <v>0.02879581152</v>
      </c>
    </row>
    <row r="356" ht="15.75" customHeight="1">
      <c r="F356" s="23"/>
      <c r="G356" s="19">
        <f>$G$28</f>
        <v>20</v>
      </c>
      <c r="H356" s="20">
        <v>493.0</v>
      </c>
      <c r="I356" s="20">
        <v>140.0</v>
      </c>
      <c r="J356" s="20">
        <v>8.0</v>
      </c>
      <c r="K356" s="20">
        <v>9.0</v>
      </c>
      <c r="L356" s="20">
        <v>9.0</v>
      </c>
      <c r="N356" s="23"/>
      <c r="O356" s="19">
        <f>$G$28</f>
        <v>20</v>
      </c>
      <c r="P356" s="40">
        <f t="shared" ref="P356:T356" si="346">H356/A$363</f>
        <v>0.05431309904</v>
      </c>
      <c r="Q356" s="40">
        <f t="shared" si="346"/>
        <v>0.04572175049</v>
      </c>
      <c r="R356" s="40">
        <f t="shared" si="346"/>
        <v>0.05925925926</v>
      </c>
      <c r="S356" s="40">
        <f t="shared" si="346"/>
        <v>0.02941176471</v>
      </c>
      <c r="T356" s="40">
        <f t="shared" si="346"/>
        <v>0.02356020942</v>
      </c>
    </row>
    <row r="357" ht="15.75" customHeight="1">
      <c r="F357" s="23"/>
      <c r="G357" s="19">
        <f>$G$29</f>
        <v>21</v>
      </c>
      <c r="H357" s="20">
        <v>354.0</v>
      </c>
      <c r="I357" s="20">
        <v>122.0</v>
      </c>
      <c r="J357" s="20">
        <v>1.0</v>
      </c>
      <c r="K357" s="20">
        <v>6.0</v>
      </c>
      <c r="L357" s="20">
        <v>3.0</v>
      </c>
      <c r="N357" s="23"/>
      <c r="O357" s="19">
        <f>$G$29</f>
        <v>21</v>
      </c>
      <c r="P357" s="40">
        <f t="shared" ref="P357:T357" si="347">H357/A$363</f>
        <v>0.03899966949</v>
      </c>
      <c r="Q357" s="40">
        <f t="shared" si="347"/>
        <v>0.03984323971</v>
      </c>
      <c r="R357" s="40">
        <f t="shared" si="347"/>
        <v>0.007407407407</v>
      </c>
      <c r="S357" s="40">
        <f t="shared" si="347"/>
        <v>0.01960784314</v>
      </c>
      <c r="T357" s="40">
        <f t="shared" si="347"/>
        <v>0.007853403141</v>
      </c>
    </row>
    <row r="358" ht="15.75" customHeight="1">
      <c r="F358" s="23"/>
      <c r="G358" s="19">
        <f>$G$30</f>
        <v>22</v>
      </c>
      <c r="H358" s="20">
        <v>263.0</v>
      </c>
      <c r="I358" s="20">
        <v>75.0</v>
      </c>
      <c r="J358" s="20"/>
      <c r="K358" s="20">
        <v>6.0</v>
      </c>
      <c r="L358" s="20">
        <v>4.0</v>
      </c>
      <c r="N358" s="23"/>
      <c r="O358" s="19">
        <f>$G$30</f>
        <v>22</v>
      </c>
      <c r="P358" s="40">
        <f t="shared" ref="P358:T358" si="348">H358/A$363</f>
        <v>0.02897433073</v>
      </c>
      <c r="Q358" s="40">
        <f t="shared" si="348"/>
        <v>0.02449379491</v>
      </c>
      <c r="R358" s="40">
        <f t="shared" si="348"/>
        <v>0</v>
      </c>
      <c r="S358" s="40">
        <f t="shared" si="348"/>
        <v>0.01960784314</v>
      </c>
      <c r="T358" s="40">
        <f t="shared" si="348"/>
        <v>0.01047120419</v>
      </c>
    </row>
    <row r="359" ht="15.75" customHeight="1">
      <c r="F359" s="27"/>
      <c r="G359" s="19">
        <f>$G$31</f>
        <v>23</v>
      </c>
      <c r="H359" s="20">
        <v>165.0</v>
      </c>
      <c r="I359" s="20">
        <v>46.0</v>
      </c>
      <c r="J359" s="20"/>
      <c r="K359" s="20">
        <v>5.0</v>
      </c>
      <c r="L359" s="20">
        <v>1.0</v>
      </c>
      <c r="N359" s="27"/>
      <c r="O359" s="19">
        <f>$G$31</f>
        <v>23</v>
      </c>
      <c r="P359" s="40">
        <f t="shared" ref="P359:T359" si="349">H359/A$363</f>
        <v>0.01817781205</v>
      </c>
      <c r="Q359" s="40">
        <f t="shared" si="349"/>
        <v>0.01502286088</v>
      </c>
      <c r="R359" s="40">
        <f t="shared" si="349"/>
        <v>0</v>
      </c>
      <c r="S359" s="40">
        <f t="shared" si="349"/>
        <v>0.01633986928</v>
      </c>
      <c r="T359" s="40">
        <f t="shared" si="349"/>
        <v>0.002617801047</v>
      </c>
    </row>
    <row r="360" ht="15.75" customHeight="1">
      <c r="F360" s="56">
        <v>45221.0</v>
      </c>
      <c r="G360" s="19">
        <f>$G$8</f>
        <v>0</v>
      </c>
      <c r="H360" s="20">
        <v>119.0</v>
      </c>
      <c r="I360" s="20">
        <v>25.0</v>
      </c>
      <c r="J360" s="20">
        <v>1.0</v>
      </c>
      <c r="K360" s="20">
        <v>4.0</v>
      </c>
      <c r="L360" s="20">
        <v>2.0</v>
      </c>
      <c r="N360" s="56">
        <v>45221.0</v>
      </c>
      <c r="O360" s="19">
        <f>$G$8</f>
        <v>0</v>
      </c>
      <c r="P360" s="40">
        <f t="shared" ref="P360:T360" si="350">H360/H$392</f>
        <v>0.008867362146</v>
      </c>
      <c r="Q360" s="40">
        <f t="shared" si="350"/>
        <v>0.007126567845</v>
      </c>
      <c r="R360" s="40">
        <f t="shared" si="350"/>
        <v>0.004504504505</v>
      </c>
      <c r="S360" s="40">
        <f t="shared" si="350"/>
        <v>0.02259887006</v>
      </c>
      <c r="T360" s="40">
        <f t="shared" si="350"/>
        <v>0.01428571429</v>
      </c>
    </row>
    <row r="361" ht="15.75" customHeight="1">
      <c r="F361" s="23"/>
      <c r="G361" s="19">
        <f>$G$9</f>
        <v>1</v>
      </c>
      <c r="H361" s="20">
        <v>83.0</v>
      </c>
      <c r="I361" s="20">
        <v>19.0</v>
      </c>
      <c r="J361" s="20">
        <v>1.0</v>
      </c>
      <c r="K361" s="20">
        <v>4.0</v>
      </c>
      <c r="L361" s="20">
        <v>1.0</v>
      </c>
      <c r="N361" s="23"/>
      <c r="O361" s="19">
        <f>$G$9</f>
        <v>1</v>
      </c>
      <c r="P361" s="40">
        <f t="shared" ref="P361:T361" si="351">H361/H$392</f>
        <v>0.006184798808</v>
      </c>
      <c r="Q361" s="40">
        <f t="shared" si="351"/>
        <v>0.005416191562</v>
      </c>
      <c r="R361" s="40">
        <f t="shared" si="351"/>
        <v>0.004504504505</v>
      </c>
      <c r="S361" s="40">
        <f t="shared" si="351"/>
        <v>0.02259887006</v>
      </c>
      <c r="T361" s="40">
        <f t="shared" si="351"/>
        <v>0.007142857143</v>
      </c>
    </row>
    <row r="362" ht="15.75" customHeight="1">
      <c r="F362" s="23"/>
      <c r="G362" s="19">
        <f>$G$10</f>
        <v>2</v>
      </c>
      <c r="H362" s="16">
        <v>61.0</v>
      </c>
      <c r="I362" s="16">
        <v>19.0</v>
      </c>
      <c r="J362" s="16"/>
      <c r="K362" s="16">
        <v>3.0</v>
      </c>
      <c r="L362" s="16">
        <v>1.0</v>
      </c>
      <c r="N362" s="23"/>
      <c r="O362" s="19">
        <f>$G$10</f>
        <v>2</v>
      </c>
      <c r="P362" s="40">
        <f t="shared" ref="P362:T362" si="352">H362/H$392</f>
        <v>0.004545454545</v>
      </c>
      <c r="Q362" s="40">
        <f t="shared" si="352"/>
        <v>0.005416191562</v>
      </c>
      <c r="R362" s="40">
        <f t="shared" si="352"/>
        <v>0</v>
      </c>
      <c r="S362" s="40">
        <f t="shared" si="352"/>
        <v>0.01694915254</v>
      </c>
      <c r="T362" s="40">
        <f t="shared" si="352"/>
        <v>0.007142857143</v>
      </c>
    </row>
    <row r="363" ht="15.75" customHeight="1">
      <c r="A363" s="26">
        <f t="shared" ref="A363:E363" si="353">SUM(H336:H359)</f>
        <v>9077</v>
      </c>
      <c r="B363" s="26">
        <f t="shared" si="353"/>
        <v>3062</v>
      </c>
      <c r="C363" s="26">
        <f t="shared" si="353"/>
        <v>135</v>
      </c>
      <c r="D363" s="26">
        <f t="shared" si="353"/>
        <v>306</v>
      </c>
      <c r="E363" s="26">
        <f t="shared" si="353"/>
        <v>382</v>
      </c>
      <c r="F363" s="23"/>
      <c r="G363" s="19">
        <f>$G$11</f>
        <v>3</v>
      </c>
      <c r="H363" s="20">
        <v>36.0</v>
      </c>
      <c r="I363" s="20">
        <v>14.0</v>
      </c>
      <c r="J363" s="20"/>
      <c r="K363" s="20">
        <v>4.0</v>
      </c>
      <c r="L363" s="20">
        <v>5.0</v>
      </c>
      <c r="N363" s="23"/>
      <c r="O363" s="19">
        <f>$G$11</f>
        <v>3</v>
      </c>
      <c r="P363" s="40">
        <f t="shared" ref="P363:T363" si="354">H363/H$392</f>
        <v>0.002682563338</v>
      </c>
      <c r="Q363" s="40">
        <f t="shared" si="354"/>
        <v>0.003990877993</v>
      </c>
      <c r="R363" s="40">
        <f t="shared" si="354"/>
        <v>0</v>
      </c>
      <c r="S363" s="40">
        <f t="shared" si="354"/>
        <v>0.02259887006</v>
      </c>
      <c r="T363" s="40">
        <f t="shared" si="354"/>
        <v>0.03571428571</v>
      </c>
    </row>
    <row r="364" ht="15.75" customHeight="1">
      <c r="A364" s="47">
        <f>$H$7</f>
        <v>31</v>
      </c>
      <c r="B364" s="47">
        <f>$I$7</f>
        <v>32</v>
      </c>
      <c r="C364" s="47">
        <f>$J$7</f>
        <v>41</v>
      </c>
      <c r="D364" s="47">
        <f>$K$7</f>
        <v>42</v>
      </c>
      <c r="E364" s="47">
        <f>$L$7</f>
        <v>5</v>
      </c>
      <c r="F364" s="23"/>
      <c r="G364" s="19">
        <f>$G$12</f>
        <v>4</v>
      </c>
      <c r="H364" s="20">
        <v>32.0</v>
      </c>
      <c r="I364" s="20">
        <v>16.0</v>
      </c>
      <c r="J364" s="20">
        <v>1.0</v>
      </c>
      <c r="K364" s="20">
        <v>2.0</v>
      </c>
      <c r="L364" s="20">
        <v>2.0</v>
      </c>
      <c r="N364" s="23"/>
      <c r="O364" s="19">
        <f>$G$12</f>
        <v>4</v>
      </c>
      <c r="P364" s="40">
        <f t="shared" ref="P364:T364" si="355">H364/H$392</f>
        <v>0.002384500745</v>
      </c>
      <c r="Q364" s="40">
        <f t="shared" si="355"/>
        <v>0.004561003421</v>
      </c>
      <c r="R364" s="40">
        <f t="shared" si="355"/>
        <v>0.004504504505</v>
      </c>
      <c r="S364" s="40">
        <f t="shared" si="355"/>
        <v>0.01129943503</v>
      </c>
      <c r="T364" s="40">
        <f t="shared" si="355"/>
        <v>0.01428571429</v>
      </c>
    </row>
    <row r="365" ht="15.75" customHeight="1">
      <c r="F365" s="23"/>
      <c r="G365" s="19">
        <f>$G$13</f>
        <v>5</v>
      </c>
      <c r="H365" s="20">
        <v>50.0</v>
      </c>
      <c r="I365" s="20">
        <v>33.0</v>
      </c>
      <c r="J365" s="20">
        <v>4.0</v>
      </c>
      <c r="K365" s="20">
        <v>4.0</v>
      </c>
      <c r="L365" s="20">
        <v>1.0</v>
      </c>
      <c r="N365" s="23"/>
      <c r="O365" s="19">
        <f>$G$13</f>
        <v>5</v>
      </c>
      <c r="P365" s="40">
        <f t="shared" ref="P365:T365" si="356">H365/H$392</f>
        <v>0.003725782414</v>
      </c>
      <c r="Q365" s="40">
        <f t="shared" si="356"/>
        <v>0.009407069555</v>
      </c>
      <c r="R365" s="40">
        <f t="shared" si="356"/>
        <v>0.01801801802</v>
      </c>
      <c r="S365" s="40">
        <f t="shared" si="356"/>
        <v>0.02259887006</v>
      </c>
      <c r="T365" s="40">
        <f t="shared" si="356"/>
        <v>0.007142857143</v>
      </c>
    </row>
    <row r="366" ht="15.75" customHeight="1">
      <c r="F366" s="23"/>
      <c r="G366" s="19">
        <f>$G$14</f>
        <v>6</v>
      </c>
      <c r="H366" s="20">
        <v>135.0</v>
      </c>
      <c r="I366" s="20">
        <v>68.0</v>
      </c>
      <c r="J366" s="20">
        <v>2.0</v>
      </c>
      <c r="K366" s="20">
        <v>10.0</v>
      </c>
      <c r="L366" s="20">
        <v>6.0</v>
      </c>
      <c r="N366" s="23"/>
      <c r="O366" s="19">
        <f>$G$14</f>
        <v>6</v>
      </c>
      <c r="P366" s="40">
        <f t="shared" ref="P366:T366" si="357">H366/H$392</f>
        <v>0.01005961252</v>
      </c>
      <c r="Q366" s="40">
        <f t="shared" si="357"/>
        <v>0.01938426454</v>
      </c>
      <c r="R366" s="40">
        <f t="shared" si="357"/>
        <v>0.009009009009</v>
      </c>
      <c r="S366" s="40">
        <f t="shared" si="357"/>
        <v>0.05649717514</v>
      </c>
      <c r="T366" s="40">
        <f t="shared" si="357"/>
        <v>0.04285714286</v>
      </c>
    </row>
    <row r="367" ht="15.75" customHeight="1">
      <c r="F367" s="23"/>
      <c r="G367" s="19">
        <f>$G$15</f>
        <v>7</v>
      </c>
      <c r="H367" s="20">
        <v>208.0</v>
      </c>
      <c r="I367" s="20">
        <v>60.0</v>
      </c>
      <c r="J367" s="20">
        <v>7.0</v>
      </c>
      <c r="K367" s="20">
        <v>9.0</v>
      </c>
      <c r="L367" s="20">
        <v>7.0</v>
      </c>
      <c r="N367" s="23"/>
      <c r="O367" s="19">
        <f>$G$15</f>
        <v>7</v>
      </c>
      <c r="P367" s="40">
        <f t="shared" ref="P367:T367" si="358">H367/H$392</f>
        <v>0.01549925484</v>
      </c>
      <c r="Q367" s="40">
        <f t="shared" si="358"/>
        <v>0.01710376283</v>
      </c>
      <c r="R367" s="40">
        <f t="shared" si="358"/>
        <v>0.03153153153</v>
      </c>
      <c r="S367" s="40">
        <f t="shared" si="358"/>
        <v>0.05084745763</v>
      </c>
      <c r="T367" s="40">
        <f t="shared" si="358"/>
        <v>0.05</v>
      </c>
    </row>
    <row r="368" ht="15.75" customHeight="1">
      <c r="F368" s="23"/>
      <c r="G368" s="19">
        <f>$G$16</f>
        <v>8</v>
      </c>
      <c r="H368" s="20">
        <v>256.0</v>
      </c>
      <c r="I368" s="20">
        <v>96.0</v>
      </c>
      <c r="J368" s="20">
        <v>10.0</v>
      </c>
      <c r="K368" s="20">
        <v>7.0</v>
      </c>
      <c r="L368" s="20">
        <v>12.0</v>
      </c>
      <c r="N368" s="23"/>
      <c r="O368" s="19">
        <f>$G$16</f>
        <v>8</v>
      </c>
      <c r="P368" s="40">
        <f t="shared" ref="P368:T368" si="359">H368/H$392</f>
        <v>0.01907600596</v>
      </c>
      <c r="Q368" s="40">
        <f t="shared" si="359"/>
        <v>0.02736602052</v>
      </c>
      <c r="R368" s="40">
        <f t="shared" si="359"/>
        <v>0.04504504505</v>
      </c>
      <c r="S368" s="40">
        <f t="shared" si="359"/>
        <v>0.0395480226</v>
      </c>
      <c r="T368" s="40">
        <f t="shared" si="359"/>
        <v>0.08571428571</v>
      </c>
    </row>
    <row r="369" ht="15.75" customHeight="1">
      <c r="F369" s="23"/>
      <c r="G369" s="19">
        <f>$G$17</f>
        <v>9</v>
      </c>
      <c r="H369" s="20">
        <v>389.0</v>
      </c>
      <c r="I369" s="20">
        <v>116.0</v>
      </c>
      <c r="J369" s="20">
        <v>11.0</v>
      </c>
      <c r="K369" s="20">
        <v>8.0</v>
      </c>
      <c r="L369" s="20">
        <v>6.0</v>
      </c>
      <c r="N369" s="23"/>
      <c r="O369" s="19">
        <f>$G$17</f>
        <v>9</v>
      </c>
      <c r="P369" s="40">
        <f t="shared" ref="P369:T369" si="360">H369/H$392</f>
        <v>0.02898658718</v>
      </c>
      <c r="Q369" s="40">
        <f t="shared" si="360"/>
        <v>0.0330672748</v>
      </c>
      <c r="R369" s="40">
        <f t="shared" si="360"/>
        <v>0.04954954955</v>
      </c>
      <c r="S369" s="40">
        <f t="shared" si="360"/>
        <v>0.04519774011</v>
      </c>
      <c r="T369" s="40">
        <f t="shared" si="360"/>
        <v>0.04285714286</v>
      </c>
    </row>
    <row r="370" ht="15.75" customHeight="1">
      <c r="F370" s="23"/>
      <c r="G370" s="19">
        <f>$G$18</f>
        <v>10</v>
      </c>
      <c r="H370" s="20">
        <v>450.0</v>
      </c>
      <c r="I370" s="20">
        <v>131.0</v>
      </c>
      <c r="J370" s="20">
        <v>7.0</v>
      </c>
      <c r="K370" s="20">
        <v>11.0</v>
      </c>
      <c r="L370" s="20">
        <v>7.0</v>
      </c>
      <c r="N370" s="23"/>
      <c r="O370" s="19">
        <f>$G$18</f>
        <v>10</v>
      </c>
      <c r="P370" s="40">
        <f t="shared" ref="P370:T370" si="361">H370/H$392</f>
        <v>0.03353204173</v>
      </c>
      <c r="Q370" s="40">
        <f t="shared" si="361"/>
        <v>0.03734321551</v>
      </c>
      <c r="R370" s="40">
        <f t="shared" si="361"/>
        <v>0.03153153153</v>
      </c>
      <c r="S370" s="40">
        <f t="shared" si="361"/>
        <v>0.06214689266</v>
      </c>
      <c r="T370" s="40">
        <f t="shared" si="361"/>
        <v>0.05</v>
      </c>
    </row>
    <row r="371" ht="15.75" customHeight="1">
      <c r="F371" s="23"/>
      <c r="G371" s="19">
        <f>$G$19</f>
        <v>11</v>
      </c>
      <c r="H371" s="20">
        <v>630.0</v>
      </c>
      <c r="I371" s="20">
        <v>190.0</v>
      </c>
      <c r="J371" s="20">
        <v>3.0</v>
      </c>
      <c r="K371" s="20">
        <v>13.0</v>
      </c>
      <c r="L371" s="20">
        <v>8.0</v>
      </c>
      <c r="N371" s="23"/>
      <c r="O371" s="19">
        <f>$G$19</f>
        <v>11</v>
      </c>
      <c r="P371" s="40">
        <f t="shared" ref="P371:T371" si="362">H371/H$392</f>
        <v>0.04694485842</v>
      </c>
      <c r="Q371" s="40">
        <f t="shared" si="362"/>
        <v>0.05416191562</v>
      </c>
      <c r="R371" s="40">
        <f t="shared" si="362"/>
        <v>0.01351351351</v>
      </c>
      <c r="S371" s="40">
        <f t="shared" si="362"/>
        <v>0.07344632768</v>
      </c>
      <c r="T371" s="40">
        <f t="shared" si="362"/>
        <v>0.05714285714</v>
      </c>
    </row>
    <row r="372" ht="15.75" customHeight="1">
      <c r="F372" s="23"/>
      <c r="G372" s="19">
        <f>$G$20</f>
        <v>12</v>
      </c>
      <c r="H372" s="20">
        <v>756.0</v>
      </c>
      <c r="I372" s="20">
        <v>205.0</v>
      </c>
      <c r="J372" s="20">
        <v>8.0</v>
      </c>
      <c r="K372" s="20">
        <v>10.0</v>
      </c>
      <c r="L372" s="20">
        <v>6.0</v>
      </c>
      <c r="N372" s="23"/>
      <c r="O372" s="19">
        <f>$G$20</f>
        <v>12</v>
      </c>
      <c r="P372" s="40">
        <f t="shared" ref="P372:T372" si="363">H372/H$392</f>
        <v>0.0563338301</v>
      </c>
      <c r="Q372" s="40">
        <f t="shared" si="363"/>
        <v>0.05843785633</v>
      </c>
      <c r="R372" s="40">
        <f t="shared" si="363"/>
        <v>0.03603603604</v>
      </c>
      <c r="S372" s="40">
        <f t="shared" si="363"/>
        <v>0.05649717514</v>
      </c>
      <c r="T372" s="40">
        <f t="shared" si="363"/>
        <v>0.04285714286</v>
      </c>
    </row>
    <row r="373" ht="15.75" customHeight="1">
      <c r="F373" s="23"/>
      <c r="G373" s="19">
        <f>$G$21</f>
        <v>13</v>
      </c>
      <c r="H373" s="20">
        <v>970.0</v>
      </c>
      <c r="I373" s="20">
        <v>265.0</v>
      </c>
      <c r="J373" s="20">
        <v>14.0</v>
      </c>
      <c r="K373" s="20">
        <v>10.0</v>
      </c>
      <c r="L373" s="20">
        <v>6.0</v>
      </c>
      <c r="N373" s="23"/>
      <c r="O373" s="19">
        <f>$G$21</f>
        <v>13</v>
      </c>
      <c r="P373" s="40">
        <f t="shared" ref="P373:T373" si="364">H373/H$392</f>
        <v>0.07228017884</v>
      </c>
      <c r="Q373" s="40">
        <f t="shared" si="364"/>
        <v>0.07554161916</v>
      </c>
      <c r="R373" s="40">
        <f t="shared" si="364"/>
        <v>0.06306306306</v>
      </c>
      <c r="S373" s="40">
        <f t="shared" si="364"/>
        <v>0.05649717514</v>
      </c>
      <c r="T373" s="40">
        <f t="shared" si="364"/>
        <v>0.04285714286</v>
      </c>
    </row>
    <row r="374" ht="15.75" customHeight="1">
      <c r="F374" s="23"/>
      <c r="G374" s="19">
        <f>$G$22</f>
        <v>14</v>
      </c>
      <c r="H374" s="20">
        <v>1120.0</v>
      </c>
      <c r="I374" s="20">
        <v>291.0</v>
      </c>
      <c r="J374" s="20">
        <v>19.0</v>
      </c>
      <c r="K374" s="20">
        <v>7.0</v>
      </c>
      <c r="L374" s="20">
        <v>4.0</v>
      </c>
      <c r="N374" s="23"/>
      <c r="O374" s="19">
        <f>$G$22</f>
        <v>14</v>
      </c>
      <c r="P374" s="40">
        <f t="shared" ref="P374:T374" si="365">H374/H$392</f>
        <v>0.08345752608</v>
      </c>
      <c r="Q374" s="40">
        <f t="shared" si="365"/>
        <v>0.08295324971</v>
      </c>
      <c r="R374" s="40">
        <f t="shared" si="365"/>
        <v>0.08558558559</v>
      </c>
      <c r="S374" s="40">
        <f t="shared" si="365"/>
        <v>0.0395480226</v>
      </c>
      <c r="T374" s="40">
        <f t="shared" si="365"/>
        <v>0.02857142857</v>
      </c>
    </row>
    <row r="375" ht="15.75" customHeight="1">
      <c r="F375" s="23"/>
      <c r="G375" s="19">
        <f>$G$23</f>
        <v>15</v>
      </c>
      <c r="H375" s="20">
        <v>1308.0</v>
      </c>
      <c r="I375" s="20">
        <v>314.0</v>
      </c>
      <c r="J375" s="20">
        <v>21.0</v>
      </c>
      <c r="K375" s="20">
        <v>10.0</v>
      </c>
      <c r="L375" s="20">
        <v>7.0</v>
      </c>
      <c r="N375" s="23"/>
      <c r="O375" s="19">
        <f>$G$23</f>
        <v>15</v>
      </c>
      <c r="P375" s="40">
        <f t="shared" ref="P375:T375" si="366">H375/H$392</f>
        <v>0.09746646796</v>
      </c>
      <c r="Q375" s="40">
        <f t="shared" si="366"/>
        <v>0.08950969213</v>
      </c>
      <c r="R375" s="40">
        <f t="shared" si="366"/>
        <v>0.09459459459</v>
      </c>
      <c r="S375" s="40">
        <f t="shared" si="366"/>
        <v>0.05649717514</v>
      </c>
      <c r="T375" s="40">
        <f t="shared" si="366"/>
        <v>0.05</v>
      </c>
    </row>
    <row r="376" ht="15.75" customHeight="1">
      <c r="F376" s="23"/>
      <c r="G376" s="19">
        <f>$G$24</f>
        <v>16</v>
      </c>
      <c r="H376" s="20">
        <v>1317.0</v>
      </c>
      <c r="I376" s="20">
        <v>307.0</v>
      </c>
      <c r="J376" s="20">
        <v>26.0</v>
      </c>
      <c r="K376" s="20">
        <v>10.0</v>
      </c>
      <c r="L376" s="20">
        <v>7.0</v>
      </c>
      <c r="N376" s="23"/>
      <c r="O376" s="19">
        <f>$G$24</f>
        <v>16</v>
      </c>
      <c r="P376" s="40">
        <f t="shared" ref="P376:T376" si="367">H376/H$392</f>
        <v>0.09813710879</v>
      </c>
      <c r="Q376" s="40">
        <f t="shared" si="367"/>
        <v>0.08751425314</v>
      </c>
      <c r="R376" s="40">
        <f t="shared" si="367"/>
        <v>0.1171171171</v>
      </c>
      <c r="S376" s="40">
        <f t="shared" si="367"/>
        <v>0.05649717514</v>
      </c>
      <c r="T376" s="40">
        <f t="shared" si="367"/>
        <v>0.05</v>
      </c>
    </row>
    <row r="377" ht="15.75" customHeight="1">
      <c r="F377" s="23"/>
      <c r="G377" s="19">
        <f>$G$25</f>
        <v>17</v>
      </c>
      <c r="H377" s="20">
        <v>1275.0</v>
      </c>
      <c r="I377" s="20">
        <v>290.0</v>
      </c>
      <c r="J377" s="20">
        <v>21.0</v>
      </c>
      <c r="K377" s="20">
        <v>7.0</v>
      </c>
      <c r="L377" s="20">
        <v>10.0</v>
      </c>
      <c r="N377" s="23"/>
      <c r="O377" s="19">
        <f>$G$25</f>
        <v>17</v>
      </c>
      <c r="P377" s="40">
        <f t="shared" ref="P377:T377" si="368">H377/H$392</f>
        <v>0.09500745156</v>
      </c>
      <c r="Q377" s="40">
        <f t="shared" si="368"/>
        <v>0.082668187</v>
      </c>
      <c r="R377" s="40">
        <f t="shared" si="368"/>
        <v>0.09459459459</v>
      </c>
      <c r="S377" s="40">
        <f t="shared" si="368"/>
        <v>0.0395480226</v>
      </c>
      <c r="T377" s="40">
        <f t="shared" si="368"/>
        <v>0.07142857143</v>
      </c>
    </row>
    <row r="378" ht="15.75" customHeight="1">
      <c r="F378" s="23"/>
      <c r="G378" s="19">
        <f>$G$26</f>
        <v>18</v>
      </c>
      <c r="H378" s="20">
        <v>1150.0</v>
      </c>
      <c r="I378" s="20">
        <v>259.0</v>
      </c>
      <c r="J378" s="20">
        <v>21.0</v>
      </c>
      <c r="K378" s="20">
        <v>11.0</v>
      </c>
      <c r="L378" s="20">
        <v>6.0</v>
      </c>
      <c r="N378" s="23"/>
      <c r="O378" s="19">
        <f>$G$26</f>
        <v>18</v>
      </c>
      <c r="P378" s="40">
        <f t="shared" ref="P378:T378" si="369">H378/H$392</f>
        <v>0.08569299553</v>
      </c>
      <c r="Q378" s="40">
        <f t="shared" si="369"/>
        <v>0.07383124287</v>
      </c>
      <c r="R378" s="40">
        <f t="shared" si="369"/>
        <v>0.09459459459</v>
      </c>
      <c r="S378" s="40">
        <f t="shared" si="369"/>
        <v>0.06214689266</v>
      </c>
      <c r="T378" s="40">
        <f t="shared" si="369"/>
        <v>0.04285714286</v>
      </c>
    </row>
    <row r="379" ht="15.75" customHeight="1">
      <c r="F379" s="23"/>
      <c r="G379" s="19">
        <f>$G$27</f>
        <v>19</v>
      </c>
      <c r="H379" s="20">
        <v>1109.0</v>
      </c>
      <c r="I379" s="20">
        <v>269.0</v>
      </c>
      <c r="J379" s="20">
        <v>26.0</v>
      </c>
      <c r="K379" s="20">
        <v>11.0</v>
      </c>
      <c r="L379" s="20">
        <v>8.0</v>
      </c>
      <c r="N379" s="23"/>
      <c r="O379" s="19">
        <f>$G$27</f>
        <v>19</v>
      </c>
      <c r="P379" s="40">
        <f t="shared" ref="P379:T379" si="370">H379/H$392</f>
        <v>0.08263785395</v>
      </c>
      <c r="Q379" s="40">
        <f t="shared" si="370"/>
        <v>0.07668187001</v>
      </c>
      <c r="R379" s="40">
        <f t="shared" si="370"/>
        <v>0.1171171171</v>
      </c>
      <c r="S379" s="40">
        <f t="shared" si="370"/>
        <v>0.06214689266</v>
      </c>
      <c r="T379" s="40">
        <f t="shared" si="370"/>
        <v>0.05714285714</v>
      </c>
    </row>
    <row r="380" ht="15.75" customHeight="1">
      <c r="F380" s="23"/>
      <c r="G380" s="19">
        <f>$G$28</f>
        <v>20</v>
      </c>
      <c r="H380" s="20">
        <v>849.0</v>
      </c>
      <c r="I380" s="20">
        <v>215.0</v>
      </c>
      <c r="J380" s="20">
        <v>10.0</v>
      </c>
      <c r="K380" s="20">
        <v>7.0</v>
      </c>
      <c r="L380" s="20">
        <v>11.0</v>
      </c>
      <c r="N380" s="23"/>
      <c r="O380" s="19">
        <f>$G$28</f>
        <v>20</v>
      </c>
      <c r="P380" s="40">
        <f t="shared" ref="P380:T380" si="371">H380/H$392</f>
        <v>0.06326378539</v>
      </c>
      <c r="Q380" s="40">
        <f t="shared" si="371"/>
        <v>0.06128848347</v>
      </c>
      <c r="R380" s="40">
        <f t="shared" si="371"/>
        <v>0.04504504505</v>
      </c>
      <c r="S380" s="40">
        <f t="shared" si="371"/>
        <v>0.0395480226</v>
      </c>
      <c r="T380" s="40">
        <f t="shared" si="371"/>
        <v>0.07857142857</v>
      </c>
    </row>
    <row r="381" ht="15.75" customHeight="1">
      <c r="F381" s="23"/>
      <c r="G381" s="19">
        <f>$G$29</f>
        <v>21</v>
      </c>
      <c r="H381" s="20">
        <v>605.0</v>
      </c>
      <c r="I381" s="20">
        <v>133.0</v>
      </c>
      <c r="J381" s="20">
        <v>5.0</v>
      </c>
      <c r="K381" s="20">
        <v>5.0</v>
      </c>
      <c r="L381" s="20">
        <v>3.0</v>
      </c>
      <c r="N381" s="23"/>
      <c r="O381" s="19">
        <f>$G$29</f>
        <v>21</v>
      </c>
      <c r="P381" s="40">
        <f t="shared" ref="P381:T381" si="372">H381/H$392</f>
        <v>0.04508196721</v>
      </c>
      <c r="Q381" s="40">
        <f t="shared" si="372"/>
        <v>0.03791334094</v>
      </c>
      <c r="R381" s="40">
        <f t="shared" si="372"/>
        <v>0.02252252252</v>
      </c>
      <c r="S381" s="40">
        <f t="shared" si="372"/>
        <v>0.02824858757</v>
      </c>
      <c r="T381" s="40">
        <f t="shared" si="372"/>
        <v>0.02142857143</v>
      </c>
    </row>
    <row r="382" ht="15.75" customHeight="1">
      <c r="F382" s="23"/>
      <c r="G382" s="19">
        <f>$G$30</f>
        <v>22</v>
      </c>
      <c r="H382" s="20">
        <v>322.0</v>
      </c>
      <c r="I382" s="20">
        <v>90.0</v>
      </c>
      <c r="J382" s="20">
        <v>1.0</v>
      </c>
      <c r="K382" s="20">
        <v>2.0</v>
      </c>
      <c r="L382" s="20">
        <v>8.0</v>
      </c>
      <c r="N382" s="23"/>
      <c r="O382" s="19">
        <f>$G$30</f>
        <v>22</v>
      </c>
      <c r="P382" s="40">
        <f t="shared" ref="P382:T382" si="373">H382/H$392</f>
        <v>0.02399403875</v>
      </c>
      <c r="Q382" s="40">
        <f t="shared" si="373"/>
        <v>0.02565564424</v>
      </c>
      <c r="R382" s="40">
        <f t="shared" si="373"/>
        <v>0.004504504505</v>
      </c>
      <c r="S382" s="40">
        <f t="shared" si="373"/>
        <v>0.01129943503</v>
      </c>
      <c r="T382" s="40">
        <f t="shared" si="373"/>
        <v>0.05714285714</v>
      </c>
    </row>
    <row r="383" ht="15.75" customHeight="1">
      <c r="F383" s="27"/>
      <c r="G383" s="19">
        <f>$G$31</f>
        <v>23</v>
      </c>
      <c r="H383" s="20">
        <v>190.0</v>
      </c>
      <c r="I383" s="20">
        <v>83.0</v>
      </c>
      <c r="J383" s="20">
        <v>3.0</v>
      </c>
      <c r="K383" s="20">
        <v>8.0</v>
      </c>
      <c r="L383" s="20">
        <v>6.0</v>
      </c>
      <c r="N383" s="27"/>
      <c r="O383" s="19">
        <f>$G$31</f>
        <v>23</v>
      </c>
      <c r="P383" s="40">
        <f t="shared" ref="P383:T383" si="374">H383/H$392</f>
        <v>0.01415797317</v>
      </c>
      <c r="Q383" s="40">
        <f t="shared" si="374"/>
        <v>0.02366020525</v>
      </c>
      <c r="R383" s="40">
        <f t="shared" si="374"/>
        <v>0.01351351351</v>
      </c>
      <c r="S383" s="40">
        <f t="shared" si="374"/>
        <v>0.04519774011</v>
      </c>
      <c r="T383" s="40">
        <f t="shared" si="374"/>
        <v>0.04285714286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>
      <c r="F392" s="41"/>
      <c r="G392" s="16"/>
      <c r="H392" s="26">
        <f t="shared" ref="H392:L392" si="375">SUM(H360:H383)</f>
        <v>13420</v>
      </c>
      <c r="I392" s="26">
        <f t="shared" si="375"/>
        <v>3508</v>
      </c>
      <c r="J392" s="26">
        <f t="shared" si="375"/>
        <v>222</v>
      </c>
      <c r="K392" s="26">
        <f t="shared" si="375"/>
        <v>177</v>
      </c>
      <c r="L392" s="26">
        <f t="shared" si="375"/>
        <v>140</v>
      </c>
    </row>
    <row r="393" ht="15.75" customHeight="1"/>
    <row r="394" ht="15.75" customHeight="1"/>
    <row r="395" ht="15.75" customHeight="1"/>
    <row r="396" ht="15.75" customHeight="1"/>
    <row r="397" ht="15.75" customHeight="1">
      <c r="G397" s="16"/>
      <c r="H397" s="54"/>
      <c r="I397" s="54"/>
      <c r="J397" s="54"/>
      <c r="K397" s="54"/>
      <c r="L397" s="54"/>
    </row>
    <row r="398" ht="15.75" customHeight="1">
      <c r="F398" s="55"/>
      <c r="G398" s="51"/>
      <c r="H398" s="16"/>
      <c r="I398" s="16"/>
      <c r="J398" s="16"/>
      <c r="K398" s="16"/>
      <c r="L398" s="16"/>
    </row>
    <row r="399" ht="15.75" customHeight="1">
      <c r="G399" s="51"/>
      <c r="H399" s="16"/>
      <c r="I399" s="16"/>
      <c r="J399" s="16"/>
      <c r="K399" s="16"/>
      <c r="L399" s="16"/>
    </row>
    <row r="400" ht="15.75" customHeight="1">
      <c r="G400" s="51"/>
      <c r="H400" s="16"/>
      <c r="I400" s="16"/>
      <c r="J400" s="16"/>
      <c r="K400" s="16"/>
      <c r="L400" s="16"/>
    </row>
    <row r="401" ht="15.75" customHeight="1">
      <c r="G401" s="51"/>
      <c r="H401" s="16"/>
      <c r="I401" s="16"/>
      <c r="J401" s="16"/>
      <c r="K401" s="16"/>
      <c r="L401" s="16"/>
    </row>
    <row r="402" ht="15.75" customHeight="1">
      <c r="G402" s="51"/>
      <c r="H402" s="16"/>
      <c r="I402" s="16"/>
      <c r="J402" s="16"/>
      <c r="K402" s="16"/>
      <c r="L402" s="16"/>
    </row>
    <row r="403" ht="15.75" customHeight="1">
      <c r="G403" s="51"/>
      <c r="H403" s="16"/>
      <c r="I403" s="16"/>
      <c r="J403" s="16"/>
      <c r="K403" s="16"/>
      <c r="L403" s="16"/>
    </row>
    <row r="404" ht="15.75" customHeight="1">
      <c r="G404" s="51"/>
      <c r="H404" s="16"/>
      <c r="I404" s="16"/>
      <c r="J404" s="16"/>
      <c r="K404" s="16"/>
      <c r="L404" s="16"/>
    </row>
    <row r="405" ht="15.75" customHeight="1">
      <c r="G405" s="51"/>
      <c r="H405" s="16"/>
      <c r="I405" s="16"/>
      <c r="J405" s="16"/>
      <c r="K405" s="16"/>
      <c r="L405" s="16"/>
    </row>
    <row r="406" ht="15.75" customHeight="1">
      <c r="G406" s="51"/>
      <c r="H406" s="16"/>
      <c r="I406" s="16"/>
      <c r="J406" s="16"/>
      <c r="K406" s="16"/>
      <c r="L406" s="16"/>
    </row>
    <row r="407" ht="15.75" customHeight="1">
      <c r="G407" s="51"/>
      <c r="H407" s="16"/>
      <c r="I407" s="16"/>
      <c r="J407" s="16"/>
      <c r="K407" s="16"/>
      <c r="L407" s="16"/>
    </row>
    <row r="408" ht="15.75" customHeight="1">
      <c r="G408" s="51"/>
      <c r="H408" s="16"/>
      <c r="I408" s="16"/>
      <c r="J408" s="16"/>
      <c r="K408" s="16"/>
      <c r="L408" s="16"/>
    </row>
    <row r="409" ht="15.75" customHeight="1">
      <c r="G409" s="51"/>
      <c r="H409" s="16"/>
      <c r="I409" s="16"/>
      <c r="J409" s="16"/>
      <c r="K409" s="16"/>
      <c r="L409" s="16"/>
    </row>
    <row r="410" ht="15.75" customHeight="1">
      <c r="G410" s="51"/>
      <c r="H410" s="16"/>
      <c r="I410" s="16"/>
      <c r="J410" s="16"/>
      <c r="K410" s="16"/>
      <c r="L410" s="16"/>
    </row>
    <row r="411" ht="15.75" customHeight="1">
      <c r="G411" s="51"/>
      <c r="H411" s="16"/>
      <c r="I411" s="16"/>
      <c r="J411" s="16"/>
      <c r="K411" s="16"/>
      <c r="L411" s="16"/>
    </row>
    <row r="412" ht="15.75" customHeight="1">
      <c r="G412" s="51"/>
      <c r="H412" s="16"/>
      <c r="I412" s="16"/>
      <c r="J412" s="16"/>
      <c r="K412" s="16"/>
      <c r="L412" s="16"/>
    </row>
    <row r="413" ht="15.75" customHeight="1">
      <c r="G413" s="51"/>
      <c r="H413" s="16"/>
      <c r="I413" s="16"/>
      <c r="J413" s="16"/>
      <c r="K413" s="16"/>
      <c r="L413" s="16"/>
    </row>
    <row r="414" ht="15.75" customHeight="1">
      <c r="G414" s="51"/>
      <c r="H414" s="16"/>
      <c r="I414" s="16"/>
      <c r="J414" s="16"/>
      <c r="K414" s="16"/>
      <c r="L414" s="16"/>
    </row>
    <row r="415" ht="15.75" customHeight="1">
      <c r="G415" s="51"/>
      <c r="H415" s="16"/>
      <c r="I415" s="16"/>
      <c r="J415" s="16"/>
      <c r="K415" s="16"/>
      <c r="L415" s="16"/>
    </row>
    <row r="416" ht="15.75" customHeight="1">
      <c r="G416" s="51"/>
      <c r="H416" s="16"/>
      <c r="I416" s="16"/>
      <c r="J416" s="16"/>
      <c r="K416" s="16"/>
      <c r="L416" s="16"/>
    </row>
    <row r="417" ht="15.75" customHeight="1">
      <c r="G417" s="51"/>
      <c r="H417" s="16"/>
      <c r="I417" s="16"/>
      <c r="J417" s="16"/>
      <c r="K417" s="16"/>
      <c r="L417" s="16"/>
    </row>
    <row r="418" ht="15.75" customHeight="1">
      <c r="G418" s="51"/>
      <c r="H418" s="16"/>
      <c r="I418" s="16"/>
      <c r="J418" s="16"/>
      <c r="K418" s="16"/>
      <c r="L418" s="16"/>
    </row>
    <row r="419" ht="15.75" customHeight="1">
      <c r="G419" s="51"/>
      <c r="H419" s="16"/>
      <c r="I419" s="16"/>
      <c r="J419" s="16"/>
      <c r="K419" s="16"/>
      <c r="L419" s="16"/>
    </row>
    <row r="420" ht="15.75" customHeight="1">
      <c r="G420" s="51"/>
      <c r="H420" s="16"/>
      <c r="I420" s="16"/>
      <c r="J420" s="16"/>
      <c r="K420" s="16"/>
      <c r="L420" s="16"/>
    </row>
    <row r="421" ht="15.75" customHeight="1">
      <c r="G421" s="51"/>
      <c r="H421" s="16"/>
      <c r="I421" s="16"/>
      <c r="J421" s="16"/>
      <c r="K421" s="16"/>
      <c r="L421" s="16"/>
    </row>
    <row r="422" ht="15.75" customHeight="1">
      <c r="F422" s="41"/>
      <c r="H422" s="26"/>
      <c r="I422" s="26"/>
      <c r="J422" s="26"/>
      <c r="K422" s="26"/>
      <c r="L422" s="26"/>
    </row>
    <row r="423" ht="15.75" customHeight="1">
      <c r="G423" s="16"/>
      <c r="H423" s="54"/>
      <c r="I423" s="54"/>
      <c r="J423" s="54"/>
      <c r="K423" s="54"/>
      <c r="L423" s="54"/>
    </row>
    <row r="424" ht="15.75" customHeight="1">
      <c r="F424" s="55"/>
      <c r="G424" s="51"/>
      <c r="H424" s="16"/>
      <c r="I424" s="16"/>
      <c r="J424" s="16"/>
      <c r="K424" s="16"/>
      <c r="L424" s="16"/>
    </row>
    <row r="425" ht="15.75" customHeight="1">
      <c r="G425" s="51"/>
      <c r="H425" s="16"/>
      <c r="I425" s="16"/>
      <c r="J425" s="16"/>
      <c r="K425" s="16"/>
      <c r="L425" s="16"/>
    </row>
    <row r="426" ht="15.75" customHeight="1">
      <c r="G426" s="51"/>
      <c r="H426" s="16"/>
      <c r="I426" s="16"/>
      <c r="J426" s="16"/>
      <c r="K426" s="16"/>
      <c r="L426" s="16"/>
    </row>
    <row r="427" ht="15.75" customHeight="1">
      <c r="G427" s="51"/>
      <c r="H427" s="16"/>
      <c r="I427" s="16"/>
      <c r="J427" s="16"/>
      <c r="K427" s="16"/>
      <c r="L427" s="16"/>
    </row>
    <row r="428" ht="15.75" customHeight="1">
      <c r="G428" s="51"/>
      <c r="H428" s="16"/>
      <c r="I428" s="16"/>
      <c r="J428" s="16"/>
      <c r="K428" s="16"/>
      <c r="L428" s="16"/>
    </row>
    <row r="429" ht="15.75" customHeight="1">
      <c r="G429" s="51"/>
      <c r="H429" s="16"/>
      <c r="I429" s="16"/>
      <c r="J429" s="16"/>
      <c r="K429" s="16"/>
      <c r="L429" s="16"/>
    </row>
    <row r="430" ht="15.75" customHeight="1">
      <c r="G430" s="51"/>
      <c r="H430" s="16"/>
      <c r="I430" s="16"/>
      <c r="J430" s="16"/>
      <c r="K430" s="16"/>
      <c r="L430" s="16"/>
    </row>
    <row r="431" ht="15.75" customHeight="1">
      <c r="G431" s="51"/>
      <c r="H431" s="16"/>
      <c r="I431" s="16"/>
      <c r="J431" s="16"/>
      <c r="K431" s="16"/>
      <c r="L431" s="16"/>
    </row>
    <row r="432" ht="15.75" customHeight="1">
      <c r="G432" s="51"/>
      <c r="H432" s="16"/>
      <c r="I432" s="16"/>
      <c r="J432" s="16"/>
      <c r="K432" s="16"/>
      <c r="L432" s="16"/>
    </row>
    <row r="433" ht="15.75" customHeight="1">
      <c r="G433" s="51"/>
      <c r="H433" s="16"/>
      <c r="I433" s="16"/>
      <c r="J433" s="16"/>
      <c r="K433" s="16"/>
      <c r="L433" s="16"/>
    </row>
    <row r="434" ht="15.75" customHeight="1">
      <c r="G434" s="51"/>
      <c r="H434" s="16"/>
      <c r="I434" s="16"/>
      <c r="J434" s="16"/>
      <c r="K434" s="16"/>
      <c r="L434" s="16"/>
    </row>
    <row r="435" ht="15.75" customHeight="1">
      <c r="G435" s="51"/>
      <c r="H435" s="16"/>
      <c r="I435" s="16"/>
      <c r="J435" s="16"/>
      <c r="K435" s="16"/>
      <c r="L435" s="16"/>
    </row>
    <row r="436" ht="15.75" customHeight="1">
      <c r="G436" s="51"/>
      <c r="H436" s="16"/>
      <c r="I436" s="16"/>
      <c r="J436" s="16"/>
      <c r="K436" s="16"/>
      <c r="L436" s="16"/>
    </row>
    <row r="437" ht="15.75" customHeight="1">
      <c r="G437" s="51"/>
      <c r="H437" s="16"/>
      <c r="I437" s="16"/>
      <c r="J437" s="16"/>
      <c r="K437" s="16"/>
      <c r="L437" s="16"/>
    </row>
    <row r="438" ht="15.75" customHeight="1">
      <c r="G438" s="51"/>
      <c r="H438" s="16"/>
      <c r="I438" s="16"/>
      <c r="J438" s="16"/>
      <c r="K438" s="16"/>
      <c r="L438" s="16"/>
    </row>
    <row r="439" ht="15.75" customHeight="1">
      <c r="G439" s="51"/>
      <c r="H439" s="16"/>
      <c r="I439" s="16"/>
      <c r="J439" s="16"/>
      <c r="K439" s="16"/>
      <c r="L439" s="16"/>
    </row>
    <row r="440" ht="15.75" customHeight="1">
      <c r="G440" s="51"/>
      <c r="H440" s="16"/>
      <c r="I440" s="16"/>
      <c r="J440" s="16"/>
      <c r="K440" s="16"/>
      <c r="L440" s="16"/>
    </row>
    <row r="441" ht="15.75" customHeight="1">
      <c r="G441" s="51"/>
      <c r="H441" s="16"/>
      <c r="I441" s="16"/>
      <c r="J441" s="16"/>
      <c r="K441" s="16"/>
      <c r="L441" s="16"/>
    </row>
    <row r="442" ht="15.75" customHeight="1">
      <c r="G442" s="51"/>
      <c r="H442" s="16"/>
      <c r="I442" s="16"/>
      <c r="J442" s="16"/>
      <c r="K442" s="16"/>
      <c r="L442" s="16"/>
    </row>
    <row r="443" ht="15.75" customHeight="1">
      <c r="G443" s="51"/>
      <c r="H443" s="16"/>
      <c r="I443" s="16"/>
      <c r="J443" s="16"/>
      <c r="K443" s="16"/>
      <c r="L443" s="16"/>
    </row>
    <row r="444" ht="15.75" customHeight="1">
      <c r="G444" s="51"/>
      <c r="H444" s="16"/>
      <c r="I444" s="16"/>
      <c r="J444" s="16"/>
      <c r="K444" s="16"/>
      <c r="L444" s="16"/>
    </row>
    <row r="445" ht="15.75" customHeight="1">
      <c r="G445" s="51"/>
      <c r="H445" s="16"/>
      <c r="I445" s="16"/>
      <c r="J445" s="16"/>
      <c r="K445" s="16"/>
      <c r="L445" s="16"/>
    </row>
    <row r="446" ht="15.75" customHeight="1">
      <c r="G446" s="51"/>
      <c r="H446" s="16"/>
      <c r="I446" s="16"/>
      <c r="J446" s="16"/>
      <c r="K446" s="16"/>
      <c r="L446" s="16"/>
    </row>
    <row r="447" ht="15.75" customHeight="1">
      <c r="G447" s="51"/>
      <c r="H447" s="16"/>
      <c r="I447" s="16"/>
      <c r="J447" s="16"/>
      <c r="K447" s="16"/>
      <c r="L447" s="16"/>
    </row>
    <row r="448" ht="15.75" customHeight="1">
      <c r="F448" s="41"/>
      <c r="H448" s="26"/>
      <c r="I448" s="26"/>
      <c r="J448" s="26"/>
      <c r="K448" s="26"/>
      <c r="L448" s="26"/>
    </row>
    <row r="449" ht="15.75" customHeight="1">
      <c r="G449" s="16"/>
      <c r="H449" s="54"/>
      <c r="I449" s="54"/>
      <c r="J449" s="54"/>
      <c r="K449" s="54"/>
      <c r="L449" s="54"/>
    </row>
    <row r="450" ht="15.75" customHeight="1">
      <c r="F450" s="55"/>
      <c r="G450" s="51"/>
      <c r="H450" s="16"/>
      <c r="I450" s="16"/>
      <c r="J450" s="16"/>
      <c r="K450" s="16"/>
      <c r="L450" s="16"/>
    </row>
    <row r="451" ht="15.75" customHeight="1">
      <c r="G451" s="51"/>
      <c r="H451" s="16"/>
      <c r="I451" s="16"/>
      <c r="J451" s="16"/>
      <c r="K451" s="16"/>
      <c r="L451" s="16"/>
    </row>
    <row r="452" ht="15.75" customHeight="1">
      <c r="G452" s="51"/>
      <c r="H452" s="16"/>
      <c r="I452" s="16"/>
      <c r="J452" s="16"/>
      <c r="K452" s="16"/>
      <c r="L452" s="16"/>
    </row>
    <row r="453" ht="15.75" customHeight="1">
      <c r="G453" s="51"/>
      <c r="H453" s="16"/>
      <c r="I453" s="16"/>
      <c r="J453" s="16"/>
      <c r="K453" s="16"/>
      <c r="L453" s="16"/>
    </row>
    <row r="454" ht="15.75" customHeight="1">
      <c r="G454" s="51"/>
      <c r="H454" s="16"/>
      <c r="I454" s="16"/>
      <c r="J454" s="16"/>
      <c r="K454" s="16"/>
      <c r="L454" s="16"/>
    </row>
    <row r="455" ht="15.75" customHeight="1">
      <c r="G455" s="51"/>
      <c r="H455" s="16"/>
      <c r="I455" s="16"/>
      <c r="J455" s="16"/>
      <c r="K455" s="16"/>
      <c r="L455" s="16"/>
    </row>
    <row r="456" ht="15.75" customHeight="1">
      <c r="G456" s="51"/>
      <c r="H456" s="16"/>
      <c r="I456" s="16"/>
      <c r="J456" s="16"/>
      <c r="K456" s="16"/>
      <c r="L456" s="16"/>
    </row>
    <row r="457" ht="15.75" customHeight="1">
      <c r="G457" s="51"/>
      <c r="H457" s="16"/>
      <c r="I457" s="16"/>
      <c r="J457" s="16"/>
      <c r="K457" s="16"/>
      <c r="L457" s="16"/>
    </row>
    <row r="458" ht="15.75" customHeight="1">
      <c r="G458" s="51"/>
      <c r="H458" s="16"/>
      <c r="I458" s="16"/>
      <c r="J458" s="16"/>
      <c r="K458" s="16"/>
      <c r="L458" s="16"/>
    </row>
    <row r="459" ht="15.75" customHeight="1">
      <c r="G459" s="51"/>
      <c r="H459" s="16"/>
      <c r="I459" s="16"/>
      <c r="J459" s="16"/>
      <c r="K459" s="16"/>
      <c r="L459" s="16"/>
    </row>
    <row r="460" ht="15.75" customHeight="1">
      <c r="G460" s="51"/>
      <c r="H460" s="16"/>
      <c r="I460" s="16"/>
      <c r="J460" s="16"/>
      <c r="K460" s="16"/>
      <c r="L460" s="16"/>
    </row>
    <row r="461" ht="15.75" customHeight="1">
      <c r="G461" s="51"/>
      <c r="H461" s="16"/>
      <c r="I461" s="16"/>
      <c r="J461" s="16"/>
      <c r="K461" s="16"/>
      <c r="L461" s="16"/>
    </row>
    <row r="462" ht="15.75" customHeight="1">
      <c r="G462" s="51"/>
      <c r="H462" s="16"/>
      <c r="I462" s="16"/>
      <c r="J462" s="16"/>
      <c r="K462" s="16"/>
      <c r="L462" s="16"/>
    </row>
    <row r="463" ht="15.75" customHeight="1">
      <c r="G463" s="51"/>
      <c r="H463" s="16"/>
      <c r="I463" s="16"/>
      <c r="J463" s="16"/>
      <c r="K463" s="16"/>
      <c r="L463" s="16"/>
    </row>
    <row r="464" ht="15.75" customHeight="1">
      <c r="G464" s="51"/>
      <c r="H464" s="16"/>
      <c r="I464" s="16"/>
      <c r="J464" s="16"/>
      <c r="K464" s="16"/>
      <c r="L464" s="16"/>
    </row>
    <row r="465" ht="15.75" customHeight="1">
      <c r="G465" s="51"/>
      <c r="H465" s="16"/>
      <c r="I465" s="16"/>
      <c r="J465" s="16"/>
      <c r="K465" s="16"/>
      <c r="L465" s="16"/>
    </row>
    <row r="466" ht="15.75" customHeight="1">
      <c r="G466" s="51"/>
      <c r="H466" s="16"/>
      <c r="I466" s="16"/>
      <c r="J466" s="16"/>
      <c r="K466" s="16"/>
      <c r="L466" s="16"/>
    </row>
    <row r="467" ht="15.75" customHeight="1">
      <c r="G467" s="51"/>
      <c r="H467" s="16"/>
      <c r="I467" s="16"/>
      <c r="J467" s="16"/>
      <c r="K467" s="16"/>
      <c r="L467" s="16"/>
    </row>
    <row r="468" ht="15.75" customHeight="1">
      <c r="G468" s="51"/>
      <c r="H468" s="16"/>
      <c r="I468" s="16"/>
      <c r="J468" s="16"/>
      <c r="K468" s="16"/>
      <c r="L468" s="16"/>
    </row>
    <row r="469" ht="15.75" customHeight="1">
      <c r="G469" s="51"/>
      <c r="H469" s="16"/>
      <c r="I469" s="16"/>
      <c r="J469" s="16"/>
      <c r="K469" s="16"/>
      <c r="L469" s="16"/>
    </row>
    <row r="470" ht="15.75" customHeight="1">
      <c r="G470" s="51"/>
      <c r="H470" s="16"/>
      <c r="I470" s="16"/>
      <c r="J470" s="16"/>
      <c r="K470" s="16"/>
      <c r="L470" s="16"/>
    </row>
    <row r="471" ht="15.75" customHeight="1">
      <c r="G471" s="51"/>
      <c r="H471" s="16"/>
      <c r="I471" s="16"/>
      <c r="J471" s="16"/>
      <c r="K471" s="16"/>
      <c r="L471" s="16"/>
    </row>
    <row r="472" ht="15.75" customHeight="1">
      <c r="G472" s="51"/>
      <c r="H472" s="16"/>
      <c r="I472" s="16"/>
      <c r="J472" s="16"/>
      <c r="K472" s="16"/>
      <c r="L472" s="16"/>
    </row>
    <row r="473" ht="15.75" customHeight="1">
      <c r="G473" s="51"/>
      <c r="H473" s="16"/>
      <c r="I473" s="16"/>
      <c r="J473" s="16"/>
      <c r="K473" s="16"/>
      <c r="L473" s="16"/>
    </row>
    <row r="474" ht="15.75" customHeight="1">
      <c r="F474" s="41"/>
      <c r="H474" s="26"/>
      <c r="I474" s="26"/>
      <c r="J474" s="26"/>
      <c r="K474" s="26"/>
      <c r="L474" s="26"/>
    </row>
    <row r="475" ht="15.75" customHeight="1">
      <c r="G475" s="16"/>
      <c r="H475" s="54"/>
      <c r="I475" s="54"/>
      <c r="J475" s="54"/>
      <c r="K475" s="54"/>
      <c r="L475" s="54"/>
    </row>
    <row r="476" ht="15.75" customHeight="1">
      <c r="F476" s="55"/>
      <c r="G476" s="51"/>
      <c r="H476" s="16"/>
      <c r="I476" s="16"/>
      <c r="J476" s="16"/>
      <c r="K476" s="16"/>
      <c r="L476" s="16"/>
    </row>
    <row r="477" ht="15.75" customHeight="1">
      <c r="G477" s="51"/>
      <c r="H477" s="16"/>
      <c r="I477" s="16"/>
      <c r="J477" s="16"/>
      <c r="K477" s="16"/>
      <c r="L477" s="16"/>
    </row>
    <row r="478" ht="15.75" customHeight="1">
      <c r="G478" s="51"/>
      <c r="H478" s="16"/>
      <c r="I478" s="16"/>
      <c r="J478" s="16"/>
      <c r="K478" s="16"/>
      <c r="L478" s="16"/>
    </row>
    <row r="479" ht="15.75" customHeight="1">
      <c r="G479" s="51"/>
      <c r="H479" s="16"/>
      <c r="I479" s="16"/>
      <c r="J479" s="16"/>
      <c r="K479" s="16"/>
      <c r="L479" s="16"/>
    </row>
    <row r="480" ht="15.75" customHeight="1">
      <c r="G480" s="51"/>
      <c r="H480" s="16"/>
      <c r="I480" s="16"/>
      <c r="J480" s="16"/>
      <c r="K480" s="16"/>
      <c r="L480" s="16"/>
    </row>
    <row r="481" ht="15.75" customHeight="1">
      <c r="G481" s="51"/>
      <c r="H481" s="16"/>
      <c r="I481" s="16"/>
      <c r="J481" s="16"/>
      <c r="K481" s="16"/>
      <c r="L481" s="16"/>
    </row>
    <row r="482" ht="15.75" customHeight="1">
      <c r="G482" s="51"/>
      <c r="H482" s="16"/>
      <c r="I482" s="16"/>
      <c r="J482" s="16"/>
      <c r="K482" s="16"/>
      <c r="L482" s="16"/>
    </row>
    <row r="483" ht="15.75" customHeight="1">
      <c r="G483" s="51"/>
      <c r="H483" s="16"/>
      <c r="I483" s="16"/>
      <c r="J483" s="16"/>
      <c r="K483" s="16"/>
      <c r="L483" s="16"/>
    </row>
    <row r="484" ht="15.75" customHeight="1">
      <c r="G484" s="51"/>
      <c r="H484" s="16"/>
      <c r="I484" s="16"/>
      <c r="J484" s="16"/>
      <c r="K484" s="16"/>
      <c r="L484" s="16"/>
    </row>
    <row r="485" ht="15.75" customHeight="1">
      <c r="G485" s="51"/>
      <c r="H485" s="16"/>
      <c r="I485" s="16"/>
      <c r="J485" s="16"/>
      <c r="K485" s="16"/>
      <c r="L485" s="16"/>
    </row>
    <row r="486" ht="15.75" customHeight="1">
      <c r="G486" s="51"/>
      <c r="H486" s="16"/>
      <c r="I486" s="16"/>
      <c r="J486" s="16"/>
      <c r="K486" s="16"/>
      <c r="L486" s="16"/>
    </row>
    <row r="487" ht="15.75" customHeight="1">
      <c r="G487" s="51"/>
      <c r="H487" s="16"/>
      <c r="I487" s="16"/>
      <c r="J487" s="16"/>
      <c r="K487" s="16"/>
      <c r="L487" s="16"/>
    </row>
    <row r="488" ht="15.75" customHeight="1">
      <c r="G488" s="51"/>
      <c r="H488" s="16"/>
      <c r="I488" s="16"/>
      <c r="J488" s="16"/>
      <c r="K488" s="16"/>
      <c r="L488" s="16"/>
    </row>
    <row r="489" ht="15.75" customHeight="1">
      <c r="G489" s="51"/>
      <c r="H489" s="16"/>
      <c r="I489" s="16"/>
      <c r="J489" s="16"/>
      <c r="K489" s="16"/>
      <c r="L489" s="16"/>
    </row>
    <row r="490" ht="15.75" customHeight="1">
      <c r="G490" s="51"/>
      <c r="H490" s="16"/>
      <c r="I490" s="16"/>
      <c r="J490" s="16"/>
      <c r="K490" s="16"/>
      <c r="L490" s="16"/>
    </row>
    <row r="491" ht="15.75" customHeight="1">
      <c r="G491" s="51"/>
      <c r="H491" s="16"/>
      <c r="I491" s="16"/>
      <c r="J491" s="16"/>
      <c r="K491" s="16"/>
      <c r="L491" s="16"/>
    </row>
    <row r="492" ht="15.75" customHeight="1">
      <c r="G492" s="51"/>
      <c r="H492" s="16"/>
      <c r="I492" s="16"/>
      <c r="J492" s="16"/>
      <c r="K492" s="16"/>
      <c r="L492" s="16"/>
    </row>
    <row r="493" ht="15.75" customHeight="1">
      <c r="G493" s="51"/>
      <c r="H493" s="16"/>
      <c r="I493" s="16"/>
      <c r="J493" s="16"/>
      <c r="K493" s="16"/>
      <c r="L493" s="16"/>
    </row>
    <row r="494" ht="15.75" customHeight="1">
      <c r="G494" s="51"/>
      <c r="H494" s="16"/>
      <c r="I494" s="16"/>
      <c r="J494" s="16"/>
      <c r="K494" s="16"/>
      <c r="L494" s="16"/>
    </row>
    <row r="495" ht="15.75" customHeight="1">
      <c r="G495" s="51"/>
      <c r="H495" s="16"/>
      <c r="I495" s="16"/>
      <c r="J495" s="16"/>
      <c r="K495" s="16"/>
      <c r="L495" s="16"/>
    </row>
    <row r="496" ht="15.75" customHeight="1">
      <c r="G496" s="51"/>
      <c r="H496" s="16"/>
      <c r="I496" s="16"/>
      <c r="J496" s="16"/>
      <c r="K496" s="16"/>
      <c r="L496" s="16"/>
    </row>
    <row r="497" ht="15.75" customHeight="1">
      <c r="G497" s="51"/>
      <c r="H497" s="16"/>
      <c r="I497" s="16"/>
      <c r="J497" s="16"/>
      <c r="K497" s="16"/>
      <c r="L497" s="16"/>
    </row>
    <row r="498" ht="15.75" customHeight="1">
      <c r="G498" s="51"/>
      <c r="H498" s="16"/>
      <c r="I498" s="16"/>
      <c r="J498" s="16"/>
      <c r="K498" s="16"/>
      <c r="L498" s="16"/>
    </row>
    <row r="499" ht="15.75" customHeight="1">
      <c r="G499" s="51"/>
      <c r="H499" s="16"/>
      <c r="I499" s="16"/>
      <c r="J499" s="16"/>
      <c r="K499" s="16"/>
      <c r="L499" s="16"/>
    </row>
    <row r="500" ht="15.75" customHeight="1">
      <c r="F500" s="41"/>
      <c r="H500" s="26"/>
      <c r="I500" s="26"/>
      <c r="J500" s="26"/>
      <c r="K500" s="26"/>
      <c r="L500" s="26"/>
    </row>
    <row r="501" ht="15.75" customHeight="1">
      <c r="G501" s="16"/>
      <c r="H501" s="54"/>
      <c r="I501" s="54"/>
      <c r="J501" s="54"/>
      <c r="K501" s="54"/>
      <c r="L501" s="54"/>
    </row>
    <row r="502" ht="15.75" customHeight="1">
      <c r="F502" s="55"/>
      <c r="G502" s="51"/>
      <c r="H502" s="16"/>
      <c r="I502" s="16"/>
      <c r="J502" s="16"/>
      <c r="K502" s="16"/>
      <c r="L502" s="16"/>
    </row>
    <row r="503" ht="15.75" customHeight="1">
      <c r="G503" s="51"/>
      <c r="H503" s="16"/>
      <c r="I503" s="16"/>
      <c r="J503" s="16"/>
      <c r="K503" s="16"/>
      <c r="L503" s="16"/>
    </row>
    <row r="504" ht="15.75" customHeight="1">
      <c r="G504" s="51"/>
      <c r="H504" s="16"/>
      <c r="I504" s="16"/>
      <c r="J504" s="16"/>
      <c r="K504" s="16"/>
      <c r="L504" s="16"/>
    </row>
    <row r="505" ht="15.75" customHeight="1">
      <c r="G505" s="51"/>
      <c r="H505" s="16"/>
      <c r="I505" s="16"/>
      <c r="J505" s="16"/>
      <c r="K505" s="16"/>
      <c r="L505" s="16"/>
    </row>
    <row r="506" ht="15.75" customHeight="1">
      <c r="G506" s="51"/>
      <c r="H506" s="16"/>
      <c r="I506" s="16"/>
      <c r="J506" s="16"/>
      <c r="K506" s="16"/>
      <c r="L506" s="16"/>
    </row>
    <row r="507" ht="15.75" customHeight="1">
      <c r="G507" s="51"/>
      <c r="H507" s="16"/>
      <c r="I507" s="16"/>
      <c r="J507" s="16"/>
      <c r="K507" s="16"/>
      <c r="L507" s="16"/>
    </row>
    <row r="508" ht="15.75" customHeight="1">
      <c r="G508" s="51"/>
      <c r="H508" s="16"/>
      <c r="I508" s="16"/>
      <c r="J508" s="16"/>
      <c r="K508" s="16"/>
      <c r="L508" s="16"/>
    </row>
    <row r="509" ht="15.75" customHeight="1">
      <c r="G509" s="51"/>
      <c r="H509" s="16"/>
      <c r="I509" s="16"/>
      <c r="J509" s="16"/>
      <c r="K509" s="16"/>
      <c r="L509" s="16"/>
    </row>
    <row r="510" ht="15.75" customHeight="1">
      <c r="G510" s="51"/>
      <c r="H510" s="16"/>
      <c r="I510" s="16"/>
      <c r="J510" s="16"/>
      <c r="K510" s="16"/>
      <c r="L510" s="16"/>
    </row>
    <row r="511" ht="15.75" customHeight="1">
      <c r="G511" s="51"/>
      <c r="H511" s="16"/>
      <c r="I511" s="16"/>
      <c r="J511" s="16"/>
      <c r="K511" s="16"/>
      <c r="L511" s="16"/>
    </row>
    <row r="512" ht="15.75" customHeight="1">
      <c r="G512" s="51"/>
      <c r="H512" s="16"/>
      <c r="I512" s="16"/>
      <c r="J512" s="16"/>
      <c r="K512" s="16"/>
      <c r="L512" s="16"/>
    </row>
    <row r="513" ht="15.75" customHeight="1">
      <c r="G513" s="51"/>
      <c r="H513" s="16"/>
      <c r="I513" s="16"/>
      <c r="J513" s="16"/>
      <c r="K513" s="16"/>
      <c r="L513" s="16"/>
    </row>
    <row r="514" ht="15.75" customHeight="1">
      <c r="G514" s="51"/>
      <c r="H514" s="16"/>
      <c r="I514" s="16"/>
      <c r="J514" s="16"/>
      <c r="K514" s="16"/>
      <c r="L514" s="16"/>
    </row>
    <row r="515" ht="15.75" customHeight="1">
      <c r="G515" s="51"/>
      <c r="H515" s="16"/>
      <c r="I515" s="16"/>
      <c r="J515" s="16"/>
      <c r="K515" s="16"/>
      <c r="L515" s="16"/>
    </row>
    <row r="516" ht="15.75" customHeight="1">
      <c r="G516" s="51"/>
      <c r="H516" s="16"/>
      <c r="I516" s="16"/>
      <c r="J516" s="16"/>
      <c r="K516" s="16"/>
      <c r="L516" s="16"/>
    </row>
    <row r="517" ht="15.75" customHeight="1">
      <c r="G517" s="51"/>
      <c r="H517" s="16"/>
      <c r="I517" s="16"/>
      <c r="J517" s="16"/>
      <c r="K517" s="16"/>
      <c r="L517" s="16"/>
    </row>
    <row r="518" ht="15.75" customHeight="1">
      <c r="G518" s="51"/>
      <c r="H518" s="16"/>
      <c r="I518" s="16"/>
      <c r="J518" s="16"/>
      <c r="K518" s="16"/>
      <c r="L518" s="16"/>
    </row>
    <row r="519" ht="15.75" customHeight="1">
      <c r="G519" s="51"/>
      <c r="H519" s="16"/>
      <c r="I519" s="16"/>
      <c r="J519" s="16"/>
      <c r="K519" s="16"/>
      <c r="L519" s="16"/>
    </row>
    <row r="520" ht="15.75" customHeight="1">
      <c r="G520" s="51"/>
      <c r="H520" s="16"/>
      <c r="I520" s="16"/>
      <c r="J520" s="16"/>
      <c r="K520" s="16"/>
      <c r="L520" s="16"/>
    </row>
    <row r="521" ht="15.75" customHeight="1">
      <c r="G521" s="51"/>
      <c r="H521" s="16"/>
      <c r="I521" s="16"/>
      <c r="J521" s="16"/>
      <c r="K521" s="16"/>
      <c r="L521" s="16"/>
    </row>
    <row r="522" ht="15.75" customHeight="1">
      <c r="G522" s="51"/>
      <c r="H522" s="16"/>
      <c r="I522" s="16"/>
      <c r="J522" s="16"/>
      <c r="K522" s="16"/>
      <c r="L522" s="16"/>
    </row>
    <row r="523" ht="15.75" customHeight="1">
      <c r="G523" s="51"/>
      <c r="H523" s="16"/>
      <c r="I523" s="16"/>
      <c r="J523" s="16"/>
      <c r="K523" s="16"/>
      <c r="L523" s="16"/>
    </row>
    <row r="524" ht="15.75" customHeight="1">
      <c r="G524" s="51"/>
      <c r="H524" s="16"/>
      <c r="I524" s="16"/>
      <c r="J524" s="16"/>
      <c r="K524" s="16"/>
      <c r="L524" s="16"/>
    </row>
    <row r="525" ht="15.75" customHeight="1">
      <c r="G525" s="51"/>
      <c r="H525" s="16"/>
      <c r="I525" s="16"/>
      <c r="J525" s="16"/>
      <c r="K525" s="16"/>
      <c r="L525" s="16"/>
    </row>
    <row r="526" ht="15.75" customHeight="1">
      <c r="F526" s="41"/>
      <c r="H526" s="26"/>
      <c r="I526" s="26"/>
      <c r="J526" s="26"/>
      <c r="K526" s="26"/>
      <c r="L526" s="26"/>
    </row>
    <row r="527" ht="15.75" customHeight="1">
      <c r="G527" s="16"/>
      <c r="H527" s="54"/>
      <c r="I527" s="54"/>
      <c r="J527" s="54"/>
      <c r="K527" s="54"/>
      <c r="L527" s="54"/>
    </row>
    <row r="528" ht="15.75" customHeight="1">
      <c r="F528" s="55"/>
      <c r="G528" s="51"/>
      <c r="H528" s="16"/>
      <c r="I528" s="16"/>
      <c r="J528" s="16"/>
      <c r="K528" s="16"/>
      <c r="L528" s="16"/>
    </row>
    <row r="529" ht="15.75" customHeight="1">
      <c r="G529" s="51"/>
      <c r="H529" s="16"/>
      <c r="I529" s="16"/>
      <c r="J529" s="16"/>
      <c r="K529" s="16"/>
      <c r="L529" s="16"/>
    </row>
    <row r="530" ht="15.75" customHeight="1">
      <c r="G530" s="51"/>
      <c r="H530" s="16"/>
      <c r="I530" s="16"/>
      <c r="J530" s="16"/>
      <c r="K530" s="16"/>
      <c r="L530" s="16"/>
    </row>
    <row r="531" ht="15.75" customHeight="1">
      <c r="G531" s="51"/>
      <c r="H531" s="16"/>
      <c r="I531" s="16"/>
      <c r="J531" s="16"/>
      <c r="K531" s="16"/>
      <c r="L531" s="16"/>
    </row>
    <row r="532" ht="15.75" customHeight="1">
      <c r="G532" s="51"/>
      <c r="H532" s="16"/>
      <c r="I532" s="16"/>
      <c r="J532" s="16"/>
      <c r="K532" s="16"/>
      <c r="L532" s="16"/>
    </row>
    <row r="533" ht="15.75" customHeight="1">
      <c r="G533" s="51"/>
      <c r="H533" s="16"/>
      <c r="I533" s="16"/>
      <c r="J533" s="16"/>
      <c r="K533" s="16"/>
      <c r="L533" s="16"/>
    </row>
    <row r="534" ht="15.75" customHeight="1">
      <c r="G534" s="51"/>
      <c r="H534" s="16"/>
      <c r="I534" s="16"/>
      <c r="J534" s="16"/>
      <c r="K534" s="16"/>
      <c r="L534" s="16"/>
    </row>
    <row r="535" ht="15.75" customHeight="1">
      <c r="G535" s="51"/>
      <c r="H535" s="16"/>
      <c r="I535" s="16"/>
      <c r="J535" s="16"/>
      <c r="K535" s="16"/>
      <c r="L535" s="16"/>
    </row>
    <row r="536" ht="15.75" customHeight="1">
      <c r="G536" s="51"/>
      <c r="H536" s="16"/>
      <c r="I536" s="16"/>
      <c r="J536" s="16"/>
      <c r="K536" s="16"/>
      <c r="L536" s="16"/>
    </row>
    <row r="537" ht="15.75" customHeight="1">
      <c r="G537" s="51"/>
      <c r="H537" s="16"/>
      <c r="I537" s="16"/>
      <c r="J537" s="16"/>
      <c r="K537" s="16"/>
      <c r="L537" s="16"/>
    </row>
    <row r="538" ht="15.75" customHeight="1">
      <c r="G538" s="51"/>
      <c r="H538" s="16"/>
      <c r="I538" s="16"/>
      <c r="J538" s="16"/>
      <c r="K538" s="16"/>
      <c r="L538" s="16"/>
    </row>
    <row r="539" ht="15.75" customHeight="1">
      <c r="G539" s="51"/>
      <c r="H539" s="16"/>
      <c r="I539" s="16"/>
      <c r="J539" s="16"/>
      <c r="K539" s="16"/>
      <c r="L539" s="16"/>
    </row>
    <row r="540" ht="15.75" customHeight="1">
      <c r="G540" s="51"/>
      <c r="H540" s="16"/>
      <c r="I540" s="16"/>
      <c r="J540" s="16"/>
      <c r="K540" s="16"/>
      <c r="L540" s="16"/>
    </row>
    <row r="541" ht="15.75" customHeight="1">
      <c r="G541" s="51"/>
      <c r="H541" s="16"/>
      <c r="I541" s="16"/>
      <c r="J541" s="16"/>
      <c r="K541" s="16"/>
      <c r="L541" s="16"/>
    </row>
    <row r="542" ht="15.75" customHeight="1">
      <c r="G542" s="51"/>
      <c r="H542" s="16"/>
      <c r="I542" s="16"/>
      <c r="J542" s="16"/>
      <c r="K542" s="16"/>
      <c r="L542" s="16"/>
    </row>
    <row r="543" ht="15.75" customHeight="1">
      <c r="G543" s="51"/>
      <c r="H543" s="16"/>
      <c r="I543" s="16"/>
      <c r="J543" s="16"/>
      <c r="K543" s="16"/>
      <c r="L543" s="16"/>
    </row>
    <row r="544" ht="15.75" customHeight="1">
      <c r="G544" s="51"/>
      <c r="H544" s="16"/>
      <c r="I544" s="16"/>
      <c r="J544" s="16"/>
      <c r="K544" s="16"/>
      <c r="L544" s="16"/>
    </row>
    <row r="545" ht="15.75" customHeight="1">
      <c r="G545" s="51"/>
      <c r="H545" s="16"/>
      <c r="I545" s="16"/>
      <c r="J545" s="16"/>
      <c r="K545" s="16"/>
      <c r="L545" s="16"/>
    </row>
    <row r="546" ht="15.75" customHeight="1">
      <c r="G546" s="51"/>
      <c r="H546" s="16"/>
      <c r="I546" s="16"/>
      <c r="J546" s="16"/>
      <c r="K546" s="16"/>
      <c r="L546" s="16"/>
    </row>
    <row r="547" ht="15.75" customHeight="1">
      <c r="G547" s="51"/>
      <c r="H547" s="16"/>
      <c r="I547" s="16"/>
      <c r="J547" s="16"/>
      <c r="K547" s="16"/>
      <c r="L547" s="16"/>
    </row>
    <row r="548" ht="15.75" customHeight="1">
      <c r="G548" s="51"/>
      <c r="H548" s="16"/>
      <c r="I548" s="16"/>
      <c r="J548" s="16"/>
      <c r="K548" s="16"/>
      <c r="L548" s="16"/>
    </row>
    <row r="549" ht="15.75" customHeight="1">
      <c r="G549" s="51"/>
      <c r="H549" s="16"/>
      <c r="I549" s="16"/>
      <c r="J549" s="16"/>
      <c r="K549" s="16"/>
      <c r="L549" s="16"/>
    </row>
    <row r="550" ht="15.75" customHeight="1">
      <c r="G550" s="51"/>
      <c r="H550" s="16"/>
      <c r="I550" s="16"/>
      <c r="J550" s="16"/>
      <c r="K550" s="16"/>
      <c r="L550" s="16"/>
    </row>
    <row r="551" ht="15.75" customHeight="1">
      <c r="G551" s="51"/>
      <c r="H551" s="16"/>
      <c r="I551" s="16"/>
      <c r="J551" s="16"/>
      <c r="K551" s="16"/>
      <c r="L551" s="16"/>
    </row>
    <row r="552" ht="15.75" customHeight="1">
      <c r="F552" s="41"/>
      <c r="H552" s="26"/>
      <c r="I552" s="26"/>
      <c r="J552" s="26"/>
      <c r="K552" s="26"/>
      <c r="L552" s="26"/>
    </row>
    <row r="553" ht="15.75" customHeight="1">
      <c r="G553" s="16"/>
      <c r="H553" s="54"/>
      <c r="I553" s="54"/>
      <c r="J553" s="54"/>
      <c r="K553" s="54"/>
      <c r="L553" s="54"/>
    </row>
    <row r="554" ht="15.75" customHeight="1">
      <c r="F554" s="55"/>
      <c r="G554" s="51"/>
      <c r="H554" s="16"/>
      <c r="I554" s="16"/>
      <c r="J554" s="16"/>
      <c r="K554" s="16"/>
      <c r="L554" s="16"/>
    </row>
    <row r="555" ht="15.75" customHeight="1">
      <c r="G555" s="51"/>
      <c r="H555" s="16"/>
      <c r="I555" s="16"/>
      <c r="J555" s="16"/>
      <c r="K555" s="16"/>
      <c r="L555" s="16"/>
    </row>
    <row r="556" ht="15.75" customHeight="1">
      <c r="G556" s="51"/>
      <c r="H556" s="16"/>
      <c r="I556" s="16"/>
      <c r="J556" s="16"/>
      <c r="K556" s="16"/>
      <c r="L556" s="16"/>
    </row>
    <row r="557" ht="15.75" customHeight="1">
      <c r="G557" s="51"/>
      <c r="H557" s="16"/>
      <c r="I557" s="16"/>
      <c r="J557" s="16"/>
      <c r="K557" s="16"/>
      <c r="L557" s="16"/>
    </row>
    <row r="558" ht="15.75" customHeight="1">
      <c r="G558" s="51"/>
      <c r="H558" s="16"/>
      <c r="I558" s="16"/>
      <c r="J558" s="16"/>
      <c r="K558" s="16"/>
      <c r="L558" s="16"/>
    </row>
    <row r="559" ht="15.75" customHeight="1">
      <c r="G559" s="51"/>
      <c r="H559" s="16"/>
      <c r="I559" s="16"/>
      <c r="J559" s="16"/>
      <c r="K559" s="16"/>
      <c r="L559" s="16"/>
    </row>
    <row r="560" ht="15.75" customHeight="1">
      <c r="G560" s="51"/>
      <c r="H560" s="16"/>
      <c r="I560" s="16"/>
      <c r="J560" s="16"/>
      <c r="K560" s="16"/>
      <c r="L560" s="16"/>
    </row>
    <row r="561" ht="15.75" customHeight="1">
      <c r="G561" s="51"/>
      <c r="H561" s="16"/>
      <c r="I561" s="16"/>
      <c r="J561" s="16"/>
      <c r="K561" s="16"/>
      <c r="L561" s="16"/>
    </row>
    <row r="562" ht="15.75" customHeight="1">
      <c r="G562" s="51"/>
      <c r="H562" s="16"/>
      <c r="I562" s="16"/>
      <c r="J562" s="16"/>
      <c r="K562" s="16"/>
      <c r="L562" s="16"/>
    </row>
    <row r="563" ht="15.75" customHeight="1">
      <c r="G563" s="51"/>
      <c r="H563" s="16"/>
      <c r="I563" s="16"/>
      <c r="J563" s="16"/>
      <c r="K563" s="16"/>
      <c r="L563" s="16"/>
    </row>
    <row r="564" ht="15.75" customHeight="1">
      <c r="G564" s="51"/>
      <c r="H564" s="16"/>
      <c r="I564" s="16"/>
      <c r="J564" s="16"/>
      <c r="K564" s="16"/>
      <c r="L564" s="16"/>
    </row>
    <row r="565" ht="15.75" customHeight="1">
      <c r="G565" s="51"/>
      <c r="H565" s="16"/>
      <c r="I565" s="16"/>
      <c r="J565" s="16"/>
      <c r="K565" s="16"/>
      <c r="L565" s="16"/>
    </row>
    <row r="566" ht="15.75" customHeight="1">
      <c r="G566" s="51"/>
      <c r="H566" s="16"/>
      <c r="I566" s="16"/>
      <c r="J566" s="16"/>
      <c r="K566" s="16"/>
      <c r="L566" s="16"/>
    </row>
    <row r="567" ht="15.75" customHeight="1">
      <c r="G567" s="51"/>
      <c r="H567" s="16"/>
      <c r="I567" s="16"/>
      <c r="J567" s="16"/>
      <c r="K567" s="16"/>
      <c r="L567" s="16"/>
    </row>
    <row r="568" ht="15.75" customHeight="1">
      <c r="G568" s="51"/>
      <c r="H568" s="16"/>
      <c r="I568" s="16"/>
      <c r="J568" s="16"/>
      <c r="K568" s="16"/>
      <c r="L568" s="16"/>
    </row>
    <row r="569" ht="15.75" customHeight="1">
      <c r="G569" s="51"/>
      <c r="H569" s="16"/>
      <c r="I569" s="16"/>
      <c r="J569" s="16"/>
      <c r="K569" s="16"/>
      <c r="L569" s="16"/>
    </row>
    <row r="570" ht="15.75" customHeight="1">
      <c r="G570" s="51"/>
      <c r="H570" s="16"/>
      <c r="I570" s="16"/>
      <c r="J570" s="16"/>
      <c r="K570" s="16"/>
      <c r="L570" s="16"/>
    </row>
    <row r="571" ht="15.75" customHeight="1">
      <c r="G571" s="51"/>
      <c r="H571" s="16"/>
      <c r="I571" s="16"/>
      <c r="J571" s="16"/>
      <c r="K571" s="16"/>
      <c r="L571" s="16"/>
    </row>
    <row r="572" ht="15.75" customHeight="1">
      <c r="G572" s="51"/>
      <c r="H572" s="16"/>
      <c r="I572" s="16"/>
      <c r="J572" s="16"/>
      <c r="K572" s="16"/>
      <c r="L572" s="16"/>
    </row>
    <row r="573" ht="15.75" customHeight="1">
      <c r="G573" s="51"/>
      <c r="H573" s="16"/>
      <c r="I573" s="16"/>
      <c r="J573" s="16"/>
      <c r="K573" s="16"/>
      <c r="L573" s="16"/>
    </row>
    <row r="574" ht="15.75" customHeight="1">
      <c r="G574" s="51"/>
      <c r="H574" s="16"/>
      <c r="I574" s="16"/>
      <c r="J574" s="16"/>
      <c r="K574" s="16"/>
      <c r="L574" s="16"/>
    </row>
    <row r="575" ht="15.75" customHeight="1">
      <c r="G575" s="51"/>
      <c r="H575" s="16"/>
      <c r="I575" s="16"/>
      <c r="J575" s="16"/>
      <c r="K575" s="16"/>
      <c r="L575" s="16"/>
    </row>
    <row r="576" ht="15.75" customHeight="1">
      <c r="G576" s="51"/>
      <c r="H576" s="16"/>
      <c r="I576" s="16"/>
      <c r="J576" s="16"/>
      <c r="K576" s="16"/>
      <c r="L576" s="16"/>
    </row>
    <row r="577" ht="15.75" customHeight="1">
      <c r="G577" s="51"/>
      <c r="H577" s="16"/>
      <c r="I577" s="16"/>
      <c r="J577" s="16"/>
      <c r="K577" s="16"/>
      <c r="L577" s="16"/>
    </row>
    <row r="578" ht="15.75" customHeight="1">
      <c r="F578" s="41"/>
      <c r="H578" s="26"/>
      <c r="I578" s="26"/>
      <c r="J578" s="26"/>
      <c r="K578" s="26"/>
      <c r="L578" s="26"/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7" width="8.63"/>
  </cols>
  <sheetData>
    <row r="1" ht="15.75" customHeight="1">
      <c r="A1" s="62"/>
      <c r="B1" s="62"/>
      <c r="C1" s="62"/>
      <c r="D1" s="62"/>
      <c r="E1" s="62"/>
      <c r="F1" s="63"/>
      <c r="G1" s="63"/>
      <c r="H1" s="2" t="s">
        <v>0</v>
      </c>
      <c r="I1" s="3">
        <v>1.10021106E8</v>
      </c>
      <c r="J1" s="2"/>
      <c r="K1" s="2"/>
      <c r="L1" s="2"/>
      <c r="N1" s="63"/>
    </row>
    <row r="2" ht="15.75" customHeight="1">
      <c r="A2" s="62"/>
      <c r="B2" s="62"/>
      <c r="C2" s="62"/>
      <c r="D2" s="62"/>
      <c r="E2" s="62"/>
      <c r="F2" s="63"/>
      <c r="G2" s="63"/>
      <c r="H2" s="2" t="s">
        <v>1</v>
      </c>
      <c r="I2" s="2" t="s">
        <v>2</v>
      </c>
      <c r="J2" s="2"/>
      <c r="K2" s="2"/>
      <c r="L2" s="2"/>
      <c r="N2" s="63"/>
    </row>
    <row r="3" ht="15.75" customHeight="1">
      <c r="A3" s="62"/>
      <c r="B3" s="64" t="s">
        <v>3</v>
      </c>
      <c r="C3" s="5"/>
      <c r="D3" s="64" t="s">
        <v>4</v>
      </c>
      <c r="E3" s="5"/>
      <c r="F3" s="63"/>
      <c r="G3" s="63"/>
      <c r="H3" s="6" t="s">
        <v>65</v>
      </c>
      <c r="I3" s="7"/>
      <c r="J3" s="7"/>
      <c r="K3" s="7"/>
      <c r="L3" s="8"/>
      <c r="N3" s="63"/>
    </row>
    <row r="4" ht="15.75" customHeight="1">
      <c r="A4" s="65" t="s">
        <v>6</v>
      </c>
      <c r="B4" s="66" t="s">
        <v>7</v>
      </c>
      <c r="C4" s="67" t="s">
        <v>8</v>
      </c>
      <c r="D4" s="66" t="s">
        <v>7</v>
      </c>
      <c r="E4" s="67" t="s">
        <v>8</v>
      </c>
      <c r="F4" s="63"/>
      <c r="G4" s="63"/>
      <c r="H4" s="6" t="s">
        <v>9</v>
      </c>
      <c r="I4" s="7"/>
      <c r="J4" s="7"/>
      <c r="K4" s="7"/>
      <c r="L4" s="8"/>
      <c r="N4" s="63"/>
    </row>
    <row r="5" ht="15.75" customHeight="1">
      <c r="A5" s="68" t="s">
        <v>10</v>
      </c>
      <c r="B5" s="69" t="s">
        <v>11</v>
      </c>
      <c r="C5" s="70" t="s">
        <v>12</v>
      </c>
      <c r="D5" s="14" t="s">
        <v>13</v>
      </c>
      <c r="E5" s="14" t="s">
        <v>14</v>
      </c>
      <c r="F5" s="63"/>
      <c r="G5" s="63"/>
      <c r="H5" s="63"/>
      <c r="I5" s="63"/>
      <c r="J5" s="63"/>
      <c r="K5" s="63"/>
      <c r="L5" s="63"/>
      <c r="N5" s="63"/>
    </row>
    <row r="6" ht="15.75" customHeight="1">
      <c r="A6" s="63"/>
      <c r="B6" s="63"/>
      <c r="C6" s="63"/>
      <c r="D6" s="63"/>
      <c r="E6" s="63"/>
      <c r="F6" s="63"/>
      <c r="G6" s="63"/>
      <c r="H6" s="15" t="s">
        <v>15</v>
      </c>
      <c r="I6" s="7"/>
      <c r="J6" s="7"/>
      <c r="K6" s="7"/>
      <c r="L6" s="8"/>
      <c r="N6" s="63"/>
    </row>
    <row r="7" ht="15.75" customHeight="1">
      <c r="A7" s="63"/>
      <c r="B7" s="63"/>
      <c r="C7" s="63"/>
      <c r="D7" s="63"/>
      <c r="E7" s="63"/>
      <c r="F7" s="63"/>
      <c r="G7" s="16"/>
      <c r="H7" s="71">
        <v>31.0</v>
      </c>
      <c r="I7" s="71">
        <v>32.0</v>
      </c>
      <c r="J7" s="71">
        <v>41.0</v>
      </c>
      <c r="K7" s="71">
        <v>42.0</v>
      </c>
      <c r="L7" s="71">
        <v>5.0</v>
      </c>
      <c r="N7" s="63"/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A8" s="63"/>
      <c r="B8" s="63"/>
      <c r="C8" s="63"/>
      <c r="D8" s="63"/>
      <c r="E8" s="63"/>
      <c r="F8" s="18">
        <v>45194.0</v>
      </c>
      <c r="G8" s="72">
        <v>0.0</v>
      </c>
      <c r="H8" s="34">
        <v>3.0</v>
      </c>
      <c r="I8" s="34">
        <v>1.0</v>
      </c>
      <c r="J8" s="34">
        <v>0.0</v>
      </c>
      <c r="K8" s="34">
        <v>0.0</v>
      </c>
      <c r="L8" s="34">
        <v>0.0</v>
      </c>
      <c r="N8" s="18">
        <v>45194.0</v>
      </c>
      <c r="O8" s="19">
        <v>0.0</v>
      </c>
      <c r="P8" s="40">
        <f t="shared" ref="P8:T8" si="1">H8/A$31</f>
        <v>0.01195219124</v>
      </c>
      <c r="Q8" s="40">
        <f t="shared" si="1"/>
        <v>0.009433962264</v>
      </c>
      <c r="R8" s="40">
        <f t="shared" si="1"/>
        <v>0</v>
      </c>
      <c r="S8" s="40">
        <f t="shared" si="1"/>
        <v>0</v>
      </c>
      <c r="T8" s="40">
        <f t="shared" si="1"/>
        <v>0</v>
      </c>
    </row>
    <row r="9" ht="15.75" customHeight="1">
      <c r="A9" s="63"/>
      <c r="B9" s="63"/>
      <c r="C9" s="63"/>
      <c r="D9" s="63"/>
      <c r="E9" s="63"/>
      <c r="F9" s="23"/>
      <c r="G9" s="72">
        <v>1.0</v>
      </c>
      <c r="H9" s="34">
        <v>3.0</v>
      </c>
      <c r="I9" s="34">
        <v>0.0</v>
      </c>
      <c r="J9" s="34">
        <v>0.0</v>
      </c>
      <c r="K9" s="34">
        <v>0.0</v>
      </c>
      <c r="L9" s="34">
        <v>0.0</v>
      </c>
      <c r="N9" s="23"/>
      <c r="O9" s="19">
        <v>1.0</v>
      </c>
      <c r="P9" s="40">
        <f t="shared" ref="P9:T9" si="2">H9/A$31</f>
        <v>0.01195219124</v>
      </c>
      <c r="Q9" s="40">
        <f t="shared" si="2"/>
        <v>0</v>
      </c>
      <c r="R9" s="40">
        <f t="shared" si="2"/>
        <v>0</v>
      </c>
      <c r="S9" s="40">
        <f t="shared" si="2"/>
        <v>0</v>
      </c>
      <c r="T9" s="40">
        <f t="shared" si="2"/>
        <v>0</v>
      </c>
    </row>
    <row r="10" ht="15.75" customHeight="1">
      <c r="A10" s="63"/>
      <c r="B10" s="63"/>
      <c r="C10" s="63"/>
      <c r="D10" s="63"/>
      <c r="E10" s="63"/>
      <c r="F10" s="23"/>
      <c r="G10" s="72">
        <v>2.0</v>
      </c>
      <c r="H10" s="34">
        <v>0.0</v>
      </c>
      <c r="I10" s="34">
        <v>0.0</v>
      </c>
      <c r="J10" s="34">
        <v>0.0</v>
      </c>
      <c r="K10" s="34">
        <v>1.0</v>
      </c>
      <c r="L10" s="34">
        <v>0.0</v>
      </c>
      <c r="N10" s="23"/>
      <c r="O10" s="19">
        <v>2.0</v>
      </c>
      <c r="P10" s="40">
        <f t="shared" ref="P10:T10" si="3">H10/A$31</f>
        <v>0</v>
      </c>
      <c r="Q10" s="40">
        <f t="shared" si="3"/>
        <v>0</v>
      </c>
      <c r="R10" s="40">
        <f t="shared" si="3"/>
        <v>0</v>
      </c>
      <c r="S10" s="40">
        <f t="shared" si="3"/>
        <v>0.03125</v>
      </c>
      <c r="T10" s="40">
        <f t="shared" si="3"/>
        <v>0</v>
      </c>
    </row>
    <row r="11" ht="15.75" customHeight="1">
      <c r="A11" s="63"/>
      <c r="B11" s="63"/>
      <c r="C11" s="63"/>
      <c r="D11" s="63"/>
      <c r="E11" s="63"/>
      <c r="F11" s="23"/>
      <c r="G11" s="72">
        <v>3.0</v>
      </c>
      <c r="H11" s="34">
        <v>3.0</v>
      </c>
      <c r="I11" s="34">
        <v>0.0</v>
      </c>
      <c r="J11" s="34">
        <v>0.0</v>
      </c>
      <c r="K11" s="34">
        <v>0.0</v>
      </c>
      <c r="L11" s="34">
        <v>0.0</v>
      </c>
      <c r="N11" s="23"/>
      <c r="O11" s="19">
        <v>3.0</v>
      </c>
      <c r="P11" s="40">
        <f t="shared" ref="P11:T11" si="4">H11/A$31</f>
        <v>0.01195219124</v>
      </c>
      <c r="Q11" s="40">
        <f t="shared" si="4"/>
        <v>0</v>
      </c>
      <c r="R11" s="40">
        <f t="shared" si="4"/>
        <v>0</v>
      </c>
      <c r="S11" s="40">
        <f t="shared" si="4"/>
        <v>0</v>
      </c>
      <c r="T11" s="40">
        <f t="shared" si="4"/>
        <v>0</v>
      </c>
    </row>
    <row r="12" ht="15.75" customHeight="1">
      <c r="A12" s="63"/>
      <c r="B12" s="63"/>
      <c r="C12" s="63"/>
      <c r="D12" s="63"/>
      <c r="E12" s="63"/>
      <c r="F12" s="23"/>
      <c r="G12" s="72">
        <v>4.0</v>
      </c>
      <c r="H12" s="34">
        <v>3.0</v>
      </c>
      <c r="I12" s="34">
        <v>1.0</v>
      </c>
      <c r="J12" s="34">
        <v>0.0</v>
      </c>
      <c r="K12" s="34">
        <v>0.0</v>
      </c>
      <c r="L12" s="34">
        <v>0.0</v>
      </c>
      <c r="N12" s="23"/>
      <c r="O12" s="19">
        <v>4.0</v>
      </c>
      <c r="P12" s="40">
        <f t="shared" ref="P12:T12" si="5">H12/A$31</f>
        <v>0.01195219124</v>
      </c>
      <c r="Q12" s="40">
        <f t="shared" si="5"/>
        <v>0.009433962264</v>
      </c>
      <c r="R12" s="40">
        <f t="shared" si="5"/>
        <v>0</v>
      </c>
      <c r="S12" s="40">
        <f t="shared" si="5"/>
        <v>0</v>
      </c>
      <c r="T12" s="40">
        <f t="shared" si="5"/>
        <v>0</v>
      </c>
    </row>
    <row r="13" ht="15.75" customHeight="1">
      <c r="A13" s="63"/>
      <c r="B13" s="63"/>
      <c r="C13" s="63"/>
      <c r="D13" s="63"/>
      <c r="E13" s="63"/>
      <c r="F13" s="23"/>
      <c r="G13" s="72">
        <v>5.0</v>
      </c>
      <c r="H13" s="34">
        <v>3.0</v>
      </c>
      <c r="I13" s="34">
        <v>0.0</v>
      </c>
      <c r="J13" s="34">
        <v>0.0</v>
      </c>
      <c r="K13" s="34">
        <v>0.0</v>
      </c>
      <c r="L13" s="34">
        <v>0.0</v>
      </c>
      <c r="N13" s="23"/>
      <c r="O13" s="19">
        <v>5.0</v>
      </c>
      <c r="P13" s="40">
        <f t="shared" ref="P13:T13" si="6">H13/A$31</f>
        <v>0.01195219124</v>
      </c>
      <c r="Q13" s="40">
        <f t="shared" si="6"/>
        <v>0</v>
      </c>
      <c r="R13" s="40">
        <f t="shared" si="6"/>
        <v>0</v>
      </c>
      <c r="S13" s="40">
        <f t="shared" si="6"/>
        <v>0</v>
      </c>
      <c r="T13" s="40">
        <f t="shared" si="6"/>
        <v>0</v>
      </c>
    </row>
    <row r="14" ht="15.75" customHeight="1">
      <c r="A14" s="63"/>
      <c r="B14" s="63"/>
      <c r="C14" s="63"/>
      <c r="D14" s="63"/>
      <c r="E14" s="63"/>
      <c r="F14" s="23"/>
      <c r="G14" s="72">
        <v>6.0</v>
      </c>
      <c r="H14" s="34">
        <v>7.0</v>
      </c>
      <c r="I14" s="34">
        <v>2.0</v>
      </c>
      <c r="J14" s="34">
        <v>0.0</v>
      </c>
      <c r="K14" s="34">
        <v>0.0</v>
      </c>
      <c r="L14" s="34">
        <v>1.0</v>
      </c>
      <c r="N14" s="23"/>
      <c r="O14" s="19">
        <v>6.0</v>
      </c>
      <c r="P14" s="40">
        <f t="shared" ref="P14:T14" si="7">H14/A$31</f>
        <v>0.02788844622</v>
      </c>
      <c r="Q14" s="40">
        <f t="shared" si="7"/>
        <v>0.01886792453</v>
      </c>
      <c r="R14" s="40">
        <f t="shared" si="7"/>
        <v>0</v>
      </c>
      <c r="S14" s="40">
        <f t="shared" si="7"/>
        <v>0</v>
      </c>
      <c r="T14" s="40">
        <f t="shared" si="7"/>
        <v>0.06666666667</v>
      </c>
    </row>
    <row r="15" ht="15.75" customHeight="1">
      <c r="A15" s="63"/>
      <c r="B15" s="63"/>
      <c r="C15" s="63"/>
      <c r="D15" s="63"/>
      <c r="E15" s="63"/>
      <c r="F15" s="23"/>
      <c r="G15" s="72">
        <v>7.0</v>
      </c>
      <c r="H15" s="34">
        <v>25.0</v>
      </c>
      <c r="I15" s="34">
        <v>8.0</v>
      </c>
      <c r="J15" s="34">
        <v>0.0</v>
      </c>
      <c r="K15" s="34">
        <v>0.0</v>
      </c>
      <c r="L15" s="34">
        <v>0.0</v>
      </c>
      <c r="N15" s="23"/>
      <c r="O15" s="19">
        <v>7.0</v>
      </c>
      <c r="P15" s="40">
        <f t="shared" ref="P15:T15" si="8">H15/A$31</f>
        <v>0.09960159363</v>
      </c>
      <c r="Q15" s="40">
        <f t="shared" si="8"/>
        <v>0.07547169811</v>
      </c>
      <c r="R15" s="40">
        <f t="shared" si="8"/>
        <v>0</v>
      </c>
      <c r="S15" s="40">
        <f t="shared" si="8"/>
        <v>0</v>
      </c>
      <c r="T15" s="40">
        <f t="shared" si="8"/>
        <v>0</v>
      </c>
    </row>
    <row r="16" ht="15.75" customHeight="1">
      <c r="A16" s="63"/>
      <c r="B16" s="63"/>
      <c r="C16" s="63"/>
      <c r="D16" s="63"/>
      <c r="E16" s="63"/>
      <c r="F16" s="23"/>
      <c r="G16" s="72">
        <v>8.0</v>
      </c>
      <c r="H16" s="34">
        <v>20.0</v>
      </c>
      <c r="I16" s="34">
        <v>11.0</v>
      </c>
      <c r="J16" s="34">
        <v>0.0</v>
      </c>
      <c r="K16" s="34">
        <v>0.0</v>
      </c>
      <c r="L16" s="34">
        <v>2.0</v>
      </c>
      <c r="N16" s="23"/>
      <c r="O16" s="19">
        <v>8.0</v>
      </c>
      <c r="P16" s="40">
        <f t="shared" ref="P16:T16" si="9">H16/A$31</f>
        <v>0.0796812749</v>
      </c>
      <c r="Q16" s="40">
        <f t="shared" si="9"/>
        <v>0.1037735849</v>
      </c>
      <c r="R16" s="40">
        <f t="shared" si="9"/>
        <v>0</v>
      </c>
      <c r="S16" s="40">
        <f t="shared" si="9"/>
        <v>0</v>
      </c>
      <c r="T16" s="40">
        <f t="shared" si="9"/>
        <v>0.1333333333</v>
      </c>
    </row>
    <row r="17" ht="15.75" customHeight="1">
      <c r="A17" s="63"/>
      <c r="B17" s="63"/>
      <c r="C17" s="63"/>
      <c r="D17" s="63"/>
      <c r="E17" s="63"/>
      <c r="F17" s="23"/>
      <c r="G17" s="72">
        <v>9.0</v>
      </c>
      <c r="H17" s="34">
        <v>12.0</v>
      </c>
      <c r="I17" s="34">
        <v>5.0</v>
      </c>
      <c r="J17" s="34">
        <v>0.0</v>
      </c>
      <c r="K17" s="34">
        <v>1.0</v>
      </c>
      <c r="L17" s="34">
        <v>3.0</v>
      </c>
      <c r="N17" s="23"/>
      <c r="O17" s="19">
        <v>9.0</v>
      </c>
      <c r="P17" s="40">
        <f t="shared" ref="P17:T17" si="10">H17/A$31</f>
        <v>0.04780876494</v>
      </c>
      <c r="Q17" s="40">
        <f t="shared" si="10"/>
        <v>0.04716981132</v>
      </c>
      <c r="R17" s="40">
        <f t="shared" si="10"/>
        <v>0</v>
      </c>
      <c r="S17" s="40">
        <f t="shared" si="10"/>
        <v>0.03125</v>
      </c>
      <c r="T17" s="40">
        <f t="shared" si="10"/>
        <v>0.2</v>
      </c>
    </row>
    <row r="18" ht="15.75" customHeight="1">
      <c r="A18" s="63"/>
      <c r="B18" s="63"/>
      <c r="C18" s="63"/>
      <c r="D18" s="63"/>
      <c r="E18" s="63"/>
      <c r="F18" s="23"/>
      <c r="G18" s="72">
        <v>10.0</v>
      </c>
      <c r="H18" s="34">
        <v>9.0</v>
      </c>
      <c r="I18" s="34">
        <v>8.0</v>
      </c>
      <c r="J18" s="34">
        <v>0.0</v>
      </c>
      <c r="K18" s="34">
        <v>3.0</v>
      </c>
      <c r="L18" s="34">
        <v>2.0</v>
      </c>
      <c r="N18" s="23"/>
      <c r="O18" s="19">
        <v>10.0</v>
      </c>
      <c r="P18" s="40">
        <f t="shared" ref="P18:T18" si="11">H18/A$31</f>
        <v>0.03585657371</v>
      </c>
      <c r="Q18" s="40">
        <f t="shared" si="11"/>
        <v>0.07547169811</v>
      </c>
      <c r="R18" s="40">
        <f t="shared" si="11"/>
        <v>0</v>
      </c>
      <c r="S18" s="40">
        <f t="shared" si="11"/>
        <v>0.09375</v>
      </c>
      <c r="T18" s="40">
        <f t="shared" si="11"/>
        <v>0.1333333333</v>
      </c>
    </row>
    <row r="19" ht="15.75" customHeight="1">
      <c r="A19" s="63"/>
      <c r="B19" s="63"/>
      <c r="C19" s="63"/>
      <c r="D19" s="63"/>
      <c r="E19" s="63"/>
      <c r="F19" s="23"/>
      <c r="G19" s="72">
        <v>11.0</v>
      </c>
      <c r="H19" s="34">
        <v>8.0</v>
      </c>
      <c r="I19" s="34">
        <v>10.0</v>
      </c>
      <c r="J19" s="34">
        <v>0.0</v>
      </c>
      <c r="K19" s="34">
        <v>2.0</v>
      </c>
      <c r="L19" s="34">
        <v>1.0</v>
      </c>
      <c r="N19" s="23"/>
      <c r="O19" s="19">
        <v>11.0</v>
      </c>
      <c r="P19" s="40">
        <f t="shared" ref="P19:T19" si="12">H19/A$31</f>
        <v>0.03187250996</v>
      </c>
      <c r="Q19" s="40">
        <f t="shared" si="12"/>
        <v>0.09433962264</v>
      </c>
      <c r="R19" s="40">
        <f t="shared" si="12"/>
        <v>0</v>
      </c>
      <c r="S19" s="40">
        <f t="shared" si="12"/>
        <v>0.0625</v>
      </c>
      <c r="T19" s="40">
        <f t="shared" si="12"/>
        <v>0.06666666667</v>
      </c>
    </row>
    <row r="20" ht="15.75" customHeight="1">
      <c r="A20" s="63"/>
      <c r="B20" s="63"/>
      <c r="C20" s="63"/>
      <c r="D20" s="63"/>
      <c r="E20" s="63"/>
      <c r="F20" s="23"/>
      <c r="G20" s="72">
        <v>12.0</v>
      </c>
      <c r="H20" s="34">
        <v>13.0</v>
      </c>
      <c r="I20" s="34">
        <v>7.0</v>
      </c>
      <c r="J20" s="34">
        <v>0.0</v>
      </c>
      <c r="K20" s="34">
        <v>3.0</v>
      </c>
      <c r="L20" s="34">
        <v>2.0</v>
      </c>
      <c r="N20" s="23"/>
      <c r="O20" s="19">
        <v>12.0</v>
      </c>
      <c r="P20" s="40">
        <f t="shared" ref="P20:T20" si="13">H20/A$31</f>
        <v>0.05179282869</v>
      </c>
      <c r="Q20" s="40">
        <f t="shared" si="13"/>
        <v>0.06603773585</v>
      </c>
      <c r="R20" s="40">
        <f t="shared" si="13"/>
        <v>0</v>
      </c>
      <c r="S20" s="40">
        <f t="shared" si="13"/>
        <v>0.09375</v>
      </c>
      <c r="T20" s="40">
        <f t="shared" si="13"/>
        <v>0.1333333333</v>
      </c>
    </row>
    <row r="21" ht="15.75" customHeight="1">
      <c r="A21" s="63"/>
      <c r="B21" s="63"/>
      <c r="C21" s="63"/>
      <c r="D21" s="63"/>
      <c r="E21" s="63"/>
      <c r="F21" s="23"/>
      <c r="G21" s="72">
        <v>13.0</v>
      </c>
      <c r="H21" s="34">
        <v>11.0</v>
      </c>
      <c r="I21" s="34">
        <v>7.0</v>
      </c>
      <c r="J21" s="34">
        <v>0.0</v>
      </c>
      <c r="K21" s="34">
        <v>2.0</v>
      </c>
      <c r="L21" s="34">
        <v>1.0</v>
      </c>
      <c r="N21" s="23"/>
      <c r="O21" s="19">
        <v>13.0</v>
      </c>
      <c r="P21" s="40">
        <f t="shared" ref="P21:T21" si="14">H21/A$31</f>
        <v>0.0438247012</v>
      </c>
      <c r="Q21" s="40">
        <f t="shared" si="14"/>
        <v>0.06603773585</v>
      </c>
      <c r="R21" s="40">
        <f t="shared" si="14"/>
        <v>0</v>
      </c>
      <c r="S21" s="40">
        <f t="shared" si="14"/>
        <v>0.0625</v>
      </c>
      <c r="T21" s="40">
        <f t="shared" si="14"/>
        <v>0.06666666667</v>
      </c>
    </row>
    <row r="22" ht="15.75" customHeight="1">
      <c r="A22" s="63"/>
      <c r="B22" s="63"/>
      <c r="C22" s="63"/>
      <c r="D22" s="63"/>
      <c r="E22" s="63"/>
      <c r="F22" s="23"/>
      <c r="G22" s="72">
        <v>14.0</v>
      </c>
      <c r="H22" s="34">
        <v>9.0</v>
      </c>
      <c r="I22" s="34">
        <v>7.0</v>
      </c>
      <c r="J22" s="34">
        <v>0.0</v>
      </c>
      <c r="K22" s="34">
        <v>4.0</v>
      </c>
      <c r="L22" s="34">
        <v>2.0</v>
      </c>
      <c r="N22" s="23"/>
      <c r="O22" s="19">
        <v>14.0</v>
      </c>
      <c r="P22" s="40">
        <f t="shared" ref="P22:T22" si="15">H22/A$31</f>
        <v>0.03585657371</v>
      </c>
      <c r="Q22" s="40">
        <f t="shared" si="15"/>
        <v>0.06603773585</v>
      </c>
      <c r="R22" s="40">
        <f t="shared" si="15"/>
        <v>0</v>
      </c>
      <c r="S22" s="40">
        <f t="shared" si="15"/>
        <v>0.125</v>
      </c>
      <c r="T22" s="40">
        <f t="shared" si="15"/>
        <v>0.1333333333</v>
      </c>
    </row>
    <row r="23" ht="15.75" customHeight="1">
      <c r="A23" s="63"/>
      <c r="B23" s="63"/>
      <c r="C23" s="63"/>
      <c r="D23" s="63"/>
      <c r="E23" s="63"/>
      <c r="F23" s="23"/>
      <c r="G23" s="72">
        <v>15.0</v>
      </c>
      <c r="H23" s="34">
        <v>19.0</v>
      </c>
      <c r="I23" s="34">
        <v>7.0</v>
      </c>
      <c r="J23" s="34">
        <v>0.0</v>
      </c>
      <c r="K23" s="34">
        <v>3.0</v>
      </c>
      <c r="L23" s="34">
        <v>0.0</v>
      </c>
      <c r="N23" s="23"/>
      <c r="O23" s="19">
        <v>15.0</v>
      </c>
      <c r="P23" s="40">
        <f t="shared" ref="P23:T23" si="16">H23/A$31</f>
        <v>0.07569721116</v>
      </c>
      <c r="Q23" s="40">
        <f t="shared" si="16"/>
        <v>0.06603773585</v>
      </c>
      <c r="R23" s="40">
        <f t="shared" si="16"/>
        <v>0</v>
      </c>
      <c r="S23" s="40">
        <f t="shared" si="16"/>
        <v>0.09375</v>
      </c>
      <c r="T23" s="40">
        <f t="shared" si="16"/>
        <v>0</v>
      </c>
    </row>
    <row r="24" ht="15.75" customHeight="1">
      <c r="A24" s="63"/>
      <c r="B24" s="63"/>
      <c r="C24" s="63"/>
      <c r="D24" s="63"/>
      <c r="E24" s="63"/>
      <c r="F24" s="23"/>
      <c r="G24" s="72">
        <v>16.0</v>
      </c>
      <c r="H24" s="34">
        <v>18.0</v>
      </c>
      <c r="I24" s="34">
        <v>7.0</v>
      </c>
      <c r="J24" s="34">
        <v>0.0</v>
      </c>
      <c r="K24" s="34">
        <v>1.0</v>
      </c>
      <c r="L24" s="34">
        <v>1.0</v>
      </c>
      <c r="N24" s="23"/>
      <c r="O24" s="19">
        <v>16.0</v>
      </c>
      <c r="P24" s="40">
        <f t="shared" ref="P24:T24" si="17">H24/A$31</f>
        <v>0.07171314741</v>
      </c>
      <c r="Q24" s="40">
        <f t="shared" si="17"/>
        <v>0.06603773585</v>
      </c>
      <c r="R24" s="40">
        <f t="shared" si="17"/>
        <v>0</v>
      </c>
      <c r="S24" s="40">
        <f t="shared" si="17"/>
        <v>0.03125</v>
      </c>
      <c r="T24" s="40">
        <f t="shared" si="17"/>
        <v>0.06666666667</v>
      </c>
    </row>
    <row r="25" ht="15.75" customHeight="1">
      <c r="A25" s="63"/>
      <c r="B25" s="63"/>
      <c r="C25" s="63"/>
      <c r="D25" s="63"/>
      <c r="E25" s="63"/>
      <c r="F25" s="23"/>
      <c r="G25" s="72">
        <v>17.0</v>
      </c>
      <c r="H25" s="34">
        <v>20.0</v>
      </c>
      <c r="I25" s="34">
        <v>7.0</v>
      </c>
      <c r="J25" s="34">
        <v>1.0</v>
      </c>
      <c r="K25" s="34">
        <v>1.0</v>
      </c>
      <c r="L25" s="34">
        <v>0.0</v>
      </c>
      <c r="N25" s="23"/>
      <c r="O25" s="19">
        <v>17.0</v>
      </c>
      <c r="P25" s="40">
        <f t="shared" ref="P25:T25" si="18">H25/A$31</f>
        <v>0.0796812749</v>
      </c>
      <c r="Q25" s="40">
        <f t="shared" si="18"/>
        <v>0.06603773585</v>
      </c>
      <c r="R25" s="40">
        <f t="shared" si="18"/>
        <v>1</v>
      </c>
      <c r="S25" s="40">
        <f t="shared" si="18"/>
        <v>0.03125</v>
      </c>
      <c r="T25" s="40">
        <f t="shared" si="18"/>
        <v>0</v>
      </c>
    </row>
    <row r="26" ht="15.75" customHeight="1">
      <c r="A26" s="63"/>
      <c r="B26" s="63"/>
      <c r="C26" s="63"/>
      <c r="D26" s="63"/>
      <c r="E26" s="63"/>
      <c r="F26" s="23"/>
      <c r="G26" s="72">
        <v>18.0</v>
      </c>
      <c r="H26" s="34">
        <v>16.0</v>
      </c>
      <c r="I26" s="34">
        <v>7.0</v>
      </c>
      <c r="J26" s="34">
        <v>0.0</v>
      </c>
      <c r="K26" s="34">
        <v>1.0</v>
      </c>
      <c r="L26" s="34">
        <v>0.0</v>
      </c>
      <c r="N26" s="23"/>
      <c r="O26" s="19">
        <v>18.0</v>
      </c>
      <c r="P26" s="40">
        <f t="shared" ref="P26:T26" si="19">H26/A$31</f>
        <v>0.06374501992</v>
      </c>
      <c r="Q26" s="40">
        <f t="shared" si="19"/>
        <v>0.06603773585</v>
      </c>
      <c r="R26" s="40">
        <f t="shared" si="19"/>
        <v>0</v>
      </c>
      <c r="S26" s="40">
        <f t="shared" si="19"/>
        <v>0.03125</v>
      </c>
      <c r="T26" s="40">
        <f t="shared" si="19"/>
        <v>0</v>
      </c>
    </row>
    <row r="27" ht="15.75" customHeight="1">
      <c r="A27" s="63"/>
      <c r="B27" s="63"/>
      <c r="C27" s="63"/>
      <c r="D27" s="63"/>
      <c r="E27" s="63"/>
      <c r="F27" s="23"/>
      <c r="G27" s="72">
        <v>19.0</v>
      </c>
      <c r="H27" s="34">
        <v>15.0</v>
      </c>
      <c r="I27" s="34">
        <v>5.0</v>
      </c>
      <c r="J27" s="34">
        <v>0.0</v>
      </c>
      <c r="K27" s="34">
        <v>0.0</v>
      </c>
      <c r="L27" s="34">
        <v>0.0</v>
      </c>
      <c r="N27" s="23"/>
      <c r="O27" s="19">
        <v>19.0</v>
      </c>
      <c r="P27" s="40">
        <f t="shared" ref="P27:T27" si="20">H27/A$31</f>
        <v>0.05976095618</v>
      </c>
      <c r="Q27" s="40">
        <f t="shared" si="20"/>
        <v>0.04716981132</v>
      </c>
      <c r="R27" s="40">
        <f t="shared" si="20"/>
        <v>0</v>
      </c>
      <c r="S27" s="40">
        <f t="shared" si="20"/>
        <v>0</v>
      </c>
      <c r="T27" s="40">
        <f t="shared" si="20"/>
        <v>0</v>
      </c>
    </row>
    <row r="28" ht="15.75" customHeight="1">
      <c r="A28" s="63"/>
      <c r="B28" s="63"/>
      <c r="C28" s="63"/>
      <c r="D28" s="63"/>
      <c r="E28" s="63"/>
      <c r="F28" s="23"/>
      <c r="G28" s="72">
        <v>20.0</v>
      </c>
      <c r="H28" s="34">
        <v>14.0</v>
      </c>
      <c r="I28" s="34">
        <v>4.0</v>
      </c>
      <c r="J28" s="34">
        <v>0.0</v>
      </c>
      <c r="K28" s="34">
        <v>6.0</v>
      </c>
      <c r="L28" s="34">
        <v>0.0</v>
      </c>
      <c r="N28" s="23"/>
      <c r="O28" s="19">
        <v>20.0</v>
      </c>
      <c r="P28" s="40">
        <f t="shared" ref="P28:T28" si="21">H28/A$31</f>
        <v>0.05577689243</v>
      </c>
      <c r="Q28" s="40">
        <f t="shared" si="21"/>
        <v>0.03773584906</v>
      </c>
      <c r="R28" s="40">
        <f t="shared" si="21"/>
        <v>0</v>
      </c>
      <c r="S28" s="40">
        <f t="shared" si="21"/>
        <v>0.1875</v>
      </c>
      <c r="T28" s="40">
        <f t="shared" si="21"/>
        <v>0</v>
      </c>
    </row>
    <row r="29" ht="15.75" customHeight="1">
      <c r="A29" s="63"/>
      <c r="B29" s="63"/>
      <c r="C29" s="63"/>
      <c r="D29" s="63"/>
      <c r="E29" s="63"/>
      <c r="F29" s="23"/>
      <c r="G29" s="72">
        <v>21.0</v>
      </c>
      <c r="H29" s="34">
        <v>8.0</v>
      </c>
      <c r="I29" s="34">
        <v>1.0</v>
      </c>
      <c r="J29" s="34">
        <v>0.0</v>
      </c>
      <c r="K29" s="34">
        <v>4.0</v>
      </c>
      <c r="L29" s="34">
        <v>0.0</v>
      </c>
      <c r="N29" s="23"/>
      <c r="O29" s="19">
        <v>21.0</v>
      </c>
      <c r="P29" s="40">
        <f t="shared" ref="P29:T29" si="22">H29/A$31</f>
        <v>0.03187250996</v>
      </c>
      <c r="Q29" s="40">
        <f t="shared" si="22"/>
        <v>0.009433962264</v>
      </c>
      <c r="R29" s="40">
        <f t="shared" si="22"/>
        <v>0</v>
      </c>
      <c r="S29" s="40">
        <f t="shared" si="22"/>
        <v>0.125</v>
      </c>
      <c r="T29" s="40">
        <f t="shared" si="22"/>
        <v>0</v>
      </c>
    </row>
    <row r="30" ht="15.75" customHeight="1">
      <c r="A30" s="63"/>
      <c r="B30" s="63"/>
      <c r="C30" s="63"/>
      <c r="D30" s="63"/>
      <c r="E30" s="63"/>
      <c r="F30" s="23"/>
      <c r="G30" s="72">
        <v>22.0</v>
      </c>
      <c r="H30" s="34">
        <v>4.0</v>
      </c>
      <c r="I30" s="34">
        <v>0.0</v>
      </c>
      <c r="J30" s="34">
        <v>0.0</v>
      </c>
      <c r="K30" s="34">
        <v>0.0</v>
      </c>
      <c r="L30" s="34">
        <v>0.0</v>
      </c>
      <c r="N30" s="23"/>
      <c r="O30" s="19">
        <v>22.0</v>
      </c>
      <c r="P30" s="40">
        <f t="shared" ref="P30:T30" si="23">H30/A$31</f>
        <v>0.01593625498</v>
      </c>
      <c r="Q30" s="40">
        <f t="shared" si="23"/>
        <v>0</v>
      </c>
      <c r="R30" s="40">
        <f t="shared" si="23"/>
        <v>0</v>
      </c>
      <c r="S30" s="40">
        <f t="shared" si="23"/>
        <v>0</v>
      </c>
      <c r="T30" s="40">
        <f t="shared" si="23"/>
        <v>0</v>
      </c>
    </row>
    <row r="31" ht="15.75" customHeight="1">
      <c r="A31" s="73">
        <f t="shared" ref="A31:E31" si="24">SUM(H8:H31)</f>
        <v>251</v>
      </c>
      <c r="B31" s="73">
        <f t="shared" si="24"/>
        <v>106</v>
      </c>
      <c r="C31" s="73">
        <f t="shared" si="24"/>
        <v>1</v>
      </c>
      <c r="D31" s="73">
        <f t="shared" si="24"/>
        <v>32</v>
      </c>
      <c r="E31" s="73">
        <f t="shared" si="24"/>
        <v>15</v>
      </c>
      <c r="F31" s="27"/>
      <c r="G31" s="72">
        <v>23.0</v>
      </c>
      <c r="H31" s="34">
        <v>8.0</v>
      </c>
      <c r="I31" s="34">
        <v>1.0</v>
      </c>
      <c r="J31" s="34">
        <v>0.0</v>
      </c>
      <c r="K31" s="34">
        <v>0.0</v>
      </c>
      <c r="L31" s="34">
        <v>0.0</v>
      </c>
      <c r="N31" s="27"/>
      <c r="O31" s="19">
        <v>23.0</v>
      </c>
      <c r="P31" s="40">
        <f t="shared" ref="P31:T31" si="25">H31/A$31</f>
        <v>0.03187250996</v>
      </c>
      <c r="Q31" s="40">
        <f t="shared" si="25"/>
        <v>0.009433962264</v>
      </c>
      <c r="R31" s="40">
        <f t="shared" si="25"/>
        <v>0</v>
      </c>
      <c r="S31" s="40">
        <f t="shared" si="25"/>
        <v>0</v>
      </c>
      <c r="T31" s="40">
        <f t="shared" si="25"/>
        <v>0</v>
      </c>
    </row>
    <row r="32" ht="15.75" customHeight="1">
      <c r="A32" s="19">
        <f>$H$7</f>
        <v>31</v>
      </c>
      <c r="B32" s="19">
        <f>$I$7</f>
        <v>32</v>
      </c>
      <c r="C32" s="19">
        <f>$J$7</f>
        <v>41</v>
      </c>
      <c r="D32" s="19">
        <f>$K$7</f>
        <v>42</v>
      </c>
      <c r="E32" s="19">
        <f>$L$7</f>
        <v>5</v>
      </c>
      <c r="F32" s="18">
        <v>45195.0</v>
      </c>
      <c r="G32" s="19">
        <f>$G$8</f>
        <v>0</v>
      </c>
      <c r="H32" s="20">
        <v>3.0</v>
      </c>
      <c r="I32" s="20">
        <v>0.0</v>
      </c>
      <c r="J32" s="20">
        <v>0.0</v>
      </c>
      <c r="K32" s="20">
        <v>0.0</v>
      </c>
      <c r="L32" s="20">
        <v>0.0</v>
      </c>
      <c r="N32" s="18">
        <v>45195.0</v>
      </c>
      <c r="O32" s="19">
        <f>$G$8</f>
        <v>0</v>
      </c>
      <c r="P32" s="40">
        <f t="shared" ref="P32:T32" si="26">H32/A$57</f>
        <v>0.01195219124</v>
      </c>
      <c r="Q32" s="40">
        <f t="shared" si="26"/>
        <v>0</v>
      </c>
      <c r="R32" s="40">
        <f t="shared" si="26"/>
        <v>0</v>
      </c>
      <c r="S32" s="40">
        <f t="shared" si="26"/>
        <v>0</v>
      </c>
      <c r="T32" s="40">
        <f t="shared" si="26"/>
        <v>0</v>
      </c>
    </row>
    <row r="33" ht="15.75" customHeight="1">
      <c r="A33" s="63"/>
      <c r="B33" s="63"/>
      <c r="C33" s="63"/>
      <c r="D33" s="63"/>
      <c r="E33" s="63"/>
      <c r="F33" s="23"/>
      <c r="G33" s="19">
        <f>$G$9</f>
        <v>1</v>
      </c>
      <c r="H33" s="20">
        <v>1.0</v>
      </c>
      <c r="I33" s="20">
        <v>1.0</v>
      </c>
      <c r="J33" s="20">
        <v>0.0</v>
      </c>
      <c r="K33" s="20">
        <v>0.0</v>
      </c>
      <c r="L33" s="20">
        <v>0.0</v>
      </c>
      <c r="N33" s="23"/>
      <c r="O33" s="19">
        <f>$G$9</f>
        <v>1</v>
      </c>
      <c r="P33" s="40">
        <f t="shared" ref="P33:T33" si="27">H33/A$57</f>
        <v>0.003984063745</v>
      </c>
      <c r="Q33" s="40">
        <f t="shared" si="27"/>
        <v>0.009433962264</v>
      </c>
      <c r="R33" s="40">
        <f t="shared" si="27"/>
        <v>0</v>
      </c>
      <c r="S33" s="40">
        <f t="shared" si="27"/>
        <v>0</v>
      </c>
      <c r="T33" s="40">
        <f t="shared" si="27"/>
        <v>0</v>
      </c>
    </row>
    <row r="34" ht="15.75" customHeight="1">
      <c r="A34" s="63"/>
      <c r="B34" s="63"/>
      <c r="C34" s="63"/>
      <c r="D34" s="63"/>
      <c r="E34" s="63"/>
      <c r="F34" s="23"/>
      <c r="G34" s="19">
        <f>$G$10</f>
        <v>2</v>
      </c>
      <c r="H34" s="34">
        <v>1.0</v>
      </c>
      <c r="I34" s="34">
        <v>1.0</v>
      </c>
      <c r="J34" s="34">
        <v>0.0</v>
      </c>
      <c r="K34" s="34">
        <v>0.0</v>
      </c>
      <c r="L34" s="34">
        <v>0.0</v>
      </c>
      <c r="N34" s="23"/>
      <c r="O34" s="19">
        <f>$G$10</f>
        <v>2</v>
      </c>
      <c r="P34" s="40">
        <f t="shared" ref="P34:T34" si="28">H34/A$57</f>
        <v>0.003984063745</v>
      </c>
      <c r="Q34" s="40">
        <f t="shared" si="28"/>
        <v>0.009433962264</v>
      </c>
      <c r="R34" s="40">
        <f t="shared" si="28"/>
        <v>0</v>
      </c>
      <c r="S34" s="40">
        <f t="shared" si="28"/>
        <v>0</v>
      </c>
      <c r="T34" s="40">
        <f t="shared" si="28"/>
        <v>0</v>
      </c>
    </row>
    <row r="35" ht="15.75" customHeight="1">
      <c r="A35" s="63"/>
      <c r="B35" s="63"/>
      <c r="C35" s="63"/>
      <c r="D35" s="63"/>
      <c r="E35" s="63"/>
      <c r="F35" s="23"/>
      <c r="G35" s="19">
        <f>$G$11</f>
        <v>3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N35" s="23"/>
      <c r="O35" s="19">
        <f>$G$11</f>
        <v>3</v>
      </c>
      <c r="P35" s="40">
        <f t="shared" ref="P35:T35" si="29">H35/A$57</f>
        <v>0</v>
      </c>
      <c r="Q35" s="40">
        <f t="shared" si="29"/>
        <v>0</v>
      </c>
      <c r="R35" s="40">
        <f t="shared" si="29"/>
        <v>0</v>
      </c>
      <c r="S35" s="40">
        <f t="shared" si="29"/>
        <v>0</v>
      </c>
      <c r="T35" s="40">
        <f t="shared" si="29"/>
        <v>0</v>
      </c>
    </row>
    <row r="36" ht="15.75" customHeight="1">
      <c r="A36" s="63"/>
      <c r="B36" s="63"/>
      <c r="C36" s="63"/>
      <c r="D36" s="63"/>
      <c r="E36" s="63"/>
      <c r="F36" s="23"/>
      <c r="G36" s="19">
        <f>$G$12</f>
        <v>4</v>
      </c>
      <c r="H36" s="20">
        <v>3.0</v>
      </c>
      <c r="I36" s="20">
        <v>1.0</v>
      </c>
      <c r="J36" s="20">
        <v>0.0</v>
      </c>
      <c r="K36" s="20">
        <v>2.0</v>
      </c>
      <c r="L36" s="20">
        <v>0.0</v>
      </c>
      <c r="N36" s="23"/>
      <c r="O36" s="19">
        <f>$G$12</f>
        <v>4</v>
      </c>
      <c r="P36" s="40">
        <f t="shared" ref="P36:T36" si="30">H36/A$57</f>
        <v>0.01195219124</v>
      </c>
      <c r="Q36" s="40">
        <f t="shared" si="30"/>
        <v>0.009433962264</v>
      </c>
      <c r="R36" s="40">
        <f t="shared" si="30"/>
        <v>0</v>
      </c>
      <c r="S36" s="40">
        <f t="shared" si="30"/>
        <v>0.08695652174</v>
      </c>
      <c r="T36" s="40">
        <f t="shared" si="30"/>
        <v>0</v>
      </c>
    </row>
    <row r="37" ht="15.75" customHeight="1">
      <c r="A37" s="63"/>
      <c r="B37" s="63"/>
      <c r="C37" s="63"/>
      <c r="D37" s="63"/>
      <c r="E37" s="63"/>
      <c r="F37" s="23"/>
      <c r="G37" s="19">
        <f>$G$13</f>
        <v>5</v>
      </c>
      <c r="H37" s="20">
        <v>6.0</v>
      </c>
      <c r="I37" s="20">
        <v>2.0</v>
      </c>
      <c r="J37" s="20">
        <v>0.0</v>
      </c>
      <c r="K37" s="20">
        <v>0.0</v>
      </c>
      <c r="L37" s="20">
        <v>1.0</v>
      </c>
      <c r="N37" s="23"/>
      <c r="O37" s="19">
        <f>$G$13</f>
        <v>5</v>
      </c>
      <c r="P37" s="40">
        <f t="shared" ref="P37:T37" si="31">H37/A$57</f>
        <v>0.02390438247</v>
      </c>
      <c r="Q37" s="40">
        <f t="shared" si="31"/>
        <v>0.01886792453</v>
      </c>
      <c r="R37" s="40">
        <f t="shared" si="31"/>
        <v>0</v>
      </c>
      <c r="S37" s="40">
        <f t="shared" si="31"/>
        <v>0</v>
      </c>
      <c r="T37" s="40">
        <f t="shared" si="31"/>
        <v>0.05555555556</v>
      </c>
    </row>
    <row r="38" ht="15.75" customHeight="1">
      <c r="A38" s="63"/>
      <c r="B38" s="63"/>
      <c r="C38" s="63"/>
      <c r="D38" s="63"/>
      <c r="E38" s="63"/>
      <c r="F38" s="23"/>
      <c r="G38" s="19">
        <f>$G$14</f>
        <v>6</v>
      </c>
      <c r="H38" s="20">
        <v>8.0</v>
      </c>
      <c r="I38" s="20">
        <v>4.0</v>
      </c>
      <c r="J38" s="20">
        <v>0.0</v>
      </c>
      <c r="K38" s="20">
        <v>1.0</v>
      </c>
      <c r="L38" s="20">
        <v>0.0</v>
      </c>
      <c r="N38" s="23"/>
      <c r="O38" s="19">
        <f>$G$14</f>
        <v>6</v>
      </c>
      <c r="P38" s="40">
        <f t="shared" ref="P38:T38" si="32">H38/A$57</f>
        <v>0.03187250996</v>
      </c>
      <c r="Q38" s="40">
        <f t="shared" si="32"/>
        <v>0.03773584906</v>
      </c>
      <c r="R38" s="40">
        <f t="shared" si="32"/>
        <v>0</v>
      </c>
      <c r="S38" s="40">
        <f t="shared" si="32"/>
        <v>0.04347826087</v>
      </c>
      <c r="T38" s="40">
        <f t="shared" si="32"/>
        <v>0</v>
      </c>
    </row>
    <row r="39" ht="15.75" customHeight="1">
      <c r="A39" s="63"/>
      <c r="B39" s="63"/>
      <c r="C39" s="63"/>
      <c r="D39" s="63"/>
      <c r="E39" s="63"/>
      <c r="F39" s="23"/>
      <c r="G39" s="19">
        <f>$G$15</f>
        <v>7</v>
      </c>
      <c r="H39" s="20">
        <v>26.0</v>
      </c>
      <c r="I39" s="20">
        <v>4.0</v>
      </c>
      <c r="J39" s="20">
        <v>0.0</v>
      </c>
      <c r="K39" s="20">
        <v>0.0</v>
      </c>
      <c r="L39" s="20">
        <v>2.0</v>
      </c>
      <c r="N39" s="23"/>
      <c r="O39" s="19">
        <f>$G$15</f>
        <v>7</v>
      </c>
      <c r="P39" s="40">
        <f t="shared" ref="P39:T39" si="33">H39/A$57</f>
        <v>0.1035856574</v>
      </c>
      <c r="Q39" s="40">
        <f t="shared" si="33"/>
        <v>0.03773584906</v>
      </c>
      <c r="R39" s="40">
        <f t="shared" si="33"/>
        <v>0</v>
      </c>
      <c r="S39" s="40">
        <f t="shared" si="33"/>
        <v>0</v>
      </c>
      <c r="T39" s="40">
        <f t="shared" si="33"/>
        <v>0.1111111111</v>
      </c>
    </row>
    <row r="40" ht="15.75" customHeight="1">
      <c r="A40" s="63"/>
      <c r="B40" s="63"/>
      <c r="C40" s="63"/>
      <c r="D40" s="63"/>
      <c r="E40" s="63"/>
      <c r="F40" s="23"/>
      <c r="G40" s="19">
        <f>$G$16</f>
        <v>8</v>
      </c>
      <c r="H40" s="20">
        <v>17.0</v>
      </c>
      <c r="I40" s="20">
        <v>9.0</v>
      </c>
      <c r="J40" s="20">
        <v>0.0</v>
      </c>
      <c r="K40" s="20">
        <v>1.0</v>
      </c>
      <c r="L40" s="20">
        <v>3.0</v>
      </c>
      <c r="N40" s="23"/>
      <c r="O40" s="19">
        <f>$G$16</f>
        <v>8</v>
      </c>
      <c r="P40" s="40">
        <f t="shared" ref="P40:T40" si="34">H40/A$57</f>
        <v>0.06772908367</v>
      </c>
      <c r="Q40" s="40">
        <f t="shared" si="34"/>
        <v>0.08490566038</v>
      </c>
      <c r="R40" s="40">
        <f t="shared" si="34"/>
        <v>0</v>
      </c>
      <c r="S40" s="40">
        <f t="shared" si="34"/>
        <v>0.04347826087</v>
      </c>
      <c r="T40" s="40">
        <f t="shared" si="34"/>
        <v>0.1666666667</v>
      </c>
    </row>
    <row r="41" ht="15.75" customHeight="1">
      <c r="A41" s="63"/>
      <c r="B41" s="63"/>
      <c r="C41" s="63"/>
      <c r="D41" s="63"/>
      <c r="E41" s="63"/>
      <c r="F41" s="23"/>
      <c r="G41" s="19">
        <f>$G$17</f>
        <v>9</v>
      </c>
      <c r="H41" s="20">
        <v>11.0</v>
      </c>
      <c r="I41" s="20">
        <v>5.0</v>
      </c>
      <c r="J41" s="20">
        <v>0.0</v>
      </c>
      <c r="K41" s="20">
        <v>2.0</v>
      </c>
      <c r="L41" s="20">
        <v>3.0</v>
      </c>
      <c r="N41" s="23"/>
      <c r="O41" s="19">
        <f>$G$17</f>
        <v>9</v>
      </c>
      <c r="P41" s="40">
        <f t="shared" ref="P41:T41" si="35">H41/A$57</f>
        <v>0.0438247012</v>
      </c>
      <c r="Q41" s="40">
        <f t="shared" si="35"/>
        <v>0.04716981132</v>
      </c>
      <c r="R41" s="40">
        <f t="shared" si="35"/>
        <v>0</v>
      </c>
      <c r="S41" s="40">
        <f t="shared" si="35"/>
        <v>0.08695652174</v>
      </c>
      <c r="T41" s="40">
        <f t="shared" si="35"/>
        <v>0.1666666667</v>
      </c>
    </row>
    <row r="42" ht="15.75" customHeight="1">
      <c r="A42" s="63"/>
      <c r="B42" s="63"/>
      <c r="C42" s="63"/>
      <c r="D42" s="63"/>
      <c r="E42" s="63"/>
      <c r="F42" s="23"/>
      <c r="G42" s="19">
        <f>$G$18</f>
        <v>10</v>
      </c>
      <c r="H42" s="20">
        <v>15.0</v>
      </c>
      <c r="I42" s="20">
        <v>8.0</v>
      </c>
      <c r="J42" s="20">
        <v>0.0</v>
      </c>
      <c r="K42" s="20">
        <v>2.0</v>
      </c>
      <c r="L42" s="20">
        <v>2.0</v>
      </c>
      <c r="N42" s="23"/>
      <c r="O42" s="19">
        <f>$G$18</f>
        <v>10</v>
      </c>
      <c r="P42" s="40">
        <f t="shared" ref="P42:T42" si="36">H42/A$57</f>
        <v>0.05976095618</v>
      </c>
      <c r="Q42" s="40">
        <f t="shared" si="36"/>
        <v>0.07547169811</v>
      </c>
      <c r="R42" s="40">
        <f t="shared" si="36"/>
        <v>0</v>
      </c>
      <c r="S42" s="40">
        <f t="shared" si="36"/>
        <v>0.08695652174</v>
      </c>
      <c r="T42" s="40">
        <f t="shared" si="36"/>
        <v>0.1111111111</v>
      </c>
    </row>
    <row r="43" ht="15.75" customHeight="1">
      <c r="A43" s="63"/>
      <c r="B43" s="63"/>
      <c r="C43" s="63"/>
      <c r="D43" s="63"/>
      <c r="E43" s="63"/>
      <c r="F43" s="23"/>
      <c r="G43" s="19">
        <f>$G$19</f>
        <v>11</v>
      </c>
      <c r="H43" s="20">
        <v>12.0</v>
      </c>
      <c r="I43" s="20">
        <v>4.0</v>
      </c>
      <c r="J43" s="20">
        <v>0.0</v>
      </c>
      <c r="K43" s="20">
        <v>1.0</v>
      </c>
      <c r="L43" s="20">
        <v>2.0</v>
      </c>
      <c r="N43" s="23"/>
      <c r="O43" s="19">
        <f>$G$19</f>
        <v>11</v>
      </c>
      <c r="P43" s="40">
        <f t="shared" ref="P43:T43" si="37">H43/A$57</f>
        <v>0.04780876494</v>
      </c>
      <c r="Q43" s="40">
        <f t="shared" si="37"/>
        <v>0.03773584906</v>
      </c>
      <c r="R43" s="40">
        <f t="shared" si="37"/>
        <v>0</v>
      </c>
      <c r="S43" s="40">
        <f t="shared" si="37"/>
        <v>0.04347826087</v>
      </c>
      <c r="T43" s="40">
        <f t="shared" si="37"/>
        <v>0.1111111111</v>
      </c>
    </row>
    <row r="44" ht="15.75" customHeight="1">
      <c r="A44" s="63"/>
      <c r="B44" s="63"/>
      <c r="C44" s="63"/>
      <c r="D44" s="63"/>
      <c r="E44" s="63"/>
      <c r="F44" s="23"/>
      <c r="G44" s="19">
        <f>$G$20</f>
        <v>12</v>
      </c>
      <c r="H44" s="20">
        <v>14.0</v>
      </c>
      <c r="I44" s="20">
        <v>10.0</v>
      </c>
      <c r="J44" s="20">
        <v>0.0</v>
      </c>
      <c r="K44" s="20">
        <v>2.0</v>
      </c>
      <c r="L44" s="20">
        <v>1.0</v>
      </c>
      <c r="N44" s="23"/>
      <c r="O44" s="19">
        <f>$G$20</f>
        <v>12</v>
      </c>
      <c r="P44" s="40">
        <f t="shared" ref="P44:T44" si="38">H44/A$57</f>
        <v>0.05577689243</v>
      </c>
      <c r="Q44" s="40">
        <f t="shared" si="38"/>
        <v>0.09433962264</v>
      </c>
      <c r="R44" s="40">
        <f t="shared" si="38"/>
        <v>0</v>
      </c>
      <c r="S44" s="40">
        <f t="shared" si="38"/>
        <v>0.08695652174</v>
      </c>
      <c r="T44" s="40">
        <f t="shared" si="38"/>
        <v>0.05555555556</v>
      </c>
    </row>
    <row r="45" ht="15.75" customHeight="1">
      <c r="A45" s="63"/>
      <c r="B45" s="63"/>
      <c r="C45" s="63"/>
      <c r="D45" s="63"/>
      <c r="E45" s="63"/>
      <c r="F45" s="23"/>
      <c r="G45" s="19">
        <f>$G$21</f>
        <v>13</v>
      </c>
      <c r="H45" s="20">
        <v>10.0</v>
      </c>
      <c r="I45" s="20">
        <v>5.0</v>
      </c>
      <c r="J45" s="20">
        <v>0.0</v>
      </c>
      <c r="K45" s="20">
        <v>1.0</v>
      </c>
      <c r="L45" s="20">
        <v>1.0</v>
      </c>
      <c r="N45" s="23"/>
      <c r="O45" s="19">
        <f>$G$21</f>
        <v>13</v>
      </c>
      <c r="P45" s="40">
        <f t="shared" ref="P45:T45" si="39">H45/A$57</f>
        <v>0.03984063745</v>
      </c>
      <c r="Q45" s="40">
        <f t="shared" si="39"/>
        <v>0.04716981132</v>
      </c>
      <c r="R45" s="40">
        <f t="shared" si="39"/>
        <v>0</v>
      </c>
      <c r="S45" s="40">
        <f t="shared" si="39"/>
        <v>0.04347826087</v>
      </c>
      <c r="T45" s="40">
        <f t="shared" si="39"/>
        <v>0.05555555556</v>
      </c>
    </row>
    <row r="46" ht="15.75" customHeight="1">
      <c r="A46" s="63"/>
      <c r="B46" s="63"/>
      <c r="C46" s="63"/>
      <c r="D46" s="63"/>
      <c r="E46" s="63"/>
      <c r="F46" s="23"/>
      <c r="G46" s="19">
        <f>$G$22</f>
        <v>14</v>
      </c>
      <c r="H46" s="20">
        <v>6.0</v>
      </c>
      <c r="I46" s="20">
        <v>4.0</v>
      </c>
      <c r="J46" s="20">
        <v>0.0</v>
      </c>
      <c r="K46" s="20">
        <v>1.0</v>
      </c>
      <c r="L46" s="20">
        <v>1.0</v>
      </c>
      <c r="N46" s="23"/>
      <c r="O46" s="19">
        <f>$G$22</f>
        <v>14</v>
      </c>
      <c r="P46" s="40">
        <f t="shared" ref="P46:T46" si="40">H46/A$57</f>
        <v>0.02390438247</v>
      </c>
      <c r="Q46" s="40">
        <f t="shared" si="40"/>
        <v>0.03773584906</v>
      </c>
      <c r="R46" s="40">
        <f t="shared" si="40"/>
        <v>0</v>
      </c>
      <c r="S46" s="40">
        <f t="shared" si="40"/>
        <v>0.04347826087</v>
      </c>
      <c r="T46" s="40">
        <f t="shared" si="40"/>
        <v>0.05555555556</v>
      </c>
    </row>
    <row r="47" ht="15.75" customHeight="1">
      <c r="A47" s="63"/>
      <c r="B47" s="63"/>
      <c r="C47" s="63"/>
      <c r="D47" s="63"/>
      <c r="E47" s="63"/>
      <c r="F47" s="23"/>
      <c r="G47" s="19">
        <f>$G$23</f>
        <v>15</v>
      </c>
      <c r="H47" s="20">
        <v>15.0</v>
      </c>
      <c r="I47" s="20">
        <v>8.0</v>
      </c>
      <c r="J47" s="20">
        <v>0.0</v>
      </c>
      <c r="K47" s="20">
        <v>4.0</v>
      </c>
      <c r="L47" s="20">
        <v>2.0</v>
      </c>
      <c r="N47" s="23"/>
      <c r="O47" s="19">
        <f>$G$23</f>
        <v>15</v>
      </c>
      <c r="P47" s="40">
        <f t="shared" ref="P47:T47" si="41">H47/A$57</f>
        <v>0.05976095618</v>
      </c>
      <c r="Q47" s="40">
        <f t="shared" si="41"/>
        <v>0.07547169811</v>
      </c>
      <c r="R47" s="40">
        <f t="shared" si="41"/>
        <v>0</v>
      </c>
      <c r="S47" s="40">
        <f t="shared" si="41"/>
        <v>0.1739130435</v>
      </c>
      <c r="T47" s="40">
        <f t="shared" si="41"/>
        <v>0.1111111111</v>
      </c>
    </row>
    <row r="48" ht="15.75" customHeight="1">
      <c r="A48" s="63"/>
      <c r="B48" s="63"/>
      <c r="C48" s="63"/>
      <c r="D48" s="63"/>
      <c r="E48" s="63"/>
      <c r="F48" s="23"/>
      <c r="G48" s="19">
        <f>$G$24</f>
        <v>16</v>
      </c>
      <c r="H48" s="20">
        <v>15.0</v>
      </c>
      <c r="I48" s="20">
        <v>6.0</v>
      </c>
      <c r="J48" s="20">
        <v>0.0</v>
      </c>
      <c r="K48" s="20">
        <v>0.0</v>
      </c>
      <c r="L48" s="20">
        <v>0.0</v>
      </c>
      <c r="N48" s="23"/>
      <c r="O48" s="19">
        <f>$G$24</f>
        <v>16</v>
      </c>
      <c r="P48" s="40">
        <f t="shared" ref="P48:T48" si="42">H48/A$57</f>
        <v>0.05976095618</v>
      </c>
      <c r="Q48" s="40">
        <f t="shared" si="42"/>
        <v>0.05660377358</v>
      </c>
      <c r="R48" s="40">
        <f t="shared" si="42"/>
        <v>0</v>
      </c>
      <c r="S48" s="40">
        <f t="shared" si="42"/>
        <v>0</v>
      </c>
      <c r="T48" s="40">
        <f t="shared" si="42"/>
        <v>0</v>
      </c>
    </row>
    <row r="49" ht="15.75" customHeight="1">
      <c r="A49" s="63"/>
      <c r="B49" s="63"/>
      <c r="C49" s="63"/>
      <c r="D49" s="63"/>
      <c r="E49" s="63"/>
      <c r="F49" s="23"/>
      <c r="G49" s="19">
        <f>$G$25</f>
        <v>17</v>
      </c>
      <c r="H49" s="20">
        <v>19.0</v>
      </c>
      <c r="I49" s="20">
        <v>10.0</v>
      </c>
      <c r="J49" s="20">
        <v>1.0</v>
      </c>
      <c r="K49" s="20">
        <v>0.0</v>
      </c>
      <c r="L49" s="20">
        <v>0.0</v>
      </c>
      <c r="N49" s="23"/>
      <c r="O49" s="19">
        <f>$G$25</f>
        <v>17</v>
      </c>
      <c r="P49" s="40">
        <f t="shared" ref="P49:T49" si="43">H49/A$57</f>
        <v>0.07569721116</v>
      </c>
      <c r="Q49" s="40">
        <f t="shared" si="43"/>
        <v>0.09433962264</v>
      </c>
      <c r="R49" s="40">
        <f t="shared" si="43"/>
        <v>1</v>
      </c>
      <c r="S49" s="40">
        <f t="shared" si="43"/>
        <v>0</v>
      </c>
      <c r="T49" s="40">
        <f t="shared" si="43"/>
        <v>0</v>
      </c>
    </row>
    <row r="50" ht="15.75" customHeight="1">
      <c r="A50" s="63"/>
      <c r="B50" s="63"/>
      <c r="C50" s="63"/>
      <c r="D50" s="63"/>
      <c r="E50" s="63"/>
      <c r="F50" s="23"/>
      <c r="G50" s="19">
        <f>$G$26</f>
        <v>18</v>
      </c>
      <c r="H50" s="20">
        <v>18.0</v>
      </c>
      <c r="I50" s="20">
        <v>10.0</v>
      </c>
      <c r="J50" s="20">
        <v>0.0</v>
      </c>
      <c r="K50" s="20">
        <v>0.0</v>
      </c>
      <c r="L50" s="20">
        <v>0.0</v>
      </c>
      <c r="N50" s="23"/>
      <c r="O50" s="19">
        <f>$G$26</f>
        <v>18</v>
      </c>
      <c r="P50" s="40">
        <f t="shared" ref="P50:T50" si="44">H50/A$57</f>
        <v>0.07171314741</v>
      </c>
      <c r="Q50" s="40">
        <f t="shared" si="44"/>
        <v>0.09433962264</v>
      </c>
      <c r="R50" s="40">
        <f t="shared" si="44"/>
        <v>0</v>
      </c>
      <c r="S50" s="40">
        <f t="shared" si="44"/>
        <v>0</v>
      </c>
      <c r="T50" s="40">
        <f t="shared" si="44"/>
        <v>0</v>
      </c>
    </row>
    <row r="51" ht="15.75" customHeight="1">
      <c r="A51" s="63"/>
      <c r="B51" s="63"/>
      <c r="C51" s="63"/>
      <c r="D51" s="63"/>
      <c r="E51" s="63"/>
      <c r="F51" s="23"/>
      <c r="G51" s="19">
        <f>$G$27</f>
        <v>19</v>
      </c>
      <c r="H51" s="20">
        <v>16.0</v>
      </c>
      <c r="I51" s="20">
        <v>3.0</v>
      </c>
      <c r="J51" s="20">
        <v>0.0</v>
      </c>
      <c r="K51" s="20">
        <v>1.0</v>
      </c>
      <c r="L51" s="20">
        <v>0.0</v>
      </c>
      <c r="N51" s="23"/>
      <c r="O51" s="19">
        <f>$G$27</f>
        <v>19</v>
      </c>
      <c r="P51" s="40">
        <f t="shared" ref="P51:T51" si="45">H51/A$57</f>
        <v>0.06374501992</v>
      </c>
      <c r="Q51" s="40">
        <f t="shared" si="45"/>
        <v>0.02830188679</v>
      </c>
      <c r="R51" s="40">
        <f t="shared" si="45"/>
        <v>0</v>
      </c>
      <c r="S51" s="40">
        <f t="shared" si="45"/>
        <v>0.04347826087</v>
      </c>
      <c r="T51" s="40">
        <f t="shared" si="45"/>
        <v>0</v>
      </c>
    </row>
    <row r="52" ht="15.75" customHeight="1">
      <c r="A52" s="63"/>
      <c r="B52" s="63"/>
      <c r="C52" s="63"/>
      <c r="D52" s="63"/>
      <c r="E52" s="63"/>
      <c r="F52" s="23"/>
      <c r="G52" s="19">
        <f>$G$28</f>
        <v>20</v>
      </c>
      <c r="H52" s="20">
        <v>9.0</v>
      </c>
      <c r="I52" s="20">
        <v>4.0</v>
      </c>
      <c r="J52" s="20">
        <v>0.0</v>
      </c>
      <c r="K52" s="20">
        <v>4.0</v>
      </c>
      <c r="L52" s="20">
        <v>0.0</v>
      </c>
      <c r="N52" s="23"/>
      <c r="O52" s="19">
        <f>$G$28</f>
        <v>20</v>
      </c>
      <c r="P52" s="40">
        <f t="shared" ref="P52:T52" si="46">H52/A$57</f>
        <v>0.03585657371</v>
      </c>
      <c r="Q52" s="40">
        <f t="shared" si="46"/>
        <v>0.03773584906</v>
      </c>
      <c r="R52" s="40">
        <f t="shared" si="46"/>
        <v>0</v>
      </c>
      <c r="S52" s="40">
        <f t="shared" si="46"/>
        <v>0.1739130435</v>
      </c>
      <c r="T52" s="40">
        <f t="shared" si="46"/>
        <v>0</v>
      </c>
    </row>
    <row r="53" ht="15.75" customHeight="1">
      <c r="A53" s="63"/>
      <c r="B53" s="63"/>
      <c r="C53" s="63"/>
      <c r="D53" s="63"/>
      <c r="E53" s="63"/>
      <c r="F53" s="23"/>
      <c r="G53" s="19">
        <f>$G$29</f>
        <v>21</v>
      </c>
      <c r="H53" s="20">
        <v>8.0</v>
      </c>
      <c r="I53" s="20">
        <v>4.0</v>
      </c>
      <c r="J53" s="20">
        <v>0.0</v>
      </c>
      <c r="K53" s="20">
        <v>0.0</v>
      </c>
      <c r="L53" s="20">
        <v>0.0</v>
      </c>
      <c r="N53" s="23"/>
      <c r="O53" s="19">
        <f>$G$29</f>
        <v>21</v>
      </c>
      <c r="P53" s="40">
        <f t="shared" ref="P53:T53" si="47">H53/A$57</f>
        <v>0.03187250996</v>
      </c>
      <c r="Q53" s="40">
        <f t="shared" si="47"/>
        <v>0.03773584906</v>
      </c>
      <c r="R53" s="40">
        <f t="shared" si="47"/>
        <v>0</v>
      </c>
      <c r="S53" s="40">
        <f t="shared" si="47"/>
        <v>0</v>
      </c>
      <c r="T53" s="40">
        <f t="shared" si="47"/>
        <v>0</v>
      </c>
    </row>
    <row r="54" ht="15.75" customHeight="1">
      <c r="A54" s="63"/>
      <c r="B54" s="63"/>
      <c r="C54" s="63"/>
      <c r="D54" s="63"/>
      <c r="E54" s="63"/>
      <c r="F54" s="23"/>
      <c r="G54" s="19">
        <f>$G$30</f>
        <v>22</v>
      </c>
      <c r="H54" s="20">
        <v>10.0</v>
      </c>
      <c r="I54" s="20">
        <v>3.0</v>
      </c>
      <c r="J54" s="20">
        <v>0.0</v>
      </c>
      <c r="K54" s="20">
        <v>1.0</v>
      </c>
      <c r="L54" s="20">
        <v>0.0</v>
      </c>
      <c r="N54" s="23"/>
      <c r="O54" s="19">
        <f>$G$30</f>
        <v>22</v>
      </c>
      <c r="P54" s="40">
        <f t="shared" ref="P54:T54" si="48">H54/A$57</f>
        <v>0.03984063745</v>
      </c>
      <c r="Q54" s="40">
        <f t="shared" si="48"/>
        <v>0.02830188679</v>
      </c>
      <c r="R54" s="40">
        <f t="shared" si="48"/>
        <v>0</v>
      </c>
      <c r="S54" s="40">
        <f t="shared" si="48"/>
        <v>0.04347826087</v>
      </c>
      <c r="T54" s="40">
        <f t="shared" si="48"/>
        <v>0</v>
      </c>
    </row>
    <row r="55" ht="15.75" customHeight="1">
      <c r="A55" s="63"/>
      <c r="B55" s="63"/>
      <c r="C55" s="63"/>
      <c r="D55" s="63"/>
      <c r="E55" s="63"/>
      <c r="F55" s="27"/>
      <c r="G55" s="19">
        <f>$G$31</f>
        <v>23</v>
      </c>
      <c r="H55" s="20">
        <v>8.0</v>
      </c>
      <c r="I55" s="20">
        <v>0.0</v>
      </c>
      <c r="J55" s="20">
        <v>0.0</v>
      </c>
      <c r="K55" s="20">
        <v>0.0</v>
      </c>
      <c r="L55" s="20">
        <v>0.0</v>
      </c>
      <c r="N55" s="27"/>
      <c r="O55" s="19">
        <f>$G$31</f>
        <v>23</v>
      </c>
      <c r="P55" s="40">
        <f t="shared" ref="P55:T55" si="49">H55/A$57</f>
        <v>0.03187250996</v>
      </c>
      <c r="Q55" s="40">
        <f t="shared" si="49"/>
        <v>0</v>
      </c>
      <c r="R55" s="40">
        <f t="shared" si="49"/>
        <v>0</v>
      </c>
      <c r="S55" s="40">
        <f t="shared" si="49"/>
        <v>0</v>
      </c>
      <c r="T55" s="40">
        <f t="shared" si="49"/>
        <v>0</v>
      </c>
    </row>
    <row r="56" ht="15.75" customHeight="1">
      <c r="A56" s="63"/>
      <c r="B56" s="63"/>
      <c r="C56" s="63"/>
      <c r="D56" s="63"/>
      <c r="E56" s="63"/>
      <c r="F56" s="18">
        <v>45196.0</v>
      </c>
      <c r="G56" s="19">
        <f>$G$8</f>
        <v>0</v>
      </c>
      <c r="H56" s="34">
        <v>2.0</v>
      </c>
      <c r="I56" s="34">
        <v>0.0</v>
      </c>
      <c r="J56" s="34">
        <v>0.0</v>
      </c>
      <c r="K56" s="34">
        <v>0.0</v>
      </c>
      <c r="L56" s="34">
        <v>0.0</v>
      </c>
      <c r="N56" s="18">
        <v>45196.0</v>
      </c>
      <c r="O56" s="19">
        <f>$G$8</f>
        <v>0</v>
      </c>
      <c r="P56" s="40">
        <f t="shared" ref="P56:T56" si="50">H56/A$84</f>
        <v>0.006329113924</v>
      </c>
      <c r="Q56" s="40">
        <f t="shared" si="50"/>
        <v>0</v>
      </c>
      <c r="R56" s="40">
        <f t="shared" si="50"/>
        <v>0</v>
      </c>
      <c r="S56" s="40">
        <f t="shared" si="50"/>
        <v>0</v>
      </c>
      <c r="T56" s="40">
        <f t="shared" si="50"/>
        <v>0</v>
      </c>
    </row>
    <row r="57" ht="15.75" customHeight="1">
      <c r="A57" s="73">
        <f t="shared" ref="A57:E57" si="51">SUM(H32:H55)</f>
        <v>251</v>
      </c>
      <c r="B57" s="73">
        <f t="shared" si="51"/>
        <v>106</v>
      </c>
      <c r="C57" s="73">
        <f t="shared" si="51"/>
        <v>1</v>
      </c>
      <c r="D57" s="73">
        <f t="shared" si="51"/>
        <v>23</v>
      </c>
      <c r="E57" s="73">
        <f t="shared" si="51"/>
        <v>18</v>
      </c>
      <c r="F57" s="23"/>
      <c r="G57" s="19">
        <f>$G$9</f>
        <v>1</v>
      </c>
      <c r="H57" s="34">
        <v>8.0</v>
      </c>
      <c r="I57" s="34">
        <v>0.0</v>
      </c>
      <c r="J57" s="34">
        <v>0.0</v>
      </c>
      <c r="K57" s="34">
        <v>0.0</v>
      </c>
      <c r="L57" s="34">
        <v>0.0</v>
      </c>
      <c r="N57" s="23"/>
      <c r="O57" s="19">
        <f>$G$9</f>
        <v>1</v>
      </c>
      <c r="P57" s="40">
        <f t="shared" ref="P57:T57" si="52">H57/A$84</f>
        <v>0.0253164557</v>
      </c>
      <c r="Q57" s="40">
        <f t="shared" si="52"/>
        <v>0</v>
      </c>
      <c r="R57" s="40">
        <f t="shared" si="52"/>
        <v>0</v>
      </c>
      <c r="S57" s="40">
        <f t="shared" si="52"/>
        <v>0</v>
      </c>
      <c r="T57" s="40">
        <f t="shared" si="52"/>
        <v>0</v>
      </c>
    </row>
    <row r="58" ht="15.75" customHeight="1">
      <c r="A58" s="19">
        <f>$H$7</f>
        <v>31</v>
      </c>
      <c r="B58" s="19">
        <f>$I$7</f>
        <v>32</v>
      </c>
      <c r="C58" s="19">
        <f>$J$7</f>
        <v>41</v>
      </c>
      <c r="D58" s="19">
        <f>$K$7</f>
        <v>42</v>
      </c>
      <c r="E58" s="19">
        <f>$L$7</f>
        <v>5</v>
      </c>
      <c r="F58" s="23"/>
      <c r="G58" s="19">
        <f>$G$10</f>
        <v>2</v>
      </c>
      <c r="H58" s="34">
        <v>2.0</v>
      </c>
      <c r="I58" s="34">
        <v>0.0</v>
      </c>
      <c r="J58" s="34">
        <v>0.0</v>
      </c>
      <c r="K58" s="34">
        <v>0.0</v>
      </c>
      <c r="L58" s="34">
        <v>0.0</v>
      </c>
      <c r="N58" s="23"/>
      <c r="O58" s="19">
        <f>$G$10</f>
        <v>2</v>
      </c>
      <c r="P58" s="40">
        <f t="shared" ref="P58:T58" si="53">H58/A$84</f>
        <v>0.006329113924</v>
      </c>
      <c r="Q58" s="40">
        <f t="shared" si="53"/>
        <v>0</v>
      </c>
      <c r="R58" s="40">
        <f t="shared" si="53"/>
        <v>0</v>
      </c>
      <c r="S58" s="40">
        <f t="shared" si="53"/>
        <v>0</v>
      </c>
      <c r="T58" s="40">
        <f t="shared" si="53"/>
        <v>0</v>
      </c>
    </row>
    <row r="59" ht="15.75" customHeight="1">
      <c r="A59" s="63"/>
      <c r="B59" s="63"/>
      <c r="C59" s="63"/>
      <c r="D59" s="63"/>
      <c r="E59" s="63"/>
      <c r="F59" s="23"/>
      <c r="G59" s="19">
        <f>$G$11</f>
        <v>3</v>
      </c>
      <c r="H59" s="34">
        <v>1.0</v>
      </c>
      <c r="I59" s="34">
        <v>0.0</v>
      </c>
      <c r="J59" s="34">
        <v>0.0</v>
      </c>
      <c r="K59" s="34">
        <v>1.0</v>
      </c>
      <c r="L59" s="34">
        <v>0.0</v>
      </c>
      <c r="N59" s="23"/>
      <c r="O59" s="19">
        <f>$G$11</f>
        <v>3</v>
      </c>
      <c r="P59" s="40">
        <f t="shared" ref="P59:T59" si="54">H59/A$84</f>
        <v>0.003164556962</v>
      </c>
      <c r="Q59" s="40">
        <f t="shared" si="54"/>
        <v>0</v>
      </c>
      <c r="R59" s="40">
        <f t="shared" si="54"/>
        <v>0</v>
      </c>
      <c r="S59" s="40">
        <f t="shared" si="54"/>
        <v>0.06666666667</v>
      </c>
      <c r="T59" s="40">
        <f t="shared" si="54"/>
        <v>0</v>
      </c>
    </row>
    <row r="60" ht="15.75" customHeight="1">
      <c r="A60" s="16" t="s">
        <v>16</v>
      </c>
      <c r="B60" s="63"/>
      <c r="C60" s="63"/>
      <c r="D60" s="63"/>
      <c r="E60" s="63"/>
      <c r="F60" s="23"/>
      <c r="G60" s="19">
        <f>$G$12</f>
        <v>4</v>
      </c>
      <c r="H60" s="34">
        <v>2.0</v>
      </c>
      <c r="I60" s="34">
        <v>1.0</v>
      </c>
      <c r="J60" s="34">
        <v>0.0</v>
      </c>
      <c r="K60" s="34">
        <v>1.0</v>
      </c>
      <c r="L60" s="34">
        <v>0.0</v>
      </c>
      <c r="N60" s="23"/>
      <c r="O60" s="19">
        <f>$G$12</f>
        <v>4</v>
      </c>
      <c r="P60" s="40">
        <f t="shared" ref="P60:T60" si="55">H60/A$84</f>
        <v>0.006329113924</v>
      </c>
      <c r="Q60" s="40">
        <f t="shared" si="55"/>
        <v>0.01162790698</v>
      </c>
      <c r="R60" s="40">
        <f t="shared" si="55"/>
        <v>0</v>
      </c>
      <c r="S60" s="40">
        <f t="shared" si="55"/>
        <v>0.06666666667</v>
      </c>
      <c r="T60" s="40">
        <f t="shared" si="55"/>
        <v>0</v>
      </c>
    </row>
    <row r="61" ht="15.75" customHeight="1">
      <c r="A61" s="16" t="s">
        <v>17</v>
      </c>
      <c r="B61" s="63"/>
      <c r="C61" s="63"/>
      <c r="D61" s="63"/>
      <c r="E61" s="63"/>
      <c r="F61" s="23"/>
      <c r="G61" s="19">
        <f>$G$13</f>
        <v>5</v>
      </c>
      <c r="H61" s="34">
        <v>2.0</v>
      </c>
      <c r="I61" s="34">
        <v>4.0</v>
      </c>
      <c r="J61" s="34">
        <v>0.0</v>
      </c>
      <c r="K61" s="34">
        <v>0.0</v>
      </c>
      <c r="L61" s="34">
        <v>0.0</v>
      </c>
      <c r="N61" s="23"/>
      <c r="O61" s="19">
        <f>$G$13</f>
        <v>5</v>
      </c>
      <c r="P61" s="40">
        <f t="shared" ref="P61:T61" si="56">H61/A$84</f>
        <v>0.006329113924</v>
      </c>
      <c r="Q61" s="40">
        <f t="shared" si="56"/>
        <v>0.04651162791</v>
      </c>
      <c r="R61" s="40">
        <f t="shared" si="56"/>
        <v>0</v>
      </c>
      <c r="S61" s="40">
        <f t="shared" si="56"/>
        <v>0</v>
      </c>
      <c r="T61" s="40">
        <f t="shared" si="56"/>
        <v>0</v>
      </c>
    </row>
    <row r="62" ht="15.75" customHeight="1">
      <c r="A62" s="16" t="s">
        <v>18</v>
      </c>
      <c r="B62" s="63"/>
      <c r="C62" s="63"/>
      <c r="D62" s="63"/>
      <c r="E62" s="63"/>
      <c r="F62" s="23"/>
      <c r="G62" s="19">
        <f>$G$14</f>
        <v>6</v>
      </c>
      <c r="H62" s="34">
        <v>9.0</v>
      </c>
      <c r="I62" s="34">
        <v>3.0</v>
      </c>
      <c r="J62" s="34">
        <v>0.0</v>
      </c>
      <c r="K62" s="34">
        <v>0.0</v>
      </c>
      <c r="L62" s="34">
        <v>2.0</v>
      </c>
      <c r="N62" s="23"/>
      <c r="O62" s="19">
        <f>$G$14</f>
        <v>6</v>
      </c>
      <c r="P62" s="40">
        <f t="shared" ref="P62:T62" si="57">H62/A$84</f>
        <v>0.02848101266</v>
      </c>
      <c r="Q62" s="40">
        <f t="shared" si="57"/>
        <v>0.03488372093</v>
      </c>
      <c r="R62" s="40">
        <f t="shared" si="57"/>
        <v>0</v>
      </c>
      <c r="S62" s="40">
        <f t="shared" si="57"/>
        <v>0</v>
      </c>
      <c r="T62" s="40">
        <f t="shared" si="57"/>
        <v>0.1</v>
      </c>
    </row>
    <row r="63" ht="15.75" customHeight="1">
      <c r="A63" s="16" t="s">
        <v>19</v>
      </c>
      <c r="B63" s="63"/>
      <c r="C63" s="63"/>
      <c r="D63" s="63"/>
      <c r="E63" s="63"/>
      <c r="F63" s="23"/>
      <c r="G63" s="19">
        <f>$G$15</f>
        <v>7</v>
      </c>
      <c r="H63" s="34">
        <v>24.0</v>
      </c>
      <c r="I63" s="34">
        <v>5.0</v>
      </c>
      <c r="J63" s="34">
        <v>0.0</v>
      </c>
      <c r="K63" s="34">
        <v>0.0</v>
      </c>
      <c r="L63" s="34">
        <v>1.0</v>
      </c>
      <c r="N63" s="23"/>
      <c r="O63" s="19">
        <f>$G$15</f>
        <v>7</v>
      </c>
      <c r="P63" s="40">
        <f t="shared" ref="P63:T63" si="58">H63/A$84</f>
        <v>0.07594936709</v>
      </c>
      <c r="Q63" s="40">
        <f t="shared" si="58"/>
        <v>0.05813953488</v>
      </c>
      <c r="R63" s="40">
        <f t="shared" si="58"/>
        <v>0</v>
      </c>
      <c r="S63" s="40">
        <f t="shared" si="58"/>
        <v>0</v>
      </c>
      <c r="T63" s="40">
        <f t="shared" si="58"/>
        <v>0.05</v>
      </c>
    </row>
    <row r="64" ht="15.75" customHeight="1">
      <c r="A64" s="16" t="s">
        <v>20</v>
      </c>
      <c r="B64" s="63"/>
      <c r="C64" s="63"/>
      <c r="D64" s="63"/>
      <c r="E64" s="63"/>
      <c r="F64" s="23"/>
      <c r="G64" s="19">
        <f>$G$16</f>
        <v>8</v>
      </c>
      <c r="H64" s="34">
        <v>23.0</v>
      </c>
      <c r="I64" s="34">
        <v>7.0</v>
      </c>
      <c r="J64" s="34">
        <v>0.0</v>
      </c>
      <c r="K64" s="34">
        <v>0.0</v>
      </c>
      <c r="L64" s="34">
        <v>2.0</v>
      </c>
      <c r="N64" s="23"/>
      <c r="O64" s="19">
        <f>$G$16</f>
        <v>8</v>
      </c>
      <c r="P64" s="40">
        <f t="shared" ref="P64:T64" si="59">H64/A$84</f>
        <v>0.07278481013</v>
      </c>
      <c r="Q64" s="40">
        <f t="shared" si="59"/>
        <v>0.08139534884</v>
      </c>
      <c r="R64" s="40">
        <f t="shared" si="59"/>
        <v>0</v>
      </c>
      <c r="S64" s="40">
        <f t="shared" si="59"/>
        <v>0</v>
      </c>
      <c r="T64" s="40">
        <f t="shared" si="59"/>
        <v>0.1</v>
      </c>
    </row>
    <row r="65" ht="15.75" customHeight="1">
      <c r="A65" s="16" t="s">
        <v>21</v>
      </c>
      <c r="B65" s="63"/>
      <c r="C65" s="63"/>
      <c r="D65" s="63"/>
      <c r="E65" s="63"/>
      <c r="F65" s="23"/>
      <c r="G65" s="19">
        <f>$G$17</f>
        <v>9</v>
      </c>
      <c r="H65" s="34">
        <v>15.0</v>
      </c>
      <c r="I65" s="34">
        <v>5.0</v>
      </c>
      <c r="J65" s="34">
        <v>0.0</v>
      </c>
      <c r="K65" s="34">
        <v>0.0</v>
      </c>
      <c r="L65" s="34">
        <v>3.0</v>
      </c>
      <c r="N65" s="23"/>
      <c r="O65" s="19">
        <f>$G$17</f>
        <v>9</v>
      </c>
      <c r="P65" s="40">
        <f t="shared" ref="P65:T65" si="60">H65/A$84</f>
        <v>0.04746835443</v>
      </c>
      <c r="Q65" s="40">
        <f t="shared" si="60"/>
        <v>0.05813953488</v>
      </c>
      <c r="R65" s="40">
        <f t="shared" si="60"/>
        <v>0</v>
      </c>
      <c r="S65" s="40">
        <f t="shared" si="60"/>
        <v>0</v>
      </c>
      <c r="T65" s="40">
        <f t="shared" si="60"/>
        <v>0.15</v>
      </c>
    </row>
    <row r="66" ht="15.75" customHeight="1">
      <c r="A66" s="16" t="s">
        <v>22</v>
      </c>
      <c r="B66" s="63"/>
      <c r="C66" s="63"/>
      <c r="D66" s="63"/>
      <c r="E66" s="63"/>
      <c r="F66" s="23"/>
      <c r="G66" s="19">
        <f>$G$18</f>
        <v>10</v>
      </c>
      <c r="H66" s="34">
        <v>19.0</v>
      </c>
      <c r="I66" s="34">
        <v>4.0</v>
      </c>
      <c r="J66" s="34">
        <v>0.0</v>
      </c>
      <c r="K66" s="34">
        <v>1.0</v>
      </c>
      <c r="L66" s="34">
        <v>4.0</v>
      </c>
      <c r="N66" s="23"/>
      <c r="O66" s="19">
        <f>$G$18</f>
        <v>10</v>
      </c>
      <c r="P66" s="40">
        <f t="shared" ref="P66:T66" si="61">H66/A$84</f>
        <v>0.06012658228</v>
      </c>
      <c r="Q66" s="40">
        <f t="shared" si="61"/>
        <v>0.04651162791</v>
      </c>
      <c r="R66" s="40">
        <f t="shared" si="61"/>
        <v>0</v>
      </c>
      <c r="S66" s="40">
        <f t="shared" si="61"/>
        <v>0.06666666667</v>
      </c>
      <c r="T66" s="40">
        <f t="shared" si="61"/>
        <v>0.2</v>
      </c>
    </row>
    <row r="67" ht="15.75" customHeight="1">
      <c r="A67" s="16" t="s">
        <v>23</v>
      </c>
      <c r="B67" s="63"/>
      <c r="C67" s="63"/>
      <c r="D67" s="63"/>
      <c r="E67" s="63"/>
      <c r="F67" s="23"/>
      <c r="G67" s="19">
        <f>$G$19</f>
        <v>11</v>
      </c>
      <c r="H67" s="34">
        <v>9.0</v>
      </c>
      <c r="I67" s="34">
        <v>5.0</v>
      </c>
      <c r="J67" s="34">
        <v>0.0</v>
      </c>
      <c r="K67" s="34">
        <v>2.0</v>
      </c>
      <c r="L67" s="34">
        <v>2.0</v>
      </c>
      <c r="N67" s="23"/>
      <c r="O67" s="19">
        <f>$G$19</f>
        <v>11</v>
      </c>
      <c r="P67" s="40">
        <f t="shared" ref="P67:T67" si="62">H67/A$84</f>
        <v>0.02848101266</v>
      </c>
      <c r="Q67" s="40">
        <f t="shared" si="62"/>
        <v>0.05813953488</v>
      </c>
      <c r="R67" s="40">
        <f t="shared" si="62"/>
        <v>0</v>
      </c>
      <c r="S67" s="40">
        <f t="shared" si="62"/>
        <v>0.1333333333</v>
      </c>
      <c r="T67" s="40">
        <f t="shared" si="62"/>
        <v>0.1</v>
      </c>
    </row>
    <row r="68" ht="15.75" customHeight="1">
      <c r="A68" s="16" t="s">
        <v>24</v>
      </c>
      <c r="B68" s="63"/>
      <c r="C68" s="63"/>
      <c r="D68" s="63"/>
      <c r="E68" s="63"/>
      <c r="F68" s="23"/>
      <c r="G68" s="19">
        <f>$G$20</f>
        <v>12</v>
      </c>
      <c r="H68" s="34">
        <v>27.0</v>
      </c>
      <c r="I68" s="34">
        <v>7.0</v>
      </c>
      <c r="J68" s="34">
        <v>0.0</v>
      </c>
      <c r="K68" s="34">
        <v>0.0</v>
      </c>
      <c r="L68" s="34">
        <v>3.0</v>
      </c>
      <c r="N68" s="23"/>
      <c r="O68" s="19">
        <f>$G$20</f>
        <v>12</v>
      </c>
      <c r="P68" s="40">
        <f t="shared" ref="P68:T68" si="63">H68/A$84</f>
        <v>0.08544303797</v>
      </c>
      <c r="Q68" s="40">
        <f t="shared" si="63"/>
        <v>0.08139534884</v>
      </c>
      <c r="R68" s="40">
        <f t="shared" si="63"/>
        <v>0</v>
      </c>
      <c r="S68" s="40">
        <f t="shared" si="63"/>
        <v>0</v>
      </c>
      <c r="T68" s="40">
        <f t="shared" si="63"/>
        <v>0.15</v>
      </c>
    </row>
    <row r="69" ht="15.75" customHeight="1">
      <c r="A69" s="16" t="s">
        <v>25</v>
      </c>
      <c r="B69" s="63"/>
      <c r="C69" s="63"/>
      <c r="D69" s="63"/>
      <c r="E69" s="63"/>
      <c r="F69" s="23"/>
      <c r="G69" s="19">
        <f>$G$21</f>
        <v>13</v>
      </c>
      <c r="H69" s="34">
        <v>16.0</v>
      </c>
      <c r="I69" s="34">
        <v>6.0</v>
      </c>
      <c r="J69" s="34">
        <v>0.0</v>
      </c>
      <c r="K69" s="34">
        <v>1.0</v>
      </c>
      <c r="L69" s="34">
        <v>0.0</v>
      </c>
      <c r="N69" s="23"/>
      <c r="O69" s="19">
        <f>$G$21</f>
        <v>13</v>
      </c>
      <c r="P69" s="40">
        <f t="shared" ref="P69:T69" si="64">H69/A$84</f>
        <v>0.05063291139</v>
      </c>
      <c r="Q69" s="40">
        <f t="shared" si="64"/>
        <v>0.06976744186</v>
      </c>
      <c r="R69" s="40">
        <f t="shared" si="64"/>
        <v>0</v>
      </c>
      <c r="S69" s="40">
        <f t="shared" si="64"/>
        <v>0.06666666667</v>
      </c>
      <c r="T69" s="40">
        <f t="shared" si="64"/>
        <v>0</v>
      </c>
    </row>
    <row r="70" ht="15.75" customHeight="1">
      <c r="A70" s="16" t="s">
        <v>26</v>
      </c>
      <c r="B70" s="63"/>
      <c r="C70" s="63"/>
      <c r="D70" s="63"/>
      <c r="E70" s="63"/>
      <c r="F70" s="23"/>
      <c r="G70" s="19">
        <f>$G$22</f>
        <v>14</v>
      </c>
      <c r="H70" s="34">
        <v>20.0</v>
      </c>
      <c r="I70" s="34">
        <v>6.0</v>
      </c>
      <c r="J70" s="34">
        <v>0.0</v>
      </c>
      <c r="K70" s="34">
        <v>0.0</v>
      </c>
      <c r="L70" s="34">
        <v>1.0</v>
      </c>
      <c r="N70" s="23"/>
      <c r="O70" s="19">
        <f>$G$22</f>
        <v>14</v>
      </c>
      <c r="P70" s="40">
        <f t="shared" ref="P70:T70" si="65">H70/A$84</f>
        <v>0.06329113924</v>
      </c>
      <c r="Q70" s="40">
        <f t="shared" si="65"/>
        <v>0.06976744186</v>
      </c>
      <c r="R70" s="40">
        <f t="shared" si="65"/>
        <v>0</v>
      </c>
      <c r="S70" s="40">
        <f t="shared" si="65"/>
        <v>0</v>
      </c>
      <c r="T70" s="40">
        <f t="shared" si="65"/>
        <v>0.05</v>
      </c>
    </row>
    <row r="71" ht="15.75" customHeight="1">
      <c r="A71" s="16" t="s">
        <v>27</v>
      </c>
      <c r="B71" s="63"/>
      <c r="C71" s="63"/>
      <c r="D71" s="63"/>
      <c r="E71" s="63"/>
      <c r="F71" s="23"/>
      <c r="G71" s="19">
        <f>$G$23</f>
        <v>15</v>
      </c>
      <c r="H71" s="34">
        <v>14.0</v>
      </c>
      <c r="I71" s="34">
        <v>4.0</v>
      </c>
      <c r="J71" s="34">
        <v>0.0</v>
      </c>
      <c r="K71" s="34">
        <v>5.0</v>
      </c>
      <c r="L71" s="34">
        <v>0.0</v>
      </c>
      <c r="N71" s="23"/>
      <c r="O71" s="19">
        <f>$G$23</f>
        <v>15</v>
      </c>
      <c r="P71" s="40">
        <f t="shared" ref="P71:T71" si="66">H71/A$84</f>
        <v>0.04430379747</v>
      </c>
      <c r="Q71" s="40">
        <f t="shared" si="66"/>
        <v>0.04651162791</v>
      </c>
      <c r="R71" s="40">
        <f t="shared" si="66"/>
        <v>0</v>
      </c>
      <c r="S71" s="40">
        <f t="shared" si="66"/>
        <v>0.3333333333</v>
      </c>
      <c r="T71" s="40">
        <f t="shared" si="66"/>
        <v>0</v>
      </c>
    </row>
    <row r="72" ht="15.75" customHeight="1">
      <c r="A72" s="16" t="s">
        <v>28</v>
      </c>
      <c r="B72" s="63"/>
      <c r="C72" s="63"/>
      <c r="D72" s="63"/>
      <c r="E72" s="63"/>
      <c r="F72" s="23"/>
      <c r="G72" s="19">
        <f>$G$24</f>
        <v>16</v>
      </c>
      <c r="H72" s="34">
        <v>16.0</v>
      </c>
      <c r="I72" s="34">
        <v>9.0</v>
      </c>
      <c r="J72" s="34">
        <v>0.0</v>
      </c>
      <c r="K72" s="34">
        <v>3.0</v>
      </c>
      <c r="L72" s="34">
        <v>2.0</v>
      </c>
      <c r="N72" s="23"/>
      <c r="O72" s="19">
        <f>$G$24</f>
        <v>16</v>
      </c>
      <c r="P72" s="40">
        <f t="shared" ref="P72:T72" si="67">H72/A$84</f>
        <v>0.05063291139</v>
      </c>
      <c r="Q72" s="40">
        <f t="shared" si="67"/>
        <v>0.1046511628</v>
      </c>
      <c r="R72" s="40">
        <f t="shared" si="67"/>
        <v>0</v>
      </c>
      <c r="S72" s="40">
        <f t="shared" si="67"/>
        <v>0.2</v>
      </c>
      <c r="T72" s="40">
        <f t="shared" si="67"/>
        <v>0.1</v>
      </c>
    </row>
    <row r="73" ht="15.75" customHeight="1">
      <c r="A73" s="16" t="s">
        <v>29</v>
      </c>
      <c r="B73" s="63"/>
      <c r="C73" s="63"/>
      <c r="D73" s="63"/>
      <c r="E73" s="63"/>
      <c r="F73" s="23"/>
      <c r="G73" s="19">
        <f>$G$25</f>
        <v>17</v>
      </c>
      <c r="H73" s="34">
        <v>25.0</v>
      </c>
      <c r="I73" s="34">
        <v>5.0</v>
      </c>
      <c r="J73" s="34">
        <v>1.0</v>
      </c>
      <c r="K73" s="34">
        <v>0.0</v>
      </c>
      <c r="L73" s="34">
        <v>0.0</v>
      </c>
      <c r="N73" s="23"/>
      <c r="O73" s="19">
        <f>$G$25</f>
        <v>17</v>
      </c>
      <c r="P73" s="40">
        <f t="shared" ref="P73:T73" si="68">H73/A$84</f>
        <v>0.07911392405</v>
      </c>
      <c r="Q73" s="40">
        <f t="shared" si="68"/>
        <v>0.05813953488</v>
      </c>
      <c r="R73" s="40">
        <f t="shared" si="68"/>
        <v>1</v>
      </c>
      <c r="S73" s="40">
        <f t="shared" si="68"/>
        <v>0</v>
      </c>
      <c r="T73" s="40">
        <f t="shared" si="68"/>
        <v>0</v>
      </c>
    </row>
    <row r="74" ht="15.75" customHeight="1">
      <c r="A74" s="16" t="s">
        <v>30</v>
      </c>
      <c r="B74" s="63"/>
      <c r="C74" s="63"/>
      <c r="D74" s="63"/>
      <c r="E74" s="63"/>
      <c r="F74" s="23"/>
      <c r="G74" s="19">
        <f>$G$26</f>
        <v>18</v>
      </c>
      <c r="H74" s="34">
        <v>27.0</v>
      </c>
      <c r="I74" s="34">
        <v>4.0</v>
      </c>
      <c r="J74" s="34">
        <v>0.0</v>
      </c>
      <c r="K74" s="34">
        <v>0.0</v>
      </c>
      <c r="L74" s="34">
        <v>0.0</v>
      </c>
      <c r="N74" s="23"/>
      <c r="O74" s="19">
        <f>$G$26</f>
        <v>18</v>
      </c>
      <c r="P74" s="40">
        <f t="shared" ref="P74:T74" si="69">H74/A$84</f>
        <v>0.08544303797</v>
      </c>
      <c r="Q74" s="40">
        <f t="shared" si="69"/>
        <v>0.04651162791</v>
      </c>
      <c r="R74" s="40">
        <f t="shared" si="69"/>
        <v>0</v>
      </c>
      <c r="S74" s="40">
        <f t="shared" si="69"/>
        <v>0</v>
      </c>
      <c r="T74" s="40">
        <f t="shared" si="69"/>
        <v>0</v>
      </c>
    </row>
    <row r="75" ht="15.75" customHeight="1">
      <c r="A75" s="16" t="s">
        <v>31</v>
      </c>
      <c r="B75" s="63"/>
      <c r="C75" s="63"/>
      <c r="D75" s="63"/>
      <c r="E75" s="63"/>
      <c r="F75" s="23"/>
      <c r="G75" s="19">
        <f>$G$27</f>
        <v>19</v>
      </c>
      <c r="H75" s="34">
        <v>22.0</v>
      </c>
      <c r="I75" s="34">
        <v>3.0</v>
      </c>
      <c r="J75" s="34">
        <v>0.0</v>
      </c>
      <c r="K75" s="34">
        <v>0.0</v>
      </c>
      <c r="L75" s="34">
        <v>0.0</v>
      </c>
      <c r="N75" s="23"/>
      <c r="O75" s="19">
        <f>$G$27</f>
        <v>19</v>
      </c>
      <c r="P75" s="40">
        <f t="shared" ref="P75:T75" si="70">H75/A$84</f>
        <v>0.06962025316</v>
      </c>
      <c r="Q75" s="40">
        <f t="shared" si="70"/>
        <v>0.03488372093</v>
      </c>
      <c r="R75" s="40">
        <f t="shared" si="70"/>
        <v>0</v>
      </c>
      <c r="S75" s="40">
        <f t="shared" si="70"/>
        <v>0</v>
      </c>
      <c r="T75" s="40">
        <f t="shared" si="70"/>
        <v>0</v>
      </c>
    </row>
    <row r="76" ht="15.75" customHeight="1">
      <c r="A76" s="16" t="s">
        <v>32</v>
      </c>
      <c r="B76" s="63"/>
      <c r="C76" s="63"/>
      <c r="D76" s="63"/>
      <c r="E76" s="63"/>
      <c r="F76" s="23"/>
      <c r="G76" s="19">
        <f>$G$28</f>
        <v>20</v>
      </c>
      <c r="H76" s="34">
        <v>14.0</v>
      </c>
      <c r="I76" s="34">
        <v>3.0</v>
      </c>
      <c r="J76" s="34">
        <v>0.0</v>
      </c>
      <c r="K76" s="34">
        <v>0.0</v>
      </c>
      <c r="L76" s="34">
        <v>0.0</v>
      </c>
      <c r="N76" s="23"/>
      <c r="O76" s="19">
        <f>$G$28</f>
        <v>20</v>
      </c>
      <c r="P76" s="40">
        <f t="shared" ref="P76:T76" si="71">H76/A$84</f>
        <v>0.04430379747</v>
      </c>
      <c r="Q76" s="40">
        <f t="shared" si="71"/>
        <v>0.03488372093</v>
      </c>
      <c r="R76" s="40">
        <f t="shared" si="71"/>
        <v>0</v>
      </c>
      <c r="S76" s="40">
        <f t="shared" si="71"/>
        <v>0</v>
      </c>
      <c r="T76" s="40">
        <f t="shared" si="71"/>
        <v>0</v>
      </c>
    </row>
    <row r="77" ht="15.75" customHeight="1">
      <c r="A77" s="16" t="s">
        <v>33</v>
      </c>
      <c r="B77" s="63"/>
      <c r="C77" s="63"/>
      <c r="D77" s="63"/>
      <c r="E77" s="63"/>
      <c r="F77" s="23"/>
      <c r="G77" s="19">
        <f>$G$29</f>
        <v>21</v>
      </c>
      <c r="H77" s="34">
        <v>7.0</v>
      </c>
      <c r="I77" s="34">
        <v>5.0</v>
      </c>
      <c r="J77" s="34">
        <v>0.0</v>
      </c>
      <c r="K77" s="34">
        <v>0.0</v>
      </c>
      <c r="L77" s="34">
        <v>0.0</v>
      </c>
      <c r="N77" s="23"/>
      <c r="O77" s="19">
        <f>$G$29</f>
        <v>21</v>
      </c>
      <c r="P77" s="40">
        <f t="shared" ref="P77:T77" si="72">H77/A$84</f>
        <v>0.02215189873</v>
      </c>
      <c r="Q77" s="40">
        <f t="shared" si="72"/>
        <v>0.05813953488</v>
      </c>
      <c r="R77" s="40">
        <f t="shared" si="72"/>
        <v>0</v>
      </c>
      <c r="S77" s="40">
        <f t="shared" si="72"/>
        <v>0</v>
      </c>
      <c r="T77" s="40">
        <f t="shared" si="72"/>
        <v>0</v>
      </c>
    </row>
    <row r="78" ht="15.75" customHeight="1">
      <c r="A78" s="16" t="s">
        <v>34</v>
      </c>
      <c r="B78" s="63"/>
      <c r="C78" s="63"/>
      <c r="D78" s="63"/>
      <c r="E78" s="63"/>
      <c r="F78" s="23"/>
      <c r="G78" s="19">
        <f>$G$30</f>
        <v>22</v>
      </c>
      <c r="H78" s="34">
        <v>5.0</v>
      </c>
      <c r="I78" s="34">
        <v>0.0</v>
      </c>
      <c r="J78" s="34">
        <v>0.0</v>
      </c>
      <c r="K78" s="34">
        <v>1.0</v>
      </c>
      <c r="L78" s="34">
        <v>0.0</v>
      </c>
      <c r="N78" s="23"/>
      <c r="O78" s="19">
        <f>$G$30</f>
        <v>22</v>
      </c>
      <c r="P78" s="40">
        <f t="shared" ref="P78:T78" si="73">H78/A$84</f>
        <v>0.01582278481</v>
      </c>
      <c r="Q78" s="40">
        <f t="shared" si="73"/>
        <v>0</v>
      </c>
      <c r="R78" s="40">
        <f t="shared" si="73"/>
        <v>0</v>
      </c>
      <c r="S78" s="40">
        <f t="shared" si="73"/>
        <v>0.06666666667</v>
      </c>
      <c r="T78" s="40">
        <f t="shared" si="73"/>
        <v>0</v>
      </c>
    </row>
    <row r="79" ht="15.75" customHeight="1">
      <c r="A79" s="16" t="s">
        <v>35</v>
      </c>
      <c r="B79" s="63"/>
      <c r="C79" s="63"/>
      <c r="D79" s="63"/>
      <c r="E79" s="63"/>
      <c r="F79" s="27"/>
      <c r="G79" s="19">
        <f>$G$31</f>
        <v>23</v>
      </c>
      <c r="H79" s="34">
        <v>7.0</v>
      </c>
      <c r="I79" s="34">
        <v>0.0</v>
      </c>
      <c r="J79" s="34">
        <v>0.0</v>
      </c>
      <c r="K79" s="34">
        <v>0.0</v>
      </c>
      <c r="L79" s="34">
        <v>0.0</v>
      </c>
      <c r="N79" s="27"/>
      <c r="O79" s="19">
        <f>$G$31</f>
        <v>23</v>
      </c>
      <c r="P79" s="40">
        <f t="shared" ref="P79:T79" si="74">H79/A$84</f>
        <v>0.02215189873</v>
      </c>
      <c r="Q79" s="40">
        <f t="shared" si="74"/>
        <v>0</v>
      </c>
      <c r="R79" s="40">
        <f t="shared" si="74"/>
        <v>0</v>
      </c>
      <c r="S79" s="40">
        <f t="shared" si="74"/>
        <v>0</v>
      </c>
      <c r="T79" s="40">
        <f t="shared" si="74"/>
        <v>0</v>
      </c>
    </row>
    <row r="80" ht="15.75" customHeight="1">
      <c r="A80" s="16" t="s">
        <v>36</v>
      </c>
      <c r="B80" s="63"/>
      <c r="C80" s="63"/>
      <c r="D80" s="63"/>
      <c r="E80" s="63"/>
      <c r="F80" s="18">
        <v>45197.0</v>
      </c>
      <c r="G80" s="19">
        <f>$G$8</f>
        <v>0</v>
      </c>
      <c r="H80" s="74">
        <v>6.0</v>
      </c>
      <c r="I80" s="74">
        <v>0.0</v>
      </c>
      <c r="J80" s="74">
        <v>0.0</v>
      </c>
      <c r="K80" s="74">
        <v>1.0</v>
      </c>
      <c r="L80" s="74">
        <v>0.0</v>
      </c>
      <c r="N80" s="18">
        <v>45197.0</v>
      </c>
      <c r="O80" s="19">
        <f>$G$8</f>
        <v>0</v>
      </c>
      <c r="P80" s="40">
        <f t="shared" ref="P80:T80" si="75">H80/A$110</f>
        <v>0.01954397394</v>
      </c>
      <c r="Q80" s="40">
        <f t="shared" si="75"/>
        <v>0</v>
      </c>
      <c r="R80" s="40">
        <f t="shared" si="75"/>
        <v>0</v>
      </c>
      <c r="S80" s="40">
        <f t="shared" si="75"/>
        <v>0.04545454545</v>
      </c>
      <c r="T80" s="40">
        <f t="shared" si="75"/>
        <v>0</v>
      </c>
    </row>
    <row r="81" ht="15.75" customHeight="1">
      <c r="A81" s="16" t="s">
        <v>37</v>
      </c>
      <c r="B81" s="63"/>
      <c r="C81" s="63"/>
      <c r="D81" s="63"/>
      <c r="E81" s="63"/>
      <c r="F81" s="23"/>
      <c r="G81" s="19">
        <f>$G$9</f>
        <v>1</v>
      </c>
      <c r="H81" s="74">
        <v>2.0</v>
      </c>
      <c r="I81" s="74">
        <v>0.0</v>
      </c>
      <c r="J81" s="74">
        <v>0.0</v>
      </c>
      <c r="K81" s="74">
        <v>0.0</v>
      </c>
      <c r="L81" s="74">
        <v>0.0</v>
      </c>
      <c r="N81" s="23"/>
      <c r="O81" s="19">
        <f>$G$9</f>
        <v>1</v>
      </c>
      <c r="P81" s="40">
        <f t="shared" ref="P81:T81" si="76">H81/A$110</f>
        <v>0.00651465798</v>
      </c>
      <c r="Q81" s="40">
        <f t="shared" si="76"/>
        <v>0</v>
      </c>
      <c r="R81" s="40">
        <f t="shared" si="76"/>
        <v>0</v>
      </c>
      <c r="S81" s="40">
        <f t="shared" si="76"/>
        <v>0</v>
      </c>
      <c r="T81" s="40">
        <f t="shared" si="76"/>
        <v>0</v>
      </c>
    </row>
    <row r="82" ht="15.75" customHeight="1">
      <c r="A82" s="16" t="s">
        <v>38</v>
      </c>
      <c r="B82" s="63"/>
      <c r="C82" s="63"/>
      <c r="D82" s="63"/>
      <c r="E82" s="63"/>
      <c r="F82" s="23"/>
      <c r="G82" s="19">
        <f>$G$10</f>
        <v>2</v>
      </c>
      <c r="H82" s="74">
        <v>2.0</v>
      </c>
      <c r="I82" s="74">
        <v>0.0</v>
      </c>
      <c r="J82" s="74">
        <v>0.0</v>
      </c>
      <c r="K82" s="74">
        <v>0.0</v>
      </c>
      <c r="L82" s="74">
        <v>0.0</v>
      </c>
      <c r="N82" s="23"/>
      <c r="O82" s="19">
        <f>$G$10</f>
        <v>2</v>
      </c>
      <c r="P82" s="40">
        <f t="shared" ref="P82:T82" si="77">H82/A$110</f>
        <v>0.00651465798</v>
      </c>
      <c r="Q82" s="40">
        <f t="shared" si="77"/>
        <v>0</v>
      </c>
      <c r="R82" s="40">
        <f t="shared" si="77"/>
        <v>0</v>
      </c>
      <c r="S82" s="40">
        <f t="shared" si="77"/>
        <v>0</v>
      </c>
      <c r="T82" s="40">
        <f t="shared" si="77"/>
        <v>0</v>
      </c>
    </row>
    <row r="83" ht="15.75" customHeight="1">
      <c r="A83" s="16" t="s">
        <v>39</v>
      </c>
      <c r="B83" s="63"/>
      <c r="C83" s="63"/>
      <c r="D83" s="63"/>
      <c r="E83" s="63"/>
      <c r="F83" s="23"/>
      <c r="G83" s="19">
        <f>$G$11</f>
        <v>3</v>
      </c>
      <c r="H83" s="74">
        <v>1.0</v>
      </c>
      <c r="I83" s="74">
        <v>1.0</v>
      </c>
      <c r="J83" s="74">
        <v>0.0</v>
      </c>
      <c r="K83" s="74">
        <v>0.0</v>
      </c>
      <c r="L83" s="74">
        <v>0.0</v>
      </c>
      <c r="N83" s="23"/>
      <c r="O83" s="19">
        <f>$G$11</f>
        <v>3</v>
      </c>
      <c r="P83" s="40">
        <f t="shared" ref="P83:T83" si="78">H83/A$110</f>
        <v>0.00325732899</v>
      </c>
      <c r="Q83" s="40">
        <f t="shared" si="78"/>
        <v>0.008333333333</v>
      </c>
      <c r="R83" s="40">
        <f t="shared" si="78"/>
        <v>0</v>
      </c>
      <c r="S83" s="40">
        <f t="shared" si="78"/>
        <v>0</v>
      </c>
      <c r="T83" s="40">
        <f t="shared" si="78"/>
        <v>0</v>
      </c>
    </row>
    <row r="84" ht="15.75" customHeight="1">
      <c r="A84" s="73">
        <f t="shared" ref="A84:E84" si="79">SUM(H56:H79)</f>
        <v>316</v>
      </c>
      <c r="B84" s="73">
        <f t="shared" si="79"/>
        <v>86</v>
      </c>
      <c r="C84" s="73">
        <f t="shared" si="79"/>
        <v>1</v>
      </c>
      <c r="D84" s="73">
        <f t="shared" si="79"/>
        <v>15</v>
      </c>
      <c r="E84" s="73">
        <f t="shared" si="79"/>
        <v>20</v>
      </c>
      <c r="F84" s="23"/>
      <c r="G84" s="19">
        <f>$G$12</f>
        <v>4</v>
      </c>
      <c r="H84" s="74">
        <v>3.0</v>
      </c>
      <c r="I84" s="74">
        <v>1.0</v>
      </c>
      <c r="J84" s="74">
        <v>0.0</v>
      </c>
      <c r="K84" s="74">
        <v>1.0</v>
      </c>
      <c r="L84" s="74">
        <v>0.0</v>
      </c>
      <c r="N84" s="23"/>
      <c r="O84" s="19">
        <f>$G$12</f>
        <v>4</v>
      </c>
      <c r="P84" s="40">
        <f t="shared" ref="P84:T84" si="80">H84/A$110</f>
        <v>0.009771986971</v>
      </c>
      <c r="Q84" s="40">
        <f t="shared" si="80"/>
        <v>0.008333333333</v>
      </c>
      <c r="R84" s="40">
        <f t="shared" si="80"/>
        <v>0</v>
      </c>
      <c r="S84" s="40">
        <f t="shared" si="80"/>
        <v>0.04545454545</v>
      </c>
      <c r="T84" s="40">
        <f t="shared" si="80"/>
        <v>0</v>
      </c>
    </row>
    <row r="85" ht="15.75" customHeight="1">
      <c r="A85" s="19">
        <f>$H$7</f>
        <v>31</v>
      </c>
      <c r="B85" s="19">
        <f>$I$7</f>
        <v>32</v>
      </c>
      <c r="C85" s="19">
        <f>$J$7</f>
        <v>41</v>
      </c>
      <c r="D85" s="19">
        <f>$K$7</f>
        <v>42</v>
      </c>
      <c r="E85" s="19">
        <f>$L$7</f>
        <v>5</v>
      </c>
      <c r="F85" s="23"/>
      <c r="G85" s="19">
        <f>$G$13</f>
        <v>5</v>
      </c>
      <c r="H85" s="74">
        <v>4.0</v>
      </c>
      <c r="I85" s="74">
        <v>2.0</v>
      </c>
      <c r="J85" s="74">
        <v>0.0</v>
      </c>
      <c r="K85" s="74">
        <v>0.0</v>
      </c>
      <c r="L85" s="74">
        <v>0.0</v>
      </c>
      <c r="N85" s="23"/>
      <c r="O85" s="19">
        <f>$G$13</f>
        <v>5</v>
      </c>
      <c r="P85" s="40">
        <f t="shared" ref="P85:T85" si="81">H85/A$110</f>
        <v>0.01302931596</v>
      </c>
      <c r="Q85" s="40">
        <f t="shared" si="81"/>
        <v>0.01666666667</v>
      </c>
      <c r="R85" s="40">
        <f t="shared" si="81"/>
        <v>0</v>
      </c>
      <c r="S85" s="40">
        <f t="shared" si="81"/>
        <v>0</v>
      </c>
      <c r="T85" s="40">
        <f t="shared" si="81"/>
        <v>0</v>
      </c>
    </row>
    <row r="86" ht="15.75" customHeight="1">
      <c r="A86" s="16" t="s">
        <v>40</v>
      </c>
      <c r="B86" s="63"/>
      <c r="C86" s="63"/>
      <c r="D86" s="63"/>
      <c r="E86" s="63"/>
      <c r="F86" s="23"/>
      <c r="G86" s="19">
        <f>$G$14</f>
        <v>6</v>
      </c>
      <c r="H86" s="74">
        <v>7.0</v>
      </c>
      <c r="I86" s="74">
        <v>6.0</v>
      </c>
      <c r="J86" s="74">
        <v>0.0</v>
      </c>
      <c r="K86" s="74">
        <v>0.0</v>
      </c>
      <c r="L86" s="74">
        <v>0.0</v>
      </c>
      <c r="N86" s="23"/>
      <c r="O86" s="19">
        <f>$G$14</f>
        <v>6</v>
      </c>
      <c r="P86" s="40">
        <f t="shared" ref="P86:T86" si="82">H86/A$110</f>
        <v>0.02280130293</v>
      </c>
      <c r="Q86" s="40">
        <f t="shared" si="82"/>
        <v>0.05</v>
      </c>
      <c r="R86" s="40">
        <f t="shared" si="82"/>
        <v>0</v>
      </c>
      <c r="S86" s="40">
        <f t="shared" si="82"/>
        <v>0</v>
      </c>
      <c r="T86" s="40">
        <f t="shared" si="82"/>
        <v>0</v>
      </c>
    </row>
    <row r="87" ht="15.75" customHeight="1">
      <c r="A87" s="16" t="s">
        <v>41</v>
      </c>
      <c r="B87" s="63"/>
      <c r="C87" s="63"/>
      <c r="D87" s="63"/>
      <c r="E87" s="63"/>
      <c r="F87" s="23"/>
      <c r="G87" s="19">
        <f>$G$15</f>
        <v>7</v>
      </c>
      <c r="H87" s="74">
        <v>26.0</v>
      </c>
      <c r="I87" s="74">
        <v>4.0</v>
      </c>
      <c r="J87" s="74">
        <v>0.0</v>
      </c>
      <c r="K87" s="74">
        <v>1.0</v>
      </c>
      <c r="L87" s="74">
        <v>0.0</v>
      </c>
      <c r="N87" s="23"/>
      <c r="O87" s="19">
        <f>$G$15</f>
        <v>7</v>
      </c>
      <c r="P87" s="40">
        <f t="shared" ref="P87:T87" si="83">H87/A$110</f>
        <v>0.08469055375</v>
      </c>
      <c r="Q87" s="40">
        <f t="shared" si="83"/>
        <v>0.03333333333</v>
      </c>
      <c r="R87" s="40">
        <f t="shared" si="83"/>
        <v>0</v>
      </c>
      <c r="S87" s="40">
        <f t="shared" si="83"/>
        <v>0.04545454545</v>
      </c>
      <c r="T87" s="40">
        <f t="shared" si="83"/>
        <v>0</v>
      </c>
    </row>
    <row r="88" ht="15.75" customHeight="1">
      <c r="A88" s="16" t="s">
        <v>42</v>
      </c>
      <c r="B88" s="63"/>
      <c r="C88" s="63"/>
      <c r="D88" s="63"/>
      <c r="E88" s="63"/>
      <c r="F88" s="23"/>
      <c r="G88" s="19">
        <f>$G$16</f>
        <v>8</v>
      </c>
      <c r="H88" s="74">
        <v>22.0</v>
      </c>
      <c r="I88" s="74">
        <v>8.0</v>
      </c>
      <c r="J88" s="74">
        <v>0.0</v>
      </c>
      <c r="K88" s="74">
        <v>0.0</v>
      </c>
      <c r="L88" s="74">
        <v>2.0</v>
      </c>
      <c r="N88" s="23"/>
      <c r="O88" s="19">
        <f>$G$16</f>
        <v>8</v>
      </c>
      <c r="P88" s="40">
        <f t="shared" ref="P88:T88" si="84">H88/A$110</f>
        <v>0.07166123779</v>
      </c>
      <c r="Q88" s="40">
        <f t="shared" si="84"/>
        <v>0.06666666667</v>
      </c>
      <c r="R88" s="40">
        <f t="shared" si="84"/>
        <v>0</v>
      </c>
      <c r="S88" s="40">
        <f t="shared" si="84"/>
        <v>0</v>
      </c>
      <c r="T88" s="40">
        <f t="shared" si="84"/>
        <v>0.1052631579</v>
      </c>
    </row>
    <row r="89" ht="15.75" customHeight="1">
      <c r="A89" s="16" t="s">
        <v>43</v>
      </c>
      <c r="B89" s="63"/>
      <c r="C89" s="63"/>
      <c r="D89" s="63"/>
      <c r="E89" s="63"/>
      <c r="F89" s="23"/>
      <c r="G89" s="19">
        <f>$G$17</f>
        <v>9</v>
      </c>
      <c r="H89" s="74">
        <v>8.0</v>
      </c>
      <c r="I89" s="74">
        <v>4.0</v>
      </c>
      <c r="J89" s="74">
        <v>0.0</v>
      </c>
      <c r="K89" s="74">
        <v>0.0</v>
      </c>
      <c r="L89" s="74">
        <v>3.0</v>
      </c>
      <c r="N89" s="23"/>
      <c r="O89" s="19">
        <f>$G$17</f>
        <v>9</v>
      </c>
      <c r="P89" s="40">
        <f t="shared" ref="P89:T89" si="85">H89/A$110</f>
        <v>0.02605863192</v>
      </c>
      <c r="Q89" s="40">
        <f t="shared" si="85"/>
        <v>0.03333333333</v>
      </c>
      <c r="R89" s="40">
        <f t="shared" si="85"/>
        <v>0</v>
      </c>
      <c r="S89" s="40">
        <f t="shared" si="85"/>
        <v>0</v>
      </c>
      <c r="T89" s="40">
        <f t="shared" si="85"/>
        <v>0.1578947368</v>
      </c>
    </row>
    <row r="90" ht="15.75" customHeight="1">
      <c r="A90" s="16" t="s">
        <v>44</v>
      </c>
      <c r="B90" s="63"/>
      <c r="C90" s="63"/>
      <c r="D90" s="63"/>
      <c r="E90" s="63"/>
      <c r="F90" s="23"/>
      <c r="G90" s="19">
        <f>$G$18</f>
        <v>10</v>
      </c>
      <c r="H90" s="74">
        <v>16.0</v>
      </c>
      <c r="I90" s="74">
        <v>7.0</v>
      </c>
      <c r="J90" s="74">
        <v>0.0</v>
      </c>
      <c r="K90" s="74">
        <v>3.0</v>
      </c>
      <c r="L90" s="74">
        <v>2.0</v>
      </c>
      <c r="N90" s="23"/>
      <c r="O90" s="19">
        <f>$G$18</f>
        <v>10</v>
      </c>
      <c r="P90" s="40">
        <f t="shared" ref="P90:T90" si="86">H90/A$110</f>
        <v>0.05211726384</v>
      </c>
      <c r="Q90" s="40">
        <f t="shared" si="86"/>
        <v>0.05833333333</v>
      </c>
      <c r="R90" s="40">
        <f t="shared" si="86"/>
        <v>0</v>
      </c>
      <c r="S90" s="40">
        <f t="shared" si="86"/>
        <v>0.1363636364</v>
      </c>
      <c r="T90" s="40">
        <f t="shared" si="86"/>
        <v>0.1052631579</v>
      </c>
    </row>
    <row r="91" ht="15.75" customHeight="1">
      <c r="A91" s="16" t="s">
        <v>45</v>
      </c>
      <c r="B91" s="63"/>
      <c r="C91" s="63"/>
      <c r="D91" s="63"/>
      <c r="E91" s="63"/>
      <c r="F91" s="23"/>
      <c r="G91" s="19">
        <f>$G$19</f>
        <v>11</v>
      </c>
      <c r="H91" s="74">
        <v>10.0</v>
      </c>
      <c r="I91" s="74">
        <v>13.0</v>
      </c>
      <c r="J91" s="74">
        <v>0.0</v>
      </c>
      <c r="K91" s="74">
        <v>3.0</v>
      </c>
      <c r="L91" s="74">
        <v>2.0</v>
      </c>
      <c r="N91" s="23"/>
      <c r="O91" s="19">
        <f>$G$19</f>
        <v>11</v>
      </c>
      <c r="P91" s="40">
        <f t="shared" ref="P91:T91" si="87">H91/A$110</f>
        <v>0.0325732899</v>
      </c>
      <c r="Q91" s="40">
        <f t="shared" si="87"/>
        <v>0.1083333333</v>
      </c>
      <c r="R91" s="40">
        <f t="shared" si="87"/>
        <v>0</v>
      </c>
      <c r="S91" s="40">
        <f t="shared" si="87"/>
        <v>0.1363636364</v>
      </c>
      <c r="T91" s="40">
        <f t="shared" si="87"/>
        <v>0.1052631579</v>
      </c>
    </row>
    <row r="92" ht="15.75" customHeight="1">
      <c r="A92" s="16" t="s">
        <v>46</v>
      </c>
      <c r="B92" s="63"/>
      <c r="C92" s="63"/>
      <c r="D92" s="63"/>
      <c r="E92" s="63"/>
      <c r="F92" s="23"/>
      <c r="G92" s="19">
        <f>$G$20</f>
        <v>12</v>
      </c>
      <c r="H92" s="74">
        <v>10.0</v>
      </c>
      <c r="I92" s="74">
        <v>4.0</v>
      </c>
      <c r="J92" s="74">
        <v>0.0</v>
      </c>
      <c r="K92" s="74">
        <v>2.0</v>
      </c>
      <c r="L92" s="74">
        <v>0.0</v>
      </c>
      <c r="N92" s="23"/>
      <c r="O92" s="19">
        <f>$G$20</f>
        <v>12</v>
      </c>
      <c r="P92" s="40">
        <f t="shared" ref="P92:T92" si="88">H92/A$110</f>
        <v>0.0325732899</v>
      </c>
      <c r="Q92" s="40">
        <f t="shared" si="88"/>
        <v>0.03333333333</v>
      </c>
      <c r="R92" s="40">
        <f t="shared" si="88"/>
        <v>0</v>
      </c>
      <c r="S92" s="40">
        <f t="shared" si="88"/>
        <v>0.09090909091</v>
      </c>
      <c r="T92" s="40">
        <f t="shared" si="88"/>
        <v>0</v>
      </c>
    </row>
    <row r="93" ht="15.75" customHeight="1">
      <c r="A93" s="16" t="s">
        <v>47</v>
      </c>
      <c r="B93" s="63"/>
      <c r="C93" s="63"/>
      <c r="D93" s="63"/>
      <c r="E93" s="63"/>
      <c r="F93" s="23"/>
      <c r="G93" s="19">
        <f>$G$21</f>
        <v>13</v>
      </c>
      <c r="H93" s="74">
        <v>18.0</v>
      </c>
      <c r="I93" s="74">
        <v>8.0</v>
      </c>
      <c r="J93" s="74">
        <v>0.0</v>
      </c>
      <c r="K93" s="74">
        <v>0.0</v>
      </c>
      <c r="L93" s="74">
        <v>2.0</v>
      </c>
      <c r="N93" s="23"/>
      <c r="O93" s="19">
        <f>$G$21</f>
        <v>13</v>
      </c>
      <c r="P93" s="40">
        <f t="shared" ref="P93:T93" si="89">H93/A$110</f>
        <v>0.05863192182</v>
      </c>
      <c r="Q93" s="40">
        <f t="shared" si="89"/>
        <v>0.06666666667</v>
      </c>
      <c r="R93" s="40">
        <f t="shared" si="89"/>
        <v>0</v>
      </c>
      <c r="S93" s="40">
        <f t="shared" si="89"/>
        <v>0</v>
      </c>
      <c r="T93" s="40">
        <f t="shared" si="89"/>
        <v>0.1052631579</v>
      </c>
    </row>
    <row r="94" ht="15.75" customHeight="1">
      <c r="A94" s="16" t="s">
        <v>48</v>
      </c>
      <c r="B94" s="63"/>
      <c r="C94" s="63"/>
      <c r="D94" s="63"/>
      <c r="E94" s="63"/>
      <c r="F94" s="23"/>
      <c r="G94" s="19">
        <f>$G$22</f>
        <v>14</v>
      </c>
      <c r="H94" s="74">
        <v>13.0</v>
      </c>
      <c r="I94" s="74">
        <v>9.0</v>
      </c>
      <c r="J94" s="74">
        <v>0.0</v>
      </c>
      <c r="K94" s="74">
        <v>4.0</v>
      </c>
      <c r="L94" s="74">
        <v>2.0</v>
      </c>
      <c r="N94" s="23"/>
      <c r="O94" s="19">
        <f>$G$22</f>
        <v>14</v>
      </c>
      <c r="P94" s="40">
        <f t="shared" ref="P94:T94" si="90">H94/A$110</f>
        <v>0.04234527687</v>
      </c>
      <c r="Q94" s="40">
        <f t="shared" si="90"/>
        <v>0.075</v>
      </c>
      <c r="R94" s="40">
        <f t="shared" si="90"/>
        <v>0</v>
      </c>
      <c r="S94" s="40">
        <f t="shared" si="90"/>
        <v>0.1818181818</v>
      </c>
      <c r="T94" s="40">
        <f t="shared" si="90"/>
        <v>0.1052631579</v>
      </c>
    </row>
    <row r="95" ht="15.75" customHeight="1">
      <c r="A95" s="16" t="s">
        <v>49</v>
      </c>
      <c r="B95" s="63"/>
      <c r="C95" s="63"/>
      <c r="D95" s="63"/>
      <c r="E95" s="63"/>
      <c r="F95" s="23"/>
      <c r="G95" s="19">
        <f>$G$23</f>
        <v>15</v>
      </c>
      <c r="H95" s="74">
        <v>14.0</v>
      </c>
      <c r="I95" s="74">
        <v>11.0</v>
      </c>
      <c r="J95" s="74">
        <v>0.0</v>
      </c>
      <c r="K95" s="74">
        <v>3.0</v>
      </c>
      <c r="L95" s="74">
        <v>3.0</v>
      </c>
      <c r="N95" s="23"/>
      <c r="O95" s="19">
        <f>$G$23</f>
        <v>15</v>
      </c>
      <c r="P95" s="40">
        <f t="shared" ref="P95:T95" si="91">H95/A$110</f>
        <v>0.04560260586</v>
      </c>
      <c r="Q95" s="40">
        <f t="shared" si="91"/>
        <v>0.09166666667</v>
      </c>
      <c r="R95" s="40">
        <f t="shared" si="91"/>
        <v>0</v>
      </c>
      <c r="S95" s="40">
        <f t="shared" si="91"/>
        <v>0.1363636364</v>
      </c>
      <c r="T95" s="40">
        <f t="shared" si="91"/>
        <v>0.1578947368</v>
      </c>
    </row>
    <row r="96" ht="15.75" customHeight="1">
      <c r="A96" s="16" t="s">
        <v>50</v>
      </c>
      <c r="B96" s="63"/>
      <c r="C96" s="63"/>
      <c r="D96" s="63"/>
      <c r="E96" s="63"/>
      <c r="F96" s="23"/>
      <c r="G96" s="19">
        <f>$G$24</f>
        <v>16</v>
      </c>
      <c r="H96" s="74">
        <v>26.0</v>
      </c>
      <c r="I96" s="74">
        <v>8.0</v>
      </c>
      <c r="J96" s="74">
        <v>0.0</v>
      </c>
      <c r="K96" s="74">
        <v>2.0</v>
      </c>
      <c r="L96" s="74">
        <v>3.0</v>
      </c>
      <c r="N96" s="23"/>
      <c r="O96" s="19">
        <f>$G$24</f>
        <v>16</v>
      </c>
      <c r="P96" s="40">
        <f t="shared" ref="P96:T96" si="92">H96/A$110</f>
        <v>0.08469055375</v>
      </c>
      <c r="Q96" s="40">
        <f t="shared" si="92"/>
        <v>0.06666666667</v>
      </c>
      <c r="R96" s="40">
        <f t="shared" si="92"/>
        <v>0</v>
      </c>
      <c r="S96" s="40">
        <f t="shared" si="92"/>
        <v>0.09090909091</v>
      </c>
      <c r="T96" s="40">
        <f t="shared" si="92"/>
        <v>0.1578947368</v>
      </c>
    </row>
    <row r="97" ht="15.75" customHeight="1">
      <c r="A97" s="16" t="s">
        <v>51</v>
      </c>
      <c r="B97" s="63"/>
      <c r="C97" s="63"/>
      <c r="D97" s="63"/>
      <c r="E97" s="63"/>
      <c r="F97" s="23"/>
      <c r="G97" s="19">
        <f>$G$25</f>
        <v>17</v>
      </c>
      <c r="H97" s="74">
        <v>29.0</v>
      </c>
      <c r="I97" s="74">
        <v>13.0</v>
      </c>
      <c r="J97" s="74">
        <v>1.0</v>
      </c>
      <c r="K97" s="74">
        <v>2.0</v>
      </c>
      <c r="L97" s="74">
        <v>0.0</v>
      </c>
      <c r="N97" s="23"/>
      <c r="O97" s="19">
        <f>$G$25</f>
        <v>17</v>
      </c>
      <c r="P97" s="40">
        <f t="shared" ref="P97:T97" si="93">H97/A$110</f>
        <v>0.09446254072</v>
      </c>
      <c r="Q97" s="40">
        <f t="shared" si="93"/>
        <v>0.1083333333</v>
      </c>
      <c r="R97" s="40">
        <f t="shared" si="93"/>
        <v>1</v>
      </c>
      <c r="S97" s="40">
        <f t="shared" si="93"/>
        <v>0.09090909091</v>
      </c>
      <c r="T97" s="40">
        <f t="shared" si="93"/>
        <v>0</v>
      </c>
    </row>
    <row r="98" ht="15.75" customHeight="1">
      <c r="A98" s="16" t="s">
        <v>52</v>
      </c>
      <c r="B98" s="63"/>
      <c r="C98" s="63"/>
      <c r="D98" s="63"/>
      <c r="E98" s="63"/>
      <c r="F98" s="23"/>
      <c r="G98" s="19">
        <f>$G$26</f>
        <v>18</v>
      </c>
      <c r="H98" s="74">
        <v>28.0</v>
      </c>
      <c r="I98" s="74">
        <v>3.0</v>
      </c>
      <c r="J98" s="74">
        <v>0.0</v>
      </c>
      <c r="K98" s="74">
        <v>0.0</v>
      </c>
      <c r="L98" s="74">
        <v>0.0</v>
      </c>
      <c r="N98" s="23"/>
      <c r="O98" s="19">
        <f>$G$26</f>
        <v>18</v>
      </c>
      <c r="P98" s="40">
        <f t="shared" ref="P98:T98" si="94">H98/A$110</f>
        <v>0.09120521173</v>
      </c>
      <c r="Q98" s="40">
        <f t="shared" si="94"/>
        <v>0.025</v>
      </c>
      <c r="R98" s="40">
        <f t="shared" si="94"/>
        <v>0</v>
      </c>
      <c r="S98" s="40">
        <f t="shared" si="94"/>
        <v>0</v>
      </c>
      <c r="T98" s="40">
        <f t="shared" si="94"/>
        <v>0</v>
      </c>
    </row>
    <row r="99" ht="15.75" customHeight="1">
      <c r="A99" s="16" t="s">
        <v>53</v>
      </c>
      <c r="B99" s="63"/>
      <c r="C99" s="63"/>
      <c r="D99" s="63"/>
      <c r="E99" s="63"/>
      <c r="F99" s="23"/>
      <c r="G99" s="19">
        <f>$G$27</f>
        <v>19</v>
      </c>
      <c r="H99" s="74">
        <v>16.0</v>
      </c>
      <c r="I99" s="74">
        <v>3.0</v>
      </c>
      <c r="J99" s="74">
        <v>0.0</v>
      </c>
      <c r="K99" s="74">
        <v>0.0</v>
      </c>
      <c r="L99" s="74">
        <v>0.0</v>
      </c>
      <c r="N99" s="23"/>
      <c r="O99" s="19">
        <f>$G$27</f>
        <v>19</v>
      </c>
      <c r="P99" s="40">
        <f t="shared" ref="P99:T99" si="95">H99/A$110</f>
        <v>0.05211726384</v>
      </c>
      <c r="Q99" s="40">
        <f t="shared" si="95"/>
        <v>0.025</v>
      </c>
      <c r="R99" s="40">
        <f t="shared" si="95"/>
        <v>0</v>
      </c>
      <c r="S99" s="40">
        <f t="shared" si="95"/>
        <v>0</v>
      </c>
      <c r="T99" s="40">
        <f t="shared" si="95"/>
        <v>0</v>
      </c>
    </row>
    <row r="100" ht="15.75" customHeight="1">
      <c r="A100" s="16" t="s">
        <v>54</v>
      </c>
      <c r="B100" s="63"/>
      <c r="C100" s="63"/>
      <c r="D100" s="63"/>
      <c r="E100" s="63"/>
      <c r="F100" s="23"/>
      <c r="G100" s="19">
        <f>$G$28</f>
        <v>20</v>
      </c>
      <c r="H100" s="74">
        <v>14.0</v>
      </c>
      <c r="I100" s="74">
        <v>9.0</v>
      </c>
      <c r="J100" s="74">
        <v>0.0</v>
      </c>
      <c r="K100" s="74">
        <v>0.0</v>
      </c>
      <c r="L100" s="74">
        <v>0.0</v>
      </c>
      <c r="N100" s="23"/>
      <c r="O100" s="19">
        <f>$G$28</f>
        <v>20</v>
      </c>
      <c r="P100" s="40">
        <f t="shared" ref="P100:T100" si="96">H100/A$110</f>
        <v>0.04560260586</v>
      </c>
      <c r="Q100" s="40">
        <f t="shared" si="96"/>
        <v>0.075</v>
      </c>
      <c r="R100" s="40">
        <f t="shared" si="96"/>
        <v>0</v>
      </c>
      <c r="S100" s="40">
        <f t="shared" si="96"/>
        <v>0</v>
      </c>
      <c r="T100" s="40">
        <f t="shared" si="96"/>
        <v>0</v>
      </c>
    </row>
    <row r="101" ht="15.75" customHeight="1">
      <c r="A101" s="16" t="s">
        <v>55</v>
      </c>
      <c r="B101" s="63"/>
      <c r="C101" s="63"/>
      <c r="D101" s="63"/>
      <c r="E101" s="63"/>
      <c r="F101" s="23"/>
      <c r="G101" s="19">
        <f>$G$29</f>
        <v>21</v>
      </c>
      <c r="H101" s="74">
        <v>16.0</v>
      </c>
      <c r="I101" s="74">
        <v>4.0</v>
      </c>
      <c r="J101" s="74">
        <v>0.0</v>
      </c>
      <c r="K101" s="74">
        <v>0.0</v>
      </c>
      <c r="L101" s="74">
        <v>0.0</v>
      </c>
      <c r="N101" s="23"/>
      <c r="O101" s="19">
        <f>$G$29</f>
        <v>21</v>
      </c>
      <c r="P101" s="40">
        <f t="shared" ref="P101:T101" si="97">H101/A$110</f>
        <v>0.05211726384</v>
      </c>
      <c r="Q101" s="40">
        <f t="shared" si="97"/>
        <v>0.03333333333</v>
      </c>
      <c r="R101" s="40">
        <f t="shared" si="97"/>
        <v>0</v>
      </c>
      <c r="S101" s="40">
        <f t="shared" si="97"/>
        <v>0</v>
      </c>
      <c r="T101" s="40">
        <f t="shared" si="97"/>
        <v>0</v>
      </c>
    </row>
    <row r="102" ht="15.75" customHeight="1">
      <c r="A102" s="16" t="s">
        <v>56</v>
      </c>
      <c r="B102" s="63"/>
      <c r="C102" s="63"/>
      <c r="D102" s="63"/>
      <c r="E102" s="63"/>
      <c r="F102" s="23"/>
      <c r="G102" s="19">
        <f>$G$30</f>
        <v>22</v>
      </c>
      <c r="H102" s="74">
        <v>7.0</v>
      </c>
      <c r="I102" s="74">
        <v>1.0</v>
      </c>
      <c r="J102" s="74">
        <v>0.0</v>
      </c>
      <c r="K102" s="74">
        <v>0.0</v>
      </c>
      <c r="L102" s="74">
        <v>0.0</v>
      </c>
      <c r="N102" s="23"/>
      <c r="O102" s="19">
        <f>$G$30</f>
        <v>22</v>
      </c>
      <c r="P102" s="40">
        <f t="shared" ref="P102:T102" si="98">H102/A$110</f>
        <v>0.02280130293</v>
      </c>
      <c r="Q102" s="40">
        <f t="shared" si="98"/>
        <v>0.008333333333</v>
      </c>
      <c r="R102" s="40">
        <f t="shared" si="98"/>
        <v>0</v>
      </c>
      <c r="S102" s="40">
        <f t="shared" si="98"/>
        <v>0</v>
      </c>
      <c r="T102" s="40">
        <f t="shared" si="98"/>
        <v>0</v>
      </c>
    </row>
    <row r="103" ht="15.75" customHeight="1">
      <c r="A103" s="16" t="s">
        <v>57</v>
      </c>
      <c r="B103" s="63"/>
      <c r="C103" s="63"/>
      <c r="D103" s="63"/>
      <c r="E103" s="63"/>
      <c r="F103" s="27"/>
      <c r="G103" s="19">
        <f>$G$31</f>
        <v>23</v>
      </c>
      <c r="H103" s="74">
        <v>9.0</v>
      </c>
      <c r="I103" s="74">
        <v>1.0</v>
      </c>
      <c r="J103" s="74">
        <v>0.0</v>
      </c>
      <c r="K103" s="74">
        <v>0.0</v>
      </c>
      <c r="L103" s="74">
        <v>0.0</v>
      </c>
      <c r="N103" s="27"/>
      <c r="O103" s="19">
        <f>$G$31</f>
        <v>23</v>
      </c>
      <c r="P103" s="40">
        <f t="shared" ref="P103:T103" si="99">H103/A$110</f>
        <v>0.02931596091</v>
      </c>
      <c r="Q103" s="40">
        <f t="shared" si="99"/>
        <v>0.008333333333</v>
      </c>
      <c r="R103" s="40">
        <f t="shared" si="99"/>
        <v>0</v>
      </c>
      <c r="S103" s="40">
        <f t="shared" si="99"/>
        <v>0</v>
      </c>
      <c r="T103" s="40">
        <f t="shared" si="99"/>
        <v>0</v>
      </c>
    </row>
    <row r="104" ht="15.75" customHeight="1">
      <c r="A104" s="16" t="s">
        <v>58</v>
      </c>
      <c r="B104" s="63"/>
      <c r="C104" s="63"/>
      <c r="D104" s="63"/>
      <c r="E104" s="63"/>
      <c r="F104" s="56">
        <v>45198.0</v>
      </c>
      <c r="G104" s="19">
        <f>$G$8</f>
        <v>0</v>
      </c>
      <c r="H104" s="75">
        <v>8.0</v>
      </c>
      <c r="I104" s="76">
        <v>0.0</v>
      </c>
      <c r="J104" s="76">
        <v>0.0</v>
      </c>
      <c r="K104" s="76">
        <v>0.0</v>
      </c>
      <c r="L104" s="76">
        <v>1.0</v>
      </c>
      <c r="N104" s="56">
        <v>45198.0</v>
      </c>
      <c r="O104" s="19">
        <f>$G$8</f>
        <v>0</v>
      </c>
      <c r="P104" s="40">
        <f t="shared" ref="P104:T104" si="100">H104/A$133</f>
        <v>0.02272727273</v>
      </c>
      <c r="Q104" s="40">
        <f t="shared" si="100"/>
        <v>0</v>
      </c>
      <c r="R104" s="40" t="str">
        <f t="shared" si="100"/>
        <v>#DIV/0!</v>
      </c>
      <c r="S104" s="40">
        <f t="shared" si="100"/>
        <v>0</v>
      </c>
      <c r="T104" s="40">
        <f t="shared" si="100"/>
        <v>0.1428571429</v>
      </c>
    </row>
    <row r="105" ht="15.75" customHeight="1">
      <c r="A105" s="16" t="s">
        <v>59</v>
      </c>
      <c r="B105" s="63"/>
      <c r="C105" s="63"/>
      <c r="D105" s="63"/>
      <c r="E105" s="63"/>
      <c r="F105" s="23"/>
      <c r="G105" s="19">
        <f>$G$9</f>
        <v>1</v>
      </c>
      <c r="H105" s="77">
        <v>5.0</v>
      </c>
      <c r="I105" s="78">
        <v>1.0</v>
      </c>
      <c r="J105" s="78">
        <v>0.0</v>
      </c>
      <c r="K105" s="78">
        <v>0.0</v>
      </c>
      <c r="L105" s="78">
        <v>0.0</v>
      </c>
      <c r="N105" s="23"/>
      <c r="O105" s="19">
        <f>$G$9</f>
        <v>1</v>
      </c>
      <c r="P105" s="40">
        <f t="shared" ref="P105:T105" si="101">H105/A$133</f>
        <v>0.01420454545</v>
      </c>
      <c r="Q105" s="40">
        <f t="shared" si="101"/>
        <v>0.009523809524</v>
      </c>
      <c r="R105" s="40" t="str">
        <f t="shared" si="101"/>
        <v>#DIV/0!</v>
      </c>
      <c r="S105" s="40">
        <f t="shared" si="101"/>
        <v>0</v>
      </c>
      <c r="T105" s="40">
        <f t="shared" si="101"/>
        <v>0</v>
      </c>
    </row>
    <row r="106" ht="15.75" customHeight="1">
      <c r="A106" s="16" t="s">
        <v>60</v>
      </c>
      <c r="B106" s="63"/>
      <c r="C106" s="63"/>
      <c r="D106" s="63"/>
      <c r="E106" s="63"/>
      <c r="F106" s="23"/>
      <c r="G106" s="19">
        <f>$G$10</f>
        <v>2</v>
      </c>
      <c r="H106" s="77">
        <v>4.0</v>
      </c>
      <c r="I106" s="78">
        <v>0.0</v>
      </c>
      <c r="J106" s="78">
        <v>0.0</v>
      </c>
      <c r="K106" s="78">
        <v>0.0</v>
      </c>
      <c r="L106" s="78">
        <v>0.0</v>
      </c>
      <c r="N106" s="23"/>
      <c r="O106" s="19">
        <f>$G$10</f>
        <v>2</v>
      </c>
      <c r="P106" s="40">
        <f t="shared" ref="P106:T106" si="102">H106/A$133</f>
        <v>0.01136363636</v>
      </c>
      <c r="Q106" s="40">
        <f t="shared" si="102"/>
        <v>0</v>
      </c>
      <c r="R106" s="40" t="str">
        <f t="shared" si="102"/>
        <v>#DIV/0!</v>
      </c>
      <c r="S106" s="40">
        <f t="shared" si="102"/>
        <v>0</v>
      </c>
      <c r="T106" s="40">
        <f t="shared" si="102"/>
        <v>0</v>
      </c>
    </row>
    <row r="107" ht="15.75" customHeight="1">
      <c r="A107" s="16" t="s">
        <v>61</v>
      </c>
      <c r="B107" s="63"/>
      <c r="C107" s="63"/>
      <c r="D107" s="63"/>
      <c r="E107" s="63"/>
      <c r="F107" s="23"/>
      <c r="G107" s="19">
        <f>$G$11</f>
        <v>3</v>
      </c>
      <c r="H107" s="77">
        <v>2.0</v>
      </c>
      <c r="I107" s="78">
        <v>0.0</v>
      </c>
      <c r="J107" s="78">
        <v>0.0</v>
      </c>
      <c r="K107" s="78">
        <v>1.0</v>
      </c>
      <c r="L107" s="78">
        <v>1.0</v>
      </c>
      <c r="N107" s="23"/>
      <c r="O107" s="19">
        <f>$G$11</f>
        <v>3</v>
      </c>
      <c r="P107" s="40">
        <f t="shared" ref="P107:T107" si="103">H107/A$133</f>
        <v>0.005681818182</v>
      </c>
      <c r="Q107" s="40">
        <f t="shared" si="103"/>
        <v>0</v>
      </c>
      <c r="R107" s="40" t="str">
        <f t="shared" si="103"/>
        <v>#DIV/0!</v>
      </c>
      <c r="S107" s="40">
        <f t="shared" si="103"/>
        <v>0.05882352941</v>
      </c>
      <c r="T107" s="40">
        <f t="shared" si="103"/>
        <v>0.1428571429</v>
      </c>
    </row>
    <row r="108" ht="15.75" customHeight="1">
      <c r="A108" s="16" t="s">
        <v>62</v>
      </c>
      <c r="B108" s="63"/>
      <c r="C108" s="63"/>
      <c r="D108" s="63"/>
      <c r="E108" s="63"/>
      <c r="F108" s="23"/>
      <c r="G108" s="19">
        <f>$G$12</f>
        <v>4</v>
      </c>
      <c r="H108" s="77">
        <v>5.0</v>
      </c>
      <c r="I108" s="78">
        <v>1.0</v>
      </c>
      <c r="J108" s="78">
        <v>0.0</v>
      </c>
      <c r="K108" s="78">
        <v>0.0</v>
      </c>
      <c r="L108" s="78">
        <v>1.0</v>
      </c>
      <c r="N108" s="23"/>
      <c r="O108" s="19">
        <f>$G$12</f>
        <v>4</v>
      </c>
      <c r="P108" s="40">
        <f t="shared" ref="P108:T108" si="104">H108/A$133</f>
        <v>0.01420454545</v>
      </c>
      <c r="Q108" s="40">
        <f t="shared" si="104"/>
        <v>0.009523809524</v>
      </c>
      <c r="R108" s="40" t="str">
        <f t="shared" si="104"/>
        <v>#DIV/0!</v>
      </c>
      <c r="S108" s="40">
        <f t="shared" si="104"/>
        <v>0</v>
      </c>
      <c r="T108" s="40">
        <f t="shared" si="104"/>
        <v>0.1428571429</v>
      </c>
    </row>
    <row r="109" ht="15.75" customHeight="1">
      <c r="A109" s="16" t="s">
        <v>63</v>
      </c>
      <c r="B109" s="63"/>
      <c r="C109" s="63"/>
      <c r="D109" s="63"/>
      <c r="E109" s="63"/>
      <c r="F109" s="23"/>
      <c r="G109" s="19">
        <f>$G$13</f>
        <v>5</v>
      </c>
      <c r="H109" s="77">
        <v>8.0</v>
      </c>
      <c r="I109" s="78">
        <v>4.0</v>
      </c>
      <c r="J109" s="78">
        <v>0.0</v>
      </c>
      <c r="K109" s="78">
        <v>0.0</v>
      </c>
      <c r="L109" s="78">
        <v>1.0</v>
      </c>
      <c r="N109" s="23"/>
      <c r="O109" s="19">
        <f>$G$13</f>
        <v>5</v>
      </c>
      <c r="P109" s="40">
        <f t="shared" ref="P109:T109" si="105">H109/A$133</f>
        <v>0.02272727273</v>
      </c>
      <c r="Q109" s="40">
        <f t="shared" si="105"/>
        <v>0.0380952381</v>
      </c>
      <c r="R109" s="40" t="str">
        <f t="shared" si="105"/>
        <v>#DIV/0!</v>
      </c>
      <c r="S109" s="40">
        <f t="shared" si="105"/>
        <v>0</v>
      </c>
      <c r="T109" s="40">
        <f t="shared" si="105"/>
        <v>0.1428571429</v>
      </c>
    </row>
    <row r="110" ht="15.75" customHeight="1">
      <c r="A110" s="73">
        <f t="shared" ref="A110:E110" si="106">SUM(H80:H103)</f>
        <v>307</v>
      </c>
      <c r="B110" s="73">
        <f t="shared" si="106"/>
        <v>120</v>
      </c>
      <c r="C110" s="73">
        <f t="shared" si="106"/>
        <v>1</v>
      </c>
      <c r="D110" s="73">
        <f t="shared" si="106"/>
        <v>22</v>
      </c>
      <c r="E110" s="73">
        <f t="shared" si="106"/>
        <v>19</v>
      </c>
      <c r="F110" s="23"/>
      <c r="G110" s="19">
        <f>$G$14</f>
        <v>6</v>
      </c>
      <c r="H110" s="77">
        <v>7.0</v>
      </c>
      <c r="I110" s="78">
        <v>6.0</v>
      </c>
      <c r="J110" s="78">
        <v>0.0</v>
      </c>
      <c r="K110" s="78">
        <v>0.0</v>
      </c>
      <c r="L110" s="78">
        <v>0.0</v>
      </c>
      <c r="N110" s="23"/>
      <c r="O110" s="19">
        <f>$G$14</f>
        <v>6</v>
      </c>
      <c r="P110" s="40">
        <f t="shared" ref="P110:T110" si="107">H110/A$133</f>
        <v>0.01988636364</v>
      </c>
      <c r="Q110" s="40">
        <f t="shared" si="107"/>
        <v>0.05714285714</v>
      </c>
      <c r="R110" s="40" t="str">
        <f t="shared" si="107"/>
        <v>#DIV/0!</v>
      </c>
      <c r="S110" s="40">
        <f t="shared" si="107"/>
        <v>0</v>
      </c>
      <c r="T110" s="40">
        <f t="shared" si="107"/>
        <v>0</v>
      </c>
    </row>
    <row r="111" ht="15.75" customHeight="1">
      <c r="A111" s="19">
        <f>$H$7</f>
        <v>31</v>
      </c>
      <c r="B111" s="19">
        <f>$I$7</f>
        <v>32</v>
      </c>
      <c r="C111" s="19">
        <f>$J$7</f>
        <v>41</v>
      </c>
      <c r="D111" s="19">
        <f>$K$7</f>
        <v>42</v>
      </c>
      <c r="E111" s="19">
        <f>$L$7</f>
        <v>5</v>
      </c>
      <c r="F111" s="23"/>
      <c r="G111" s="19">
        <f>$G$15</f>
        <v>7</v>
      </c>
      <c r="H111" s="77">
        <v>7.0</v>
      </c>
      <c r="I111" s="78">
        <v>1.0</v>
      </c>
      <c r="J111" s="78">
        <v>0.0</v>
      </c>
      <c r="K111" s="78">
        <v>1.0</v>
      </c>
      <c r="L111" s="78">
        <v>0.0</v>
      </c>
      <c r="N111" s="23"/>
      <c r="O111" s="19">
        <f>$G$15</f>
        <v>7</v>
      </c>
      <c r="P111" s="40">
        <f t="shared" ref="P111:T111" si="108">H111/A$133</f>
        <v>0.01988636364</v>
      </c>
      <c r="Q111" s="40">
        <f t="shared" si="108"/>
        <v>0.009523809524</v>
      </c>
      <c r="R111" s="40" t="str">
        <f t="shared" si="108"/>
        <v>#DIV/0!</v>
      </c>
      <c r="S111" s="40">
        <f t="shared" si="108"/>
        <v>0.05882352941</v>
      </c>
      <c r="T111" s="40">
        <f t="shared" si="108"/>
        <v>0</v>
      </c>
    </row>
    <row r="112" ht="15.75" customHeight="1">
      <c r="A112" s="63"/>
      <c r="B112" s="63"/>
      <c r="C112" s="63"/>
      <c r="D112" s="63"/>
      <c r="E112" s="63"/>
      <c r="F112" s="23"/>
      <c r="G112" s="19">
        <f>$G$16</f>
        <v>8</v>
      </c>
      <c r="H112" s="77">
        <v>12.0</v>
      </c>
      <c r="I112" s="78">
        <v>4.0</v>
      </c>
      <c r="J112" s="78">
        <v>0.0</v>
      </c>
      <c r="K112" s="78">
        <v>1.0</v>
      </c>
      <c r="L112" s="78">
        <v>0.0</v>
      </c>
      <c r="N112" s="23"/>
      <c r="O112" s="19">
        <f>$G$16</f>
        <v>8</v>
      </c>
      <c r="P112" s="40">
        <f t="shared" ref="P112:T112" si="109">H112/A$133</f>
        <v>0.03409090909</v>
      </c>
      <c r="Q112" s="40">
        <f t="shared" si="109"/>
        <v>0.0380952381</v>
      </c>
      <c r="R112" s="40" t="str">
        <f t="shared" si="109"/>
        <v>#DIV/0!</v>
      </c>
      <c r="S112" s="40">
        <f t="shared" si="109"/>
        <v>0.05882352941</v>
      </c>
      <c r="T112" s="40">
        <f t="shared" si="109"/>
        <v>0</v>
      </c>
    </row>
    <row r="113" ht="15.75" customHeight="1">
      <c r="A113" s="63"/>
      <c r="B113" s="63"/>
      <c r="C113" s="63"/>
      <c r="D113" s="63"/>
      <c r="E113" s="63"/>
      <c r="F113" s="23"/>
      <c r="G113" s="19">
        <f>$G$17</f>
        <v>9</v>
      </c>
      <c r="H113" s="77">
        <v>26.0</v>
      </c>
      <c r="I113" s="78">
        <v>5.0</v>
      </c>
      <c r="J113" s="78">
        <v>0.0</v>
      </c>
      <c r="K113" s="78">
        <v>2.0</v>
      </c>
      <c r="L113" s="78">
        <v>1.0</v>
      </c>
      <c r="N113" s="23"/>
      <c r="O113" s="19">
        <f>$G$17</f>
        <v>9</v>
      </c>
      <c r="P113" s="40">
        <f t="shared" ref="P113:T113" si="110">H113/A$133</f>
        <v>0.07386363636</v>
      </c>
      <c r="Q113" s="40">
        <f t="shared" si="110"/>
        <v>0.04761904762</v>
      </c>
      <c r="R113" s="40" t="str">
        <f t="shared" si="110"/>
        <v>#DIV/0!</v>
      </c>
      <c r="S113" s="40">
        <f t="shared" si="110"/>
        <v>0.1176470588</v>
      </c>
      <c r="T113" s="40">
        <f t="shared" si="110"/>
        <v>0.1428571429</v>
      </c>
    </row>
    <row r="114" ht="15.75" customHeight="1">
      <c r="A114" s="63"/>
      <c r="B114" s="63"/>
      <c r="C114" s="63"/>
      <c r="D114" s="63"/>
      <c r="E114" s="63"/>
      <c r="F114" s="23"/>
      <c r="G114" s="19">
        <f>$G$18</f>
        <v>10</v>
      </c>
      <c r="H114" s="77">
        <v>25.0</v>
      </c>
      <c r="I114" s="78">
        <v>4.0</v>
      </c>
      <c r="J114" s="78">
        <v>0.0</v>
      </c>
      <c r="K114" s="78">
        <v>1.0</v>
      </c>
      <c r="L114" s="78">
        <v>2.0</v>
      </c>
      <c r="N114" s="23"/>
      <c r="O114" s="19">
        <f>$G$18</f>
        <v>10</v>
      </c>
      <c r="P114" s="40">
        <f t="shared" ref="P114:T114" si="111">H114/A$133</f>
        <v>0.07102272727</v>
      </c>
      <c r="Q114" s="40">
        <f t="shared" si="111"/>
        <v>0.0380952381</v>
      </c>
      <c r="R114" s="40" t="str">
        <f t="shared" si="111"/>
        <v>#DIV/0!</v>
      </c>
      <c r="S114" s="40">
        <f t="shared" si="111"/>
        <v>0.05882352941</v>
      </c>
      <c r="T114" s="40">
        <f t="shared" si="111"/>
        <v>0.2857142857</v>
      </c>
    </row>
    <row r="115" ht="15.75" customHeight="1">
      <c r="A115" s="63"/>
      <c r="B115" s="63"/>
      <c r="C115" s="63"/>
      <c r="D115" s="63"/>
      <c r="E115" s="63"/>
      <c r="F115" s="23"/>
      <c r="G115" s="19">
        <f>$G$19</f>
        <v>11</v>
      </c>
      <c r="H115" s="77">
        <v>18.0</v>
      </c>
      <c r="I115" s="78">
        <v>9.0</v>
      </c>
      <c r="J115" s="78">
        <v>0.0</v>
      </c>
      <c r="K115" s="78">
        <v>3.0</v>
      </c>
      <c r="L115" s="78">
        <v>0.0</v>
      </c>
      <c r="N115" s="23"/>
      <c r="O115" s="19">
        <f>$G$19</f>
        <v>11</v>
      </c>
      <c r="P115" s="40">
        <f t="shared" ref="P115:T115" si="112">H115/A$133</f>
        <v>0.05113636364</v>
      </c>
      <c r="Q115" s="40">
        <f t="shared" si="112"/>
        <v>0.08571428571</v>
      </c>
      <c r="R115" s="40" t="str">
        <f t="shared" si="112"/>
        <v>#DIV/0!</v>
      </c>
      <c r="S115" s="40">
        <f t="shared" si="112"/>
        <v>0.1764705882</v>
      </c>
      <c r="T115" s="40">
        <f t="shared" si="112"/>
        <v>0</v>
      </c>
    </row>
    <row r="116" ht="15.75" customHeight="1">
      <c r="A116" s="63"/>
      <c r="B116" s="63"/>
      <c r="C116" s="63"/>
      <c r="D116" s="63"/>
      <c r="E116" s="63"/>
      <c r="F116" s="23"/>
      <c r="G116" s="19">
        <f>$G$20</f>
        <v>12</v>
      </c>
      <c r="H116" s="77">
        <v>15.0</v>
      </c>
      <c r="I116" s="78">
        <v>7.0</v>
      </c>
      <c r="J116" s="78">
        <v>0.0</v>
      </c>
      <c r="K116" s="78">
        <v>3.0</v>
      </c>
      <c r="L116" s="78">
        <v>0.0</v>
      </c>
      <c r="N116" s="23"/>
      <c r="O116" s="19">
        <f>$G$20</f>
        <v>12</v>
      </c>
      <c r="P116" s="40">
        <f t="shared" ref="P116:T116" si="113">H116/A$133</f>
        <v>0.04261363636</v>
      </c>
      <c r="Q116" s="40">
        <f t="shared" si="113"/>
        <v>0.06666666667</v>
      </c>
      <c r="R116" s="40" t="str">
        <f t="shared" si="113"/>
        <v>#DIV/0!</v>
      </c>
      <c r="S116" s="40">
        <f t="shared" si="113"/>
        <v>0.1764705882</v>
      </c>
      <c r="T116" s="40">
        <f t="shared" si="113"/>
        <v>0</v>
      </c>
    </row>
    <row r="117" ht="15.75" customHeight="1">
      <c r="A117" s="63"/>
      <c r="B117" s="63"/>
      <c r="C117" s="63"/>
      <c r="D117" s="63"/>
      <c r="E117" s="63"/>
      <c r="F117" s="23"/>
      <c r="G117" s="19">
        <f>$G$21</f>
        <v>13</v>
      </c>
      <c r="H117" s="77">
        <v>19.0</v>
      </c>
      <c r="I117" s="78">
        <v>3.0</v>
      </c>
      <c r="J117" s="78">
        <v>0.0</v>
      </c>
      <c r="K117" s="78">
        <v>2.0</v>
      </c>
      <c r="L117" s="78">
        <v>0.0</v>
      </c>
      <c r="N117" s="23"/>
      <c r="O117" s="19">
        <f>$G$21</f>
        <v>13</v>
      </c>
      <c r="P117" s="40">
        <f t="shared" ref="P117:T117" si="114">H117/A$133</f>
        <v>0.05397727273</v>
      </c>
      <c r="Q117" s="40">
        <f t="shared" si="114"/>
        <v>0.02857142857</v>
      </c>
      <c r="R117" s="40" t="str">
        <f t="shared" si="114"/>
        <v>#DIV/0!</v>
      </c>
      <c r="S117" s="40">
        <f t="shared" si="114"/>
        <v>0.1176470588</v>
      </c>
      <c r="T117" s="40">
        <f t="shared" si="114"/>
        <v>0</v>
      </c>
    </row>
    <row r="118" ht="15.75" customHeight="1">
      <c r="A118" s="63"/>
      <c r="B118" s="63"/>
      <c r="C118" s="63"/>
      <c r="D118" s="63"/>
      <c r="E118" s="63"/>
      <c r="F118" s="23"/>
      <c r="G118" s="19">
        <f>$G$22</f>
        <v>14</v>
      </c>
      <c r="H118" s="77">
        <v>25.0</v>
      </c>
      <c r="I118" s="78">
        <v>4.0</v>
      </c>
      <c r="J118" s="78">
        <v>0.0</v>
      </c>
      <c r="K118" s="78">
        <v>0.0</v>
      </c>
      <c r="L118" s="78">
        <v>0.0</v>
      </c>
      <c r="N118" s="23"/>
      <c r="O118" s="19">
        <f>$G$22</f>
        <v>14</v>
      </c>
      <c r="P118" s="40">
        <f t="shared" ref="P118:T118" si="115">H118/A$133</f>
        <v>0.07102272727</v>
      </c>
      <c r="Q118" s="40">
        <f t="shared" si="115"/>
        <v>0.0380952381</v>
      </c>
      <c r="R118" s="40" t="str">
        <f t="shared" si="115"/>
        <v>#DIV/0!</v>
      </c>
      <c r="S118" s="40">
        <f t="shared" si="115"/>
        <v>0</v>
      </c>
      <c r="T118" s="40">
        <f t="shared" si="115"/>
        <v>0</v>
      </c>
    </row>
    <row r="119" ht="15.75" customHeight="1">
      <c r="A119" s="63"/>
      <c r="B119" s="63"/>
      <c r="C119" s="63"/>
      <c r="D119" s="63"/>
      <c r="E119" s="63"/>
      <c r="F119" s="23"/>
      <c r="G119" s="19">
        <f>$G$23</f>
        <v>15</v>
      </c>
      <c r="H119" s="77">
        <v>26.0</v>
      </c>
      <c r="I119" s="78">
        <v>9.0</v>
      </c>
      <c r="J119" s="78">
        <v>0.0</v>
      </c>
      <c r="K119" s="78">
        <v>1.0</v>
      </c>
      <c r="L119" s="78">
        <v>0.0</v>
      </c>
      <c r="N119" s="23"/>
      <c r="O119" s="19">
        <f>$G$23</f>
        <v>15</v>
      </c>
      <c r="P119" s="40">
        <f t="shared" ref="P119:T119" si="116">H119/A$133</f>
        <v>0.07386363636</v>
      </c>
      <c r="Q119" s="40">
        <f t="shared" si="116"/>
        <v>0.08571428571</v>
      </c>
      <c r="R119" s="40" t="str">
        <f t="shared" si="116"/>
        <v>#DIV/0!</v>
      </c>
      <c r="S119" s="40">
        <f t="shared" si="116"/>
        <v>0.05882352941</v>
      </c>
      <c r="T119" s="40">
        <f t="shared" si="116"/>
        <v>0</v>
      </c>
    </row>
    <row r="120" ht="15.75" customHeight="1">
      <c r="A120" s="63"/>
      <c r="B120" s="63"/>
      <c r="C120" s="63"/>
      <c r="D120" s="63"/>
      <c r="E120" s="63"/>
      <c r="F120" s="23"/>
      <c r="G120" s="19">
        <f>$G$24</f>
        <v>16</v>
      </c>
      <c r="H120" s="77">
        <v>35.0</v>
      </c>
      <c r="I120" s="78">
        <v>12.0</v>
      </c>
      <c r="J120" s="78">
        <v>0.0</v>
      </c>
      <c r="K120" s="78">
        <v>0.0</v>
      </c>
      <c r="L120" s="78">
        <v>0.0</v>
      </c>
      <c r="N120" s="23"/>
      <c r="O120" s="19">
        <f>$G$24</f>
        <v>16</v>
      </c>
      <c r="P120" s="40">
        <f t="shared" ref="P120:T120" si="117">H120/A$133</f>
        <v>0.09943181818</v>
      </c>
      <c r="Q120" s="40">
        <f t="shared" si="117"/>
        <v>0.1142857143</v>
      </c>
      <c r="R120" s="40" t="str">
        <f t="shared" si="117"/>
        <v>#DIV/0!</v>
      </c>
      <c r="S120" s="40">
        <f t="shared" si="117"/>
        <v>0</v>
      </c>
      <c r="T120" s="40">
        <f t="shared" si="117"/>
        <v>0</v>
      </c>
    </row>
    <row r="121" ht="15.75" customHeight="1">
      <c r="A121" s="63"/>
      <c r="B121" s="63"/>
      <c r="C121" s="63"/>
      <c r="D121" s="63"/>
      <c r="E121" s="63"/>
      <c r="F121" s="23"/>
      <c r="G121" s="19">
        <f>$G$25</f>
        <v>17</v>
      </c>
      <c r="H121" s="77">
        <v>28.0</v>
      </c>
      <c r="I121" s="78">
        <v>7.0</v>
      </c>
      <c r="J121" s="78">
        <v>0.0</v>
      </c>
      <c r="K121" s="78">
        <v>0.0</v>
      </c>
      <c r="L121" s="78">
        <v>0.0</v>
      </c>
      <c r="N121" s="23"/>
      <c r="O121" s="19">
        <f>$G$25</f>
        <v>17</v>
      </c>
      <c r="P121" s="40">
        <f t="shared" ref="P121:T121" si="118">H121/A$133</f>
        <v>0.07954545455</v>
      </c>
      <c r="Q121" s="40">
        <f t="shared" si="118"/>
        <v>0.06666666667</v>
      </c>
      <c r="R121" s="40" t="str">
        <f t="shared" si="118"/>
        <v>#DIV/0!</v>
      </c>
      <c r="S121" s="40">
        <f t="shared" si="118"/>
        <v>0</v>
      </c>
      <c r="T121" s="40">
        <f t="shared" si="118"/>
        <v>0</v>
      </c>
    </row>
    <row r="122" ht="15.75" customHeight="1">
      <c r="A122" s="63"/>
      <c r="B122" s="63"/>
      <c r="C122" s="63"/>
      <c r="D122" s="63"/>
      <c r="E122" s="63"/>
      <c r="F122" s="23"/>
      <c r="G122" s="19">
        <f>$G$26</f>
        <v>18</v>
      </c>
      <c r="H122" s="77">
        <v>22.0</v>
      </c>
      <c r="I122" s="78">
        <v>6.0</v>
      </c>
      <c r="J122" s="78">
        <v>0.0</v>
      </c>
      <c r="K122" s="78">
        <v>0.0</v>
      </c>
      <c r="L122" s="78">
        <v>0.0</v>
      </c>
      <c r="N122" s="23"/>
      <c r="O122" s="19">
        <f>$G$26</f>
        <v>18</v>
      </c>
      <c r="P122" s="40">
        <f t="shared" ref="P122:T122" si="119">H122/A$133</f>
        <v>0.0625</v>
      </c>
      <c r="Q122" s="40">
        <f t="shared" si="119"/>
        <v>0.05714285714</v>
      </c>
      <c r="R122" s="40" t="str">
        <f t="shared" si="119"/>
        <v>#DIV/0!</v>
      </c>
      <c r="S122" s="40">
        <f t="shared" si="119"/>
        <v>0</v>
      </c>
      <c r="T122" s="40">
        <f t="shared" si="119"/>
        <v>0</v>
      </c>
    </row>
    <row r="123" ht="15.75" customHeight="1">
      <c r="A123" s="63"/>
      <c r="B123" s="63"/>
      <c r="C123" s="63"/>
      <c r="D123" s="63"/>
      <c r="E123" s="63"/>
      <c r="F123" s="23"/>
      <c r="G123" s="19">
        <f>$G$27</f>
        <v>19</v>
      </c>
      <c r="H123" s="77">
        <v>21.0</v>
      </c>
      <c r="I123" s="78">
        <v>7.0</v>
      </c>
      <c r="J123" s="78">
        <v>0.0</v>
      </c>
      <c r="K123" s="78">
        <v>0.0</v>
      </c>
      <c r="L123" s="78">
        <v>0.0</v>
      </c>
      <c r="N123" s="23"/>
      <c r="O123" s="19">
        <f>$G$27</f>
        <v>19</v>
      </c>
      <c r="P123" s="40">
        <f t="shared" ref="P123:T123" si="120">H123/A$133</f>
        <v>0.05965909091</v>
      </c>
      <c r="Q123" s="40">
        <f t="shared" si="120"/>
        <v>0.06666666667</v>
      </c>
      <c r="R123" s="40" t="str">
        <f t="shared" si="120"/>
        <v>#DIV/0!</v>
      </c>
      <c r="S123" s="40">
        <f t="shared" si="120"/>
        <v>0</v>
      </c>
      <c r="T123" s="40">
        <f t="shared" si="120"/>
        <v>0</v>
      </c>
    </row>
    <row r="124" ht="15.75" customHeight="1">
      <c r="A124" s="63"/>
      <c r="B124" s="63"/>
      <c r="C124" s="63"/>
      <c r="D124" s="63"/>
      <c r="E124" s="63"/>
      <c r="F124" s="23"/>
      <c r="G124" s="19">
        <f>$G$28</f>
        <v>20</v>
      </c>
      <c r="H124" s="77">
        <v>10.0</v>
      </c>
      <c r="I124" s="78">
        <v>5.0</v>
      </c>
      <c r="J124" s="78">
        <v>0.0</v>
      </c>
      <c r="K124" s="78">
        <v>0.0</v>
      </c>
      <c r="L124" s="78">
        <v>0.0</v>
      </c>
      <c r="N124" s="23"/>
      <c r="O124" s="19">
        <f>$G$28</f>
        <v>20</v>
      </c>
      <c r="P124" s="40">
        <f t="shared" ref="P124:T124" si="121">H124/A$133</f>
        <v>0.02840909091</v>
      </c>
      <c r="Q124" s="40">
        <f t="shared" si="121"/>
        <v>0.04761904762</v>
      </c>
      <c r="R124" s="40" t="str">
        <f t="shared" si="121"/>
        <v>#DIV/0!</v>
      </c>
      <c r="S124" s="40">
        <f t="shared" si="121"/>
        <v>0</v>
      </c>
      <c r="T124" s="40">
        <f t="shared" si="121"/>
        <v>0</v>
      </c>
    </row>
    <row r="125" ht="15.75" customHeight="1">
      <c r="A125" s="63"/>
      <c r="B125" s="63"/>
      <c r="C125" s="63"/>
      <c r="D125" s="63"/>
      <c r="E125" s="63"/>
      <c r="F125" s="23"/>
      <c r="G125" s="19">
        <f>$G$29</f>
        <v>21</v>
      </c>
      <c r="H125" s="77">
        <v>13.0</v>
      </c>
      <c r="I125" s="78">
        <v>5.0</v>
      </c>
      <c r="J125" s="78">
        <v>0.0</v>
      </c>
      <c r="K125" s="78">
        <v>1.0</v>
      </c>
      <c r="L125" s="78">
        <v>0.0</v>
      </c>
      <c r="N125" s="23"/>
      <c r="O125" s="19">
        <f>$G$29</f>
        <v>21</v>
      </c>
      <c r="P125" s="40">
        <f t="shared" ref="P125:T125" si="122">H125/A$133</f>
        <v>0.03693181818</v>
      </c>
      <c r="Q125" s="40">
        <f t="shared" si="122"/>
        <v>0.04761904762</v>
      </c>
      <c r="R125" s="40" t="str">
        <f t="shared" si="122"/>
        <v>#DIV/0!</v>
      </c>
      <c r="S125" s="40">
        <f t="shared" si="122"/>
        <v>0.05882352941</v>
      </c>
      <c r="T125" s="40">
        <f t="shared" si="122"/>
        <v>0</v>
      </c>
    </row>
    <row r="126" ht="15.75" customHeight="1">
      <c r="A126" s="63"/>
      <c r="B126" s="63"/>
      <c r="C126" s="63"/>
      <c r="D126" s="63"/>
      <c r="E126" s="63"/>
      <c r="F126" s="23"/>
      <c r="G126" s="19">
        <f>$G$30</f>
        <v>22</v>
      </c>
      <c r="H126" s="77">
        <v>8.0</v>
      </c>
      <c r="I126" s="78">
        <v>4.0</v>
      </c>
      <c r="J126" s="78">
        <v>0.0</v>
      </c>
      <c r="K126" s="78">
        <v>1.0</v>
      </c>
      <c r="L126" s="78">
        <v>0.0</v>
      </c>
      <c r="N126" s="23"/>
      <c r="O126" s="19">
        <f>$G$30</f>
        <v>22</v>
      </c>
      <c r="P126" s="40">
        <f t="shared" ref="P126:T126" si="123">H126/A$133</f>
        <v>0.02272727273</v>
      </c>
      <c r="Q126" s="40">
        <f t="shared" si="123"/>
        <v>0.0380952381</v>
      </c>
      <c r="R126" s="40" t="str">
        <f t="shared" si="123"/>
        <v>#DIV/0!</v>
      </c>
      <c r="S126" s="40">
        <f t="shared" si="123"/>
        <v>0.05882352941</v>
      </c>
      <c r="T126" s="40">
        <f t="shared" si="123"/>
        <v>0</v>
      </c>
    </row>
    <row r="127" ht="15.75" customHeight="1">
      <c r="A127" s="63"/>
      <c r="B127" s="63"/>
      <c r="C127" s="63"/>
      <c r="D127" s="63"/>
      <c r="E127" s="63"/>
      <c r="F127" s="27"/>
      <c r="G127" s="19">
        <f>$G$31</f>
        <v>23</v>
      </c>
      <c r="H127" s="77">
        <v>3.0</v>
      </c>
      <c r="I127" s="78">
        <v>1.0</v>
      </c>
      <c r="J127" s="78">
        <v>0.0</v>
      </c>
      <c r="K127" s="78">
        <v>0.0</v>
      </c>
      <c r="L127" s="78">
        <v>0.0</v>
      </c>
      <c r="N127" s="27"/>
      <c r="O127" s="19">
        <f>$G$31</f>
        <v>23</v>
      </c>
      <c r="P127" s="40">
        <f t="shared" ref="P127:T127" si="124">H127/A$133</f>
        <v>0.008522727273</v>
      </c>
      <c r="Q127" s="40">
        <f t="shared" si="124"/>
        <v>0.009523809524</v>
      </c>
      <c r="R127" s="40" t="str">
        <f t="shared" si="124"/>
        <v>#DIV/0!</v>
      </c>
      <c r="S127" s="40">
        <f t="shared" si="124"/>
        <v>0</v>
      </c>
      <c r="T127" s="40">
        <f t="shared" si="124"/>
        <v>0</v>
      </c>
    </row>
    <row r="128" ht="15.75" customHeight="1">
      <c r="A128" s="63"/>
      <c r="B128" s="63"/>
      <c r="C128" s="63"/>
      <c r="D128" s="63"/>
      <c r="E128" s="63"/>
      <c r="F128" s="56">
        <v>45199.0</v>
      </c>
      <c r="G128" s="19">
        <f>$G$8</f>
        <v>0</v>
      </c>
      <c r="H128" s="79">
        <v>8.0</v>
      </c>
      <c r="I128" s="80">
        <v>2.0</v>
      </c>
      <c r="J128" s="80">
        <v>0.0</v>
      </c>
      <c r="K128" s="80">
        <v>0.0</v>
      </c>
      <c r="L128" s="80">
        <v>0.0</v>
      </c>
      <c r="N128" s="56">
        <v>45199.0</v>
      </c>
      <c r="O128" s="19">
        <f>$G$8</f>
        <v>0</v>
      </c>
      <c r="P128" s="40">
        <f t="shared" ref="P128:T128" si="125">H128/A$161</f>
        <v>0.02025316456</v>
      </c>
      <c r="Q128" s="40">
        <f t="shared" si="125"/>
        <v>0.02083333333</v>
      </c>
      <c r="R128" s="40">
        <f t="shared" si="125"/>
        <v>0</v>
      </c>
      <c r="S128" s="40">
        <f t="shared" si="125"/>
        <v>0</v>
      </c>
      <c r="T128" s="40">
        <f t="shared" si="125"/>
        <v>0</v>
      </c>
    </row>
    <row r="129" ht="15.75" customHeight="1">
      <c r="A129" s="63"/>
      <c r="B129" s="63"/>
      <c r="C129" s="63"/>
      <c r="D129" s="63"/>
      <c r="E129" s="63"/>
      <c r="F129" s="23"/>
      <c r="G129" s="19">
        <f>$G$9</f>
        <v>1</v>
      </c>
      <c r="H129" s="81">
        <v>2.0</v>
      </c>
      <c r="I129" s="82">
        <v>0.0</v>
      </c>
      <c r="J129" s="82">
        <v>0.0</v>
      </c>
      <c r="K129" s="82">
        <v>0.0</v>
      </c>
      <c r="L129" s="82">
        <v>0.0</v>
      </c>
      <c r="N129" s="23"/>
      <c r="O129" s="19">
        <f>$G$9</f>
        <v>1</v>
      </c>
      <c r="P129" s="40">
        <f t="shared" ref="P129:T129" si="126">H129/A$161</f>
        <v>0.005063291139</v>
      </c>
      <c r="Q129" s="40">
        <f t="shared" si="126"/>
        <v>0</v>
      </c>
      <c r="R129" s="40">
        <f t="shared" si="126"/>
        <v>0</v>
      </c>
      <c r="S129" s="40">
        <f t="shared" si="126"/>
        <v>0</v>
      </c>
      <c r="T129" s="40">
        <f t="shared" si="126"/>
        <v>0</v>
      </c>
    </row>
    <row r="130" ht="15.75" customHeight="1">
      <c r="A130" s="63"/>
      <c r="B130" s="63"/>
      <c r="C130" s="63"/>
      <c r="D130" s="63"/>
      <c r="E130" s="63"/>
      <c r="F130" s="23"/>
      <c r="G130" s="19">
        <f>$G$10</f>
        <v>2</v>
      </c>
      <c r="H130" s="83">
        <v>4.0</v>
      </c>
      <c r="I130" s="84">
        <v>0.0</v>
      </c>
      <c r="J130" s="84">
        <v>0.0</v>
      </c>
      <c r="K130" s="84">
        <v>0.0</v>
      </c>
      <c r="L130" s="84">
        <v>0.0</v>
      </c>
      <c r="N130" s="23"/>
      <c r="O130" s="19">
        <f>$G$10</f>
        <v>2</v>
      </c>
      <c r="P130" s="40">
        <f t="shared" ref="P130:T130" si="127">H130/A$161</f>
        <v>0.01012658228</v>
      </c>
      <c r="Q130" s="40">
        <f t="shared" si="127"/>
        <v>0</v>
      </c>
      <c r="R130" s="40">
        <f t="shared" si="127"/>
        <v>0</v>
      </c>
      <c r="S130" s="40">
        <f t="shared" si="127"/>
        <v>0</v>
      </c>
      <c r="T130" s="40">
        <f t="shared" si="127"/>
        <v>0</v>
      </c>
    </row>
    <row r="131" ht="15.75" customHeight="1">
      <c r="A131" s="63"/>
      <c r="B131" s="63"/>
      <c r="C131" s="63"/>
      <c r="D131" s="63"/>
      <c r="E131" s="63"/>
      <c r="F131" s="23"/>
      <c r="G131" s="19">
        <f>$G$11</f>
        <v>3</v>
      </c>
      <c r="H131" s="81">
        <v>2.0</v>
      </c>
      <c r="I131" s="82">
        <v>2.0</v>
      </c>
      <c r="J131" s="82">
        <v>0.0</v>
      </c>
      <c r="K131" s="82">
        <v>0.0</v>
      </c>
      <c r="L131" s="82">
        <v>0.0</v>
      </c>
      <c r="N131" s="23"/>
      <c r="O131" s="19">
        <f>$G$11</f>
        <v>3</v>
      </c>
      <c r="P131" s="40">
        <f t="shared" ref="P131:T131" si="128">H131/A$161</f>
        <v>0.005063291139</v>
      </c>
      <c r="Q131" s="40">
        <f t="shared" si="128"/>
        <v>0.02083333333</v>
      </c>
      <c r="R131" s="40">
        <f t="shared" si="128"/>
        <v>0</v>
      </c>
      <c r="S131" s="40">
        <f t="shared" si="128"/>
        <v>0</v>
      </c>
      <c r="T131" s="40">
        <f t="shared" si="128"/>
        <v>0</v>
      </c>
    </row>
    <row r="132" ht="15.75" customHeight="1">
      <c r="A132" s="63"/>
      <c r="B132" s="63"/>
      <c r="C132" s="63"/>
      <c r="D132" s="63"/>
      <c r="E132" s="63"/>
      <c r="F132" s="23"/>
      <c r="G132" s="19">
        <f>$G$12</f>
        <v>4</v>
      </c>
      <c r="H132" s="81">
        <v>3.0</v>
      </c>
      <c r="I132" s="82">
        <v>1.0</v>
      </c>
      <c r="J132" s="82">
        <v>1.0</v>
      </c>
      <c r="K132" s="82">
        <v>0.0</v>
      </c>
      <c r="L132" s="82">
        <v>0.0</v>
      </c>
      <c r="N132" s="23"/>
      <c r="O132" s="19">
        <f>$G$12</f>
        <v>4</v>
      </c>
      <c r="P132" s="40">
        <f t="shared" ref="P132:T132" si="129">H132/A$161</f>
        <v>0.007594936709</v>
      </c>
      <c r="Q132" s="40">
        <f t="shared" si="129"/>
        <v>0.01041666667</v>
      </c>
      <c r="R132" s="40">
        <f t="shared" si="129"/>
        <v>1</v>
      </c>
      <c r="S132" s="40">
        <f t="shared" si="129"/>
        <v>0</v>
      </c>
      <c r="T132" s="40">
        <f t="shared" si="129"/>
        <v>0</v>
      </c>
    </row>
    <row r="133" ht="15.75" customHeight="1">
      <c r="A133" s="73">
        <f t="shared" ref="A133:E133" si="130">SUM(H104:H127)</f>
        <v>352</v>
      </c>
      <c r="B133" s="73">
        <f t="shared" si="130"/>
        <v>105</v>
      </c>
      <c r="C133" s="73">
        <f t="shared" si="130"/>
        <v>0</v>
      </c>
      <c r="D133" s="73">
        <f t="shared" si="130"/>
        <v>17</v>
      </c>
      <c r="E133" s="73">
        <f t="shared" si="130"/>
        <v>7</v>
      </c>
      <c r="F133" s="23"/>
      <c r="G133" s="19">
        <f>$G$13</f>
        <v>5</v>
      </c>
      <c r="H133" s="81">
        <v>8.0</v>
      </c>
      <c r="I133" s="82">
        <v>3.0</v>
      </c>
      <c r="J133" s="82">
        <v>0.0</v>
      </c>
      <c r="K133" s="82">
        <v>0.0</v>
      </c>
      <c r="L133" s="82">
        <v>0.0</v>
      </c>
      <c r="N133" s="23"/>
      <c r="O133" s="19">
        <f>$G$13</f>
        <v>5</v>
      </c>
      <c r="P133" s="40">
        <f t="shared" ref="P133:T133" si="131">H133/A$161</f>
        <v>0.02025316456</v>
      </c>
      <c r="Q133" s="40">
        <f t="shared" si="131"/>
        <v>0.03125</v>
      </c>
      <c r="R133" s="40">
        <f t="shared" si="131"/>
        <v>0</v>
      </c>
      <c r="S133" s="40">
        <f t="shared" si="131"/>
        <v>0</v>
      </c>
      <c r="T133" s="40">
        <f t="shared" si="131"/>
        <v>0</v>
      </c>
    </row>
    <row r="134" ht="15.75" customHeight="1">
      <c r="A134" s="19">
        <f>$H$7</f>
        <v>31</v>
      </c>
      <c r="B134" s="19">
        <f>$I$7</f>
        <v>32</v>
      </c>
      <c r="C134" s="19">
        <f>$J$7</f>
        <v>41</v>
      </c>
      <c r="D134" s="19">
        <f>$K$7</f>
        <v>42</v>
      </c>
      <c r="E134" s="19">
        <f>$L$7</f>
        <v>5</v>
      </c>
      <c r="F134" s="23"/>
      <c r="G134" s="19">
        <f>$G$14</f>
        <v>6</v>
      </c>
      <c r="H134" s="81">
        <v>8.0</v>
      </c>
      <c r="I134" s="82">
        <v>3.0</v>
      </c>
      <c r="J134" s="82">
        <v>0.0</v>
      </c>
      <c r="K134" s="82">
        <v>0.0</v>
      </c>
      <c r="L134" s="82">
        <v>0.0</v>
      </c>
      <c r="N134" s="23"/>
      <c r="O134" s="19">
        <f>$G$14</f>
        <v>6</v>
      </c>
      <c r="P134" s="40">
        <f t="shared" ref="P134:T134" si="132">H134/A$161</f>
        <v>0.02025316456</v>
      </c>
      <c r="Q134" s="40">
        <f t="shared" si="132"/>
        <v>0.03125</v>
      </c>
      <c r="R134" s="40">
        <f t="shared" si="132"/>
        <v>0</v>
      </c>
      <c r="S134" s="40">
        <f t="shared" si="132"/>
        <v>0</v>
      </c>
      <c r="T134" s="40">
        <f t="shared" si="132"/>
        <v>0</v>
      </c>
    </row>
    <row r="135" ht="15.75" customHeight="1">
      <c r="A135" s="63"/>
      <c r="B135" s="63"/>
      <c r="C135" s="63"/>
      <c r="D135" s="63"/>
      <c r="E135" s="63"/>
      <c r="F135" s="23"/>
      <c r="G135" s="19">
        <f>$G$15</f>
        <v>7</v>
      </c>
      <c r="H135" s="81">
        <v>7.0</v>
      </c>
      <c r="I135" s="82">
        <v>1.0</v>
      </c>
      <c r="J135" s="82">
        <v>0.0</v>
      </c>
      <c r="K135" s="82">
        <v>0.0</v>
      </c>
      <c r="L135" s="82">
        <v>0.0</v>
      </c>
      <c r="N135" s="23"/>
      <c r="O135" s="19">
        <f>$G$15</f>
        <v>7</v>
      </c>
      <c r="P135" s="40">
        <f t="shared" ref="P135:T135" si="133">H135/A$161</f>
        <v>0.01772151899</v>
      </c>
      <c r="Q135" s="40">
        <f t="shared" si="133"/>
        <v>0.01041666667</v>
      </c>
      <c r="R135" s="40">
        <f t="shared" si="133"/>
        <v>0</v>
      </c>
      <c r="S135" s="40">
        <f t="shared" si="133"/>
        <v>0</v>
      </c>
      <c r="T135" s="40">
        <f t="shared" si="133"/>
        <v>0</v>
      </c>
    </row>
    <row r="136" ht="15.75" customHeight="1">
      <c r="A136" s="63"/>
      <c r="B136" s="63"/>
      <c r="C136" s="63"/>
      <c r="D136" s="63"/>
      <c r="E136" s="63"/>
      <c r="F136" s="23"/>
      <c r="G136" s="19">
        <f>$G$16</f>
        <v>8</v>
      </c>
      <c r="H136" s="81">
        <v>18.0</v>
      </c>
      <c r="I136" s="82">
        <v>4.0</v>
      </c>
      <c r="J136" s="82">
        <v>0.0</v>
      </c>
      <c r="K136" s="82">
        <v>1.0</v>
      </c>
      <c r="L136" s="82">
        <v>0.0</v>
      </c>
      <c r="N136" s="23"/>
      <c r="O136" s="19">
        <f>$G$16</f>
        <v>8</v>
      </c>
      <c r="P136" s="40">
        <f t="shared" ref="P136:T136" si="134">H136/A$161</f>
        <v>0.04556962025</v>
      </c>
      <c r="Q136" s="40">
        <f t="shared" si="134"/>
        <v>0.04166666667</v>
      </c>
      <c r="R136" s="40">
        <f t="shared" si="134"/>
        <v>0</v>
      </c>
      <c r="S136" s="40">
        <f t="shared" si="134"/>
        <v>0.1</v>
      </c>
      <c r="T136" s="40">
        <f t="shared" si="134"/>
        <v>0</v>
      </c>
    </row>
    <row r="137" ht="15.75" customHeight="1">
      <c r="A137" s="63"/>
      <c r="B137" s="63"/>
      <c r="C137" s="63"/>
      <c r="D137" s="63"/>
      <c r="E137" s="63"/>
      <c r="F137" s="23"/>
      <c r="G137" s="19">
        <f>$G$17</f>
        <v>9</v>
      </c>
      <c r="H137" s="81">
        <v>17.0</v>
      </c>
      <c r="I137" s="82">
        <v>3.0</v>
      </c>
      <c r="J137" s="82">
        <v>0.0</v>
      </c>
      <c r="K137" s="82">
        <v>0.0</v>
      </c>
      <c r="L137" s="82">
        <v>0.0</v>
      </c>
      <c r="N137" s="23"/>
      <c r="O137" s="19">
        <f>$G$17</f>
        <v>9</v>
      </c>
      <c r="P137" s="40">
        <f t="shared" ref="P137:T137" si="135">H137/A$161</f>
        <v>0.04303797468</v>
      </c>
      <c r="Q137" s="40">
        <f t="shared" si="135"/>
        <v>0.03125</v>
      </c>
      <c r="R137" s="40">
        <f t="shared" si="135"/>
        <v>0</v>
      </c>
      <c r="S137" s="40">
        <f t="shared" si="135"/>
        <v>0</v>
      </c>
      <c r="T137" s="40">
        <f t="shared" si="135"/>
        <v>0</v>
      </c>
      <c r="U137" s="17">
        <f>$H$7</f>
        <v>31</v>
      </c>
      <c r="V137" s="17">
        <f>$I$7</f>
        <v>32</v>
      </c>
      <c r="W137" s="17">
        <f>$J$7</f>
        <v>41</v>
      </c>
      <c r="X137" s="17">
        <f>$K$7</f>
        <v>42</v>
      </c>
      <c r="Y137" s="17">
        <f>$L$7</f>
        <v>5</v>
      </c>
    </row>
    <row r="138" ht="15.75" customHeight="1">
      <c r="A138" s="63"/>
      <c r="B138" s="63"/>
      <c r="C138" s="63"/>
      <c r="D138" s="63"/>
      <c r="E138" s="63"/>
      <c r="F138" s="23"/>
      <c r="G138" s="19">
        <f>$G$18</f>
        <v>10</v>
      </c>
      <c r="H138" s="81">
        <v>23.0</v>
      </c>
      <c r="I138" s="82">
        <v>6.0</v>
      </c>
      <c r="J138" s="82">
        <v>0.0</v>
      </c>
      <c r="K138" s="82">
        <v>0.0</v>
      </c>
      <c r="L138" s="82">
        <v>0.0</v>
      </c>
      <c r="N138" s="23"/>
      <c r="O138" s="19">
        <f>$G$18</f>
        <v>10</v>
      </c>
      <c r="P138" s="40">
        <f t="shared" ref="P138:T138" si="136">H138/A$161</f>
        <v>0.0582278481</v>
      </c>
      <c r="Q138" s="40">
        <f t="shared" si="136"/>
        <v>0.0625</v>
      </c>
      <c r="R138" s="40">
        <f t="shared" si="136"/>
        <v>0</v>
      </c>
      <c r="S138" s="40">
        <f t="shared" si="136"/>
        <v>0</v>
      </c>
      <c r="T138" s="40">
        <f t="shared" si="136"/>
        <v>0</v>
      </c>
    </row>
    <row r="139" ht="15.75" customHeight="1">
      <c r="A139" s="63"/>
      <c r="B139" s="63"/>
      <c r="C139" s="63"/>
      <c r="D139" s="63"/>
      <c r="E139" s="63"/>
      <c r="F139" s="23"/>
      <c r="G139" s="19">
        <f>$G$19</f>
        <v>11</v>
      </c>
      <c r="H139" s="81">
        <v>25.0</v>
      </c>
      <c r="I139" s="82">
        <v>8.0</v>
      </c>
      <c r="J139" s="82">
        <v>0.0</v>
      </c>
      <c r="K139" s="82">
        <v>0.0</v>
      </c>
      <c r="L139" s="82">
        <v>1.0</v>
      </c>
      <c r="N139" s="23"/>
      <c r="O139" s="19">
        <f>$G$19</f>
        <v>11</v>
      </c>
      <c r="P139" s="40">
        <f t="shared" ref="P139:T139" si="137">H139/A$161</f>
        <v>0.06329113924</v>
      </c>
      <c r="Q139" s="40">
        <f t="shared" si="137"/>
        <v>0.08333333333</v>
      </c>
      <c r="R139" s="40">
        <f t="shared" si="137"/>
        <v>0</v>
      </c>
      <c r="S139" s="40">
        <f t="shared" si="137"/>
        <v>0</v>
      </c>
      <c r="T139" s="40">
        <f t="shared" si="137"/>
        <v>1</v>
      </c>
    </row>
    <row r="140" ht="15.75" customHeight="1">
      <c r="A140" s="63"/>
      <c r="B140" s="63"/>
      <c r="C140" s="63"/>
      <c r="D140" s="63"/>
      <c r="E140" s="63"/>
      <c r="F140" s="23"/>
      <c r="G140" s="19">
        <f>$G$20</f>
        <v>12</v>
      </c>
      <c r="H140" s="81">
        <v>26.0</v>
      </c>
      <c r="I140" s="82">
        <v>3.0</v>
      </c>
      <c r="J140" s="82">
        <v>0.0</v>
      </c>
      <c r="K140" s="82">
        <v>3.0</v>
      </c>
      <c r="L140" s="82">
        <v>0.0</v>
      </c>
      <c r="N140" s="23"/>
      <c r="O140" s="19">
        <f>$G$20</f>
        <v>12</v>
      </c>
      <c r="P140" s="40">
        <f t="shared" ref="P140:T140" si="138">H140/A$161</f>
        <v>0.06582278481</v>
      </c>
      <c r="Q140" s="40">
        <f t="shared" si="138"/>
        <v>0.03125</v>
      </c>
      <c r="R140" s="40">
        <f t="shared" si="138"/>
        <v>0</v>
      </c>
      <c r="S140" s="40">
        <f t="shared" si="138"/>
        <v>0.3</v>
      </c>
      <c r="T140" s="40">
        <f t="shared" si="138"/>
        <v>0</v>
      </c>
    </row>
    <row r="141" ht="15.75" customHeight="1">
      <c r="A141" s="63"/>
      <c r="B141" s="63"/>
      <c r="C141" s="63"/>
      <c r="D141" s="63"/>
      <c r="E141" s="63"/>
      <c r="F141" s="23"/>
      <c r="G141" s="19">
        <f>$G$21</f>
        <v>13</v>
      </c>
      <c r="H141" s="81">
        <v>27.0</v>
      </c>
      <c r="I141" s="82">
        <v>6.0</v>
      </c>
      <c r="J141" s="82">
        <v>0.0</v>
      </c>
      <c r="K141" s="82">
        <v>2.0</v>
      </c>
      <c r="L141" s="82">
        <v>0.0</v>
      </c>
      <c r="N141" s="23"/>
      <c r="O141" s="19">
        <f>$G$21</f>
        <v>13</v>
      </c>
      <c r="P141" s="40">
        <f t="shared" ref="P141:T141" si="139">H141/A$161</f>
        <v>0.06835443038</v>
      </c>
      <c r="Q141" s="40">
        <f t="shared" si="139"/>
        <v>0.0625</v>
      </c>
      <c r="R141" s="40">
        <f t="shared" si="139"/>
        <v>0</v>
      </c>
      <c r="S141" s="40">
        <f t="shared" si="139"/>
        <v>0.2</v>
      </c>
      <c r="T141" s="40">
        <f t="shared" si="139"/>
        <v>0</v>
      </c>
    </row>
    <row r="142" ht="15.75" customHeight="1">
      <c r="A142" s="63"/>
      <c r="B142" s="63"/>
      <c r="C142" s="63"/>
      <c r="D142" s="63"/>
      <c r="E142" s="63"/>
      <c r="F142" s="23"/>
      <c r="G142" s="19">
        <f>$G$22</f>
        <v>14</v>
      </c>
      <c r="H142" s="81">
        <v>24.0</v>
      </c>
      <c r="I142" s="82">
        <v>3.0</v>
      </c>
      <c r="J142" s="82">
        <v>0.0</v>
      </c>
      <c r="K142" s="82">
        <v>1.0</v>
      </c>
      <c r="L142" s="82">
        <v>0.0</v>
      </c>
      <c r="N142" s="23"/>
      <c r="O142" s="19">
        <f>$G$22</f>
        <v>14</v>
      </c>
      <c r="P142" s="40">
        <f t="shared" ref="P142:T142" si="140">H142/A$161</f>
        <v>0.06075949367</v>
      </c>
      <c r="Q142" s="40">
        <f t="shared" si="140"/>
        <v>0.03125</v>
      </c>
      <c r="R142" s="40">
        <f t="shared" si="140"/>
        <v>0</v>
      </c>
      <c r="S142" s="40">
        <f t="shared" si="140"/>
        <v>0.1</v>
      </c>
      <c r="T142" s="40">
        <f t="shared" si="140"/>
        <v>0</v>
      </c>
    </row>
    <row r="143" ht="15.75" customHeight="1">
      <c r="A143" s="63"/>
      <c r="B143" s="63"/>
      <c r="C143" s="63"/>
      <c r="D143" s="63"/>
      <c r="E143" s="63"/>
      <c r="F143" s="23"/>
      <c r="G143" s="19">
        <f>$G$23</f>
        <v>15</v>
      </c>
      <c r="H143" s="81">
        <v>26.0</v>
      </c>
      <c r="I143" s="82">
        <v>11.0</v>
      </c>
      <c r="J143" s="82">
        <v>0.0</v>
      </c>
      <c r="K143" s="82">
        <v>1.0</v>
      </c>
      <c r="L143" s="82">
        <v>0.0</v>
      </c>
      <c r="N143" s="23"/>
      <c r="O143" s="19">
        <f>$G$23</f>
        <v>15</v>
      </c>
      <c r="P143" s="40">
        <f t="shared" ref="P143:T143" si="141">H143/A$161</f>
        <v>0.06582278481</v>
      </c>
      <c r="Q143" s="40">
        <f t="shared" si="141"/>
        <v>0.1145833333</v>
      </c>
      <c r="R143" s="40">
        <f t="shared" si="141"/>
        <v>0</v>
      </c>
      <c r="S143" s="40">
        <f t="shared" si="141"/>
        <v>0.1</v>
      </c>
      <c r="T143" s="40">
        <f t="shared" si="141"/>
        <v>0</v>
      </c>
    </row>
    <row r="144" ht="15.75" customHeight="1">
      <c r="A144" s="63"/>
      <c r="B144" s="63"/>
      <c r="C144" s="63"/>
      <c r="D144" s="63"/>
      <c r="E144" s="63"/>
      <c r="F144" s="23"/>
      <c r="G144" s="19">
        <f>$G$24</f>
        <v>16</v>
      </c>
      <c r="H144" s="81">
        <v>39.0</v>
      </c>
      <c r="I144" s="82">
        <v>10.0</v>
      </c>
      <c r="J144" s="82">
        <v>0.0</v>
      </c>
      <c r="K144" s="82">
        <v>1.0</v>
      </c>
      <c r="L144" s="82">
        <v>0.0</v>
      </c>
      <c r="N144" s="23"/>
      <c r="O144" s="19">
        <f>$G$24</f>
        <v>16</v>
      </c>
      <c r="P144" s="40">
        <f t="shared" ref="P144:T144" si="142">H144/A$161</f>
        <v>0.09873417722</v>
      </c>
      <c r="Q144" s="40">
        <f t="shared" si="142"/>
        <v>0.1041666667</v>
      </c>
      <c r="R144" s="40">
        <f t="shared" si="142"/>
        <v>0</v>
      </c>
      <c r="S144" s="40">
        <f t="shared" si="142"/>
        <v>0.1</v>
      </c>
      <c r="T144" s="40">
        <f t="shared" si="142"/>
        <v>0</v>
      </c>
    </row>
    <row r="145" ht="15.75" customHeight="1">
      <c r="A145" s="63"/>
      <c r="B145" s="63"/>
      <c r="C145" s="63"/>
      <c r="D145" s="63"/>
      <c r="E145" s="63"/>
      <c r="F145" s="23"/>
      <c r="G145" s="19">
        <f>$G$25</f>
        <v>17</v>
      </c>
      <c r="H145" s="81">
        <v>31.0</v>
      </c>
      <c r="I145" s="82">
        <v>9.0</v>
      </c>
      <c r="J145" s="82">
        <v>0.0</v>
      </c>
      <c r="K145" s="82">
        <v>0.0</v>
      </c>
      <c r="L145" s="82">
        <v>0.0</v>
      </c>
      <c r="N145" s="23"/>
      <c r="O145" s="19">
        <f>$G$25</f>
        <v>17</v>
      </c>
      <c r="P145" s="40">
        <f t="shared" ref="P145:T145" si="143">H145/A$161</f>
        <v>0.07848101266</v>
      </c>
      <c r="Q145" s="40">
        <f t="shared" si="143"/>
        <v>0.09375</v>
      </c>
      <c r="R145" s="40">
        <f t="shared" si="143"/>
        <v>0</v>
      </c>
      <c r="S145" s="40">
        <f t="shared" si="143"/>
        <v>0</v>
      </c>
      <c r="T145" s="40">
        <f t="shared" si="143"/>
        <v>0</v>
      </c>
    </row>
    <row r="146" ht="15.75" customHeight="1">
      <c r="A146" s="63"/>
      <c r="B146" s="63"/>
      <c r="C146" s="63"/>
      <c r="D146" s="63"/>
      <c r="E146" s="63"/>
      <c r="F146" s="23"/>
      <c r="G146" s="19">
        <f>$G$26</f>
        <v>18</v>
      </c>
      <c r="H146" s="81">
        <v>19.0</v>
      </c>
      <c r="I146" s="82">
        <v>6.0</v>
      </c>
      <c r="J146" s="82">
        <v>0.0</v>
      </c>
      <c r="K146" s="82">
        <v>0.0</v>
      </c>
      <c r="L146" s="82">
        <v>0.0</v>
      </c>
      <c r="N146" s="23"/>
      <c r="O146" s="19">
        <f>$G$26</f>
        <v>18</v>
      </c>
      <c r="P146" s="40">
        <f t="shared" ref="P146:T146" si="144">H146/A$161</f>
        <v>0.04810126582</v>
      </c>
      <c r="Q146" s="40">
        <f t="shared" si="144"/>
        <v>0.0625</v>
      </c>
      <c r="R146" s="40">
        <f t="shared" si="144"/>
        <v>0</v>
      </c>
      <c r="S146" s="40">
        <f t="shared" si="144"/>
        <v>0</v>
      </c>
      <c r="T146" s="40">
        <f t="shared" si="144"/>
        <v>0</v>
      </c>
    </row>
    <row r="147" ht="15.75" customHeight="1">
      <c r="A147" s="63"/>
      <c r="B147" s="63"/>
      <c r="C147" s="63"/>
      <c r="D147" s="63"/>
      <c r="E147" s="63"/>
      <c r="F147" s="23"/>
      <c r="G147" s="19">
        <f>$G$27</f>
        <v>19</v>
      </c>
      <c r="H147" s="81">
        <v>22.0</v>
      </c>
      <c r="I147" s="82">
        <v>3.0</v>
      </c>
      <c r="J147" s="82">
        <v>0.0</v>
      </c>
      <c r="K147" s="82">
        <v>0.0</v>
      </c>
      <c r="L147" s="82">
        <v>0.0</v>
      </c>
      <c r="N147" s="23"/>
      <c r="O147" s="19">
        <f>$G$27</f>
        <v>19</v>
      </c>
      <c r="P147" s="40">
        <f t="shared" ref="P147:T147" si="145">H147/A$161</f>
        <v>0.05569620253</v>
      </c>
      <c r="Q147" s="40">
        <f t="shared" si="145"/>
        <v>0.03125</v>
      </c>
      <c r="R147" s="40">
        <f t="shared" si="145"/>
        <v>0</v>
      </c>
      <c r="S147" s="40">
        <f t="shared" si="145"/>
        <v>0</v>
      </c>
      <c r="T147" s="40">
        <f t="shared" si="145"/>
        <v>0</v>
      </c>
    </row>
    <row r="148" ht="15.75" customHeight="1">
      <c r="A148" s="63"/>
      <c r="B148" s="63"/>
      <c r="C148" s="63"/>
      <c r="D148" s="63"/>
      <c r="E148" s="63"/>
      <c r="F148" s="23"/>
      <c r="G148" s="19">
        <f>$G$28</f>
        <v>20</v>
      </c>
      <c r="H148" s="81">
        <v>17.0</v>
      </c>
      <c r="I148" s="82">
        <v>2.0</v>
      </c>
      <c r="J148" s="82">
        <v>0.0</v>
      </c>
      <c r="K148" s="82">
        <v>0.0</v>
      </c>
      <c r="L148" s="82">
        <v>0.0</v>
      </c>
      <c r="N148" s="23"/>
      <c r="O148" s="19">
        <f>$G$28</f>
        <v>20</v>
      </c>
      <c r="P148" s="40">
        <f t="shared" ref="P148:T148" si="146">H148/A$161</f>
        <v>0.04303797468</v>
      </c>
      <c r="Q148" s="40">
        <f t="shared" si="146"/>
        <v>0.02083333333</v>
      </c>
      <c r="R148" s="40">
        <f t="shared" si="146"/>
        <v>0</v>
      </c>
      <c r="S148" s="40">
        <f t="shared" si="146"/>
        <v>0</v>
      </c>
      <c r="T148" s="40">
        <f t="shared" si="146"/>
        <v>0</v>
      </c>
    </row>
    <row r="149" ht="15.75" customHeight="1">
      <c r="A149" s="63"/>
      <c r="B149" s="63"/>
      <c r="C149" s="63"/>
      <c r="D149" s="63"/>
      <c r="E149" s="63"/>
      <c r="F149" s="23"/>
      <c r="G149" s="19">
        <f>$G$29</f>
        <v>21</v>
      </c>
      <c r="H149" s="81">
        <v>13.0</v>
      </c>
      <c r="I149" s="82">
        <v>5.0</v>
      </c>
      <c r="J149" s="82">
        <v>0.0</v>
      </c>
      <c r="K149" s="82">
        <v>0.0</v>
      </c>
      <c r="L149" s="82">
        <v>0.0</v>
      </c>
      <c r="N149" s="23"/>
      <c r="O149" s="19">
        <f>$G$29</f>
        <v>21</v>
      </c>
      <c r="P149" s="40">
        <f t="shared" ref="P149:T149" si="147">H149/A$161</f>
        <v>0.03291139241</v>
      </c>
      <c r="Q149" s="40">
        <f t="shared" si="147"/>
        <v>0.05208333333</v>
      </c>
      <c r="R149" s="40">
        <f t="shared" si="147"/>
        <v>0</v>
      </c>
      <c r="S149" s="40">
        <f t="shared" si="147"/>
        <v>0</v>
      </c>
      <c r="T149" s="40">
        <f t="shared" si="147"/>
        <v>0</v>
      </c>
    </row>
    <row r="150" ht="15.75" customHeight="1">
      <c r="A150" s="63"/>
      <c r="B150" s="63"/>
      <c r="C150" s="63"/>
      <c r="D150" s="63"/>
      <c r="E150" s="63"/>
      <c r="F150" s="23"/>
      <c r="G150" s="19">
        <f>$G$30</f>
        <v>22</v>
      </c>
      <c r="H150" s="81">
        <v>8.0</v>
      </c>
      <c r="I150" s="82">
        <v>2.0</v>
      </c>
      <c r="J150" s="82">
        <v>0.0</v>
      </c>
      <c r="K150" s="82">
        <v>0.0</v>
      </c>
      <c r="L150" s="82">
        <v>0.0</v>
      </c>
      <c r="N150" s="23"/>
      <c r="O150" s="19">
        <f>$G$30</f>
        <v>22</v>
      </c>
      <c r="P150" s="40">
        <f t="shared" ref="P150:T150" si="148">H150/A$161</f>
        <v>0.02025316456</v>
      </c>
      <c r="Q150" s="40">
        <f t="shared" si="148"/>
        <v>0.02083333333</v>
      </c>
      <c r="R150" s="40">
        <f t="shared" si="148"/>
        <v>0</v>
      </c>
      <c r="S150" s="40">
        <f t="shared" si="148"/>
        <v>0</v>
      </c>
      <c r="T150" s="40">
        <f t="shared" si="148"/>
        <v>0</v>
      </c>
    </row>
    <row r="151" ht="15.75" customHeight="1">
      <c r="A151" s="63"/>
      <c r="B151" s="63"/>
      <c r="C151" s="63"/>
      <c r="D151" s="63"/>
      <c r="E151" s="63"/>
      <c r="F151" s="27"/>
      <c r="G151" s="19">
        <f>$G$31</f>
        <v>23</v>
      </c>
      <c r="H151" s="81">
        <v>18.0</v>
      </c>
      <c r="I151" s="82">
        <v>3.0</v>
      </c>
      <c r="J151" s="82">
        <v>0.0</v>
      </c>
      <c r="K151" s="82">
        <v>1.0</v>
      </c>
      <c r="L151" s="82">
        <v>0.0</v>
      </c>
      <c r="N151" s="27"/>
      <c r="O151" s="19">
        <f>$G$31</f>
        <v>23</v>
      </c>
      <c r="P151" s="40">
        <f t="shared" ref="P151:T151" si="149">H151/A$161</f>
        <v>0.04556962025</v>
      </c>
      <c r="Q151" s="40">
        <f t="shared" si="149"/>
        <v>0.03125</v>
      </c>
      <c r="R151" s="40">
        <f t="shared" si="149"/>
        <v>0</v>
      </c>
      <c r="S151" s="40">
        <f t="shared" si="149"/>
        <v>0.1</v>
      </c>
      <c r="T151" s="40">
        <f t="shared" si="149"/>
        <v>0</v>
      </c>
    </row>
    <row r="152" ht="15.75" customHeight="1">
      <c r="A152" s="63"/>
      <c r="B152" s="63"/>
      <c r="C152" s="63"/>
      <c r="D152" s="63"/>
      <c r="E152" s="63"/>
      <c r="F152" s="18">
        <v>45200.0</v>
      </c>
      <c r="G152" s="19">
        <f>$G$8</f>
        <v>0</v>
      </c>
      <c r="H152" s="85">
        <v>6.0</v>
      </c>
      <c r="I152" s="85">
        <v>0.0</v>
      </c>
      <c r="J152" s="85">
        <v>0.0</v>
      </c>
      <c r="K152" s="85">
        <v>0.0</v>
      </c>
      <c r="L152" s="85">
        <v>0.0</v>
      </c>
    </row>
    <row r="153" ht="15.75" customHeight="1">
      <c r="A153" s="63"/>
      <c r="B153" s="63"/>
      <c r="C153" s="63"/>
      <c r="D153" s="63"/>
      <c r="E153" s="63"/>
      <c r="F153" s="23"/>
      <c r="G153" s="19">
        <f>$G$9</f>
        <v>1</v>
      </c>
      <c r="H153" s="85">
        <v>3.0</v>
      </c>
      <c r="I153" s="85">
        <v>1.0</v>
      </c>
      <c r="J153" s="85">
        <v>0.0</v>
      </c>
      <c r="K153" s="85">
        <v>0.0</v>
      </c>
      <c r="L153" s="85">
        <v>0.0</v>
      </c>
      <c r="P153" s="19">
        <f>$H$7</f>
        <v>31</v>
      </c>
      <c r="Q153" s="19">
        <f>$I$7</f>
        <v>32</v>
      </c>
      <c r="R153" s="19">
        <f>$J$7</f>
        <v>41</v>
      </c>
      <c r="S153" s="19">
        <f>$K$7</f>
        <v>42</v>
      </c>
      <c r="T153" s="19">
        <f>$L$7</f>
        <v>5</v>
      </c>
    </row>
    <row r="154" ht="15.75" customHeight="1">
      <c r="A154" s="63"/>
      <c r="B154" s="63"/>
      <c r="C154" s="63"/>
      <c r="D154" s="63"/>
      <c r="E154" s="63"/>
      <c r="F154" s="23"/>
      <c r="G154" s="19">
        <f>$G$10</f>
        <v>2</v>
      </c>
      <c r="H154" s="85">
        <v>3.0</v>
      </c>
      <c r="I154" s="85">
        <v>0.0</v>
      </c>
      <c r="J154" s="85">
        <v>0.0</v>
      </c>
      <c r="K154" s="85">
        <v>0.0</v>
      </c>
      <c r="L154" s="85">
        <v>0.0</v>
      </c>
      <c r="N154" s="18">
        <v>45200.0</v>
      </c>
      <c r="O154" s="19">
        <f>$G$8</f>
        <v>0</v>
      </c>
      <c r="P154" s="40">
        <f t="shared" ref="P154:T154" si="150">H152/H$188</f>
        <v>0.01518987342</v>
      </c>
      <c r="Q154" s="40">
        <f t="shared" si="150"/>
        <v>0</v>
      </c>
      <c r="R154" s="40">
        <f t="shared" si="150"/>
        <v>0</v>
      </c>
      <c r="S154" s="40">
        <f t="shared" si="150"/>
        <v>0</v>
      </c>
      <c r="T154" s="40">
        <f t="shared" si="150"/>
        <v>0</v>
      </c>
    </row>
    <row r="155" ht="15.75" customHeight="1">
      <c r="A155" s="63"/>
      <c r="B155" s="63"/>
      <c r="C155" s="63"/>
      <c r="D155" s="63"/>
      <c r="E155" s="63"/>
      <c r="F155" s="23"/>
      <c r="G155" s="19">
        <f>$G$11</f>
        <v>3</v>
      </c>
      <c r="H155" s="85">
        <v>3.0</v>
      </c>
      <c r="I155" s="85">
        <v>1.0</v>
      </c>
      <c r="J155" s="85">
        <v>0.0</v>
      </c>
      <c r="K155" s="85">
        <v>0.0</v>
      </c>
      <c r="L155" s="85">
        <v>0.0</v>
      </c>
      <c r="N155" s="23"/>
      <c r="O155" s="19">
        <f>$G$9</f>
        <v>1</v>
      </c>
      <c r="P155" s="40">
        <f t="shared" ref="P155:T155" si="151">H153/H$188</f>
        <v>0.007594936709</v>
      </c>
      <c r="Q155" s="40">
        <f t="shared" si="151"/>
        <v>0.009900990099</v>
      </c>
      <c r="R155" s="40">
        <f t="shared" si="151"/>
        <v>0</v>
      </c>
      <c r="S155" s="40">
        <f t="shared" si="151"/>
        <v>0</v>
      </c>
      <c r="T155" s="40">
        <f t="shared" si="151"/>
        <v>0</v>
      </c>
    </row>
    <row r="156" ht="15.75" customHeight="1">
      <c r="A156" s="63"/>
      <c r="B156" s="63"/>
      <c r="C156" s="63"/>
      <c r="D156" s="63"/>
      <c r="E156" s="63"/>
      <c r="F156" s="23"/>
      <c r="G156" s="19">
        <f>$G$12</f>
        <v>4</v>
      </c>
      <c r="H156" s="85">
        <v>2.0</v>
      </c>
      <c r="I156" s="85">
        <v>1.0</v>
      </c>
      <c r="J156" s="85">
        <v>0.0</v>
      </c>
      <c r="K156" s="85">
        <v>0.0</v>
      </c>
      <c r="L156" s="85">
        <v>0.0</v>
      </c>
      <c r="N156" s="23"/>
      <c r="O156" s="19">
        <f>$G$10</f>
        <v>2</v>
      </c>
      <c r="P156" s="40">
        <f t="shared" ref="P156:T156" si="152">H154/H$188</f>
        <v>0.007594936709</v>
      </c>
      <c r="Q156" s="40">
        <f t="shared" si="152"/>
        <v>0</v>
      </c>
      <c r="R156" s="40">
        <f t="shared" si="152"/>
        <v>0</v>
      </c>
      <c r="S156" s="40">
        <f t="shared" si="152"/>
        <v>0</v>
      </c>
      <c r="T156" s="40">
        <f t="shared" si="152"/>
        <v>0</v>
      </c>
    </row>
    <row r="157" ht="15.75" customHeight="1">
      <c r="A157" s="63"/>
      <c r="B157" s="63"/>
      <c r="C157" s="63"/>
      <c r="D157" s="63"/>
      <c r="E157" s="63"/>
      <c r="F157" s="23"/>
      <c r="G157" s="19">
        <f>$G$13</f>
        <v>5</v>
      </c>
      <c r="H157" s="85">
        <v>5.0</v>
      </c>
      <c r="I157" s="85">
        <v>3.0</v>
      </c>
      <c r="J157" s="85">
        <v>0.0</v>
      </c>
      <c r="K157" s="85">
        <v>0.0</v>
      </c>
      <c r="L157" s="85">
        <v>0.0</v>
      </c>
      <c r="N157" s="23"/>
      <c r="O157" s="19">
        <f>$G$11</f>
        <v>3</v>
      </c>
      <c r="P157" s="40">
        <f t="shared" ref="P157:T157" si="153">H155/H$188</f>
        <v>0.007594936709</v>
      </c>
      <c r="Q157" s="40">
        <f t="shared" si="153"/>
        <v>0.009900990099</v>
      </c>
      <c r="R157" s="40">
        <f t="shared" si="153"/>
        <v>0</v>
      </c>
      <c r="S157" s="40">
        <f t="shared" si="153"/>
        <v>0</v>
      </c>
      <c r="T157" s="40">
        <f t="shared" si="153"/>
        <v>0</v>
      </c>
    </row>
    <row r="158" ht="15.75" customHeight="1">
      <c r="A158" s="63"/>
      <c r="B158" s="63"/>
      <c r="C158" s="63"/>
      <c r="D158" s="63"/>
      <c r="E158" s="63"/>
      <c r="F158" s="23"/>
      <c r="G158" s="19">
        <f>$G$14</f>
        <v>6</v>
      </c>
      <c r="H158" s="85">
        <v>2.0</v>
      </c>
      <c r="I158" s="85">
        <v>4.0</v>
      </c>
      <c r="J158" s="85">
        <v>0.0</v>
      </c>
      <c r="K158" s="85">
        <v>0.0</v>
      </c>
      <c r="L158" s="85">
        <v>0.0</v>
      </c>
      <c r="N158" s="23"/>
      <c r="O158" s="19">
        <f>$G$12</f>
        <v>4</v>
      </c>
      <c r="P158" s="40">
        <f t="shared" ref="P158:T158" si="154">H156/H$188</f>
        <v>0.005063291139</v>
      </c>
      <c r="Q158" s="40">
        <f t="shared" si="154"/>
        <v>0.009900990099</v>
      </c>
      <c r="R158" s="40">
        <f t="shared" si="154"/>
        <v>0</v>
      </c>
      <c r="S158" s="40">
        <f t="shared" si="154"/>
        <v>0</v>
      </c>
      <c r="T158" s="40">
        <f t="shared" si="154"/>
        <v>0</v>
      </c>
    </row>
    <row r="159" ht="15.75" customHeight="1">
      <c r="A159" s="63"/>
      <c r="B159" s="63"/>
      <c r="C159" s="63"/>
      <c r="D159" s="63"/>
      <c r="E159" s="63"/>
      <c r="F159" s="23"/>
      <c r="G159" s="19">
        <f>$G$15</f>
        <v>7</v>
      </c>
      <c r="H159" s="85">
        <v>5.0</v>
      </c>
      <c r="I159" s="85">
        <v>3.0</v>
      </c>
      <c r="J159" s="85">
        <v>0.0</v>
      </c>
      <c r="K159" s="85">
        <v>0.0</v>
      </c>
      <c r="L159" s="85">
        <v>0.0</v>
      </c>
      <c r="N159" s="23"/>
      <c r="O159" s="19">
        <f>$G$13</f>
        <v>5</v>
      </c>
      <c r="P159" s="40">
        <f t="shared" ref="P159:T159" si="155">H157/H$188</f>
        <v>0.01265822785</v>
      </c>
      <c r="Q159" s="40">
        <f t="shared" si="155"/>
        <v>0.0297029703</v>
      </c>
      <c r="R159" s="40">
        <f t="shared" si="155"/>
        <v>0</v>
      </c>
      <c r="S159" s="40">
        <f t="shared" si="155"/>
        <v>0</v>
      </c>
      <c r="T159" s="40">
        <f t="shared" si="155"/>
        <v>0</v>
      </c>
    </row>
    <row r="160" ht="15.75" customHeight="1">
      <c r="A160" s="63"/>
      <c r="B160" s="63"/>
      <c r="C160" s="63"/>
      <c r="D160" s="63"/>
      <c r="E160" s="63"/>
      <c r="F160" s="23"/>
      <c r="G160" s="19">
        <f>$G$16</f>
        <v>8</v>
      </c>
      <c r="H160" s="85">
        <v>12.0</v>
      </c>
      <c r="I160" s="85">
        <v>8.0</v>
      </c>
      <c r="J160" s="85">
        <v>0.0</v>
      </c>
      <c r="K160" s="85">
        <v>0.0</v>
      </c>
      <c r="L160" s="85">
        <v>0.0</v>
      </c>
      <c r="N160" s="23"/>
      <c r="O160" s="19">
        <f>$G$14</f>
        <v>6</v>
      </c>
      <c r="P160" s="40">
        <f t="shared" ref="P160:T160" si="156">H158/H$188</f>
        <v>0.005063291139</v>
      </c>
      <c r="Q160" s="40">
        <f t="shared" si="156"/>
        <v>0.0396039604</v>
      </c>
      <c r="R160" s="40">
        <f t="shared" si="156"/>
        <v>0</v>
      </c>
      <c r="S160" s="40">
        <f t="shared" si="156"/>
        <v>0</v>
      </c>
      <c r="T160" s="40">
        <f t="shared" si="156"/>
        <v>0</v>
      </c>
    </row>
    <row r="161" ht="15.75" customHeight="1">
      <c r="A161" s="73">
        <f t="shared" ref="A161:E161" si="157">SUM(H128:H151)</f>
        <v>395</v>
      </c>
      <c r="B161" s="73">
        <f t="shared" si="157"/>
        <v>96</v>
      </c>
      <c r="C161" s="73">
        <f t="shared" si="157"/>
        <v>1</v>
      </c>
      <c r="D161" s="73">
        <f t="shared" si="157"/>
        <v>10</v>
      </c>
      <c r="E161" s="73">
        <f t="shared" si="157"/>
        <v>1</v>
      </c>
      <c r="F161" s="23"/>
      <c r="G161" s="19">
        <f>$G$17</f>
        <v>9</v>
      </c>
      <c r="H161" s="85">
        <v>8.0</v>
      </c>
      <c r="I161" s="85">
        <v>8.0</v>
      </c>
      <c r="J161" s="85">
        <v>0.0</v>
      </c>
      <c r="K161" s="85">
        <v>0.0</v>
      </c>
      <c r="L161" s="85">
        <v>0.0</v>
      </c>
      <c r="N161" s="23"/>
      <c r="O161" s="19">
        <f>$G$15</f>
        <v>7</v>
      </c>
      <c r="P161" s="40">
        <f t="shared" ref="P161:T161" si="158">H159/H$188</f>
        <v>0.01265822785</v>
      </c>
      <c r="Q161" s="40">
        <f t="shared" si="158"/>
        <v>0.0297029703</v>
      </c>
      <c r="R161" s="40">
        <f t="shared" si="158"/>
        <v>0</v>
      </c>
      <c r="S161" s="40">
        <f t="shared" si="158"/>
        <v>0</v>
      </c>
      <c r="T161" s="40">
        <f t="shared" si="158"/>
        <v>0</v>
      </c>
    </row>
    <row r="162" ht="15.75" customHeight="1">
      <c r="A162" s="19">
        <f>$H$7</f>
        <v>31</v>
      </c>
      <c r="B162" s="19">
        <f>$I$7</f>
        <v>32</v>
      </c>
      <c r="C162" s="19">
        <f>$J$7</f>
        <v>41</v>
      </c>
      <c r="D162" s="19">
        <f>$K$7</f>
        <v>42</v>
      </c>
      <c r="E162" s="19">
        <f>$L$7</f>
        <v>5</v>
      </c>
      <c r="F162" s="23"/>
      <c r="G162" s="19">
        <f>$G$18</f>
        <v>10</v>
      </c>
      <c r="H162" s="85">
        <v>22.0</v>
      </c>
      <c r="I162" s="85">
        <v>13.0</v>
      </c>
      <c r="J162" s="85">
        <v>0.0</v>
      </c>
      <c r="K162" s="85">
        <v>0.0</v>
      </c>
      <c r="L162" s="85">
        <v>2.0</v>
      </c>
      <c r="N162" s="23"/>
      <c r="O162" s="19">
        <f>$G$16</f>
        <v>8</v>
      </c>
      <c r="P162" s="40">
        <f t="shared" ref="P162:T162" si="159">H160/H$188</f>
        <v>0.03037974684</v>
      </c>
      <c r="Q162" s="40">
        <f t="shared" si="159"/>
        <v>0.07920792079</v>
      </c>
      <c r="R162" s="40">
        <f t="shared" si="159"/>
        <v>0</v>
      </c>
      <c r="S162" s="40">
        <f t="shared" si="159"/>
        <v>0</v>
      </c>
      <c r="T162" s="40">
        <f t="shared" si="159"/>
        <v>0</v>
      </c>
    </row>
    <row r="163" ht="15.75" customHeight="1">
      <c r="A163" s="63"/>
      <c r="B163" s="63"/>
      <c r="C163" s="63"/>
      <c r="D163" s="63"/>
      <c r="E163" s="63"/>
      <c r="F163" s="23"/>
      <c r="G163" s="19">
        <f>$G$19</f>
        <v>11</v>
      </c>
      <c r="H163" s="85">
        <v>21.0</v>
      </c>
      <c r="I163" s="85">
        <v>3.0</v>
      </c>
      <c r="J163" s="85">
        <v>0.0</v>
      </c>
      <c r="K163" s="85">
        <v>0.0</v>
      </c>
      <c r="L163" s="85">
        <v>0.0</v>
      </c>
      <c r="N163" s="23"/>
      <c r="O163" s="19">
        <f>$G$17</f>
        <v>9</v>
      </c>
      <c r="P163" s="40">
        <f t="shared" ref="P163:T163" si="160">H161/H$188</f>
        <v>0.02025316456</v>
      </c>
      <c r="Q163" s="40">
        <f t="shared" si="160"/>
        <v>0.07920792079</v>
      </c>
      <c r="R163" s="40">
        <f t="shared" si="160"/>
        <v>0</v>
      </c>
      <c r="S163" s="40">
        <f t="shared" si="160"/>
        <v>0</v>
      </c>
      <c r="T163" s="40">
        <f t="shared" si="160"/>
        <v>0</v>
      </c>
    </row>
    <row r="164" ht="15.75" customHeight="1">
      <c r="A164" s="63"/>
      <c r="B164" s="63"/>
      <c r="C164" s="63"/>
      <c r="D164" s="63"/>
      <c r="E164" s="63"/>
      <c r="F164" s="23"/>
      <c r="G164" s="19">
        <f>$G$20</f>
        <v>12</v>
      </c>
      <c r="H164" s="85">
        <v>26.0</v>
      </c>
      <c r="I164" s="85">
        <v>7.0</v>
      </c>
      <c r="J164" s="85">
        <v>0.0</v>
      </c>
      <c r="K164" s="85">
        <v>1.0</v>
      </c>
      <c r="L164" s="85">
        <v>0.0</v>
      </c>
      <c r="N164" s="23"/>
      <c r="O164" s="19">
        <f>$G$18</f>
        <v>10</v>
      </c>
      <c r="P164" s="40">
        <f t="shared" ref="P164:T164" si="161">H162/H$188</f>
        <v>0.05569620253</v>
      </c>
      <c r="Q164" s="40">
        <f t="shared" si="161"/>
        <v>0.1287128713</v>
      </c>
      <c r="R164" s="40">
        <f t="shared" si="161"/>
        <v>0</v>
      </c>
      <c r="S164" s="40">
        <f t="shared" si="161"/>
        <v>0</v>
      </c>
      <c r="T164" s="40">
        <f t="shared" si="161"/>
        <v>1</v>
      </c>
    </row>
    <row r="165" ht="15.75" customHeight="1">
      <c r="A165" s="63"/>
      <c r="B165" s="63"/>
      <c r="C165" s="63"/>
      <c r="D165" s="63"/>
      <c r="E165" s="63"/>
      <c r="F165" s="23"/>
      <c r="G165" s="19">
        <f>$G$21</f>
        <v>13</v>
      </c>
      <c r="H165" s="85">
        <v>15.0</v>
      </c>
      <c r="I165" s="85">
        <v>13.0</v>
      </c>
      <c r="J165" s="85">
        <v>0.0</v>
      </c>
      <c r="K165" s="85">
        <v>0.0</v>
      </c>
      <c r="L165" s="85">
        <v>0.0</v>
      </c>
      <c r="N165" s="23"/>
      <c r="O165" s="19">
        <f>$G$19</f>
        <v>11</v>
      </c>
      <c r="P165" s="40">
        <f t="shared" ref="P165:T165" si="162">H163/H$188</f>
        <v>0.05316455696</v>
      </c>
      <c r="Q165" s="40">
        <f t="shared" si="162"/>
        <v>0.0297029703</v>
      </c>
      <c r="R165" s="40">
        <f t="shared" si="162"/>
        <v>0</v>
      </c>
      <c r="S165" s="40">
        <f t="shared" si="162"/>
        <v>0</v>
      </c>
      <c r="T165" s="40">
        <f t="shared" si="162"/>
        <v>0</v>
      </c>
    </row>
    <row r="166" ht="15.75" customHeight="1">
      <c r="A166" s="63"/>
      <c r="B166" s="63"/>
      <c r="C166" s="63"/>
      <c r="D166" s="63"/>
      <c r="E166" s="63"/>
      <c r="F166" s="23"/>
      <c r="G166" s="19">
        <f>$G$22</f>
        <v>14</v>
      </c>
      <c r="H166" s="85">
        <v>12.0</v>
      </c>
      <c r="I166" s="85">
        <v>2.0</v>
      </c>
      <c r="J166" s="85">
        <v>0.0</v>
      </c>
      <c r="K166" s="85">
        <v>0.0</v>
      </c>
      <c r="L166" s="85">
        <v>0.0</v>
      </c>
      <c r="N166" s="23"/>
      <c r="O166" s="19">
        <f>$G$20</f>
        <v>12</v>
      </c>
      <c r="P166" s="40">
        <f t="shared" ref="P166:T166" si="163">H164/H$188</f>
        <v>0.06582278481</v>
      </c>
      <c r="Q166" s="40">
        <f t="shared" si="163"/>
        <v>0.06930693069</v>
      </c>
      <c r="R166" s="40">
        <f t="shared" si="163"/>
        <v>0</v>
      </c>
      <c r="S166" s="40">
        <f t="shared" si="163"/>
        <v>0.3333333333</v>
      </c>
      <c r="T166" s="40">
        <f t="shared" si="163"/>
        <v>0</v>
      </c>
    </row>
    <row r="167" ht="15.75" customHeight="1">
      <c r="A167" s="63"/>
      <c r="B167" s="63"/>
      <c r="C167" s="63"/>
      <c r="D167" s="63"/>
      <c r="E167" s="63"/>
      <c r="F167" s="23"/>
      <c r="G167" s="19">
        <f>$G$23</f>
        <v>15</v>
      </c>
      <c r="H167" s="85">
        <v>27.0</v>
      </c>
      <c r="I167" s="85">
        <v>6.0</v>
      </c>
      <c r="J167" s="85">
        <v>0.0</v>
      </c>
      <c r="K167" s="85">
        <v>0.0</v>
      </c>
      <c r="L167" s="85">
        <v>0.0</v>
      </c>
      <c r="N167" s="23"/>
      <c r="O167" s="19">
        <f>$G$21</f>
        <v>13</v>
      </c>
      <c r="P167" s="40">
        <f t="shared" ref="P167:T167" si="164">H165/H$188</f>
        <v>0.03797468354</v>
      </c>
      <c r="Q167" s="40">
        <f t="shared" si="164"/>
        <v>0.1287128713</v>
      </c>
      <c r="R167" s="40">
        <f t="shared" si="164"/>
        <v>0</v>
      </c>
      <c r="S167" s="40">
        <f t="shared" si="164"/>
        <v>0</v>
      </c>
      <c r="T167" s="40">
        <f t="shared" si="164"/>
        <v>0</v>
      </c>
    </row>
    <row r="168" ht="15.75" customHeight="1">
      <c r="A168" s="63"/>
      <c r="B168" s="63"/>
      <c r="C168" s="63"/>
      <c r="D168" s="63"/>
      <c r="E168" s="63"/>
      <c r="F168" s="23"/>
      <c r="G168" s="19">
        <f>$G$24</f>
        <v>16</v>
      </c>
      <c r="H168" s="85">
        <v>30.0</v>
      </c>
      <c r="I168" s="85">
        <v>4.0</v>
      </c>
      <c r="J168" s="85">
        <v>0.0</v>
      </c>
      <c r="K168" s="85">
        <v>2.0</v>
      </c>
      <c r="L168" s="85">
        <v>0.0</v>
      </c>
      <c r="N168" s="23"/>
      <c r="O168" s="19">
        <f>$G$22</f>
        <v>14</v>
      </c>
      <c r="P168" s="40">
        <f t="shared" ref="P168:T168" si="165">H166/H$188</f>
        <v>0.03037974684</v>
      </c>
      <c r="Q168" s="40">
        <f t="shared" si="165"/>
        <v>0.0198019802</v>
      </c>
      <c r="R168" s="40">
        <f t="shared" si="165"/>
        <v>0</v>
      </c>
      <c r="S168" s="40">
        <f t="shared" si="165"/>
        <v>0</v>
      </c>
      <c r="T168" s="40">
        <f t="shared" si="165"/>
        <v>0</v>
      </c>
    </row>
    <row r="169" ht="15.75" customHeight="1">
      <c r="A169" s="63"/>
      <c r="B169" s="63"/>
      <c r="C169" s="63"/>
      <c r="D169" s="63"/>
      <c r="E169" s="63"/>
      <c r="F169" s="23"/>
      <c r="G169" s="19">
        <f>$G$25</f>
        <v>17</v>
      </c>
      <c r="H169" s="85">
        <v>33.0</v>
      </c>
      <c r="I169" s="85">
        <v>6.0</v>
      </c>
      <c r="J169" s="85">
        <v>2.0</v>
      </c>
      <c r="K169" s="85">
        <v>0.0</v>
      </c>
      <c r="L169" s="85">
        <v>0.0</v>
      </c>
      <c r="N169" s="23"/>
      <c r="O169" s="19">
        <f>$G$23</f>
        <v>15</v>
      </c>
      <c r="P169" s="40">
        <f t="shared" ref="P169:T169" si="166">H167/H$188</f>
        <v>0.06835443038</v>
      </c>
      <c r="Q169" s="40">
        <f t="shared" si="166"/>
        <v>0.05940594059</v>
      </c>
      <c r="R169" s="40">
        <f t="shared" si="166"/>
        <v>0</v>
      </c>
      <c r="S169" s="40">
        <f t="shared" si="166"/>
        <v>0</v>
      </c>
      <c r="T169" s="40">
        <f t="shared" si="166"/>
        <v>0</v>
      </c>
    </row>
    <row r="170" ht="15.75" customHeight="1">
      <c r="A170" s="63"/>
      <c r="B170" s="63"/>
      <c r="C170" s="63"/>
      <c r="D170" s="63"/>
      <c r="E170" s="63"/>
      <c r="F170" s="23"/>
      <c r="G170" s="19">
        <f>$G$26</f>
        <v>18</v>
      </c>
      <c r="H170" s="85">
        <v>16.0</v>
      </c>
      <c r="I170" s="85">
        <v>6.0</v>
      </c>
      <c r="J170" s="85">
        <v>0.0</v>
      </c>
      <c r="K170" s="85">
        <v>0.0</v>
      </c>
      <c r="L170" s="85">
        <v>0.0</v>
      </c>
      <c r="N170" s="23"/>
      <c r="O170" s="19">
        <f>$G$24</f>
        <v>16</v>
      </c>
      <c r="P170" s="40">
        <f t="shared" ref="P170:T170" si="167">H168/H$188</f>
        <v>0.07594936709</v>
      </c>
      <c r="Q170" s="40">
        <f t="shared" si="167"/>
        <v>0.0396039604</v>
      </c>
      <c r="R170" s="40">
        <f t="shared" si="167"/>
        <v>0</v>
      </c>
      <c r="S170" s="40">
        <f t="shared" si="167"/>
        <v>0.6666666667</v>
      </c>
      <c r="T170" s="40">
        <f t="shared" si="167"/>
        <v>0</v>
      </c>
    </row>
    <row r="171" ht="15.75" customHeight="1">
      <c r="A171" s="63"/>
      <c r="B171" s="63"/>
      <c r="C171" s="63"/>
      <c r="D171" s="63"/>
      <c r="E171" s="63"/>
      <c r="F171" s="23"/>
      <c r="G171" s="19">
        <f>$G$27</f>
        <v>19</v>
      </c>
      <c r="H171" s="85">
        <v>17.0</v>
      </c>
      <c r="I171" s="85">
        <v>2.0</v>
      </c>
      <c r="J171" s="85">
        <v>0.0</v>
      </c>
      <c r="K171" s="85">
        <v>0.0</v>
      </c>
      <c r="L171" s="85">
        <v>0.0</v>
      </c>
      <c r="N171" s="23"/>
      <c r="O171" s="19">
        <f>$G$25</f>
        <v>17</v>
      </c>
      <c r="P171" s="40">
        <f t="shared" ref="P171:T171" si="168">H169/H$188</f>
        <v>0.0835443038</v>
      </c>
      <c r="Q171" s="40">
        <f t="shared" si="168"/>
        <v>0.05940594059</v>
      </c>
      <c r="R171" s="40">
        <f t="shared" si="168"/>
        <v>0.6666666667</v>
      </c>
      <c r="S171" s="40">
        <f t="shared" si="168"/>
        <v>0</v>
      </c>
      <c r="T171" s="40">
        <f t="shared" si="168"/>
        <v>0</v>
      </c>
    </row>
    <row r="172" ht="15.75" customHeight="1">
      <c r="A172" s="63"/>
      <c r="B172" s="63"/>
      <c r="C172" s="63"/>
      <c r="D172" s="63"/>
      <c r="E172" s="63"/>
      <c r="F172" s="23"/>
      <c r="G172" s="19">
        <f>$G$28</f>
        <v>20</v>
      </c>
      <c r="H172" s="85">
        <v>8.0</v>
      </c>
      <c r="I172" s="85">
        <v>6.0</v>
      </c>
      <c r="J172" s="85">
        <v>1.0</v>
      </c>
      <c r="K172" s="85">
        <v>0.0</v>
      </c>
      <c r="L172" s="85">
        <v>0.0</v>
      </c>
      <c r="N172" s="23"/>
      <c r="O172" s="19">
        <f>$G$26</f>
        <v>18</v>
      </c>
      <c r="P172" s="40">
        <f t="shared" ref="P172:T172" si="169">H170/H$188</f>
        <v>0.04050632911</v>
      </c>
      <c r="Q172" s="40">
        <f t="shared" si="169"/>
        <v>0.05940594059</v>
      </c>
      <c r="R172" s="40">
        <f t="shared" si="169"/>
        <v>0</v>
      </c>
      <c r="S172" s="40">
        <f t="shared" si="169"/>
        <v>0</v>
      </c>
      <c r="T172" s="40">
        <f t="shared" si="169"/>
        <v>0</v>
      </c>
    </row>
    <row r="173" ht="15.75" customHeight="1">
      <c r="A173" s="63"/>
      <c r="B173" s="63"/>
      <c r="C173" s="63"/>
      <c r="D173" s="63"/>
      <c r="E173" s="63"/>
      <c r="F173" s="23"/>
      <c r="G173" s="19">
        <f>$G$29</f>
        <v>21</v>
      </c>
      <c r="H173" s="85">
        <v>10.0</v>
      </c>
      <c r="I173" s="85">
        <v>3.0</v>
      </c>
      <c r="J173" s="85">
        <v>0.0</v>
      </c>
      <c r="K173" s="85">
        <v>0.0</v>
      </c>
      <c r="L173" s="85">
        <v>0.0</v>
      </c>
      <c r="N173" s="23"/>
      <c r="O173" s="19">
        <f>$G$27</f>
        <v>19</v>
      </c>
      <c r="P173" s="40">
        <f t="shared" ref="P173:T173" si="170">H171/H$188</f>
        <v>0.04303797468</v>
      </c>
      <c r="Q173" s="40">
        <f t="shared" si="170"/>
        <v>0.0198019802</v>
      </c>
      <c r="R173" s="40">
        <f t="shared" si="170"/>
        <v>0</v>
      </c>
      <c r="S173" s="40">
        <f t="shared" si="170"/>
        <v>0</v>
      </c>
      <c r="T173" s="40">
        <f t="shared" si="170"/>
        <v>0</v>
      </c>
    </row>
    <row r="174" ht="15.75" customHeight="1">
      <c r="A174" s="63"/>
      <c r="B174" s="63"/>
      <c r="C174" s="63"/>
      <c r="D174" s="63"/>
      <c r="E174" s="63"/>
      <c r="F174" s="23"/>
      <c r="G174" s="19">
        <f>$G$30</f>
        <v>22</v>
      </c>
      <c r="H174" s="85">
        <v>9.0</v>
      </c>
      <c r="I174" s="85">
        <v>1.0</v>
      </c>
      <c r="J174" s="85">
        <v>0.0</v>
      </c>
      <c r="K174" s="85">
        <v>0.0</v>
      </c>
      <c r="L174" s="85">
        <v>0.0</v>
      </c>
      <c r="N174" s="23"/>
      <c r="O174" s="19">
        <f>$G$28</f>
        <v>20</v>
      </c>
      <c r="P174" s="40">
        <f t="shared" ref="P174:T174" si="171">H172/H$188</f>
        <v>0.02025316456</v>
      </c>
      <c r="Q174" s="40">
        <f t="shared" si="171"/>
        <v>0.05940594059</v>
      </c>
      <c r="R174" s="40">
        <f t="shared" si="171"/>
        <v>0.3333333333</v>
      </c>
      <c r="S174" s="40">
        <f t="shared" si="171"/>
        <v>0</v>
      </c>
      <c r="T174" s="40">
        <f t="shared" si="171"/>
        <v>0</v>
      </c>
    </row>
    <row r="175" ht="15.75" customHeight="1">
      <c r="A175" s="63"/>
      <c r="B175" s="63"/>
      <c r="C175" s="63"/>
      <c r="D175" s="63"/>
      <c r="E175" s="63"/>
      <c r="F175" s="27"/>
      <c r="G175" s="19">
        <f>$G$31</f>
        <v>23</v>
      </c>
      <c r="H175" s="85">
        <v>2.0</v>
      </c>
      <c r="I175" s="85">
        <v>0.0</v>
      </c>
      <c r="J175" s="85">
        <v>0.0</v>
      </c>
      <c r="K175" s="85">
        <v>0.0</v>
      </c>
      <c r="L175" s="85">
        <v>0.0</v>
      </c>
      <c r="N175" s="23"/>
      <c r="O175" s="19">
        <f>$G$29</f>
        <v>21</v>
      </c>
      <c r="P175" s="40">
        <f t="shared" ref="P175:T175" si="172">H173/H$188</f>
        <v>0.0253164557</v>
      </c>
      <c r="Q175" s="40">
        <f t="shared" si="172"/>
        <v>0.0297029703</v>
      </c>
      <c r="R175" s="40">
        <f t="shared" si="172"/>
        <v>0</v>
      </c>
      <c r="S175" s="40">
        <f t="shared" si="172"/>
        <v>0</v>
      </c>
      <c r="T175" s="40">
        <f t="shared" si="172"/>
        <v>0</v>
      </c>
    </row>
    <row r="176" ht="15.75" customHeight="1">
      <c r="A176" s="63"/>
      <c r="B176" s="63"/>
      <c r="C176" s="63"/>
      <c r="D176" s="63"/>
      <c r="E176" s="63"/>
      <c r="N176" s="23"/>
      <c r="O176" s="19">
        <f>$G$30</f>
        <v>22</v>
      </c>
      <c r="P176" s="40">
        <f t="shared" ref="P176:T176" si="173">H174/H$188</f>
        <v>0.02278481013</v>
      </c>
      <c r="Q176" s="40">
        <f t="shared" si="173"/>
        <v>0.009900990099</v>
      </c>
      <c r="R176" s="40">
        <f t="shared" si="173"/>
        <v>0</v>
      </c>
      <c r="S176" s="40">
        <f t="shared" si="173"/>
        <v>0</v>
      </c>
      <c r="T176" s="40">
        <f t="shared" si="173"/>
        <v>0</v>
      </c>
    </row>
    <row r="177" ht="15.75" customHeight="1">
      <c r="A177" s="63"/>
      <c r="B177" s="63"/>
      <c r="C177" s="63"/>
      <c r="D177" s="63"/>
      <c r="E177" s="63"/>
      <c r="N177" s="27"/>
      <c r="O177" s="19">
        <f>$G$31</f>
        <v>23</v>
      </c>
      <c r="P177" s="40">
        <f t="shared" ref="P177:T177" si="174">H175/H$188</f>
        <v>0.005063291139</v>
      </c>
      <c r="Q177" s="40">
        <f t="shared" si="174"/>
        <v>0</v>
      </c>
      <c r="R177" s="40">
        <f t="shared" si="174"/>
        <v>0</v>
      </c>
      <c r="S177" s="40">
        <f t="shared" si="174"/>
        <v>0</v>
      </c>
      <c r="T177" s="40">
        <f t="shared" si="174"/>
        <v>0</v>
      </c>
    </row>
    <row r="178" ht="15.75" customHeight="1">
      <c r="A178" s="63"/>
      <c r="B178" s="63"/>
      <c r="C178" s="63"/>
      <c r="D178" s="63"/>
      <c r="E178" s="63"/>
      <c r="N178" s="18">
        <v>45201.0</v>
      </c>
      <c r="O178" s="19">
        <f>$G$8</f>
        <v>0</v>
      </c>
      <c r="P178" s="40">
        <f t="shared" ref="P178:T178" si="175">H190/A$214</f>
        <v>0.01158301158</v>
      </c>
      <c r="Q178" s="40">
        <f t="shared" si="175"/>
        <v>0</v>
      </c>
      <c r="R178" s="40">
        <f t="shared" si="175"/>
        <v>0</v>
      </c>
      <c r="S178" s="40">
        <f t="shared" si="175"/>
        <v>0</v>
      </c>
      <c r="T178" s="40">
        <f t="shared" si="175"/>
        <v>0</v>
      </c>
    </row>
    <row r="179" ht="15.75" customHeight="1">
      <c r="A179" s="63"/>
      <c r="B179" s="63"/>
      <c r="C179" s="63"/>
      <c r="D179" s="63"/>
      <c r="E179" s="63"/>
      <c r="N179" s="23"/>
      <c r="O179" s="19">
        <f>$G$9</f>
        <v>1</v>
      </c>
      <c r="P179" s="40">
        <f t="shared" ref="P179:T179" si="176">H191/A$214</f>
        <v>0.007722007722</v>
      </c>
      <c r="Q179" s="40">
        <f t="shared" si="176"/>
        <v>0.01098901099</v>
      </c>
      <c r="R179" s="40">
        <f t="shared" si="176"/>
        <v>0</v>
      </c>
      <c r="S179" s="40">
        <f t="shared" si="176"/>
        <v>0</v>
      </c>
      <c r="T179" s="40">
        <f t="shared" si="176"/>
        <v>0</v>
      </c>
    </row>
    <row r="180" ht="15.75" customHeight="1">
      <c r="A180" s="63"/>
      <c r="B180" s="63"/>
      <c r="C180" s="63"/>
      <c r="D180" s="63"/>
      <c r="E180" s="63"/>
      <c r="N180" s="23"/>
      <c r="O180" s="19">
        <f>$G$10</f>
        <v>2</v>
      </c>
      <c r="P180" s="40">
        <f t="shared" ref="P180:T180" si="177">H192/A$214</f>
        <v>0.01158301158</v>
      </c>
      <c r="Q180" s="40">
        <f t="shared" si="177"/>
        <v>0.01098901099</v>
      </c>
      <c r="R180" s="40">
        <f t="shared" si="177"/>
        <v>0</v>
      </c>
      <c r="S180" s="40">
        <f t="shared" si="177"/>
        <v>0.06666666667</v>
      </c>
      <c r="T180" s="40">
        <f t="shared" si="177"/>
        <v>0</v>
      </c>
    </row>
    <row r="181" ht="15.75" customHeight="1">
      <c r="A181" s="63"/>
      <c r="B181" s="63"/>
      <c r="C181" s="63"/>
      <c r="D181" s="63"/>
      <c r="E181" s="63"/>
      <c r="N181" s="23"/>
      <c r="O181" s="19">
        <f>$G$11</f>
        <v>3</v>
      </c>
      <c r="P181" s="40">
        <f t="shared" ref="P181:T181" si="178">H193/A$214</f>
        <v>0.01158301158</v>
      </c>
      <c r="Q181" s="40">
        <f t="shared" si="178"/>
        <v>0</v>
      </c>
      <c r="R181" s="40">
        <f t="shared" si="178"/>
        <v>0</v>
      </c>
      <c r="S181" s="40">
        <f t="shared" si="178"/>
        <v>0</v>
      </c>
      <c r="T181" s="40">
        <f t="shared" si="178"/>
        <v>0</v>
      </c>
    </row>
    <row r="182" ht="15.75" customHeight="1">
      <c r="A182" s="63"/>
      <c r="B182" s="63"/>
      <c r="C182" s="63"/>
      <c r="D182" s="63"/>
      <c r="E182" s="63"/>
      <c r="N182" s="23"/>
      <c r="O182" s="19">
        <f>$G$12</f>
        <v>4</v>
      </c>
      <c r="P182" s="40">
        <f t="shared" ref="P182:T182" si="179">H194/A$214</f>
        <v>0</v>
      </c>
      <c r="Q182" s="40">
        <f t="shared" si="179"/>
        <v>0.03296703297</v>
      </c>
      <c r="R182" s="40">
        <f t="shared" si="179"/>
        <v>0</v>
      </c>
      <c r="S182" s="40">
        <f t="shared" si="179"/>
        <v>0</v>
      </c>
      <c r="T182" s="40">
        <f t="shared" si="179"/>
        <v>0</v>
      </c>
    </row>
    <row r="183" ht="15.75" customHeight="1">
      <c r="A183" s="63"/>
      <c r="B183" s="63"/>
      <c r="C183" s="63"/>
      <c r="D183" s="63"/>
      <c r="E183" s="63"/>
      <c r="N183" s="23"/>
      <c r="O183" s="19">
        <f>$G$13</f>
        <v>5</v>
      </c>
      <c r="P183" s="40">
        <f t="shared" ref="P183:T183" si="180">H195/A$214</f>
        <v>0</v>
      </c>
      <c r="Q183" s="40">
        <f t="shared" si="180"/>
        <v>0</v>
      </c>
      <c r="R183" s="40">
        <f t="shared" si="180"/>
        <v>0</v>
      </c>
      <c r="S183" s="40">
        <f t="shared" si="180"/>
        <v>0</v>
      </c>
      <c r="T183" s="40">
        <f t="shared" si="180"/>
        <v>0</v>
      </c>
    </row>
    <row r="184" ht="15.75" customHeight="1">
      <c r="A184" s="63"/>
      <c r="B184" s="63"/>
      <c r="C184" s="63"/>
      <c r="D184" s="63"/>
      <c r="E184" s="63"/>
      <c r="N184" s="23"/>
      <c r="O184" s="19">
        <f>$G$14</f>
        <v>6</v>
      </c>
      <c r="P184" s="40">
        <f t="shared" ref="P184:T184" si="181">H196/A$214</f>
        <v>0.01544401544</v>
      </c>
      <c r="Q184" s="40">
        <f t="shared" si="181"/>
        <v>0.01098901099</v>
      </c>
      <c r="R184" s="40">
        <f t="shared" si="181"/>
        <v>0</v>
      </c>
      <c r="S184" s="40">
        <f t="shared" si="181"/>
        <v>0</v>
      </c>
      <c r="T184" s="40">
        <f t="shared" si="181"/>
        <v>0.0625</v>
      </c>
    </row>
    <row r="185" ht="15.75" customHeight="1">
      <c r="A185" s="63"/>
      <c r="B185" s="63"/>
      <c r="C185" s="63"/>
      <c r="D185" s="63"/>
      <c r="E185" s="63"/>
      <c r="N185" s="23"/>
      <c r="O185" s="19">
        <f>$G$15</f>
        <v>7</v>
      </c>
      <c r="P185" s="40">
        <f t="shared" ref="P185:T185" si="182">H197/A$214</f>
        <v>0.1196911197</v>
      </c>
      <c r="Q185" s="40">
        <f t="shared" si="182"/>
        <v>0.03296703297</v>
      </c>
      <c r="R185" s="40">
        <f t="shared" si="182"/>
        <v>0</v>
      </c>
      <c r="S185" s="40">
        <f t="shared" si="182"/>
        <v>0</v>
      </c>
      <c r="T185" s="40">
        <f t="shared" si="182"/>
        <v>0.0625</v>
      </c>
    </row>
    <row r="186" ht="15.75" customHeight="1">
      <c r="A186" s="63"/>
      <c r="B186" s="63"/>
      <c r="C186" s="63"/>
      <c r="D186" s="63"/>
      <c r="E186" s="63"/>
      <c r="N186" s="23"/>
      <c r="O186" s="19">
        <f>$G$16</f>
        <v>8</v>
      </c>
      <c r="P186" s="40">
        <f t="shared" ref="P186:T186" si="183">H198/A$214</f>
        <v>0.0694980695</v>
      </c>
      <c r="Q186" s="40">
        <f t="shared" si="183"/>
        <v>0.1098901099</v>
      </c>
      <c r="R186" s="40">
        <f t="shared" si="183"/>
        <v>0</v>
      </c>
      <c r="S186" s="40">
        <f t="shared" si="183"/>
        <v>0.06666666667</v>
      </c>
      <c r="T186" s="40">
        <f t="shared" si="183"/>
        <v>0.0625</v>
      </c>
    </row>
    <row r="187" ht="15.75" customHeight="1">
      <c r="A187" s="63"/>
      <c r="B187" s="63"/>
      <c r="C187" s="63"/>
      <c r="D187" s="63"/>
      <c r="E187" s="63"/>
      <c r="N187" s="23"/>
      <c r="O187" s="19">
        <f>$G$17</f>
        <v>9</v>
      </c>
      <c r="P187" s="40">
        <f t="shared" ref="P187:T187" si="184">H199/A$214</f>
        <v>0.03474903475</v>
      </c>
      <c r="Q187" s="40">
        <f t="shared" si="184"/>
        <v>0.03296703297</v>
      </c>
      <c r="R187" s="40">
        <f t="shared" si="184"/>
        <v>0</v>
      </c>
      <c r="S187" s="40">
        <f t="shared" si="184"/>
        <v>0.06666666667</v>
      </c>
      <c r="T187" s="40">
        <f t="shared" si="184"/>
        <v>0.125</v>
      </c>
    </row>
    <row r="188" ht="15.75" customHeight="1">
      <c r="A188" s="63"/>
      <c r="B188" s="63"/>
      <c r="C188" s="63"/>
      <c r="D188" s="63"/>
      <c r="E188" s="63"/>
      <c r="F188" s="86"/>
      <c r="G188" s="16"/>
      <c r="H188" s="73">
        <f>SUM(H128:H151)</f>
        <v>395</v>
      </c>
      <c r="I188" s="73">
        <f t="shared" ref="I188:L188" si="185">SUM(I152:I175)</f>
        <v>101</v>
      </c>
      <c r="J188" s="73">
        <f t="shared" si="185"/>
        <v>3</v>
      </c>
      <c r="K188" s="73">
        <f t="shared" si="185"/>
        <v>3</v>
      </c>
      <c r="L188" s="73">
        <f t="shared" si="185"/>
        <v>2</v>
      </c>
      <c r="N188" s="23"/>
      <c r="O188" s="19">
        <f>$G$18</f>
        <v>10</v>
      </c>
      <c r="P188" s="40">
        <f t="shared" ref="P188:T188" si="186">H200/A$214</f>
        <v>0.05019305019</v>
      </c>
      <c r="Q188" s="40">
        <f t="shared" si="186"/>
        <v>0.0989010989</v>
      </c>
      <c r="R188" s="40">
        <f t="shared" si="186"/>
        <v>0.3333333333</v>
      </c>
      <c r="S188" s="40">
        <f t="shared" si="186"/>
        <v>0.06666666667</v>
      </c>
      <c r="T188" s="40">
        <f t="shared" si="186"/>
        <v>0.3125</v>
      </c>
    </row>
    <row r="189" ht="15.75" customHeight="1">
      <c r="A189" s="63"/>
      <c r="B189" s="63"/>
      <c r="C189" s="63"/>
      <c r="D189" s="63"/>
      <c r="E189" s="63"/>
      <c r="F189" s="63"/>
      <c r="G189" s="16"/>
      <c r="H189" s="19">
        <f>$H$7</f>
        <v>31</v>
      </c>
      <c r="I189" s="19">
        <f>$I$7</f>
        <v>32</v>
      </c>
      <c r="J189" s="19">
        <f>$J$7</f>
        <v>41</v>
      </c>
      <c r="K189" s="19">
        <f>$K$7</f>
        <v>42</v>
      </c>
      <c r="L189" s="19">
        <f>$L$7</f>
        <v>5</v>
      </c>
      <c r="N189" s="23"/>
      <c r="O189" s="19">
        <f>$G$19</f>
        <v>11</v>
      </c>
      <c r="P189" s="40">
        <f t="shared" ref="P189:T189" si="187">H201/A$214</f>
        <v>0.04633204633</v>
      </c>
      <c r="Q189" s="40">
        <f t="shared" si="187"/>
        <v>0.08791208791</v>
      </c>
      <c r="R189" s="40">
        <f t="shared" si="187"/>
        <v>0.3333333333</v>
      </c>
      <c r="S189" s="40">
        <f t="shared" si="187"/>
        <v>0.06666666667</v>
      </c>
      <c r="T189" s="40">
        <f t="shared" si="187"/>
        <v>0.0625</v>
      </c>
    </row>
    <row r="190" ht="15.75" customHeight="1">
      <c r="A190" s="63"/>
      <c r="B190" s="63"/>
      <c r="C190" s="63"/>
      <c r="D190" s="63"/>
      <c r="E190" s="63"/>
      <c r="F190" s="18">
        <v>45201.0</v>
      </c>
      <c r="G190" s="19">
        <f>$G$8</f>
        <v>0</v>
      </c>
      <c r="H190" s="16">
        <v>3.0</v>
      </c>
      <c r="I190" s="16">
        <v>0.0</v>
      </c>
      <c r="J190" s="16">
        <v>0.0</v>
      </c>
      <c r="K190" s="16">
        <v>0.0</v>
      </c>
      <c r="L190" s="16">
        <v>0.0</v>
      </c>
      <c r="N190" s="23"/>
      <c r="O190" s="19">
        <f>$G$20</f>
        <v>12</v>
      </c>
      <c r="P190" s="40">
        <f t="shared" ref="P190:T190" si="188">H202/A$214</f>
        <v>0.05405405405</v>
      </c>
      <c r="Q190" s="40">
        <f t="shared" si="188"/>
        <v>0.04395604396</v>
      </c>
      <c r="R190" s="40">
        <f t="shared" si="188"/>
        <v>0</v>
      </c>
      <c r="S190" s="40">
        <f t="shared" si="188"/>
        <v>0.06666666667</v>
      </c>
      <c r="T190" s="40">
        <f t="shared" si="188"/>
        <v>0.1875</v>
      </c>
    </row>
    <row r="191" ht="15.75" customHeight="1">
      <c r="A191" s="63"/>
      <c r="B191" s="63"/>
      <c r="C191" s="63"/>
      <c r="D191" s="63"/>
      <c r="E191" s="63"/>
      <c r="F191" s="23"/>
      <c r="G191" s="19">
        <f>$G$9</f>
        <v>1</v>
      </c>
      <c r="H191" s="16">
        <v>2.0</v>
      </c>
      <c r="I191" s="16">
        <v>1.0</v>
      </c>
      <c r="J191" s="16">
        <v>0.0</v>
      </c>
      <c r="K191" s="16">
        <v>0.0</v>
      </c>
      <c r="L191" s="16">
        <v>0.0</v>
      </c>
      <c r="N191" s="23"/>
      <c r="O191" s="19">
        <f>$G$21</f>
        <v>13</v>
      </c>
      <c r="P191" s="40">
        <f t="shared" ref="P191:T191" si="189">H203/A$214</f>
        <v>0.03474903475</v>
      </c>
      <c r="Q191" s="40">
        <f t="shared" si="189"/>
        <v>0.0989010989</v>
      </c>
      <c r="R191" s="40">
        <f t="shared" si="189"/>
        <v>0</v>
      </c>
      <c r="S191" s="40">
        <f t="shared" si="189"/>
        <v>0</v>
      </c>
      <c r="T191" s="40">
        <f t="shared" si="189"/>
        <v>0.0625</v>
      </c>
    </row>
    <row r="192" ht="15.75" customHeight="1">
      <c r="A192" s="63"/>
      <c r="B192" s="63"/>
      <c r="C192" s="63"/>
      <c r="D192" s="63"/>
      <c r="E192" s="63"/>
      <c r="F192" s="23"/>
      <c r="G192" s="19">
        <f>$G$10</f>
        <v>2</v>
      </c>
      <c r="H192" s="16">
        <v>3.0</v>
      </c>
      <c r="I192" s="16">
        <v>1.0</v>
      </c>
      <c r="J192" s="16">
        <v>0.0</v>
      </c>
      <c r="K192" s="16">
        <v>1.0</v>
      </c>
      <c r="L192" s="16">
        <v>0.0</v>
      </c>
      <c r="N192" s="23"/>
      <c r="O192" s="19">
        <f>$G$22</f>
        <v>14</v>
      </c>
      <c r="P192" s="40">
        <f t="shared" ref="P192:T192" si="190">H204/A$214</f>
        <v>0.05019305019</v>
      </c>
      <c r="Q192" s="40">
        <f t="shared" si="190"/>
        <v>0.04395604396</v>
      </c>
      <c r="R192" s="40">
        <f t="shared" si="190"/>
        <v>0</v>
      </c>
      <c r="S192" s="40">
        <f t="shared" si="190"/>
        <v>0.06666666667</v>
      </c>
      <c r="T192" s="40">
        <f t="shared" si="190"/>
        <v>0</v>
      </c>
    </row>
    <row r="193" ht="15.75" customHeight="1">
      <c r="A193" s="63"/>
      <c r="B193" s="63"/>
      <c r="C193" s="63"/>
      <c r="D193" s="63"/>
      <c r="E193" s="63"/>
      <c r="F193" s="23"/>
      <c r="G193" s="19">
        <f>$G$11</f>
        <v>3</v>
      </c>
      <c r="H193" s="16">
        <v>3.0</v>
      </c>
      <c r="I193" s="16">
        <v>0.0</v>
      </c>
      <c r="J193" s="16">
        <v>0.0</v>
      </c>
      <c r="K193" s="16">
        <v>0.0</v>
      </c>
      <c r="L193" s="16">
        <v>0.0</v>
      </c>
      <c r="N193" s="23"/>
      <c r="O193" s="19">
        <f>$G$23</f>
        <v>15</v>
      </c>
      <c r="P193" s="40">
        <f t="shared" ref="P193:T193" si="191">H205/A$214</f>
        <v>0.08108108108</v>
      </c>
      <c r="Q193" s="40">
        <f t="shared" si="191"/>
        <v>0.06593406593</v>
      </c>
      <c r="R193" s="40">
        <f t="shared" si="191"/>
        <v>0</v>
      </c>
      <c r="S193" s="40">
        <f t="shared" si="191"/>
        <v>0.06666666667</v>
      </c>
      <c r="T193" s="40">
        <f t="shared" si="191"/>
        <v>0</v>
      </c>
    </row>
    <row r="194" ht="15.75" customHeight="1">
      <c r="A194" s="63"/>
      <c r="B194" s="63"/>
      <c r="C194" s="63"/>
      <c r="D194" s="63"/>
      <c r="E194" s="63"/>
      <c r="F194" s="23"/>
      <c r="G194" s="19">
        <f>$G$12</f>
        <v>4</v>
      </c>
      <c r="H194" s="16">
        <v>0.0</v>
      </c>
      <c r="I194" s="16">
        <v>3.0</v>
      </c>
      <c r="J194" s="16">
        <v>0.0</v>
      </c>
      <c r="K194" s="16">
        <v>0.0</v>
      </c>
      <c r="L194" s="16">
        <v>0.0</v>
      </c>
      <c r="N194" s="23"/>
      <c r="O194" s="19">
        <f>$G$24</f>
        <v>16</v>
      </c>
      <c r="P194" s="40">
        <f t="shared" ref="P194:T194" si="192">H206/A$214</f>
        <v>0.0694980695</v>
      </c>
      <c r="Q194" s="40">
        <f t="shared" si="192"/>
        <v>0.07692307692</v>
      </c>
      <c r="R194" s="40">
        <f t="shared" si="192"/>
        <v>0</v>
      </c>
      <c r="S194" s="40">
        <f t="shared" si="192"/>
        <v>0.2666666667</v>
      </c>
      <c r="T194" s="40">
        <f t="shared" si="192"/>
        <v>0</v>
      </c>
    </row>
    <row r="195" ht="15.75" customHeight="1">
      <c r="A195" s="63"/>
      <c r="B195" s="63"/>
      <c r="C195" s="63"/>
      <c r="D195" s="63"/>
      <c r="E195" s="63"/>
      <c r="F195" s="23"/>
      <c r="G195" s="19">
        <f>$G$13</f>
        <v>5</v>
      </c>
      <c r="H195" s="16">
        <v>0.0</v>
      </c>
      <c r="I195" s="16">
        <v>0.0</v>
      </c>
      <c r="J195" s="16">
        <v>0.0</v>
      </c>
      <c r="K195" s="16">
        <v>0.0</v>
      </c>
      <c r="L195" s="16">
        <v>0.0</v>
      </c>
      <c r="N195" s="23"/>
      <c r="O195" s="19">
        <f>$G$25</f>
        <v>17</v>
      </c>
      <c r="P195" s="40">
        <f t="shared" ref="P195:T195" si="193">H207/A$214</f>
        <v>0.09266409266</v>
      </c>
      <c r="Q195" s="40">
        <f t="shared" si="193"/>
        <v>0.07692307692</v>
      </c>
      <c r="R195" s="40">
        <f t="shared" si="193"/>
        <v>0.3333333333</v>
      </c>
      <c r="S195" s="40">
        <f t="shared" si="193"/>
        <v>0.06666666667</v>
      </c>
      <c r="T195" s="40">
        <f t="shared" si="193"/>
        <v>0</v>
      </c>
    </row>
    <row r="196" ht="15.75" customHeight="1">
      <c r="A196" s="63"/>
      <c r="B196" s="63"/>
      <c r="C196" s="63"/>
      <c r="D196" s="63"/>
      <c r="E196" s="63"/>
      <c r="F196" s="23"/>
      <c r="G196" s="19">
        <f>$G$14</f>
        <v>6</v>
      </c>
      <c r="H196" s="16">
        <v>4.0</v>
      </c>
      <c r="I196" s="16">
        <v>1.0</v>
      </c>
      <c r="J196" s="16">
        <v>0.0</v>
      </c>
      <c r="K196" s="16">
        <v>0.0</v>
      </c>
      <c r="L196" s="16">
        <v>1.0</v>
      </c>
      <c r="N196" s="23"/>
      <c r="O196" s="19">
        <f>$G$26</f>
        <v>18</v>
      </c>
      <c r="P196" s="40">
        <f t="shared" ref="P196:T196" si="194">H208/A$214</f>
        <v>0.08494208494</v>
      </c>
      <c r="Q196" s="40">
        <f t="shared" si="194"/>
        <v>0.04395604396</v>
      </c>
      <c r="R196" s="40">
        <f t="shared" si="194"/>
        <v>0</v>
      </c>
      <c r="S196" s="40">
        <f t="shared" si="194"/>
        <v>0.06666666667</v>
      </c>
      <c r="T196" s="40">
        <f t="shared" si="194"/>
        <v>0</v>
      </c>
    </row>
    <row r="197" ht="15.75" customHeight="1">
      <c r="A197" s="63"/>
      <c r="B197" s="63"/>
      <c r="C197" s="63"/>
      <c r="D197" s="63"/>
      <c r="E197" s="63"/>
      <c r="F197" s="23"/>
      <c r="G197" s="19">
        <f>$G$15</f>
        <v>7</v>
      </c>
      <c r="H197" s="16">
        <v>31.0</v>
      </c>
      <c r="I197" s="16">
        <v>3.0</v>
      </c>
      <c r="J197" s="16">
        <v>0.0</v>
      </c>
      <c r="K197" s="16">
        <v>0.0</v>
      </c>
      <c r="L197" s="16">
        <v>1.0</v>
      </c>
      <c r="N197" s="23"/>
      <c r="O197" s="19">
        <f>$G$27</f>
        <v>19</v>
      </c>
      <c r="P197" s="40">
        <f t="shared" ref="P197:T197" si="195">H209/A$214</f>
        <v>0.05019305019</v>
      </c>
      <c r="Q197" s="40">
        <f t="shared" si="195"/>
        <v>0.04395604396</v>
      </c>
      <c r="R197" s="40">
        <f t="shared" si="195"/>
        <v>0</v>
      </c>
      <c r="S197" s="40">
        <f t="shared" si="195"/>
        <v>0</v>
      </c>
      <c r="T197" s="40">
        <f t="shared" si="195"/>
        <v>0</v>
      </c>
    </row>
    <row r="198" ht="15.75" customHeight="1">
      <c r="A198" s="63"/>
      <c r="B198" s="63"/>
      <c r="C198" s="63"/>
      <c r="D198" s="63"/>
      <c r="E198" s="63"/>
      <c r="F198" s="23"/>
      <c r="G198" s="19">
        <f>$G$16</f>
        <v>8</v>
      </c>
      <c r="H198" s="16">
        <v>18.0</v>
      </c>
      <c r="I198" s="16">
        <v>10.0</v>
      </c>
      <c r="J198" s="16">
        <v>0.0</v>
      </c>
      <c r="K198" s="16">
        <v>1.0</v>
      </c>
      <c r="L198" s="16">
        <v>1.0</v>
      </c>
      <c r="N198" s="23"/>
      <c r="O198" s="19">
        <f>$G$28</f>
        <v>20</v>
      </c>
      <c r="P198" s="40">
        <f t="shared" ref="P198:T198" si="196">H210/A$214</f>
        <v>0.04633204633</v>
      </c>
      <c r="Q198" s="40">
        <f t="shared" si="196"/>
        <v>0.03296703297</v>
      </c>
      <c r="R198" s="40">
        <f t="shared" si="196"/>
        <v>0</v>
      </c>
      <c r="S198" s="40">
        <f t="shared" si="196"/>
        <v>0.06666666667</v>
      </c>
      <c r="T198" s="40">
        <f t="shared" si="196"/>
        <v>0</v>
      </c>
    </row>
    <row r="199" ht="15.75" customHeight="1">
      <c r="A199" s="63"/>
      <c r="B199" s="63"/>
      <c r="C199" s="63"/>
      <c r="D199" s="63"/>
      <c r="E199" s="63"/>
      <c r="F199" s="23"/>
      <c r="G199" s="19">
        <f>$G$17</f>
        <v>9</v>
      </c>
      <c r="H199" s="16">
        <v>9.0</v>
      </c>
      <c r="I199" s="16">
        <v>3.0</v>
      </c>
      <c r="J199" s="16">
        <v>0.0</v>
      </c>
      <c r="K199" s="16">
        <v>1.0</v>
      </c>
      <c r="L199" s="16">
        <v>2.0</v>
      </c>
      <c r="N199" s="23"/>
      <c r="O199" s="19">
        <f>$G$29</f>
        <v>21</v>
      </c>
      <c r="P199" s="40">
        <f t="shared" ref="P199:T199" si="197">H211/A$214</f>
        <v>0.02316602317</v>
      </c>
      <c r="Q199" s="40">
        <f t="shared" si="197"/>
        <v>0.03296703297</v>
      </c>
      <c r="R199" s="40">
        <f t="shared" si="197"/>
        <v>0</v>
      </c>
      <c r="S199" s="40">
        <f t="shared" si="197"/>
        <v>0</v>
      </c>
      <c r="T199" s="40">
        <f t="shared" si="197"/>
        <v>0</v>
      </c>
    </row>
    <row r="200" ht="15.75" customHeight="1">
      <c r="A200" s="63"/>
      <c r="B200" s="63"/>
      <c r="C200" s="63"/>
      <c r="D200" s="63"/>
      <c r="E200" s="63"/>
      <c r="F200" s="23"/>
      <c r="G200" s="19">
        <f>$G$18</f>
        <v>10</v>
      </c>
      <c r="H200" s="16">
        <v>13.0</v>
      </c>
      <c r="I200" s="16">
        <v>9.0</v>
      </c>
      <c r="J200" s="16">
        <v>1.0</v>
      </c>
      <c r="K200" s="16">
        <v>1.0</v>
      </c>
      <c r="L200" s="16">
        <v>5.0</v>
      </c>
      <c r="N200" s="23"/>
      <c r="O200" s="19">
        <f>$G$30</f>
        <v>22</v>
      </c>
      <c r="P200" s="40">
        <f t="shared" ref="P200:T200" si="198">H212/A$214</f>
        <v>0.01930501931</v>
      </c>
      <c r="Q200" s="40">
        <f t="shared" si="198"/>
        <v>0</v>
      </c>
      <c r="R200" s="40">
        <f t="shared" si="198"/>
        <v>0</v>
      </c>
      <c r="S200" s="40">
        <f t="shared" si="198"/>
        <v>0</v>
      </c>
      <c r="T200" s="40">
        <f t="shared" si="198"/>
        <v>0.0625</v>
      </c>
    </row>
    <row r="201" ht="15.75" customHeight="1">
      <c r="A201" s="63"/>
      <c r="B201" s="63"/>
      <c r="C201" s="63"/>
      <c r="D201" s="63"/>
      <c r="E201" s="63"/>
      <c r="F201" s="23"/>
      <c r="G201" s="19">
        <f>$G$19</f>
        <v>11</v>
      </c>
      <c r="H201" s="16">
        <v>12.0</v>
      </c>
      <c r="I201" s="16">
        <v>8.0</v>
      </c>
      <c r="J201" s="16">
        <v>1.0</v>
      </c>
      <c r="K201" s="16">
        <v>1.0</v>
      </c>
      <c r="L201" s="16">
        <v>1.0</v>
      </c>
      <c r="N201" s="27"/>
      <c r="O201" s="19">
        <f>$G$31</f>
        <v>23</v>
      </c>
      <c r="P201" s="40">
        <f t="shared" ref="P201:T201" si="199">H213/A$214</f>
        <v>0.01544401544</v>
      </c>
      <c r="Q201" s="40">
        <f t="shared" si="199"/>
        <v>0.01098901099</v>
      </c>
      <c r="R201" s="40">
        <f t="shared" si="199"/>
        <v>0</v>
      </c>
      <c r="S201" s="40">
        <f t="shared" si="199"/>
        <v>0</v>
      </c>
      <c r="T201" s="40">
        <f t="shared" si="199"/>
        <v>0</v>
      </c>
    </row>
    <row r="202" ht="15.75" customHeight="1">
      <c r="A202" s="63"/>
      <c r="B202" s="63"/>
      <c r="C202" s="63"/>
      <c r="D202" s="63"/>
      <c r="E202" s="63"/>
      <c r="F202" s="23"/>
      <c r="G202" s="19">
        <f>$G$20</f>
        <v>12</v>
      </c>
      <c r="H202" s="16">
        <v>14.0</v>
      </c>
      <c r="I202" s="16">
        <v>4.0</v>
      </c>
      <c r="J202" s="16">
        <v>0.0</v>
      </c>
      <c r="K202" s="16">
        <v>1.0</v>
      </c>
      <c r="L202" s="16">
        <v>3.0</v>
      </c>
      <c r="N202" s="18">
        <v>45202.0</v>
      </c>
      <c r="O202" s="19">
        <f>$G$8</f>
        <v>0</v>
      </c>
      <c r="P202" s="40">
        <f t="shared" ref="P202:T202" si="200">H214/A$239</f>
        <v>0.01102941176</v>
      </c>
      <c r="Q202" s="40">
        <f t="shared" si="200"/>
        <v>0</v>
      </c>
      <c r="R202" s="40">
        <f t="shared" si="200"/>
        <v>0</v>
      </c>
      <c r="S202" s="40">
        <f t="shared" si="200"/>
        <v>0</v>
      </c>
      <c r="T202" s="40">
        <f t="shared" si="200"/>
        <v>0</v>
      </c>
    </row>
    <row r="203" ht="15.75" customHeight="1">
      <c r="A203" s="63"/>
      <c r="B203" s="63"/>
      <c r="C203" s="63"/>
      <c r="D203" s="63"/>
      <c r="E203" s="63"/>
      <c r="F203" s="23"/>
      <c r="G203" s="19">
        <f>$G$21</f>
        <v>13</v>
      </c>
      <c r="H203" s="16">
        <v>9.0</v>
      </c>
      <c r="I203" s="16">
        <v>9.0</v>
      </c>
      <c r="J203" s="16">
        <v>0.0</v>
      </c>
      <c r="K203" s="16">
        <v>0.0</v>
      </c>
      <c r="L203" s="16">
        <v>1.0</v>
      </c>
      <c r="N203" s="23"/>
      <c r="O203" s="19">
        <f>$G$9</f>
        <v>1</v>
      </c>
      <c r="P203" s="40">
        <f t="shared" ref="P203:T203" si="201">H215/A$239</f>
        <v>0.01102941176</v>
      </c>
      <c r="Q203" s="40">
        <f t="shared" si="201"/>
        <v>0</v>
      </c>
      <c r="R203" s="40">
        <f t="shared" si="201"/>
        <v>0</v>
      </c>
      <c r="S203" s="40">
        <f t="shared" si="201"/>
        <v>0</v>
      </c>
      <c r="T203" s="40">
        <f t="shared" si="201"/>
        <v>0</v>
      </c>
    </row>
    <row r="204" ht="15.75" customHeight="1">
      <c r="A204" s="63"/>
      <c r="B204" s="63"/>
      <c r="C204" s="63"/>
      <c r="D204" s="63"/>
      <c r="E204" s="63"/>
      <c r="F204" s="23"/>
      <c r="G204" s="19">
        <f>$G$22</f>
        <v>14</v>
      </c>
      <c r="H204" s="16">
        <v>13.0</v>
      </c>
      <c r="I204" s="16">
        <v>4.0</v>
      </c>
      <c r="J204" s="16">
        <v>0.0</v>
      </c>
      <c r="K204" s="16">
        <v>1.0</v>
      </c>
      <c r="L204" s="16">
        <v>0.0</v>
      </c>
      <c r="N204" s="23"/>
      <c r="O204" s="19">
        <f>$G$10</f>
        <v>2</v>
      </c>
      <c r="P204" s="40">
        <f t="shared" ref="P204:T204" si="202">H216/A$239</f>
        <v>0</v>
      </c>
      <c r="Q204" s="40">
        <f t="shared" si="202"/>
        <v>0.009174311927</v>
      </c>
      <c r="R204" s="40">
        <f t="shared" si="202"/>
        <v>0</v>
      </c>
      <c r="S204" s="40">
        <f t="shared" si="202"/>
        <v>0</v>
      </c>
      <c r="T204" s="40">
        <f t="shared" si="202"/>
        <v>0</v>
      </c>
    </row>
    <row r="205" ht="15.75" customHeight="1">
      <c r="A205" s="63"/>
      <c r="B205" s="63"/>
      <c r="C205" s="63"/>
      <c r="D205" s="63"/>
      <c r="E205" s="63"/>
      <c r="F205" s="23"/>
      <c r="G205" s="19">
        <f>$G$23</f>
        <v>15</v>
      </c>
      <c r="H205" s="16">
        <v>21.0</v>
      </c>
      <c r="I205" s="16">
        <v>6.0</v>
      </c>
      <c r="J205" s="16">
        <v>0.0</v>
      </c>
      <c r="K205" s="16">
        <v>1.0</v>
      </c>
      <c r="L205" s="16">
        <v>0.0</v>
      </c>
      <c r="N205" s="23"/>
      <c r="O205" s="19">
        <f>$G$11</f>
        <v>3</v>
      </c>
      <c r="P205" s="40">
        <f t="shared" ref="P205:T205" si="203">H217/A$239</f>
        <v>0.007352941176</v>
      </c>
      <c r="Q205" s="40">
        <f t="shared" si="203"/>
        <v>0</v>
      </c>
      <c r="R205" s="40">
        <f t="shared" si="203"/>
        <v>0</v>
      </c>
      <c r="S205" s="40">
        <f t="shared" si="203"/>
        <v>0</v>
      </c>
      <c r="T205" s="40">
        <f t="shared" si="203"/>
        <v>0</v>
      </c>
    </row>
    <row r="206" ht="15.75" customHeight="1">
      <c r="A206" s="63"/>
      <c r="B206" s="63"/>
      <c r="C206" s="63"/>
      <c r="D206" s="63"/>
      <c r="E206" s="63"/>
      <c r="F206" s="23"/>
      <c r="G206" s="19">
        <f>$G$24</f>
        <v>16</v>
      </c>
      <c r="H206" s="16">
        <v>18.0</v>
      </c>
      <c r="I206" s="16">
        <v>7.0</v>
      </c>
      <c r="J206" s="16">
        <v>0.0</v>
      </c>
      <c r="K206" s="16">
        <v>4.0</v>
      </c>
      <c r="L206" s="16">
        <v>0.0</v>
      </c>
      <c r="N206" s="23"/>
      <c r="O206" s="19">
        <f>$G$12</f>
        <v>4</v>
      </c>
      <c r="P206" s="40">
        <f t="shared" ref="P206:T206" si="204">H218/A$239</f>
        <v>0.01470588235</v>
      </c>
      <c r="Q206" s="40">
        <f t="shared" si="204"/>
        <v>0.009174311927</v>
      </c>
      <c r="R206" s="40">
        <f t="shared" si="204"/>
        <v>0</v>
      </c>
      <c r="S206" s="40">
        <f t="shared" si="204"/>
        <v>0.06666666667</v>
      </c>
      <c r="T206" s="40">
        <f t="shared" si="204"/>
        <v>0</v>
      </c>
    </row>
    <row r="207" ht="15.75" customHeight="1">
      <c r="A207" s="63"/>
      <c r="B207" s="63"/>
      <c r="C207" s="63"/>
      <c r="D207" s="63"/>
      <c r="E207" s="63"/>
      <c r="F207" s="23"/>
      <c r="G207" s="19">
        <f>$G$25</f>
        <v>17</v>
      </c>
      <c r="H207" s="16">
        <v>24.0</v>
      </c>
      <c r="I207" s="16">
        <v>7.0</v>
      </c>
      <c r="J207" s="16">
        <v>1.0</v>
      </c>
      <c r="K207" s="16">
        <v>1.0</v>
      </c>
      <c r="L207" s="16">
        <v>0.0</v>
      </c>
      <c r="N207" s="23"/>
      <c r="O207" s="19">
        <f>$G$13</f>
        <v>5</v>
      </c>
      <c r="P207" s="40">
        <f t="shared" ref="P207:T207" si="205">H219/A$239</f>
        <v>0.01470588235</v>
      </c>
      <c r="Q207" s="40">
        <f t="shared" si="205"/>
        <v>0.009174311927</v>
      </c>
      <c r="R207" s="40">
        <f t="shared" si="205"/>
        <v>0</v>
      </c>
      <c r="S207" s="40">
        <f t="shared" si="205"/>
        <v>0</v>
      </c>
      <c r="T207" s="40">
        <f t="shared" si="205"/>
        <v>0.07692307692</v>
      </c>
    </row>
    <row r="208" ht="15.75" customHeight="1">
      <c r="A208" s="63"/>
      <c r="B208" s="63"/>
      <c r="C208" s="63"/>
      <c r="D208" s="63"/>
      <c r="E208" s="63"/>
      <c r="F208" s="23"/>
      <c r="G208" s="19">
        <f>$G$26</f>
        <v>18</v>
      </c>
      <c r="H208" s="16">
        <v>22.0</v>
      </c>
      <c r="I208" s="16">
        <v>4.0</v>
      </c>
      <c r="J208" s="16">
        <v>0.0</v>
      </c>
      <c r="K208" s="16">
        <v>1.0</v>
      </c>
      <c r="L208" s="16">
        <v>0.0</v>
      </c>
      <c r="N208" s="23"/>
      <c r="O208" s="19">
        <f>$G$14</f>
        <v>6</v>
      </c>
      <c r="P208" s="40">
        <f t="shared" ref="P208:T208" si="206">H220/A$239</f>
        <v>0.007352941176</v>
      </c>
      <c r="Q208" s="40">
        <f t="shared" si="206"/>
        <v>0.03669724771</v>
      </c>
      <c r="R208" s="40">
        <f t="shared" si="206"/>
        <v>0</v>
      </c>
      <c r="S208" s="40">
        <f t="shared" si="206"/>
        <v>0.06666666667</v>
      </c>
      <c r="T208" s="40">
        <f t="shared" si="206"/>
        <v>0</v>
      </c>
    </row>
    <row r="209" ht="15.75" customHeight="1">
      <c r="A209" s="63"/>
      <c r="B209" s="63"/>
      <c r="C209" s="63"/>
      <c r="D209" s="63"/>
      <c r="E209" s="63"/>
      <c r="F209" s="23"/>
      <c r="G209" s="19">
        <f>$G$27</f>
        <v>19</v>
      </c>
      <c r="H209" s="16">
        <v>13.0</v>
      </c>
      <c r="I209" s="16">
        <v>4.0</v>
      </c>
      <c r="J209" s="16">
        <v>0.0</v>
      </c>
      <c r="K209" s="16">
        <v>0.0</v>
      </c>
      <c r="L209" s="16">
        <v>0.0</v>
      </c>
      <c r="N209" s="23"/>
      <c r="O209" s="19">
        <f>$G$15</f>
        <v>7</v>
      </c>
      <c r="P209" s="40">
        <f t="shared" ref="P209:T209" si="207">H221/A$239</f>
        <v>0.1102941176</v>
      </c>
      <c r="Q209" s="40">
        <f t="shared" si="207"/>
        <v>0.05504587156</v>
      </c>
      <c r="R209" s="40">
        <f t="shared" si="207"/>
        <v>0</v>
      </c>
      <c r="S209" s="40">
        <f t="shared" si="207"/>
        <v>0.06666666667</v>
      </c>
      <c r="T209" s="40">
        <f t="shared" si="207"/>
        <v>0.07692307692</v>
      </c>
    </row>
    <row r="210" ht="15.75" customHeight="1">
      <c r="A210" s="63"/>
      <c r="B210" s="63"/>
      <c r="C210" s="63"/>
      <c r="D210" s="63"/>
      <c r="E210" s="63"/>
      <c r="F210" s="23"/>
      <c r="G210" s="19">
        <f>$G$28</f>
        <v>20</v>
      </c>
      <c r="H210" s="16">
        <v>12.0</v>
      </c>
      <c r="I210" s="16">
        <v>3.0</v>
      </c>
      <c r="J210" s="16">
        <v>0.0</v>
      </c>
      <c r="K210" s="16">
        <v>1.0</v>
      </c>
      <c r="L210" s="16">
        <v>0.0</v>
      </c>
      <c r="N210" s="23"/>
      <c r="O210" s="19">
        <f>$G$16</f>
        <v>8</v>
      </c>
      <c r="P210" s="40">
        <f t="shared" ref="P210:T210" si="208">H222/A$239</f>
        <v>0.06985294118</v>
      </c>
      <c r="Q210" s="40">
        <f t="shared" si="208"/>
        <v>0.08256880734</v>
      </c>
      <c r="R210" s="40">
        <f t="shared" si="208"/>
        <v>0</v>
      </c>
      <c r="S210" s="40">
        <f t="shared" si="208"/>
        <v>0.06666666667</v>
      </c>
      <c r="T210" s="40">
        <f t="shared" si="208"/>
        <v>0</v>
      </c>
    </row>
    <row r="211" ht="15.75" customHeight="1">
      <c r="A211" s="63"/>
      <c r="B211" s="63"/>
      <c r="C211" s="63"/>
      <c r="D211" s="63"/>
      <c r="E211" s="63"/>
      <c r="F211" s="23"/>
      <c r="G211" s="19">
        <f>$G$29</f>
        <v>21</v>
      </c>
      <c r="H211" s="16">
        <v>6.0</v>
      </c>
      <c r="I211" s="16">
        <v>3.0</v>
      </c>
      <c r="J211" s="16">
        <v>0.0</v>
      </c>
      <c r="K211" s="16">
        <v>0.0</v>
      </c>
      <c r="L211" s="16">
        <v>0.0</v>
      </c>
      <c r="N211" s="23"/>
      <c r="O211" s="19">
        <f>$G$17</f>
        <v>9</v>
      </c>
      <c r="P211" s="40">
        <f t="shared" ref="P211:T211" si="209">H223/A$239</f>
        <v>0.03676470588</v>
      </c>
      <c r="Q211" s="40">
        <f t="shared" si="209"/>
        <v>0.08256880734</v>
      </c>
      <c r="R211" s="40">
        <f t="shared" si="209"/>
        <v>0</v>
      </c>
      <c r="S211" s="40">
        <f t="shared" si="209"/>
        <v>0</v>
      </c>
      <c r="T211" s="40">
        <f t="shared" si="209"/>
        <v>0.1538461538</v>
      </c>
    </row>
    <row r="212" ht="15.75" customHeight="1">
      <c r="A212" s="63"/>
      <c r="B212" s="63"/>
      <c r="C212" s="63"/>
      <c r="D212" s="63"/>
      <c r="E212" s="63"/>
      <c r="F212" s="23"/>
      <c r="G212" s="19">
        <f>$G$30</f>
        <v>22</v>
      </c>
      <c r="H212" s="16">
        <v>5.0</v>
      </c>
      <c r="I212" s="16">
        <v>0.0</v>
      </c>
      <c r="J212" s="16">
        <v>0.0</v>
      </c>
      <c r="K212" s="16">
        <v>0.0</v>
      </c>
      <c r="L212" s="16">
        <v>1.0</v>
      </c>
      <c r="N212" s="23"/>
      <c r="O212" s="19">
        <f>$G$18</f>
        <v>10</v>
      </c>
      <c r="P212" s="40">
        <f t="shared" ref="P212:T212" si="210">H224/A$239</f>
        <v>0.03676470588</v>
      </c>
      <c r="Q212" s="40">
        <f t="shared" si="210"/>
        <v>0.03669724771</v>
      </c>
      <c r="R212" s="40">
        <f t="shared" si="210"/>
        <v>0</v>
      </c>
      <c r="S212" s="40">
        <f t="shared" si="210"/>
        <v>0.1333333333</v>
      </c>
      <c r="T212" s="40">
        <f t="shared" si="210"/>
        <v>0.07692307692</v>
      </c>
    </row>
    <row r="213" ht="15.75" customHeight="1">
      <c r="A213" s="16"/>
      <c r="B213" s="16"/>
      <c r="C213" s="16"/>
      <c r="D213" s="16"/>
      <c r="E213" s="16"/>
      <c r="F213" s="27"/>
      <c r="G213" s="19">
        <f>$G$31</f>
        <v>23</v>
      </c>
      <c r="H213" s="16">
        <v>4.0</v>
      </c>
      <c r="I213" s="16">
        <v>1.0</v>
      </c>
      <c r="J213" s="16">
        <v>0.0</v>
      </c>
      <c r="K213" s="16">
        <v>0.0</v>
      </c>
      <c r="L213" s="16">
        <v>0.0</v>
      </c>
      <c r="N213" s="23"/>
      <c r="O213" s="19">
        <f>$G$19</f>
        <v>11</v>
      </c>
      <c r="P213" s="40">
        <f t="shared" ref="P213:T213" si="211">H225/A$239</f>
        <v>0.04044117647</v>
      </c>
      <c r="Q213" s="40">
        <f t="shared" si="211"/>
        <v>0.06422018349</v>
      </c>
      <c r="R213" s="40">
        <f t="shared" si="211"/>
        <v>0</v>
      </c>
      <c r="S213" s="40">
        <f t="shared" si="211"/>
        <v>0.06666666667</v>
      </c>
      <c r="T213" s="40">
        <f t="shared" si="211"/>
        <v>0.2307692308</v>
      </c>
    </row>
    <row r="214" ht="15.75" customHeight="1">
      <c r="A214" s="73">
        <f t="shared" ref="A214:E214" si="212">SUM(H190:H213)</f>
        <v>259</v>
      </c>
      <c r="B214" s="73">
        <f t="shared" si="212"/>
        <v>91</v>
      </c>
      <c r="C214" s="73">
        <f t="shared" si="212"/>
        <v>3</v>
      </c>
      <c r="D214" s="73">
        <f t="shared" si="212"/>
        <v>15</v>
      </c>
      <c r="E214" s="73">
        <f t="shared" si="212"/>
        <v>16</v>
      </c>
      <c r="F214" s="18">
        <v>45202.0</v>
      </c>
      <c r="G214" s="19">
        <f>$G$8</f>
        <v>0</v>
      </c>
      <c r="H214" s="20">
        <v>3.0</v>
      </c>
      <c r="I214" s="20">
        <v>0.0</v>
      </c>
      <c r="J214" s="20">
        <v>0.0</v>
      </c>
      <c r="K214" s="20">
        <v>0.0</v>
      </c>
      <c r="L214" s="20">
        <v>0.0</v>
      </c>
      <c r="N214" s="23"/>
      <c r="O214" s="19">
        <f>$G$20</f>
        <v>12</v>
      </c>
      <c r="P214" s="40">
        <f t="shared" ref="P214:T214" si="213">H226/A$239</f>
        <v>0.07352941176</v>
      </c>
      <c r="Q214" s="40">
        <f t="shared" si="213"/>
        <v>0.06422018349</v>
      </c>
      <c r="R214" s="40">
        <f t="shared" si="213"/>
        <v>0</v>
      </c>
      <c r="S214" s="40">
        <f t="shared" si="213"/>
        <v>0.1333333333</v>
      </c>
      <c r="T214" s="40">
        <f t="shared" si="213"/>
        <v>0.1538461538</v>
      </c>
    </row>
    <row r="215" ht="15.75" customHeight="1">
      <c r="A215" s="19">
        <f>$H$7</f>
        <v>31</v>
      </c>
      <c r="B215" s="19">
        <f>$I$7</f>
        <v>32</v>
      </c>
      <c r="C215" s="19">
        <f>$J$7</f>
        <v>41</v>
      </c>
      <c r="D215" s="19">
        <f>$K$7</f>
        <v>42</v>
      </c>
      <c r="E215" s="19">
        <f>$L$7</f>
        <v>5</v>
      </c>
      <c r="F215" s="23"/>
      <c r="G215" s="19">
        <f>$G$9</f>
        <v>1</v>
      </c>
      <c r="H215" s="20">
        <v>3.0</v>
      </c>
      <c r="I215" s="20">
        <v>0.0</v>
      </c>
      <c r="J215" s="20">
        <v>0.0</v>
      </c>
      <c r="K215" s="20">
        <v>0.0</v>
      </c>
      <c r="L215" s="20">
        <v>0.0</v>
      </c>
      <c r="N215" s="23"/>
      <c r="O215" s="19">
        <f>$G$21</f>
        <v>13</v>
      </c>
      <c r="P215" s="40">
        <f t="shared" ref="P215:T215" si="214">H227/A$239</f>
        <v>0.03676470588</v>
      </c>
      <c r="Q215" s="40">
        <f t="shared" si="214"/>
        <v>0.08256880734</v>
      </c>
      <c r="R215" s="40">
        <f t="shared" si="214"/>
        <v>0.5</v>
      </c>
      <c r="S215" s="40">
        <f t="shared" si="214"/>
        <v>0</v>
      </c>
      <c r="T215" s="40">
        <f t="shared" si="214"/>
        <v>0.07692307692</v>
      </c>
    </row>
    <row r="216" ht="15.75" customHeight="1">
      <c r="A216" s="63"/>
      <c r="B216" s="63"/>
      <c r="C216" s="63"/>
      <c r="D216" s="63"/>
      <c r="E216" s="63"/>
      <c r="F216" s="23"/>
      <c r="G216" s="19">
        <f>$G$10</f>
        <v>2</v>
      </c>
      <c r="H216" s="34">
        <v>0.0</v>
      </c>
      <c r="I216" s="34">
        <v>1.0</v>
      </c>
      <c r="J216" s="34">
        <v>0.0</v>
      </c>
      <c r="K216" s="34">
        <v>0.0</v>
      </c>
      <c r="L216" s="34">
        <v>0.0</v>
      </c>
      <c r="N216" s="23"/>
      <c r="O216" s="19">
        <f>$G$22</f>
        <v>14</v>
      </c>
      <c r="P216" s="40">
        <f t="shared" ref="P216:T216" si="215">H228/A$239</f>
        <v>0.05514705882</v>
      </c>
      <c r="Q216" s="40">
        <f t="shared" si="215"/>
        <v>0.07339449541</v>
      </c>
      <c r="R216" s="40">
        <f t="shared" si="215"/>
        <v>0</v>
      </c>
      <c r="S216" s="40">
        <f t="shared" si="215"/>
        <v>0.2</v>
      </c>
      <c r="T216" s="40">
        <f t="shared" si="215"/>
        <v>0.07692307692</v>
      </c>
    </row>
    <row r="217" ht="15.75" customHeight="1">
      <c r="A217" s="63"/>
      <c r="B217" s="63"/>
      <c r="C217" s="63"/>
      <c r="D217" s="63"/>
      <c r="E217" s="63"/>
      <c r="F217" s="23"/>
      <c r="G217" s="19">
        <f>$G$11</f>
        <v>3</v>
      </c>
      <c r="H217" s="20">
        <v>2.0</v>
      </c>
      <c r="I217" s="20">
        <v>0.0</v>
      </c>
      <c r="J217" s="20">
        <v>0.0</v>
      </c>
      <c r="K217" s="20">
        <v>0.0</v>
      </c>
      <c r="L217" s="20">
        <v>0.0</v>
      </c>
      <c r="N217" s="23"/>
      <c r="O217" s="19">
        <f>$G$23</f>
        <v>15</v>
      </c>
      <c r="P217" s="40">
        <f t="shared" ref="P217:T217" si="216">H229/A$239</f>
        <v>0.05882352941</v>
      </c>
      <c r="Q217" s="40">
        <f t="shared" si="216"/>
        <v>0.04587155963</v>
      </c>
      <c r="R217" s="40">
        <f t="shared" si="216"/>
        <v>0</v>
      </c>
      <c r="S217" s="40">
        <f t="shared" si="216"/>
        <v>0.06666666667</v>
      </c>
      <c r="T217" s="40">
        <f t="shared" si="216"/>
        <v>0.07692307692</v>
      </c>
    </row>
    <row r="218" ht="15.75" customHeight="1">
      <c r="A218" s="63"/>
      <c r="B218" s="63"/>
      <c r="C218" s="63"/>
      <c r="D218" s="63"/>
      <c r="E218" s="63"/>
      <c r="F218" s="23"/>
      <c r="G218" s="19">
        <f>$G$12</f>
        <v>4</v>
      </c>
      <c r="H218" s="20">
        <v>4.0</v>
      </c>
      <c r="I218" s="20">
        <v>1.0</v>
      </c>
      <c r="J218" s="20">
        <v>0.0</v>
      </c>
      <c r="K218" s="20">
        <v>1.0</v>
      </c>
      <c r="L218" s="20">
        <v>0.0</v>
      </c>
      <c r="N218" s="23"/>
      <c r="O218" s="19">
        <f>$G$24</f>
        <v>16</v>
      </c>
      <c r="P218" s="40">
        <f t="shared" ref="P218:T218" si="217">H230/A$239</f>
        <v>0.07720588235</v>
      </c>
      <c r="Q218" s="40">
        <f t="shared" si="217"/>
        <v>0.119266055</v>
      </c>
      <c r="R218" s="40">
        <f t="shared" si="217"/>
        <v>0</v>
      </c>
      <c r="S218" s="40">
        <f t="shared" si="217"/>
        <v>0</v>
      </c>
      <c r="T218" s="40">
        <f t="shared" si="217"/>
        <v>0</v>
      </c>
    </row>
    <row r="219" ht="15.75" customHeight="1">
      <c r="A219" s="63"/>
      <c r="B219" s="63"/>
      <c r="C219" s="63"/>
      <c r="D219" s="63"/>
      <c r="E219" s="63"/>
      <c r="F219" s="23"/>
      <c r="G219" s="19">
        <f>$G$13</f>
        <v>5</v>
      </c>
      <c r="H219" s="20">
        <v>4.0</v>
      </c>
      <c r="I219" s="20">
        <v>1.0</v>
      </c>
      <c r="J219" s="20">
        <v>0.0</v>
      </c>
      <c r="K219" s="20">
        <v>0.0</v>
      </c>
      <c r="L219" s="20">
        <v>1.0</v>
      </c>
      <c r="N219" s="23"/>
      <c r="O219" s="19">
        <f>$G$25</f>
        <v>17</v>
      </c>
      <c r="P219" s="40">
        <f t="shared" ref="P219:T219" si="218">H231/A$239</f>
        <v>0.1066176471</v>
      </c>
      <c r="Q219" s="40">
        <f t="shared" si="218"/>
        <v>0.06422018349</v>
      </c>
      <c r="R219" s="40">
        <f t="shared" si="218"/>
        <v>0.5</v>
      </c>
      <c r="S219" s="40">
        <f t="shared" si="218"/>
        <v>0.06666666667</v>
      </c>
      <c r="T219" s="40">
        <f t="shared" si="218"/>
        <v>0</v>
      </c>
    </row>
    <row r="220" ht="15.75" customHeight="1">
      <c r="A220" s="63"/>
      <c r="B220" s="63"/>
      <c r="C220" s="63"/>
      <c r="D220" s="63"/>
      <c r="E220" s="63"/>
      <c r="F220" s="23"/>
      <c r="G220" s="19">
        <f>$G$14</f>
        <v>6</v>
      </c>
      <c r="H220" s="20">
        <v>2.0</v>
      </c>
      <c r="I220" s="20">
        <v>4.0</v>
      </c>
      <c r="J220" s="20">
        <v>0.0</v>
      </c>
      <c r="K220" s="20">
        <v>1.0</v>
      </c>
      <c r="L220" s="20">
        <v>0.0</v>
      </c>
      <c r="N220" s="23"/>
      <c r="O220" s="19">
        <f>$G$26</f>
        <v>18</v>
      </c>
      <c r="P220" s="40">
        <f t="shared" ref="P220:T220" si="219">H232/A$239</f>
        <v>0.08455882353</v>
      </c>
      <c r="Q220" s="40">
        <f t="shared" si="219"/>
        <v>0.03669724771</v>
      </c>
      <c r="R220" s="40">
        <f t="shared" si="219"/>
        <v>0</v>
      </c>
      <c r="S220" s="40">
        <f t="shared" si="219"/>
        <v>0.06666666667</v>
      </c>
      <c r="T220" s="40">
        <f t="shared" si="219"/>
        <v>0</v>
      </c>
    </row>
    <row r="221" ht="15.75" customHeight="1">
      <c r="A221" s="63"/>
      <c r="B221" s="63"/>
      <c r="C221" s="63"/>
      <c r="D221" s="63"/>
      <c r="E221" s="63"/>
      <c r="F221" s="23"/>
      <c r="G221" s="19">
        <f>$G$15</f>
        <v>7</v>
      </c>
      <c r="H221" s="20">
        <v>30.0</v>
      </c>
      <c r="I221" s="20">
        <v>6.0</v>
      </c>
      <c r="J221" s="20">
        <v>0.0</v>
      </c>
      <c r="K221" s="20">
        <v>1.0</v>
      </c>
      <c r="L221" s="20">
        <v>1.0</v>
      </c>
      <c r="N221" s="23"/>
      <c r="O221" s="19">
        <f>$G$27</f>
        <v>19</v>
      </c>
      <c r="P221" s="40">
        <f t="shared" ref="P221:T221" si="220">H233/A$239</f>
        <v>0.04044117647</v>
      </c>
      <c r="Q221" s="40">
        <f t="shared" si="220"/>
        <v>0.04587155963</v>
      </c>
      <c r="R221" s="40">
        <f t="shared" si="220"/>
        <v>0</v>
      </c>
      <c r="S221" s="40">
        <f t="shared" si="220"/>
        <v>0</v>
      </c>
      <c r="T221" s="40">
        <f t="shared" si="220"/>
        <v>0</v>
      </c>
    </row>
    <row r="222" ht="15.75" customHeight="1">
      <c r="A222" s="63"/>
      <c r="B222" s="63"/>
      <c r="C222" s="63"/>
      <c r="D222" s="63"/>
      <c r="E222" s="63"/>
      <c r="F222" s="23"/>
      <c r="G222" s="19">
        <f>$G$16</f>
        <v>8</v>
      </c>
      <c r="H222" s="20">
        <v>19.0</v>
      </c>
      <c r="I222" s="20">
        <v>9.0</v>
      </c>
      <c r="J222" s="20">
        <v>0.0</v>
      </c>
      <c r="K222" s="20">
        <v>1.0</v>
      </c>
      <c r="L222" s="20">
        <v>0.0</v>
      </c>
      <c r="N222" s="23"/>
      <c r="O222" s="19">
        <f>$G$28</f>
        <v>20</v>
      </c>
      <c r="P222" s="40">
        <f t="shared" ref="P222:T222" si="221">H234/A$239</f>
        <v>0.05147058824</v>
      </c>
      <c r="Q222" s="40">
        <f t="shared" si="221"/>
        <v>0.02752293578</v>
      </c>
      <c r="R222" s="40">
        <f t="shared" si="221"/>
        <v>0</v>
      </c>
      <c r="S222" s="40">
        <f t="shared" si="221"/>
        <v>0</v>
      </c>
      <c r="T222" s="40">
        <f t="shared" si="221"/>
        <v>0</v>
      </c>
    </row>
    <row r="223" ht="15.75" customHeight="1">
      <c r="A223" s="63"/>
      <c r="B223" s="63"/>
      <c r="C223" s="63"/>
      <c r="D223" s="63"/>
      <c r="E223" s="63"/>
      <c r="F223" s="23"/>
      <c r="G223" s="19">
        <f>$G$17</f>
        <v>9</v>
      </c>
      <c r="H223" s="20">
        <v>10.0</v>
      </c>
      <c r="I223" s="20">
        <v>9.0</v>
      </c>
      <c r="J223" s="20">
        <v>0.0</v>
      </c>
      <c r="K223" s="20">
        <v>0.0</v>
      </c>
      <c r="L223" s="20">
        <v>2.0</v>
      </c>
      <c r="N223" s="23"/>
      <c r="O223" s="19">
        <f>$G$29</f>
        <v>21</v>
      </c>
      <c r="P223" s="40">
        <f t="shared" ref="P223:T223" si="222">H235/A$239</f>
        <v>0.02205882353</v>
      </c>
      <c r="Q223" s="40">
        <f t="shared" si="222"/>
        <v>0.02752293578</v>
      </c>
      <c r="R223" s="40">
        <f t="shared" si="222"/>
        <v>0</v>
      </c>
      <c r="S223" s="40">
        <f t="shared" si="222"/>
        <v>0</v>
      </c>
      <c r="T223" s="40">
        <f t="shared" si="222"/>
        <v>0</v>
      </c>
    </row>
    <row r="224" ht="15.75" customHeight="1">
      <c r="A224" s="63"/>
      <c r="B224" s="63"/>
      <c r="C224" s="63"/>
      <c r="D224" s="63"/>
      <c r="E224" s="63"/>
      <c r="F224" s="23"/>
      <c r="G224" s="19">
        <f>$G$18</f>
        <v>10</v>
      </c>
      <c r="H224" s="20">
        <v>10.0</v>
      </c>
      <c r="I224" s="20">
        <v>4.0</v>
      </c>
      <c r="J224" s="20">
        <v>0.0</v>
      </c>
      <c r="K224" s="20">
        <v>2.0</v>
      </c>
      <c r="L224" s="20">
        <v>1.0</v>
      </c>
      <c r="N224" s="23"/>
      <c r="O224" s="19">
        <f>$G$30</f>
        <v>22</v>
      </c>
      <c r="P224" s="40">
        <f t="shared" ref="P224:T224" si="223">H236/A$239</f>
        <v>0.01838235294</v>
      </c>
      <c r="Q224" s="40">
        <f t="shared" si="223"/>
        <v>0.01834862385</v>
      </c>
      <c r="R224" s="40">
        <f t="shared" si="223"/>
        <v>0</v>
      </c>
      <c r="S224" s="40">
        <f t="shared" si="223"/>
        <v>0</v>
      </c>
      <c r="T224" s="40">
        <f t="shared" si="223"/>
        <v>0</v>
      </c>
    </row>
    <row r="225" ht="15.75" customHeight="1">
      <c r="A225" s="63"/>
      <c r="B225" s="63"/>
      <c r="C225" s="63"/>
      <c r="D225" s="63"/>
      <c r="E225" s="63"/>
      <c r="F225" s="23"/>
      <c r="G225" s="19">
        <f>$G$19</f>
        <v>11</v>
      </c>
      <c r="H225" s="20">
        <v>11.0</v>
      </c>
      <c r="I225" s="20">
        <v>7.0</v>
      </c>
      <c r="J225" s="20">
        <v>0.0</v>
      </c>
      <c r="K225" s="20">
        <v>1.0</v>
      </c>
      <c r="L225" s="20">
        <v>3.0</v>
      </c>
      <c r="N225" s="27"/>
      <c r="O225" s="19">
        <f>$G$31</f>
        <v>23</v>
      </c>
      <c r="P225" s="40">
        <f t="shared" ref="P225:T225" si="224">H237/A$239</f>
        <v>0.01470588235</v>
      </c>
      <c r="Q225" s="40">
        <f t="shared" si="224"/>
        <v>0.009174311927</v>
      </c>
      <c r="R225" s="40">
        <f t="shared" si="224"/>
        <v>0</v>
      </c>
      <c r="S225" s="40">
        <f t="shared" si="224"/>
        <v>0</v>
      </c>
      <c r="T225" s="40">
        <f t="shared" si="224"/>
        <v>0</v>
      </c>
    </row>
    <row r="226" ht="15.75" customHeight="1">
      <c r="A226" s="63"/>
      <c r="B226" s="63"/>
      <c r="C226" s="63"/>
      <c r="D226" s="63"/>
      <c r="E226" s="63"/>
      <c r="F226" s="23"/>
      <c r="G226" s="19">
        <f>$G$20</f>
        <v>12</v>
      </c>
      <c r="H226" s="20">
        <v>20.0</v>
      </c>
      <c r="I226" s="20">
        <v>7.0</v>
      </c>
      <c r="J226" s="20">
        <v>0.0</v>
      </c>
      <c r="K226" s="20">
        <v>2.0</v>
      </c>
      <c r="L226" s="20">
        <v>2.0</v>
      </c>
      <c r="N226" s="56">
        <v>45203.0</v>
      </c>
      <c r="O226" s="19">
        <f>$G$8</f>
        <v>0</v>
      </c>
      <c r="P226" s="40">
        <f t="shared" ref="P226:T226" si="225">H238/A$263</f>
        <v>0.008438818565</v>
      </c>
      <c r="Q226" s="40">
        <f t="shared" si="225"/>
        <v>0</v>
      </c>
      <c r="R226" s="40">
        <f t="shared" si="225"/>
        <v>0</v>
      </c>
      <c r="S226" s="40">
        <f t="shared" si="225"/>
        <v>0</v>
      </c>
      <c r="T226" s="40">
        <f t="shared" si="225"/>
        <v>0</v>
      </c>
    </row>
    <row r="227" ht="15.75" customHeight="1">
      <c r="A227" s="63"/>
      <c r="B227" s="63"/>
      <c r="C227" s="63"/>
      <c r="D227" s="63"/>
      <c r="E227" s="63"/>
      <c r="F227" s="23"/>
      <c r="G227" s="19">
        <f>$G$21</f>
        <v>13</v>
      </c>
      <c r="H227" s="20">
        <v>10.0</v>
      </c>
      <c r="I227" s="20">
        <v>9.0</v>
      </c>
      <c r="J227" s="20">
        <v>1.0</v>
      </c>
      <c r="K227" s="20">
        <v>0.0</v>
      </c>
      <c r="L227" s="20">
        <v>1.0</v>
      </c>
      <c r="N227" s="23"/>
      <c r="O227" s="19">
        <f>$G$9</f>
        <v>1</v>
      </c>
      <c r="P227" s="40">
        <f t="shared" ref="P227:T227" si="226">H239/A$263</f>
        <v>0</v>
      </c>
      <c r="Q227" s="40">
        <f t="shared" si="226"/>
        <v>0</v>
      </c>
      <c r="R227" s="40">
        <f t="shared" si="226"/>
        <v>0</v>
      </c>
      <c r="S227" s="40">
        <f t="shared" si="226"/>
        <v>0</v>
      </c>
      <c r="T227" s="40">
        <f t="shared" si="226"/>
        <v>0</v>
      </c>
    </row>
    <row r="228" ht="15.75" customHeight="1">
      <c r="A228" s="63"/>
      <c r="B228" s="63"/>
      <c r="C228" s="63"/>
      <c r="D228" s="63"/>
      <c r="E228" s="63"/>
      <c r="F228" s="23"/>
      <c r="G228" s="19">
        <f>$G$22</f>
        <v>14</v>
      </c>
      <c r="H228" s="20">
        <v>15.0</v>
      </c>
      <c r="I228" s="20">
        <v>8.0</v>
      </c>
      <c r="J228" s="20">
        <v>0.0</v>
      </c>
      <c r="K228" s="20">
        <v>3.0</v>
      </c>
      <c r="L228" s="20">
        <v>1.0</v>
      </c>
      <c r="N228" s="23"/>
      <c r="O228" s="19">
        <f>$G$10</f>
        <v>2</v>
      </c>
      <c r="P228" s="40">
        <f t="shared" ref="P228:T228" si="227">H240/A$263</f>
        <v>0.004219409283</v>
      </c>
      <c r="Q228" s="40">
        <f t="shared" si="227"/>
        <v>0</v>
      </c>
      <c r="R228" s="40">
        <f t="shared" si="227"/>
        <v>0</v>
      </c>
      <c r="S228" s="40">
        <f t="shared" si="227"/>
        <v>0</v>
      </c>
      <c r="T228" s="40">
        <f t="shared" si="227"/>
        <v>0</v>
      </c>
    </row>
    <row r="229" ht="15.75" customHeight="1">
      <c r="A229" s="63"/>
      <c r="B229" s="63"/>
      <c r="C229" s="63"/>
      <c r="D229" s="63"/>
      <c r="E229" s="63"/>
      <c r="F229" s="23"/>
      <c r="G229" s="19">
        <f>$G$23</f>
        <v>15</v>
      </c>
      <c r="H229" s="20">
        <v>16.0</v>
      </c>
      <c r="I229" s="20">
        <v>5.0</v>
      </c>
      <c r="J229" s="20">
        <v>0.0</v>
      </c>
      <c r="K229" s="20">
        <v>1.0</v>
      </c>
      <c r="L229" s="20">
        <v>1.0</v>
      </c>
      <c r="N229" s="23"/>
      <c r="O229" s="19">
        <f>$G$11</f>
        <v>3</v>
      </c>
      <c r="P229" s="40">
        <f t="shared" ref="P229:T229" si="228">H241/A$263</f>
        <v>0.004219409283</v>
      </c>
      <c r="Q229" s="40">
        <f t="shared" si="228"/>
        <v>0.01550387597</v>
      </c>
      <c r="R229" s="40">
        <f t="shared" si="228"/>
        <v>0</v>
      </c>
      <c r="S229" s="40">
        <f t="shared" si="228"/>
        <v>0</v>
      </c>
      <c r="T229" s="40">
        <f t="shared" si="228"/>
        <v>0</v>
      </c>
    </row>
    <row r="230" ht="15.75" customHeight="1">
      <c r="A230" s="63"/>
      <c r="B230" s="63"/>
      <c r="C230" s="63"/>
      <c r="D230" s="63"/>
      <c r="E230" s="63"/>
      <c r="F230" s="23"/>
      <c r="G230" s="19">
        <f>$G$24</f>
        <v>16</v>
      </c>
      <c r="H230" s="20">
        <v>21.0</v>
      </c>
      <c r="I230" s="20">
        <v>13.0</v>
      </c>
      <c r="J230" s="20">
        <v>0.0</v>
      </c>
      <c r="K230" s="20">
        <v>0.0</v>
      </c>
      <c r="L230" s="20">
        <v>0.0</v>
      </c>
      <c r="N230" s="23"/>
      <c r="O230" s="19">
        <f>$G$12</f>
        <v>4</v>
      </c>
      <c r="P230" s="40">
        <f t="shared" ref="P230:T230" si="229">H242/A$263</f>
        <v>0.01265822785</v>
      </c>
      <c r="Q230" s="40">
        <f t="shared" si="229"/>
        <v>0.02325581395</v>
      </c>
      <c r="R230" s="40">
        <f t="shared" si="229"/>
        <v>0</v>
      </c>
      <c r="S230" s="40">
        <f t="shared" si="229"/>
        <v>0.06666666667</v>
      </c>
      <c r="T230" s="40">
        <f t="shared" si="229"/>
        <v>0</v>
      </c>
    </row>
    <row r="231" ht="15.75" customHeight="1">
      <c r="A231" s="63"/>
      <c r="B231" s="63"/>
      <c r="C231" s="63"/>
      <c r="D231" s="63"/>
      <c r="E231" s="63"/>
      <c r="F231" s="23"/>
      <c r="G231" s="19">
        <f>$G$25</f>
        <v>17</v>
      </c>
      <c r="H231" s="20">
        <v>29.0</v>
      </c>
      <c r="I231" s="20">
        <v>7.0</v>
      </c>
      <c r="J231" s="20">
        <v>1.0</v>
      </c>
      <c r="K231" s="20">
        <v>1.0</v>
      </c>
      <c r="L231" s="20">
        <v>0.0</v>
      </c>
      <c r="N231" s="23"/>
      <c r="O231" s="19">
        <f>$G$13</f>
        <v>5</v>
      </c>
      <c r="P231" s="40">
        <f t="shared" ref="P231:T231" si="230">H243/A$263</f>
        <v>0.01265822785</v>
      </c>
      <c r="Q231" s="40">
        <f t="shared" si="230"/>
        <v>0.01550387597</v>
      </c>
      <c r="R231" s="40">
        <f t="shared" si="230"/>
        <v>0</v>
      </c>
      <c r="S231" s="40">
        <f t="shared" si="230"/>
        <v>0</v>
      </c>
      <c r="T231" s="40">
        <f t="shared" si="230"/>
        <v>0</v>
      </c>
    </row>
    <row r="232" ht="15.75" customHeight="1">
      <c r="A232" s="63"/>
      <c r="B232" s="63"/>
      <c r="C232" s="63"/>
      <c r="D232" s="63"/>
      <c r="E232" s="63"/>
      <c r="F232" s="23"/>
      <c r="G232" s="19">
        <f>$G$26</f>
        <v>18</v>
      </c>
      <c r="H232" s="20">
        <v>23.0</v>
      </c>
      <c r="I232" s="20">
        <v>4.0</v>
      </c>
      <c r="J232" s="20">
        <v>0.0</v>
      </c>
      <c r="K232" s="20">
        <v>1.0</v>
      </c>
      <c r="L232" s="20">
        <v>0.0</v>
      </c>
      <c r="N232" s="23"/>
      <c r="O232" s="19">
        <f>$G$14</f>
        <v>6</v>
      </c>
      <c r="P232" s="40">
        <f t="shared" ref="P232:T232" si="231">H244/A$263</f>
        <v>0.02953586498</v>
      </c>
      <c r="Q232" s="40">
        <f t="shared" si="231"/>
        <v>0.02325581395</v>
      </c>
      <c r="R232" s="40">
        <f t="shared" si="231"/>
        <v>0</v>
      </c>
      <c r="S232" s="40">
        <f t="shared" si="231"/>
        <v>0</v>
      </c>
      <c r="T232" s="40">
        <f t="shared" si="231"/>
        <v>0.09677419355</v>
      </c>
    </row>
    <row r="233" ht="15.75" customHeight="1">
      <c r="A233" s="63"/>
      <c r="B233" s="63"/>
      <c r="C233" s="63"/>
      <c r="D233" s="63"/>
      <c r="E233" s="63"/>
      <c r="F233" s="23"/>
      <c r="G233" s="19">
        <f>$G$27</f>
        <v>19</v>
      </c>
      <c r="H233" s="20">
        <v>11.0</v>
      </c>
      <c r="I233" s="20">
        <v>5.0</v>
      </c>
      <c r="J233" s="20">
        <v>0.0</v>
      </c>
      <c r="K233" s="20">
        <v>0.0</v>
      </c>
      <c r="L233" s="20">
        <v>0.0</v>
      </c>
      <c r="N233" s="23"/>
      <c r="O233" s="19">
        <f>$G$15</f>
        <v>7</v>
      </c>
      <c r="P233" s="40">
        <f t="shared" ref="P233:T233" si="232">H245/A$263</f>
        <v>0.1434599156</v>
      </c>
      <c r="Q233" s="40">
        <f t="shared" si="232"/>
        <v>0.03875968992</v>
      </c>
      <c r="R233" s="40">
        <f t="shared" si="232"/>
        <v>0</v>
      </c>
      <c r="S233" s="40">
        <f t="shared" si="232"/>
        <v>0.06666666667</v>
      </c>
      <c r="T233" s="40">
        <f t="shared" si="232"/>
        <v>0</v>
      </c>
    </row>
    <row r="234" ht="15.75" customHeight="1">
      <c r="A234" s="63"/>
      <c r="B234" s="63"/>
      <c r="C234" s="63"/>
      <c r="D234" s="63"/>
      <c r="E234" s="63"/>
      <c r="F234" s="23"/>
      <c r="G234" s="19">
        <f>$G$28</f>
        <v>20</v>
      </c>
      <c r="H234" s="20">
        <v>14.0</v>
      </c>
      <c r="I234" s="20">
        <v>3.0</v>
      </c>
      <c r="J234" s="20">
        <v>0.0</v>
      </c>
      <c r="K234" s="20">
        <v>0.0</v>
      </c>
      <c r="L234" s="20">
        <v>0.0</v>
      </c>
      <c r="N234" s="23"/>
      <c r="O234" s="19">
        <f>$G$16</f>
        <v>8</v>
      </c>
      <c r="P234" s="40">
        <f t="shared" ref="P234:T234" si="233">H246/A$263</f>
        <v>0.08016877637</v>
      </c>
      <c r="Q234" s="40">
        <f t="shared" si="233"/>
        <v>0.05426356589</v>
      </c>
      <c r="R234" s="40">
        <f t="shared" si="233"/>
        <v>0</v>
      </c>
      <c r="S234" s="40">
        <f t="shared" si="233"/>
        <v>0.06666666667</v>
      </c>
      <c r="T234" s="40">
        <f t="shared" si="233"/>
        <v>0.1290322581</v>
      </c>
    </row>
    <row r="235" ht="15.75" customHeight="1">
      <c r="A235" s="63"/>
      <c r="B235" s="63"/>
      <c r="C235" s="63"/>
      <c r="D235" s="63"/>
      <c r="E235" s="63"/>
      <c r="F235" s="23"/>
      <c r="G235" s="19">
        <f>$G$29</f>
        <v>21</v>
      </c>
      <c r="H235" s="20">
        <v>6.0</v>
      </c>
      <c r="I235" s="20">
        <v>3.0</v>
      </c>
      <c r="J235" s="20">
        <v>0.0</v>
      </c>
      <c r="K235" s="20">
        <v>0.0</v>
      </c>
      <c r="L235" s="20">
        <v>0.0</v>
      </c>
      <c r="N235" s="23"/>
      <c r="O235" s="19">
        <f>$G$17</f>
        <v>9</v>
      </c>
      <c r="P235" s="40">
        <f t="shared" ref="P235:T235" si="234">H247/A$263</f>
        <v>0.03375527426</v>
      </c>
      <c r="Q235" s="40">
        <f t="shared" si="234"/>
        <v>0.1085271318</v>
      </c>
      <c r="R235" s="40">
        <f t="shared" si="234"/>
        <v>0</v>
      </c>
      <c r="S235" s="40">
        <f t="shared" si="234"/>
        <v>0</v>
      </c>
      <c r="T235" s="40">
        <f t="shared" si="234"/>
        <v>0.06451612903</v>
      </c>
    </row>
    <row r="236" ht="15.75" customHeight="1">
      <c r="A236" s="63"/>
      <c r="B236" s="63"/>
      <c r="C236" s="63"/>
      <c r="D236" s="63"/>
      <c r="E236" s="63"/>
      <c r="F236" s="23"/>
      <c r="G236" s="19">
        <f>$G$30</f>
        <v>22</v>
      </c>
      <c r="H236" s="20">
        <v>5.0</v>
      </c>
      <c r="I236" s="20">
        <v>2.0</v>
      </c>
      <c r="J236" s="20">
        <v>0.0</v>
      </c>
      <c r="K236" s="20">
        <v>0.0</v>
      </c>
      <c r="L236" s="20">
        <v>0.0</v>
      </c>
      <c r="N236" s="23"/>
      <c r="O236" s="19">
        <f>$G$18</f>
        <v>10</v>
      </c>
      <c r="P236" s="40">
        <f t="shared" ref="P236:T236" si="235">H248/A$263</f>
        <v>0.02109704641</v>
      </c>
      <c r="Q236" s="40">
        <f t="shared" si="235"/>
        <v>0.1007751938</v>
      </c>
      <c r="R236" s="40">
        <f t="shared" si="235"/>
        <v>0</v>
      </c>
      <c r="S236" s="40">
        <f t="shared" si="235"/>
        <v>0.1333333333</v>
      </c>
      <c r="T236" s="40">
        <f t="shared" si="235"/>
        <v>0.1612903226</v>
      </c>
    </row>
    <row r="237" ht="15.75" customHeight="1">
      <c r="A237" s="63"/>
      <c r="B237" s="63"/>
      <c r="C237" s="63"/>
      <c r="D237" s="63"/>
      <c r="E237" s="63"/>
      <c r="F237" s="27"/>
      <c r="G237" s="19">
        <f>$G$31</f>
        <v>23</v>
      </c>
      <c r="H237" s="20">
        <v>4.0</v>
      </c>
      <c r="I237" s="20">
        <v>1.0</v>
      </c>
      <c r="J237" s="20">
        <v>0.0</v>
      </c>
      <c r="K237" s="20">
        <v>0.0</v>
      </c>
      <c r="L237" s="20">
        <v>0.0</v>
      </c>
      <c r="N237" s="23"/>
      <c r="O237" s="19">
        <f>$G$19</f>
        <v>11</v>
      </c>
      <c r="P237" s="40">
        <f t="shared" ref="P237:T237" si="236">H249/A$263</f>
        <v>0.03375527426</v>
      </c>
      <c r="Q237" s="40">
        <f t="shared" si="236"/>
        <v>0.06201550388</v>
      </c>
      <c r="R237" s="40">
        <f t="shared" si="236"/>
        <v>0</v>
      </c>
      <c r="S237" s="40">
        <f t="shared" si="236"/>
        <v>0.1333333333</v>
      </c>
      <c r="T237" s="40">
        <f t="shared" si="236"/>
        <v>0.1935483871</v>
      </c>
    </row>
    <row r="238" ht="15.75" customHeight="1">
      <c r="A238" s="63"/>
      <c r="B238" s="63"/>
      <c r="C238" s="63"/>
      <c r="D238" s="63"/>
      <c r="E238" s="63"/>
      <c r="F238" s="56">
        <v>45203.0</v>
      </c>
      <c r="G238" s="19">
        <f>$G$8</f>
        <v>0</v>
      </c>
      <c r="H238" s="20">
        <v>2.0</v>
      </c>
      <c r="I238" s="20">
        <v>0.0</v>
      </c>
      <c r="J238" s="20">
        <v>0.0</v>
      </c>
      <c r="K238" s="20">
        <v>0.0</v>
      </c>
      <c r="L238" s="20">
        <v>0.0</v>
      </c>
      <c r="N238" s="23"/>
      <c r="O238" s="19">
        <f>$G$20</f>
        <v>12</v>
      </c>
      <c r="P238" s="40">
        <f t="shared" ref="P238:T238" si="237">H250/A$263</f>
        <v>0.04219409283</v>
      </c>
      <c r="Q238" s="40">
        <f t="shared" si="237"/>
        <v>0.05426356589</v>
      </c>
      <c r="R238" s="40">
        <f t="shared" si="237"/>
        <v>0</v>
      </c>
      <c r="S238" s="40">
        <f t="shared" si="237"/>
        <v>0.2</v>
      </c>
      <c r="T238" s="40">
        <f t="shared" si="237"/>
        <v>0.06451612903</v>
      </c>
    </row>
    <row r="239" ht="15.75" customHeight="1">
      <c r="A239" s="73">
        <f t="shared" ref="A239:E239" si="238">SUM(H214:H237)</f>
        <v>272</v>
      </c>
      <c r="B239" s="73">
        <f t="shared" si="238"/>
        <v>109</v>
      </c>
      <c r="C239" s="73">
        <f t="shared" si="238"/>
        <v>2</v>
      </c>
      <c r="D239" s="73">
        <f t="shared" si="238"/>
        <v>15</v>
      </c>
      <c r="E239" s="73">
        <f t="shared" si="238"/>
        <v>13</v>
      </c>
      <c r="F239" s="23"/>
      <c r="G239" s="19">
        <f>$G$9</f>
        <v>1</v>
      </c>
      <c r="H239" s="20">
        <v>0.0</v>
      </c>
      <c r="I239" s="20">
        <v>0.0</v>
      </c>
      <c r="J239" s="20">
        <v>0.0</v>
      </c>
      <c r="K239" s="20">
        <v>0.0</v>
      </c>
      <c r="L239" s="20">
        <v>0.0</v>
      </c>
      <c r="N239" s="23"/>
      <c r="O239" s="19">
        <f>$G$21</f>
        <v>13</v>
      </c>
      <c r="P239" s="40">
        <f t="shared" ref="P239:T239" si="239">H251/A$263</f>
        <v>0.04219409283</v>
      </c>
      <c r="Q239" s="40">
        <f t="shared" si="239"/>
        <v>0.05426356589</v>
      </c>
      <c r="R239" s="40">
        <f t="shared" si="239"/>
        <v>0</v>
      </c>
      <c r="S239" s="40">
        <f t="shared" si="239"/>
        <v>0</v>
      </c>
      <c r="T239" s="40">
        <f t="shared" si="239"/>
        <v>0.09677419355</v>
      </c>
    </row>
    <row r="240" ht="15.75" customHeight="1">
      <c r="A240" s="19">
        <f>$H$7</f>
        <v>31</v>
      </c>
      <c r="B240" s="19">
        <f>$I$7</f>
        <v>32</v>
      </c>
      <c r="C240" s="19">
        <f>$J$7</f>
        <v>41</v>
      </c>
      <c r="D240" s="19">
        <f>$K$7</f>
        <v>42</v>
      </c>
      <c r="E240" s="19">
        <f>$L$7</f>
        <v>5</v>
      </c>
      <c r="F240" s="23"/>
      <c r="G240" s="19">
        <f>$G$10</f>
        <v>2</v>
      </c>
      <c r="H240" s="16">
        <v>1.0</v>
      </c>
      <c r="I240" s="16">
        <v>0.0</v>
      </c>
      <c r="J240" s="16">
        <v>0.0</v>
      </c>
      <c r="K240" s="16">
        <v>0.0</v>
      </c>
      <c r="L240" s="16">
        <v>0.0</v>
      </c>
      <c r="N240" s="23"/>
      <c r="O240" s="19">
        <f>$G$22</f>
        <v>14</v>
      </c>
      <c r="P240" s="40">
        <f t="shared" ref="P240:T240" si="240">H252/A$263</f>
        <v>0.05907172996</v>
      </c>
      <c r="Q240" s="40">
        <f t="shared" si="240"/>
        <v>0.06201550388</v>
      </c>
      <c r="R240" s="40">
        <f t="shared" si="240"/>
        <v>0</v>
      </c>
      <c r="S240" s="40">
        <f t="shared" si="240"/>
        <v>0</v>
      </c>
      <c r="T240" s="40">
        <f t="shared" si="240"/>
        <v>0.06451612903</v>
      </c>
    </row>
    <row r="241" ht="15.75" customHeight="1">
      <c r="A241" s="63"/>
      <c r="B241" s="63"/>
      <c r="C241" s="63"/>
      <c r="D241" s="63"/>
      <c r="E241" s="63"/>
      <c r="F241" s="23"/>
      <c r="G241" s="19">
        <f>$G$11</f>
        <v>3</v>
      </c>
      <c r="H241" s="20">
        <v>1.0</v>
      </c>
      <c r="I241" s="20">
        <v>2.0</v>
      </c>
      <c r="J241" s="20">
        <v>0.0</v>
      </c>
      <c r="K241" s="20">
        <v>0.0</v>
      </c>
      <c r="L241" s="20">
        <v>0.0</v>
      </c>
      <c r="N241" s="23"/>
      <c r="O241" s="19">
        <f>$G$23</f>
        <v>15</v>
      </c>
      <c r="P241" s="40">
        <f t="shared" ref="P241:T241" si="241">H253/A$263</f>
        <v>0.07594936709</v>
      </c>
      <c r="Q241" s="40">
        <f t="shared" si="241"/>
        <v>0.05426356589</v>
      </c>
      <c r="R241" s="40">
        <f t="shared" si="241"/>
        <v>0</v>
      </c>
      <c r="S241" s="40">
        <f t="shared" si="241"/>
        <v>0.2</v>
      </c>
      <c r="T241" s="40">
        <f t="shared" si="241"/>
        <v>0.06451612903</v>
      </c>
    </row>
    <row r="242" ht="15.75" customHeight="1">
      <c r="A242" s="63"/>
      <c r="B242" s="63"/>
      <c r="C242" s="63"/>
      <c r="D242" s="63"/>
      <c r="E242" s="63"/>
      <c r="F242" s="23"/>
      <c r="G242" s="19">
        <f>$G$12</f>
        <v>4</v>
      </c>
      <c r="H242" s="20">
        <v>3.0</v>
      </c>
      <c r="I242" s="20">
        <v>3.0</v>
      </c>
      <c r="J242" s="20">
        <v>0.0</v>
      </c>
      <c r="K242" s="20">
        <v>1.0</v>
      </c>
      <c r="L242" s="20">
        <v>0.0</v>
      </c>
      <c r="N242" s="23"/>
      <c r="O242" s="19">
        <f>$G$24</f>
        <v>16</v>
      </c>
      <c r="P242" s="40">
        <f t="shared" ref="P242:T242" si="242">H254/A$263</f>
        <v>0.04641350211</v>
      </c>
      <c r="Q242" s="40">
        <f t="shared" si="242"/>
        <v>0.09302325581</v>
      </c>
      <c r="R242" s="40">
        <f t="shared" si="242"/>
        <v>0</v>
      </c>
      <c r="S242" s="40">
        <f t="shared" si="242"/>
        <v>0.1333333333</v>
      </c>
      <c r="T242" s="40">
        <f t="shared" si="242"/>
        <v>0.06451612903</v>
      </c>
    </row>
    <row r="243" ht="15.75" customHeight="1">
      <c r="A243" s="63"/>
      <c r="B243" s="63"/>
      <c r="C243" s="63"/>
      <c r="D243" s="63"/>
      <c r="E243" s="63"/>
      <c r="F243" s="23"/>
      <c r="G243" s="19">
        <f>$G$13</f>
        <v>5</v>
      </c>
      <c r="H243" s="20">
        <v>3.0</v>
      </c>
      <c r="I243" s="20">
        <v>2.0</v>
      </c>
      <c r="J243" s="20">
        <v>0.0</v>
      </c>
      <c r="K243" s="20">
        <v>0.0</v>
      </c>
      <c r="L243" s="20">
        <v>0.0</v>
      </c>
      <c r="N243" s="23"/>
      <c r="O243" s="19">
        <f>$G$25</f>
        <v>17</v>
      </c>
      <c r="P243" s="40">
        <f t="shared" ref="P243:T243" si="243">H255/A$263</f>
        <v>0.1097046414</v>
      </c>
      <c r="Q243" s="40">
        <f t="shared" si="243"/>
        <v>0.08527131783</v>
      </c>
      <c r="R243" s="40">
        <f t="shared" si="243"/>
        <v>1</v>
      </c>
      <c r="S243" s="40">
        <f t="shared" si="243"/>
        <v>0</v>
      </c>
      <c r="T243" s="40">
        <f t="shared" si="243"/>
        <v>0</v>
      </c>
    </row>
    <row r="244" ht="15.75" customHeight="1">
      <c r="A244" s="63"/>
      <c r="B244" s="63"/>
      <c r="C244" s="63"/>
      <c r="D244" s="63"/>
      <c r="E244" s="63"/>
      <c r="F244" s="23"/>
      <c r="G244" s="19">
        <f>$G$14</f>
        <v>6</v>
      </c>
      <c r="H244" s="20">
        <v>7.0</v>
      </c>
      <c r="I244" s="20">
        <v>3.0</v>
      </c>
      <c r="J244" s="20">
        <v>0.0</v>
      </c>
      <c r="K244" s="20">
        <v>0.0</v>
      </c>
      <c r="L244" s="20">
        <v>3.0</v>
      </c>
      <c r="N244" s="23"/>
      <c r="O244" s="19">
        <f>$G$26</f>
        <v>18</v>
      </c>
      <c r="P244" s="40">
        <f t="shared" ref="P244:T244" si="244">H256/A$263</f>
        <v>0.05485232068</v>
      </c>
      <c r="Q244" s="40">
        <f t="shared" si="244"/>
        <v>0.04651162791</v>
      </c>
      <c r="R244" s="40">
        <f t="shared" si="244"/>
        <v>0</v>
      </c>
      <c r="S244" s="40">
        <f t="shared" si="244"/>
        <v>0</v>
      </c>
      <c r="T244" s="40">
        <f t="shared" si="244"/>
        <v>0</v>
      </c>
    </row>
    <row r="245" ht="15.75" customHeight="1">
      <c r="A245" s="63"/>
      <c r="B245" s="63"/>
      <c r="C245" s="63"/>
      <c r="D245" s="63"/>
      <c r="E245" s="63"/>
      <c r="F245" s="23"/>
      <c r="G245" s="19">
        <f>$G$15</f>
        <v>7</v>
      </c>
      <c r="H245" s="20">
        <v>34.0</v>
      </c>
      <c r="I245" s="20">
        <v>5.0</v>
      </c>
      <c r="J245" s="20">
        <v>0.0</v>
      </c>
      <c r="K245" s="20">
        <v>1.0</v>
      </c>
      <c r="L245" s="20">
        <v>0.0</v>
      </c>
      <c r="N245" s="23"/>
      <c r="O245" s="19">
        <f>$G$27</f>
        <v>19</v>
      </c>
      <c r="P245" s="40">
        <f t="shared" ref="P245:T245" si="245">H257/A$263</f>
        <v>0.05063291139</v>
      </c>
      <c r="Q245" s="40">
        <f t="shared" si="245"/>
        <v>0.03100775194</v>
      </c>
      <c r="R245" s="40">
        <f t="shared" si="245"/>
        <v>0</v>
      </c>
      <c r="S245" s="40">
        <f t="shared" si="245"/>
        <v>0</v>
      </c>
      <c r="T245" s="40">
        <f t="shared" si="245"/>
        <v>0</v>
      </c>
    </row>
    <row r="246" ht="15.75" customHeight="1">
      <c r="A246" s="63"/>
      <c r="B246" s="63"/>
      <c r="C246" s="63"/>
      <c r="D246" s="63"/>
      <c r="E246" s="63"/>
      <c r="F246" s="23"/>
      <c r="G246" s="19">
        <f>$G$16</f>
        <v>8</v>
      </c>
      <c r="H246" s="20">
        <v>19.0</v>
      </c>
      <c r="I246" s="20">
        <v>7.0</v>
      </c>
      <c r="J246" s="20">
        <v>0.0</v>
      </c>
      <c r="K246" s="20">
        <v>1.0</v>
      </c>
      <c r="L246" s="20">
        <v>4.0</v>
      </c>
      <c r="N246" s="23"/>
      <c r="O246" s="19">
        <f>$G$28</f>
        <v>20</v>
      </c>
      <c r="P246" s="40">
        <f t="shared" ref="P246:T246" si="246">H258/A$263</f>
        <v>0.05063291139</v>
      </c>
      <c r="Q246" s="40">
        <f t="shared" si="246"/>
        <v>0.03875968992</v>
      </c>
      <c r="R246" s="40">
        <f t="shared" si="246"/>
        <v>0</v>
      </c>
      <c r="S246" s="40">
        <f t="shared" si="246"/>
        <v>0</v>
      </c>
      <c r="T246" s="40">
        <f t="shared" si="246"/>
        <v>0</v>
      </c>
    </row>
    <row r="247" ht="15.75" customHeight="1">
      <c r="A247" s="63"/>
      <c r="B247" s="63"/>
      <c r="C247" s="63"/>
      <c r="D247" s="63"/>
      <c r="E247" s="63"/>
      <c r="F247" s="23"/>
      <c r="G247" s="19">
        <f>$G$17</f>
        <v>9</v>
      </c>
      <c r="H247" s="20">
        <v>8.0</v>
      </c>
      <c r="I247" s="20">
        <v>14.0</v>
      </c>
      <c r="J247" s="20">
        <v>0.0</v>
      </c>
      <c r="K247" s="20">
        <v>0.0</v>
      </c>
      <c r="L247" s="20">
        <v>2.0</v>
      </c>
      <c r="N247" s="23"/>
      <c r="O247" s="19">
        <f>$G$29</f>
        <v>21</v>
      </c>
      <c r="P247" s="40">
        <f t="shared" ref="P247:T247" si="247">H259/A$263</f>
        <v>0.05063291139</v>
      </c>
      <c r="Q247" s="40">
        <f t="shared" si="247"/>
        <v>0.03100775194</v>
      </c>
      <c r="R247" s="40">
        <f t="shared" si="247"/>
        <v>0</v>
      </c>
      <c r="S247" s="40">
        <f t="shared" si="247"/>
        <v>0</v>
      </c>
      <c r="T247" s="40">
        <f t="shared" si="247"/>
        <v>0</v>
      </c>
    </row>
    <row r="248" ht="15.75" customHeight="1">
      <c r="A248" s="63"/>
      <c r="B248" s="63"/>
      <c r="C248" s="63"/>
      <c r="D248" s="63"/>
      <c r="E248" s="63"/>
      <c r="F248" s="23"/>
      <c r="G248" s="19">
        <f>$G$18</f>
        <v>10</v>
      </c>
      <c r="H248" s="20">
        <v>5.0</v>
      </c>
      <c r="I248" s="20">
        <v>13.0</v>
      </c>
      <c r="J248" s="20">
        <v>0.0</v>
      </c>
      <c r="K248" s="20">
        <v>2.0</v>
      </c>
      <c r="L248" s="20">
        <v>5.0</v>
      </c>
      <c r="N248" s="23"/>
      <c r="O248" s="19">
        <f>$G$30</f>
        <v>22</v>
      </c>
      <c r="P248" s="40">
        <f t="shared" ref="P248:T248" si="248">H260/A$263</f>
        <v>0.02109704641</v>
      </c>
      <c r="Q248" s="40">
        <f t="shared" si="248"/>
        <v>0.007751937984</v>
      </c>
      <c r="R248" s="40">
        <f t="shared" si="248"/>
        <v>0</v>
      </c>
      <c r="S248" s="40">
        <f t="shared" si="248"/>
        <v>0</v>
      </c>
      <c r="T248" s="40">
        <f t="shared" si="248"/>
        <v>0</v>
      </c>
    </row>
    <row r="249" ht="15.75" customHeight="1">
      <c r="A249" s="63"/>
      <c r="B249" s="63"/>
      <c r="C249" s="63"/>
      <c r="D249" s="63"/>
      <c r="E249" s="63"/>
      <c r="F249" s="23"/>
      <c r="G249" s="19">
        <f>$G$19</f>
        <v>11</v>
      </c>
      <c r="H249" s="20">
        <v>8.0</v>
      </c>
      <c r="I249" s="20">
        <v>8.0</v>
      </c>
      <c r="J249" s="20">
        <v>0.0</v>
      </c>
      <c r="K249" s="20">
        <v>2.0</v>
      </c>
      <c r="L249" s="20">
        <v>6.0</v>
      </c>
      <c r="N249" s="27"/>
      <c r="O249" s="19">
        <f>$G$31</f>
        <v>23</v>
      </c>
      <c r="P249" s="40">
        <f t="shared" ref="P249:T249" si="249">H261/A$263</f>
        <v>0.01265822785</v>
      </c>
      <c r="Q249" s="40">
        <f t="shared" si="249"/>
        <v>0</v>
      </c>
      <c r="R249" s="40">
        <f t="shared" si="249"/>
        <v>0</v>
      </c>
      <c r="S249" s="40">
        <f t="shared" si="249"/>
        <v>0</v>
      </c>
      <c r="T249" s="40">
        <f t="shared" si="249"/>
        <v>0</v>
      </c>
    </row>
    <row r="250" ht="15.75" customHeight="1">
      <c r="A250" s="63"/>
      <c r="B250" s="63"/>
      <c r="C250" s="63"/>
      <c r="D250" s="63"/>
      <c r="E250" s="63"/>
      <c r="F250" s="23"/>
      <c r="G250" s="19">
        <f>$G$20</f>
        <v>12</v>
      </c>
      <c r="H250" s="20">
        <v>10.0</v>
      </c>
      <c r="I250" s="20">
        <v>7.0</v>
      </c>
      <c r="J250" s="20">
        <v>0.0</v>
      </c>
      <c r="K250" s="20">
        <v>3.0</v>
      </c>
      <c r="L250" s="20">
        <v>2.0</v>
      </c>
      <c r="N250" s="56">
        <v>45204.0</v>
      </c>
      <c r="O250" s="19">
        <f>$G$8</f>
        <v>0</v>
      </c>
      <c r="P250" s="40">
        <f t="shared" ref="P250:T250" si="250">H262/A$290</f>
        <v>0.03546099291</v>
      </c>
      <c r="Q250" s="40">
        <f t="shared" si="250"/>
        <v>0</v>
      </c>
      <c r="R250" s="40" t="str">
        <f t="shared" si="250"/>
        <v>#DIV/0!</v>
      </c>
      <c r="S250" s="40">
        <f t="shared" si="250"/>
        <v>0</v>
      </c>
      <c r="T250" s="40" t="str">
        <f t="shared" si="250"/>
        <v>#DIV/0!</v>
      </c>
    </row>
    <row r="251" ht="15.75" customHeight="1">
      <c r="A251" s="63"/>
      <c r="B251" s="63"/>
      <c r="C251" s="63"/>
      <c r="D251" s="63"/>
      <c r="E251" s="63"/>
      <c r="F251" s="23"/>
      <c r="G251" s="19">
        <f>$G$21</f>
        <v>13</v>
      </c>
      <c r="H251" s="20">
        <v>10.0</v>
      </c>
      <c r="I251" s="20">
        <v>7.0</v>
      </c>
      <c r="J251" s="20">
        <v>0.0</v>
      </c>
      <c r="K251" s="20">
        <v>0.0</v>
      </c>
      <c r="L251" s="20">
        <v>3.0</v>
      </c>
      <c r="N251" s="23"/>
      <c r="O251" s="19">
        <f>$G$9</f>
        <v>1</v>
      </c>
      <c r="P251" s="40">
        <f t="shared" ref="P251:T251" si="251">H263/A$290</f>
        <v>0.02127659574</v>
      </c>
      <c r="Q251" s="40">
        <f t="shared" si="251"/>
        <v>0.02040816327</v>
      </c>
      <c r="R251" s="40" t="str">
        <f t="shared" si="251"/>
        <v>#DIV/0!</v>
      </c>
      <c r="S251" s="40">
        <f t="shared" si="251"/>
        <v>0</v>
      </c>
      <c r="T251" s="40" t="str">
        <f t="shared" si="251"/>
        <v>#DIV/0!</v>
      </c>
    </row>
    <row r="252" ht="15.75" customHeight="1">
      <c r="A252" s="63"/>
      <c r="B252" s="63"/>
      <c r="C252" s="63"/>
      <c r="D252" s="63"/>
      <c r="E252" s="63"/>
      <c r="F252" s="23"/>
      <c r="G252" s="19">
        <f>$G$22</f>
        <v>14</v>
      </c>
      <c r="H252" s="20">
        <v>14.0</v>
      </c>
      <c r="I252" s="20">
        <v>8.0</v>
      </c>
      <c r="J252" s="20">
        <v>0.0</v>
      </c>
      <c r="K252" s="20">
        <v>0.0</v>
      </c>
      <c r="L252" s="20">
        <v>2.0</v>
      </c>
      <c r="N252" s="23"/>
      <c r="O252" s="19">
        <f>$G$10</f>
        <v>2</v>
      </c>
      <c r="P252" s="40">
        <f t="shared" ref="P252:T252" si="252">H264/A$290</f>
        <v>0.02127659574</v>
      </c>
      <c r="Q252" s="40">
        <f t="shared" si="252"/>
        <v>0</v>
      </c>
      <c r="R252" s="40" t="str">
        <f t="shared" si="252"/>
        <v>#DIV/0!</v>
      </c>
      <c r="S252" s="40">
        <f t="shared" si="252"/>
        <v>0</v>
      </c>
      <c r="T252" s="40" t="str">
        <f t="shared" si="252"/>
        <v>#DIV/0!</v>
      </c>
    </row>
    <row r="253" ht="15.75" customHeight="1">
      <c r="A253" s="63"/>
      <c r="B253" s="63"/>
      <c r="C253" s="63"/>
      <c r="D253" s="63"/>
      <c r="E253" s="63"/>
      <c r="F253" s="23"/>
      <c r="G253" s="19">
        <f>$G$23</f>
        <v>15</v>
      </c>
      <c r="H253" s="20">
        <v>18.0</v>
      </c>
      <c r="I253" s="20">
        <v>7.0</v>
      </c>
      <c r="J253" s="20">
        <v>0.0</v>
      </c>
      <c r="K253" s="20">
        <v>3.0</v>
      </c>
      <c r="L253" s="20">
        <v>2.0</v>
      </c>
      <c r="N253" s="23"/>
      <c r="O253" s="19">
        <f>$G$11</f>
        <v>3</v>
      </c>
      <c r="P253" s="40">
        <f t="shared" ref="P253:T253" si="253">H265/A$290</f>
        <v>0.02127659574</v>
      </c>
      <c r="Q253" s="40">
        <f t="shared" si="253"/>
        <v>0</v>
      </c>
      <c r="R253" s="40" t="str">
        <f t="shared" si="253"/>
        <v>#DIV/0!</v>
      </c>
      <c r="S253" s="40">
        <f t="shared" si="253"/>
        <v>0</v>
      </c>
      <c r="T253" s="40" t="str">
        <f t="shared" si="253"/>
        <v>#DIV/0!</v>
      </c>
    </row>
    <row r="254" ht="15.75" customHeight="1">
      <c r="A254" s="63"/>
      <c r="B254" s="63"/>
      <c r="C254" s="63"/>
      <c r="D254" s="63"/>
      <c r="E254" s="63"/>
      <c r="F254" s="23"/>
      <c r="G254" s="19">
        <f>$G$24</f>
        <v>16</v>
      </c>
      <c r="H254" s="20">
        <v>11.0</v>
      </c>
      <c r="I254" s="20">
        <v>12.0</v>
      </c>
      <c r="J254" s="20">
        <v>0.0</v>
      </c>
      <c r="K254" s="20">
        <v>2.0</v>
      </c>
      <c r="L254" s="20">
        <v>2.0</v>
      </c>
      <c r="N254" s="23"/>
      <c r="O254" s="19">
        <f>$G$12</f>
        <v>4</v>
      </c>
      <c r="P254" s="40">
        <f t="shared" ref="P254:T254" si="254">H266/A$290</f>
        <v>0.007092198582</v>
      </c>
      <c r="Q254" s="40">
        <f t="shared" si="254"/>
        <v>0.02040816327</v>
      </c>
      <c r="R254" s="40" t="str">
        <f t="shared" si="254"/>
        <v>#DIV/0!</v>
      </c>
      <c r="S254" s="40">
        <f t="shared" si="254"/>
        <v>0</v>
      </c>
      <c r="T254" s="40" t="str">
        <f t="shared" si="254"/>
        <v>#DIV/0!</v>
      </c>
    </row>
    <row r="255" ht="15.75" customHeight="1">
      <c r="A255" s="63"/>
      <c r="B255" s="63"/>
      <c r="C255" s="63"/>
      <c r="D255" s="63"/>
      <c r="E255" s="63"/>
      <c r="F255" s="23"/>
      <c r="G255" s="19">
        <f>$G$25</f>
        <v>17</v>
      </c>
      <c r="H255" s="20">
        <v>26.0</v>
      </c>
      <c r="I255" s="20">
        <v>11.0</v>
      </c>
      <c r="J255" s="20">
        <v>1.0</v>
      </c>
      <c r="K255" s="20">
        <v>0.0</v>
      </c>
      <c r="L255" s="20">
        <v>0.0</v>
      </c>
      <c r="N255" s="23"/>
      <c r="O255" s="19">
        <f>$G$13</f>
        <v>5</v>
      </c>
      <c r="P255" s="40">
        <f t="shared" ref="P255:T255" si="255">H267/A$290</f>
        <v>0.007092198582</v>
      </c>
      <c r="Q255" s="40">
        <f t="shared" si="255"/>
        <v>0.02040816327</v>
      </c>
      <c r="R255" s="40" t="str">
        <f t="shared" si="255"/>
        <v>#DIV/0!</v>
      </c>
      <c r="S255" s="40">
        <f t="shared" si="255"/>
        <v>0</v>
      </c>
      <c r="T255" s="40" t="str">
        <f t="shared" si="255"/>
        <v>#DIV/0!</v>
      </c>
    </row>
    <row r="256" ht="15.75" customHeight="1">
      <c r="A256" s="63"/>
      <c r="B256" s="63"/>
      <c r="C256" s="63"/>
      <c r="D256" s="63"/>
      <c r="E256" s="63"/>
      <c r="F256" s="23"/>
      <c r="G256" s="19">
        <f>$G$26</f>
        <v>18</v>
      </c>
      <c r="H256" s="20">
        <v>13.0</v>
      </c>
      <c r="I256" s="20">
        <v>6.0</v>
      </c>
      <c r="J256" s="20">
        <v>0.0</v>
      </c>
      <c r="K256" s="20">
        <v>0.0</v>
      </c>
      <c r="L256" s="20">
        <v>0.0</v>
      </c>
      <c r="N256" s="23"/>
      <c r="O256" s="19">
        <f>$G$14</f>
        <v>6</v>
      </c>
      <c r="P256" s="40">
        <f t="shared" ref="P256:T256" si="256">H268/A$290</f>
        <v>0.007092198582</v>
      </c>
      <c r="Q256" s="40">
        <f t="shared" si="256"/>
        <v>0</v>
      </c>
      <c r="R256" s="40" t="str">
        <f t="shared" si="256"/>
        <v>#DIV/0!</v>
      </c>
      <c r="S256" s="40">
        <f t="shared" si="256"/>
        <v>0</v>
      </c>
      <c r="T256" s="40" t="str">
        <f t="shared" si="256"/>
        <v>#DIV/0!</v>
      </c>
    </row>
    <row r="257" ht="15.75" customHeight="1">
      <c r="A257" s="63"/>
      <c r="B257" s="63"/>
      <c r="C257" s="63"/>
      <c r="D257" s="63"/>
      <c r="E257" s="63"/>
      <c r="F257" s="23"/>
      <c r="G257" s="19">
        <f>$G$27</f>
        <v>19</v>
      </c>
      <c r="H257" s="20">
        <v>12.0</v>
      </c>
      <c r="I257" s="20">
        <v>4.0</v>
      </c>
      <c r="J257" s="20">
        <v>0.0</v>
      </c>
      <c r="K257" s="20">
        <v>0.0</v>
      </c>
      <c r="L257" s="20">
        <v>0.0</v>
      </c>
      <c r="N257" s="23"/>
      <c r="O257" s="19">
        <f>$G$15</f>
        <v>7</v>
      </c>
      <c r="P257" s="40">
        <f t="shared" ref="P257:T257" si="257">H269/A$290</f>
        <v>0.04964539007</v>
      </c>
      <c r="Q257" s="40">
        <f t="shared" si="257"/>
        <v>0.02040816327</v>
      </c>
      <c r="R257" s="40" t="str">
        <f t="shared" si="257"/>
        <v>#DIV/0!</v>
      </c>
      <c r="S257" s="40">
        <f t="shared" si="257"/>
        <v>0</v>
      </c>
      <c r="T257" s="40" t="str">
        <f t="shared" si="257"/>
        <v>#DIV/0!</v>
      </c>
    </row>
    <row r="258" ht="15.75" customHeight="1">
      <c r="A258" s="63"/>
      <c r="B258" s="63"/>
      <c r="C258" s="63"/>
      <c r="D258" s="63"/>
      <c r="E258" s="63"/>
      <c r="F258" s="23"/>
      <c r="G258" s="19">
        <f>$G$28</f>
        <v>20</v>
      </c>
      <c r="H258" s="20">
        <v>12.0</v>
      </c>
      <c r="I258" s="20">
        <v>5.0</v>
      </c>
      <c r="J258" s="20">
        <v>0.0</v>
      </c>
      <c r="K258" s="20">
        <v>0.0</v>
      </c>
      <c r="L258" s="20">
        <v>0.0</v>
      </c>
      <c r="N258" s="23"/>
      <c r="O258" s="19">
        <f>$G$16</f>
        <v>8</v>
      </c>
      <c r="P258" s="40">
        <f t="shared" ref="P258:T258" si="258">H270/A$290</f>
        <v>0.02836879433</v>
      </c>
      <c r="Q258" s="40">
        <f t="shared" si="258"/>
        <v>0.04081632653</v>
      </c>
      <c r="R258" s="40" t="str">
        <f t="shared" si="258"/>
        <v>#DIV/0!</v>
      </c>
      <c r="S258" s="40">
        <f t="shared" si="258"/>
        <v>0.2</v>
      </c>
      <c r="T258" s="40" t="str">
        <f t="shared" si="258"/>
        <v>#DIV/0!</v>
      </c>
    </row>
    <row r="259" ht="15.75" customHeight="1">
      <c r="A259" s="63"/>
      <c r="B259" s="63"/>
      <c r="C259" s="63"/>
      <c r="D259" s="63"/>
      <c r="E259" s="63"/>
      <c r="F259" s="23"/>
      <c r="G259" s="19">
        <f>$G$29</f>
        <v>21</v>
      </c>
      <c r="H259" s="20">
        <v>12.0</v>
      </c>
      <c r="I259" s="20">
        <v>4.0</v>
      </c>
      <c r="J259" s="20">
        <v>0.0</v>
      </c>
      <c r="K259" s="20">
        <v>0.0</v>
      </c>
      <c r="L259" s="20">
        <v>0.0</v>
      </c>
      <c r="N259" s="23"/>
      <c r="O259" s="19">
        <f>$G$17</f>
        <v>9</v>
      </c>
      <c r="P259" s="40">
        <f t="shared" ref="P259:T259" si="259">H271/A$290</f>
        <v>0.01418439716</v>
      </c>
      <c r="Q259" s="40">
        <f t="shared" si="259"/>
        <v>0.04081632653</v>
      </c>
      <c r="R259" s="40" t="str">
        <f t="shared" si="259"/>
        <v>#DIV/0!</v>
      </c>
      <c r="S259" s="40">
        <f t="shared" si="259"/>
        <v>0</v>
      </c>
      <c r="T259" s="40" t="str">
        <f t="shared" si="259"/>
        <v>#DIV/0!</v>
      </c>
    </row>
    <row r="260" ht="15.75" customHeight="1">
      <c r="A260" s="63"/>
      <c r="B260" s="63"/>
      <c r="C260" s="63"/>
      <c r="D260" s="63"/>
      <c r="E260" s="63"/>
      <c r="F260" s="23"/>
      <c r="G260" s="19">
        <f>$G$30</f>
        <v>22</v>
      </c>
      <c r="H260" s="20">
        <v>5.0</v>
      </c>
      <c r="I260" s="20">
        <v>1.0</v>
      </c>
      <c r="J260" s="20">
        <v>0.0</v>
      </c>
      <c r="K260" s="20">
        <v>0.0</v>
      </c>
      <c r="L260" s="20">
        <v>0.0</v>
      </c>
      <c r="N260" s="23"/>
      <c r="O260" s="19">
        <f>$G$18</f>
        <v>10</v>
      </c>
      <c r="P260" s="40">
        <f t="shared" ref="P260:T260" si="260">H272/A$290</f>
        <v>0.04964539007</v>
      </c>
      <c r="Q260" s="40">
        <f t="shared" si="260"/>
        <v>0.08163265306</v>
      </c>
      <c r="R260" s="40" t="str">
        <f t="shared" si="260"/>
        <v>#DIV/0!</v>
      </c>
      <c r="S260" s="40">
        <f t="shared" si="260"/>
        <v>0</v>
      </c>
      <c r="T260" s="40" t="str">
        <f t="shared" si="260"/>
        <v>#DIV/0!</v>
      </c>
    </row>
    <row r="261" ht="15.75" customHeight="1">
      <c r="A261" s="63"/>
      <c r="B261" s="63"/>
      <c r="C261" s="63"/>
      <c r="D261" s="63"/>
      <c r="E261" s="63"/>
      <c r="F261" s="27"/>
      <c r="G261" s="19">
        <f>$G$31</f>
        <v>23</v>
      </c>
      <c r="H261" s="20">
        <v>3.0</v>
      </c>
      <c r="I261" s="20">
        <v>0.0</v>
      </c>
      <c r="J261" s="20">
        <v>0.0</v>
      </c>
      <c r="K261" s="20">
        <v>0.0</v>
      </c>
      <c r="L261" s="20">
        <v>0.0</v>
      </c>
      <c r="N261" s="23"/>
      <c r="O261" s="19">
        <f>$G$19</f>
        <v>11</v>
      </c>
      <c r="P261" s="40">
        <f t="shared" ref="P261:T261" si="261">H273/A$290</f>
        <v>0.03546099291</v>
      </c>
      <c r="Q261" s="40">
        <f t="shared" si="261"/>
        <v>0.08163265306</v>
      </c>
      <c r="R261" s="40" t="str">
        <f t="shared" si="261"/>
        <v>#DIV/0!</v>
      </c>
      <c r="S261" s="40">
        <f t="shared" si="261"/>
        <v>0.2</v>
      </c>
      <c r="T261" s="40" t="str">
        <f t="shared" si="261"/>
        <v>#DIV/0!</v>
      </c>
    </row>
    <row r="262" ht="15.75" customHeight="1">
      <c r="A262" s="63"/>
      <c r="B262" s="63"/>
      <c r="C262" s="63"/>
      <c r="D262" s="63"/>
      <c r="E262" s="63"/>
      <c r="F262" s="56">
        <v>45204.0</v>
      </c>
      <c r="G262" s="19">
        <f>$G$8</f>
        <v>0</v>
      </c>
      <c r="H262" s="20">
        <v>5.0</v>
      </c>
      <c r="I262" s="20">
        <v>0.0</v>
      </c>
      <c r="J262" s="20">
        <v>0.0</v>
      </c>
      <c r="K262" s="20">
        <v>0.0</v>
      </c>
      <c r="L262" s="20">
        <v>0.0</v>
      </c>
      <c r="N262" s="23"/>
      <c r="O262" s="19">
        <f>$G$20</f>
        <v>12</v>
      </c>
      <c r="P262" s="40">
        <f t="shared" ref="P262:T262" si="262">H274/A$290</f>
        <v>0.02836879433</v>
      </c>
      <c r="Q262" s="40">
        <f t="shared" si="262"/>
        <v>0.0612244898</v>
      </c>
      <c r="R262" s="40" t="str">
        <f t="shared" si="262"/>
        <v>#DIV/0!</v>
      </c>
      <c r="S262" s="40">
        <f t="shared" si="262"/>
        <v>0</v>
      </c>
      <c r="T262" s="40" t="str">
        <f t="shared" si="262"/>
        <v>#DIV/0!</v>
      </c>
    </row>
    <row r="263" ht="15.75" customHeight="1">
      <c r="A263" s="73">
        <f t="shared" ref="A263:E263" si="263">SUM(H238:H261)</f>
        <v>237</v>
      </c>
      <c r="B263" s="73">
        <f t="shared" si="263"/>
        <v>129</v>
      </c>
      <c r="C263" s="73">
        <f t="shared" si="263"/>
        <v>1</v>
      </c>
      <c r="D263" s="73">
        <f t="shared" si="263"/>
        <v>15</v>
      </c>
      <c r="E263" s="73">
        <f t="shared" si="263"/>
        <v>31</v>
      </c>
      <c r="F263" s="23"/>
      <c r="G263" s="19">
        <f>$G$9</f>
        <v>1</v>
      </c>
      <c r="H263" s="20">
        <v>3.0</v>
      </c>
      <c r="I263" s="20">
        <v>1.0</v>
      </c>
      <c r="J263" s="20">
        <v>0.0</v>
      </c>
      <c r="K263" s="20">
        <v>0.0</v>
      </c>
      <c r="L263" s="20">
        <v>0.0</v>
      </c>
      <c r="N263" s="23"/>
      <c r="O263" s="19">
        <f>$G$21</f>
        <v>13</v>
      </c>
      <c r="P263" s="40">
        <f t="shared" ref="P263:T263" si="264">H275/A$290</f>
        <v>0.02836879433</v>
      </c>
      <c r="Q263" s="40">
        <f t="shared" si="264"/>
        <v>0.0612244898</v>
      </c>
      <c r="R263" s="40" t="str">
        <f t="shared" si="264"/>
        <v>#DIV/0!</v>
      </c>
      <c r="S263" s="40">
        <f t="shared" si="264"/>
        <v>0</v>
      </c>
      <c r="T263" s="40" t="str">
        <f t="shared" si="264"/>
        <v>#DIV/0!</v>
      </c>
    </row>
    <row r="264" ht="15.75" customHeight="1">
      <c r="A264" s="19">
        <f>$H$7</f>
        <v>31</v>
      </c>
      <c r="B264" s="19">
        <f>$I$7</f>
        <v>32</v>
      </c>
      <c r="C264" s="19">
        <f>$J$7</f>
        <v>41</v>
      </c>
      <c r="D264" s="19">
        <f>$K$7</f>
        <v>42</v>
      </c>
      <c r="E264" s="19">
        <f>$L$7</f>
        <v>5</v>
      </c>
      <c r="F264" s="23"/>
      <c r="G264" s="19">
        <f>$G$10</f>
        <v>2</v>
      </c>
      <c r="H264" s="16">
        <v>3.0</v>
      </c>
      <c r="I264" s="16">
        <v>0.0</v>
      </c>
      <c r="J264" s="16">
        <v>0.0</v>
      </c>
      <c r="K264" s="16">
        <v>0.0</v>
      </c>
      <c r="L264" s="16">
        <v>0.0</v>
      </c>
      <c r="N264" s="23"/>
      <c r="O264" s="19">
        <f>$G$22</f>
        <v>14</v>
      </c>
      <c r="P264" s="40">
        <f t="shared" ref="P264:T264" si="265">H276/A$290</f>
        <v>0.04964539007</v>
      </c>
      <c r="Q264" s="40">
        <f t="shared" si="265"/>
        <v>0.08163265306</v>
      </c>
      <c r="R264" s="40" t="str">
        <f t="shared" si="265"/>
        <v>#DIV/0!</v>
      </c>
      <c r="S264" s="40">
        <f t="shared" si="265"/>
        <v>0.4</v>
      </c>
      <c r="T264" s="40" t="str">
        <f t="shared" si="265"/>
        <v>#DIV/0!</v>
      </c>
    </row>
    <row r="265" ht="15.75" customHeight="1">
      <c r="A265" s="63"/>
      <c r="B265" s="63"/>
      <c r="C265" s="63"/>
      <c r="D265" s="63"/>
      <c r="E265" s="63"/>
      <c r="F265" s="23"/>
      <c r="G265" s="19">
        <f>$G$11</f>
        <v>3</v>
      </c>
      <c r="H265" s="20">
        <v>3.0</v>
      </c>
      <c r="I265" s="20">
        <v>0.0</v>
      </c>
      <c r="J265" s="20">
        <v>0.0</v>
      </c>
      <c r="K265" s="20">
        <v>0.0</v>
      </c>
      <c r="L265" s="20">
        <v>0.0</v>
      </c>
      <c r="N265" s="23"/>
      <c r="O265" s="19">
        <f>$G$23</f>
        <v>15</v>
      </c>
      <c r="P265" s="40">
        <f t="shared" ref="P265:T265" si="266">H277/A$290</f>
        <v>0.04255319149</v>
      </c>
      <c r="Q265" s="40">
        <f t="shared" si="266"/>
        <v>0.0612244898</v>
      </c>
      <c r="R265" s="40" t="str">
        <f t="shared" si="266"/>
        <v>#DIV/0!</v>
      </c>
      <c r="S265" s="40">
        <f t="shared" si="266"/>
        <v>0</v>
      </c>
      <c r="T265" s="40" t="str">
        <f t="shared" si="266"/>
        <v>#DIV/0!</v>
      </c>
    </row>
    <row r="266" ht="15.75" customHeight="1">
      <c r="A266" s="63"/>
      <c r="B266" s="63"/>
      <c r="C266" s="63"/>
      <c r="D266" s="63"/>
      <c r="E266" s="63"/>
      <c r="F266" s="23"/>
      <c r="G266" s="19">
        <f>$G$12</f>
        <v>4</v>
      </c>
      <c r="H266" s="20">
        <v>1.0</v>
      </c>
      <c r="I266" s="20">
        <v>1.0</v>
      </c>
      <c r="J266" s="20">
        <v>0.0</v>
      </c>
      <c r="K266" s="20">
        <v>0.0</v>
      </c>
      <c r="L266" s="20">
        <v>0.0</v>
      </c>
      <c r="N266" s="23"/>
      <c r="O266" s="19">
        <f>$G$24</f>
        <v>16</v>
      </c>
      <c r="P266" s="40">
        <f t="shared" ref="P266:T266" si="267">H278/A$290</f>
        <v>0.170212766</v>
      </c>
      <c r="Q266" s="40">
        <f t="shared" si="267"/>
        <v>0.08163265306</v>
      </c>
      <c r="R266" s="40" t="str">
        <f t="shared" si="267"/>
        <v>#DIV/0!</v>
      </c>
      <c r="S266" s="40">
        <f t="shared" si="267"/>
        <v>0</v>
      </c>
      <c r="T266" s="40" t="str">
        <f t="shared" si="267"/>
        <v>#DIV/0!</v>
      </c>
    </row>
    <row r="267" ht="15.75" customHeight="1">
      <c r="A267" s="63"/>
      <c r="B267" s="63"/>
      <c r="C267" s="63"/>
      <c r="D267" s="63"/>
      <c r="E267" s="63"/>
      <c r="F267" s="23"/>
      <c r="G267" s="19">
        <f>$G$13</f>
        <v>5</v>
      </c>
      <c r="H267" s="20">
        <v>1.0</v>
      </c>
      <c r="I267" s="20">
        <v>1.0</v>
      </c>
      <c r="J267" s="20">
        <v>0.0</v>
      </c>
      <c r="K267" s="20">
        <v>0.0</v>
      </c>
      <c r="L267" s="20">
        <v>0.0</v>
      </c>
      <c r="N267" s="23"/>
      <c r="O267" s="19">
        <f>$G$25</f>
        <v>17</v>
      </c>
      <c r="P267" s="40">
        <f t="shared" ref="P267:T267" si="268">H279/A$290</f>
        <v>0.06382978723</v>
      </c>
      <c r="Q267" s="40">
        <f t="shared" si="268"/>
        <v>0.04081632653</v>
      </c>
      <c r="R267" s="40" t="str">
        <f t="shared" si="268"/>
        <v>#DIV/0!</v>
      </c>
      <c r="S267" s="40">
        <f t="shared" si="268"/>
        <v>0</v>
      </c>
      <c r="T267" s="40" t="str">
        <f t="shared" si="268"/>
        <v>#DIV/0!</v>
      </c>
    </row>
    <row r="268" ht="15.75" customHeight="1">
      <c r="A268" s="63"/>
      <c r="B268" s="63"/>
      <c r="C268" s="63"/>
      <c r="D268" s="63"/>
      <c r="E268" s="63"/>
      <c r="F268" s="23"/>
      <c r="G268" s="19">
        <f>$G$14</f>
        <v>6</v>
      </c>
      <c r="H268" s="20">
        <v>1.0</v>
      </c>
      <c r="I268" s="20">
        <v>0.0</v>
      </c>
      <c r="J268" s="20">
        <v>0.0</v>
      </c>
      <c r="K268" s="20">
        <v>0.0</v>
      </c>
      <c r="L268" s="20">
        <v>0.0</v>
      </c>
      <c r="N268" s="23"/>
      <c r="O268" s="19">
        <f>$G$26</f>
        <v>18</v>
      </c>
      <c r="P268" s="40">
        <f t="shared" ref="P268:T268" si="269">H280/A$290</f>
        <v>0.07092198582</v>
      </c>
      <c r="Q268" s="40">
        <f t="shared" si="269"/>
        <v>0.0612244898</v>
      </c>
      <c r="R268" s="40" t="str">
        <f t="shared" si="269"/>
        <v>#DIV/0!</v>
      </c>
      <c r="S268" s="40">
        <f t="shared" si="269"/>
        <v>0</v>
      </c>
      <c r="T268" s="40" t="str">
        <f t="shared" si="269"/>
        <v>#DIV/0!</v>
      </c>
    </row>
    <row r="269" ht="15.75" customHeight="1">
      <c r="A269" s="63"/>
      <c r="B269" s="63"/>
      <c r="C269" s="63"/>
      <c r="D269" s="63"/>
      <c r="E269" s="63"/>
      <c r="F269" s="23"/>
      <c r="G269" s="19">
        <f>$G$15</f>
        <v>7</v>
      </c>
      <c r="H269" s="20">
        <v>7.0</v>
      </c>
      <c r="I269" s="20">
        <v>1.0</v>
      </c>
      <c r="J269" s="20">
        <v>0.0</v>
      </c>
      <c r="K269" s="20">
        <v>0.0</v>
      </c>
      <c r="L269" s="20">
        <v>0.0</v>
      </c>
      <c r="N269" s="23"/>
      <c r="O269" s="19">
        <f>$G$27</f>
        <v>19</v>
      </c>
      <c r="P269" s="40">
        <f t="shared" ref="P269:T269" si="270">H281/A$290</f>
        <v>0.08510638298</v>
      </c>
      <c r="Q269" s="40">
        <f t="shared" si="270"/>
        <v>0.08163265306</v>
      </c>
      <c r="R269" s="40" t="str">
        <f t="shared" si="270"/>
        <v>#DIV/0!</v>
      </c>
      <c r="S269" s="40">
        <f t="shared" si="270"/>
        <v>0</v>
      </c>
      <c r="T269" s="40" t="str">
        <f t="shared" si="270"/>
        <v>#DIV/0!</v>
      </c>
    </row>
    <row r="270" ht="15.75" customHeight="1">
      <c r="A270" s="63"/>
      <c r="B270" s="63"/>
      <c r="C270" s="63"/>
      <c r="D270" s="63"/>
      <c r="E270" s="63"/>
      <c r="F270" s="23"/>
      <c r="G270" s="19">
        <f>$G$16</f>
        <v>8</v>
      </c>
      <c r="H270" s="20">
        <v>4.0</v>
      </c>
      <c r="I270" s="20">
        <v>2.0</v>
      </c>
      <c r="J270" s="20">
        <v>0.0</v>
      </c>
      <c r="K270" s="20">
        <v>1.0</v>
      </c>
      <c r="L270" s="20">
        <v>0.0</v>
      </c>
      <c r="N270" s="23"/>
      <c r="O270" s="19">
        <f>$G$28</f>
        <v>20</v>
      </c>
      <c r="P270" s="40">
        <f t="shared" ref="P270:T270" si="271">H282/A$290</f>
        <v>0.04255319149</v>
      </c>
      <c r="Q270" s="40">
        <f t="shared" si="271"/>
        <v>0.1020408163</v>
      </c>
      <c r="R270" s="40" t="str">
        <f t="shared" si="271"/>
        <v>#DIV/0!</v>
      </c>
      <c r="S270" s="40">
        <f t="shared" si="271"/>
        <v>0</v>
      </c>
      <c r="T270" s="40" t="str">
        <f t="shared" si="271"/>
        <v>#DIV/0!</v>
      </c>
    </row>
    <row r="271" ht="15.75" customHeight="1">
      <c r="A271" s="63"/>
      <c r="B271" s="63"/>
      <c r="C271" s="63"/>
      <c r="D271" s="63"/>
      <c r="E271" s="63"/>
      <c r="F271" s="23"/>
      <c r="G271" s="19">
        <f>$G$17</f>
        <v>9</v>
      </c>
      <c r="H271" s="20">
        <v>2.0</v>
      </c>
      <c r="I271" s="20">
        <v>2.0</v>
      </c>
      <c r="J271" s="20">
        <v>0.0</v>
      </c>
      <c r="K271" s="20">
        <v>0.0</v>
      </c>
      <c r="L271" s="20">
        <v>0.0</v>
      </c>
      <c r="N271" s="23"/>
      <c r="O271" s="19">
        <f>$G$29</f>
        <v>21</v>
      </c>
      <c r="P271" s="40">
        <f t="shared" ref="P271:T271" si="272">H283/A$290</f>
        <v>0.02127659574</v>
      </c>
      <c r="Q271" s="40">
        <f t="shared" si="272"/>
        <v>0</v>
      </c>
      <c r="R271" s="40" t="str">
        <f t="shared" si="272"/>
        <v>#DIV/0!</v>
      </c>
      <c r="S271" s="40">
        <f t="shared" si="272"/>
        <v>0</v>
      </c>
      <c r="T271" s="40" t="str">
        <f t="shared" si="272"/>
        <v>#DIV/0!</v>
      </c>
    </row>
    <row r="272" ht="15.75" customHeight="1">
      <c r="A272" s="63"/>
      <c r="B272" s="63"/>
      <c r="C272" s="63"/>
      <c r="D272" s="63"/>
      <c r="E272" s="63"/>
      <c r="F272" s="23"/>
      <c r="G272" s="19">
        <f>$G$18</f>
        <v>10</v>
      </c>
      <c r="H272" s="20">
        <v>7.0</v>
      </c>
      <c r="I272" s="20">
        <v>4.0</v>
      </c>
      <c r="J272" s="20">
        <v>0.0</v>
      </c>
      <c r="K272" s="20">
        <v>0.0</v>
      </c>
      <c r="L272" s="20">
        <v>0.0</v>
      </c>
      <c r="N272" s="23"/>
      <c r="O272" s="19">
        <f>$G$30</f>
        <v>22</v>
      </c>
      <c r="P272" s="40">
        <f t="shared" ref="P272:T272" si="273">H284/A$290</f>
        <v>0.07092198582</v>
      </c>
      <c r="Q272" s="40">
        <f t="shared" si="273"/>
        <v>0.04081632653</v>
      </c>
      <c r="R272" s="40" t="str">
        <f t="shared" si="273"/>
        <v>#DIV/0!</v>
      </c>
      <c r="S272" s="40">
        <f t="shared" si="273"/>
        <v>0.2</v>
      </c>
      <c r="T272" s="40" t="str">
        <f t="shared" si="273"/>
        <v>#DIV/0!</v>
      </c>
    </row>
    <row r="273" ht="15.75" customHeight="1">
      <c r="A273" s="63"/>
      <c r="B273" s="63"/>
      <c r="C273" s="63"/>
      <c r="D273" s="63"/>
      <c r="E273" s="63"/>
      <c r="F273" s="23"/>
      <c r="G273" s="19">
        <f>$G$19</f>
        <v>11</v>
      </c>
      <c r="H273" s="20">
        <v>5.0</v>
      </c>
      <c r="I273" s="20">
        <v>4.0</v>
      </c>
      <c r="J273" s="20">
        <v>0.0</v>
      </c>
      <c r="K273" s="20">
        <v>1.0</v>
      </c>
      <c r="L273" s="20">
        <v>0.0</v>
      </c>
      <c r="N273" s="27"/>
      <c r="O273" s="19">
        <f>$G$31</f>
        <v>23</v>
      </c>
      <c r="P273" s="40">
        <f t="shared" ref="P273:T273" si="274">H285/A$290</f>
        <v>0.02836879433</v>
      </c>
      <c r="Q273" s="40">
        <f t="shared" si="274"/>
        <v>0</v>
      </c>
      <c r="R273" s="40" t="str">
        <f t="shared" si="274"/>
        <v>#DIV/0!</v>
      </c>
      <c r="S273" s="40">
        <f t="shared" si="274"/>
        <v>0</v>
      </c>
      <c r="T273" s="40" t="str">
        <f t="shared" si="274"/>
        <v>#DIV/0!</v>
      </c>
    </row>
    <row r="274" ht="15.75" customHeight="1">
      <c r="A274" s="63"/>
      <c r="B274" s="63"/>
      <c r="C274" s="63"/>
      <c r="D274" s="63"/>
      <c r="E274" s="63"/>
      <c r="F274" s="23"/>
      <c r="G274" s="19">
        <f>$G$20</f>
        <v>12</v>
      </c>
      <c r="H274" s="20">
        <v>4.0</v>
      </c>
      <c r="I274" s="20">
        <v>3.0</v>
      </c>
      <c r="J274" s="20">
        <v>0.0</v>
      </c>
      <c r="K274" s="20">
        <v>0.0</v>
      </c>
      <c r="L274" s="20">
        <v>0.0</v>
      </c>
      <c r="N274" s="56">
        <v>45205.0</v>
      </c>
      <c r="O274" s="19">
        <f>$G$8</f>
        <v>0</v>
      </c>
      <c r="P274" s="44">
        <f t="shared" ref="P274:T274" si="275">H286/A$314</f>
        <v>0</v>
      </c>
      <c r="Q274" s="44">
        <f t="shared" si="275"/>
        <v>0</v>
      </c>
      <c r="R274" s="44">
        <f t="shared" si="275"/>
        <v>0</v>
      </c>
      <c r="S274" s="44">
        <f t="shared" si="275"/>
        <v>0</v>
      </c>
      <c r="T274" s="44">
        <f t="shared" si="275"/>
        <v>0</v>
      </c>
    </row>
    <row r="275" ht="15.75" customHeight="1">
      <c r="A275" s="63"/>
      <c r="B275" s="63"/>
      <c r="C275" s="63"/>
      <c r="D275" s="63"/>
      <c r="E275" s="63"/>
      <c r="F275" s="23"/>
      <c r="G275" s="19">
        <f>$G$21</f>
        <v>13</v>
      </c>
      <c r="H275" s="20">
        <v>4.0</v>
      </c>
      <c r="I275" s="20">
        <v>3.0</v>
      </c>
      <c r="J275" s="20">
        <v>0.0</v>
      </c>
      <c r="K275" s="20">
        <v>0.0</v>
      </c>
      <c r="L275" s="20">
        <v>0.0</v>
      </c>
      <c r="N275" s="23"/>
      <c r="O275" s="19">
        <f>$G$9</f>
        <v>1</v>
      </c>
      <c r="P275" s="44">
        <f t="shared" ref="P275:T275" si="276">H287/A$314</f>
        <v>0.02135231317</v>
      </c>
      <c r="Q275" s="44">
        <f t="shared" si="276"/>
        <v>0.01149425287</v>
      </c>
      <c r="R275" s="44">
        <f t="shared" si="276"/>
        <v>0</v>
      </c>
      <c r="S275" s="44">
        <f t="shared" si="276"/>
        <v>0</v>
      </c>
      <c r="T275" s="44">
        <f t="shared" si="276"/>
        <v>0</v>
      </c>
    </row>
    <row r="276" ht="15.75" customHeight="1">
      <c r="A276" s="63"/>
      <c r="B276" s="63"/>
      <c r="C276" s="63"/>
      <c r="D276" s="63"/>
      <c r="E276" s="63"/>
      <c r="F276" s="23"/>
      <c r="G276" s="19">
        <f>$G$22</f>
        <v>14</v>
      </c>
      <c r="H276" s="20">
        <v>7.0</v>
      </c>
      <c r="I276" s="20">
        <v>4.0</v>
      </c>
      <c r="J276" s="20">
        <v>0.0</v>
      </c>
      <c r="K276" s="20">
        <v>2.0</v>
      </c>
      <c r="L276" s="20">
        <v>0.0</v>
      </c>
      <c r="N276" s="23"/>
      <c r="O276" s="19">
        <f>$G$10</f>
        <v>2</v>
      </c>
      <c r="P276" s="44">
        <f t="shared" ref="P276:T276" si="277">H288/A$314</f>
        <v>0.003558718861</v>
      </c>
      <c r="Q276" s="44">
        <f t="shared" si="277"/>
        <v>0</v>
      </c>
      <c r="R276" s="44">
        <f t="shared" si="277"/>
        <v>0</v>
      </c>
      <c r="S276" s="44">
        <f t="shared" si="277"/>
        <v>0</v>
      </c>
      <c r="T276" s="44">
        <f t="shared" si="277"/>
        <v>0</v>
      </c>
    </row>
    <row r="277" ht="15.75" customHeight="1">
      <c r="A277" s="63"/>
      <c r="B277" s="63"/>
      <c r="C277" s="63"/>
      <c r="D277" s="63"/>
      <c r="E277" s="63"/>
      <c r="F277" s="23"/>
      <c r="G277" s="19">
        <f>$G$23</f>
        <v>15</v>
      </c>
      <c r="H277" s="20">
        <v>6.0</v>
      </c>
      <c r="I277" s="20">
        <v>3.0</v>
      </c>
      <c r="J277" s="20">
        <v>0.0</v>
      </c>
      <c r="K277" s="20">
        <v>0.0</v>
      </c>
      <c r="L277" s="20">
        <v>0.0</v>
      </c>
      <c r="N277" s="23"/>
      <c r="O277" s="19">
        <f>$G$11</f>
        <v>3</v>
      </c>
      <c r="P277" s="44">
        <f t="shared" ref="P277:T277" si="278">H289/A$314</f>
        <v>0</v>
      </c>
      <c r="Q277" s="44">
        <f t="shared" si="278"/>
        <v>0</v>
      </c>
      <c r="R277" s="44">
        <f t="shared" si="278"/>
        <v>0</v>
      </c>
      <c r="S277" s="44">
        <f t="shared" si="278"/>
        <v>0.07142857143</v>
      </c>
      <c r="T277" s="44">
        <f t="shared" si="278"/>
        <v>0</v>
      </c>
    </row>
    <row r="278" ht="15.75" customHeight="1">
      <c r="A278" s="63"/>
      <c r="B278" s="63"/>
      <c r="C278" s="63"/>
      <c r="D278" s="63"/>
      <c r="E278" s="63"/>
      <c r="F278" s="23"/>
      <c r="G278" s="19">
        <f>$G$24</f>
        <v>16</v>
      </c>
      <c r="H278" s="20">
        <v>24.0</v>
      </c>
      <c r="I278" s="20">
        <v>4.0</v>
      </c>
      <c r="J278" s="20">
        <v>0.0</v>
      </c>
      <c r="K278" s="20">
        <v>0.0</v>
      </c>
      <c r="L278" s="20">
        <v>0.0</v>
      </c>
      <c r="N278" s="23"/>
      <c r="O278" s="19">
        <f>$G$12</f>
        <v>4</v>
      </c>
      <c r="P278" s="44">
        <f t="shared" ref="P278:T278" si="279">H290/A$314</f>
        <v>0.007117437722</v>
      </c>
      <c r="Q278" s="44">
        <f t="shared" si="279"/>
        <v>0.01149425287</v>
      </c>
      <c r="R278" s="44">
        <f t="shared" si="279"/>
        <v>0</v>
      </c>
      <c r="S278" s="44">
        <f t="shared" si="279"/>
        <v>0.07142857143</v>
      </c>
      <c r="T278" s="44">
        <f t="shared" si="279"/>
        <v>0</v>
      </c>
    </row>
    <row r="279" ht="15.75" customHeight="1">
      <c r="A279" s="63"/>
      <c r="B279" s="63"/>
      <c r="C279" s="63"/>
      <c r="D279" s="63"/>
      <c r="E279" s="63"/>
      <c r="F279" s="23"/>
      <c r="G279" s="19">
        <f>$G$25</f>
        <v>17</v>
      </c>
      <c r="H279" s="20">
        <v>9.0</v>
      </c>
      <c r="I279" s="20">
        <v>2.0</v>
      </c>
      <c r="J279" s="20">
        <v>0.0</v>
      </c>
      <c r="K279" s="20">
        <v>0.0</v>
      </c>
      <c r="L279" s="20">
        <v>0.0</v>
      </c>
      <c r="N279" s="23"/>
      <c r="O279" s="19">
        <f>$G$13</f>
        <v>5</v>
      </c>
      <c r="P279" s="44">
        <f t="shared" ref="P279:T279" si="280">H291/A$314</f>
        <v>0.01423487544</v>
      </c>
      <c r="Q279" s="44">
        <f t="shared" si="280"/>
        <v>0.05747126437</v>
      </c>
      <c r="R279" s="44">
        <f t="shared" si="280"/>
        <v>0</v>
      </c>
      <c r="S279" s="44">
        <f t="shared" si="280"/>
        <v>0</v>
      </c>
      <c r="T279" s="44">
        <f t="shared" si="280"/>
        <v>0</v>
      </c>
    </row>
    <row r="280" ht="15.75" customHeight="1">
      <c r="A280" s="63"/>
      <c r="B280" s="63"/>
      <c r="C280" s="63"/>
      <c r="D280" s="63"/>
      <c r="E280" s="63"/>
      <c r="F280" s="23"/>
      <c r="G280" s="19">
        <f>$G$26</f>
        <v>18</v>
      </c>
      <c r="H280" s="20">
        <v>10.0</v>
      </c>
      <c r="I280" s="20">
        <v>3.0</v>
      </c>
      <c r="J280" s="20">
        <v>0.0</v>
      </c>
      <c r="K280" s="20">
        <v>0.0</v>
      </c>
      <c r="L280" s="20">
        <v>0.0</v>
      </c>
      <c r="N280" s="23"/>
      <c r="O280" s="19">
        <f>$G$14</f>
        <v>6</v>
      </c>
      <c r="P280" s="44">
        <f t="shared" ref="P280:T280" si="281">H292/A$314</f>
        <v>0.03202846975</v>
      </c>
      <c r="Q280" s="44">
        <f t="shared" si="281"/>
        <v>0.03448275862</v>
      </c>
      <c r="R280" s="44">
        <f t="shared" si="281"/>
        <v>0</v>
      </c>
      <c r="S280" s="44">
        <f t="shared" si="281"/>
        <v>0</v>
      </c>
      <c r="T280" s="44">
        <f t="shared" si="281"/>
        <v>0</v>
      </c>
    </row>
    <row r="281" ht="15.75" customHeight="1">
      <c r="A281" s="63"/>
      <c r="B281" s="63"/>
      <c r="C281" s="63"/>
      <c r="D281" s="63"/>
      <c r="E281" s="63"/>
      <c r="F281" s="23"/>
      <c r="G281" s="19">
        <f>$G$27</f>
        <v>19</v>
      </c>
      <c r="H281" s="20">
        <v>12.0</v>
      </c>
      <c r="I281" s="20">
        <v>4.0</v>
      </c>
      <c r="J281" s="20">
        <v>0.0</v>
      </c>
      <c r="K281" s="20">
        <v>0.0</v>
      </c>
      <c r="L281" s="20">
        <v>0.0</v>
      </c>
      <c r="N281" s="23"/>
      <c r="O281" s="19">
        <f>$G$15</f>
        <v>7</v>
      </c>
      <c r="P281" s="44">
        <f t="shared" ref="P281:T281" si="282">H293/A$314</f>
        <v>0.09964412811</v>
      </c>
      <c r="Q281" s="44">
        <f t="shared" si="282"/>
        <v>0.03448275862</v>
      </c>
      <c r="R281" s="44">
        <f t="shared" si="282"/>
        <v>0.3333333333</v>
      </c>
      <c r="S281" s="44">
        <f t="shared" si="282"/>
        <v>0.07142857143</v>
      </c>
      <c r="T281" s="44">
        <f t="shared" si="282"/>
        <v>0.1111111111</v>
      </c>
    </row>
    <row r="282" ht="15.75" customHeight="1">
      <c r="A282" s="63"/>
      <c r="B282" s="63"/>
      <c r="C282" s="63"/>
      <c r="D282" s="63"/>
      <c r="E282" s="63"/>
      <c r="F282" s="23"/>
      <c r="G282" s="19">
        <f>$G$28</f>
        <v>20</v>
      </c>
      <c r="H282" s="20">
        <v>6.0</v>
      </c>
      <c r="I282" s="20">
        <v>5.0</v>
      </c>
      <c r="J282" s="20">
        <v>0.0</v>
      </c>
      <c r="K282" s="20">
        <v>0.0</v>
      </c>
      <c r="L282" s="20">
        <v>0.0</v>
      </c>
      <c r="N282" s="23"/>
      <c r="O282" s="19">
        <f>$G$16</f>
        <v>8</v>
      </c>
      <c r="P282" s="44">
        <f t="shared" ref="P282:T282" si="283">H294/A$314</f>
        <v>0.05693950178</v>
      </c>
      <c r="Q282" s="44">
        <f t="shared" si="283"/>
        <v>0.05747126437</v>
      </c>
      <c r="R282" s="44">
        <f t="shared" si="283"/>
        <v>0</v>
      </c>
      <c r="S282" s="44">
        <f t="shared" si="283"/>
        <v>0</v>
      </c>
      <c r="T282" s="44">
        <f t="shared" si="283"/>
        <v>0.07407407407</v>
      </c>
    </row>
    <row r="283" ht="15.75" customHeight="1">
      <c r="A283" s="63"/>
      <c r="B283" s="63"/>
      <c r="C283" s="63"/>
      <c r="D283" s="63"/>
      <c r="E283" s="63"/>
      <c r="F283" s="23"/>
      <c r="G283" s="19">
        <f>$G$29</f>
        <v>21</v>
      </c>
      <c r="H283" s="20">
        <v>3.0</v>
      </c>
      <c r="I283" s="20">
        <v>0.0</v>
      </c>
      <c r="J283" s="20">
        <v>0.0</v>
      </c>
      <c r="K283" s="20">
        <v>0.0</v>
      </c>
      <c r="L283" s="20">
        <v>0.0</v>
      </c>
      <c r="N283" s="23"/>
      <c r="O283" s="19">
        <f>$G$17</f>
        <v>9</v>
      </c>
      <c r="P283" s="44">
        <f t="shared" ref="P283:T283" si="284">H295/A$314</f>
        <v>0.04982206406</v>
      </c>
      <c r="Q283" s="44">
        <f t="shared" si="284"/>
        <v>0.01149425287</v>
      </c>
      <c r="R283" s="44">
        <f t="shared" si="284"/>
        <v>0.3333333333</v>
      </c>
      <c r="S283" s="44">
        <f t="shared" si="284"/>
        <v>0.07142857143</v>
      </c>
      <c r="T283" s="44">
        <f t="shared" si="284"/>
        <v>0.1481481481</v>
      </c>
    </row>
    <row r="284" ht="15.75" customHeight="1">
      <c r="A284" s="63"/>
      <c r="B284" s="63"/>
      <c r="C284" s="63"/>
      <c r="D284" s="63"/>
      <c r="E284" s="63"/>
      <c r="F284" s="23"/>
      <c r="G284" s="19">
        <f>$G$30</f>
        <v>22</v>
      </c>
      <c r="H284" s="20">
        <v>10.0</v>
      </c>
      <c r="I284" s="20">
        <v>2.0</v>
      </c>
      <c r="J284" s="20">
        <v>0.0</v>
      </c>
      <c r="K284" s="20">
        <v>1.0</v>
      </c>
      <c r="L284" s="20">
        <v>0.0</v>
      </c>
      <c r="N284" s="23"/>
      <c r="O284" s="19">
        <f>$G$18</f>
        <v>10</v>
      </c>
      <c r="P284" s="44">
        <f t="shared" ref="P284:T284" si="285">H296/A$314</f>
        <v>0.03914590747</v>
      </c>
      <c r="Q284" s="44">
        <f t="shared" si="285"/>
        <v>0.1149425287</v>
      </c>
      <c r="R284" s="44">
        <f t="shared" si="285"/>
        <v>0</v>
      </c>
      <c r="S284" s="44">
        <f t="shared" si="285"/>
        <v>0.07142857143</v>
      </c>
      <c r="T284" s="44">
        <f t="shared" si="285"/>
        <v>0.07407407407</v>
      </c>
    </row>
    <row r="285" ht="15.75" customHeight="1">
      <c r="A285" s="63"/>
      <c r="B285" s="63"/>
      <c r="C285" s="63"/>
      <c r="D285" s="63"/>
      <c r="E285" s="63"/>
      <c r="F285" s="27"/>
      <c r="G285" s="19">
        <f>$G$31</f>
        <v>23</v>
      </c>
      <c r="H285" s="20">
        <v>4.0</v>
      </c>
      <c r="I285" s="20">
        <v>0.0</v>
      </c>
      <c r="J285" s="20">
        <v>0.0</v>
      </c>
      <c r="K285" s="20">
        <v>0.0</v>
      </c>
      <c r="L285" s="20">
        <v>0.0</v>
      </c>
      <c r="N285" s="23"/>
      <c r="O285" s="19">
        <f>$G$19</f>
        <v>11</v>
      </c>
      <c r="P285" s="44">
        <f t="shared" ref="P285:T285" si="286">H297/A$314</f>
        <v>0.0462633452</v>
      </c>
      <c r="Q285" s="44">
        <f t="shared" si="286"/>
        <v>0.05747126437</v>
      </c>
      <c r="R285" s="44">
        <f t="shared" si="286"/>
        <v>0</v>
      </c>
      <c r="S285" s="44">
        <f t="shared" si="286"/>
        <v>0.2142857143</v>
      </c>
      <c r="T285" s="44">
        <f t="shared" si="286"/>
        <v>0.07407407407</v>
      </c>
    </row>
    <row r="286" ht="15.75" customHeight="1">
      <c r="A286" s="63"/>
      <c r="B286" s="63"/>
      <c r="C286" s="63"/>
      <c r="D286" s="63"/>
      <c r="E286" s="63"/>
      <c r="F286" s="56">
        <v>45205.0</v>
      </c>
      <c r="G286" s="19">
        <f>$G$8</f>
        <v>0</v>
      </c>
      <c r="H286" s="19">
        <v>0.0</v>
      </c>
      <c r="I286" s="19">
        <v>0.0</v>
      </c>
      <c r="J286" s="19">
        <v>0.0</v>
      </c>
      <c r="K286" s="19">
        <v>0.0</v>
      </c>
      <c r="L286" s="19">
        <v>0.0</v>
      </c>
      <c r="N286" s="23"/>
      <c r="O286" s="19">
        <f>$G$20</f>
        <v>12</v>
      </c>
      <c r="P286" s="44">
        <f t="shared" ref="P286:T286" si="287">H298/A$314</f>
        <v>0.02491103203</v>
      </c>
      <c r="Q286" s="44">
        <f t="shared" si="287"/>
        <v>0.09195402299</v>
      </c>
      <c r="R286" s="44">
        <f t="shared" si="287"/>
        <v>0</v>
      </c>
      <c r="S286" s="44">
        <f t="shared" si="287"/>
        <v>0.1428571429</v>
      </c>
      <c r="T286" s="44">
        <f t="shared" si="287"/>
        <v>0.1111111111</v>
      </c>
    </row>
    <row r="287" ht="15.75" customHeight="1">
      <c r="A287" s="63"/>
      <c r="B287" s="63"/>
      <c r="C287" s="63"/>
      <c r="D287" s="63"/>
      <c r="E287" s="63"/>
      <c r="F287" s="23"/>
      <c r="G287" s="19">
        <f>$G$9</f>
        <v>1</v>
      </c>
      <c r="H287" s="45">
        <v>6.0</v>
      </c>
      <c r="I287" s="45">
        <v>1.0</v>
      </c>
      <c r="J287" s="45">
        <v>0.0</v>
      </c>
      <c r="K287" s="45">
        <v>0.0</v>
      </c>
      <c r="L287" s="45">
        <v>0.0</v>
      </c>
      <c r="N287" s="23"/>
      <c r="O287" s="19">
        <f>$G$21</f>
        <v>13</v>
      </c>
      <c r="P287" s="44">
        <f t="shared" ref="P287:T287" si="288">H299/A$314</f>
        <v>0.04982206406</v>
      </c>
      <c r="Q287" s="44">
        <f t="shared" si="288"/>
        <v>0.04597701149</v>
      </c>
      <c r="R287" s="44">
        <f t="shared" si="288"/>
        <v>0</v>
      </c>
      <c r="S287" s="44">
        <f t="shared" si="288"/>
        <v>0</v>
      </c>
      <c r="T287" s="44">
        <f t="shared" si="288"/>
        <v>0.07407407407</v>
      </c>
    </row>
    <row r="288" ht="15.75" customHeight="1">
      <c r="A288" s="63"/>
      <c r="B288" s="63"/>
      <c r="C288" s="63"/>
      <c r="D288" s="63"/>
      <c r="E288" s="63"/>
      <c r="F288" s="23"/>
      <c r="G288" s="19">
        <f>$G$10</f>
        <v>2</v>
      </c>
      <c r="H288" s="45">
        <v>1.0</v>
      </c>
      <c r="I288" s="45">
        <v>0.0</v>
      </c>
      <c r="J288" s="45">
        <v>0.0</v>
      </c>
      <c r="K288" s="45">
        <v>0.0</v>
      </c>
      <c r="L288" s="45">
        <v>0.0</v>
      </c>
      <c r="N288" s="23"/>
      <c r="O288" s="19">
        <f>$G$22</f>
        <v>14</v>
      </c>
      <c r="P288" s="44">
        <f t="shared" ref="P288:T288" si="289">H300/A$314</f>
        <v>0.04270462633</v>
      </c>
      <c r="Q288" s="44">
        <f t="shared" si="289"/>
        <v>0.05747126437</v>
      </c>
      <c r="R288" s="44">
        <f t="shared" si="289"/>
        <v>0</v>
      </c>
      <c r="S288" s="44">
        <f t="shared" si="289"/>
        <v>0</v>
      </c>
      <c r="T288" s="44">
        <f t="shared" si="289"/>
        <v>0.1481481481</v>
      </c>
    </row>
    <row r="289" ht="15.75" customHeight="1">
      <c r="A289" s="63"/>
      <c r="B289" s="63"/>
      <c r="C289" s="63"/>
      <c r="D289" s="63"/>
      <c r="E289" s="63"/>
      <c r="F289" s="23"/>
      <c r="G289" s="19">
        <f>$G$11</f>
        <v>3</v>
      </c>
      <c r="H289" s="45">
        <v>0.0</v>
      </c>
      <c r="I289" s="45">
        <v>0.0</v>
      </c>
      <c r="J289" s="45">
        <v>0.0</v>
      </c>
      <c r="K289" s="45">
        <v>1.0</v>
      </c>
      <c r="L289" s="45">
        <v>0.0</v>
      </c>
      <c r="N289" s="23"/>
      <c r="O289" s="19">
        <f>$G$23</f>
        <v>15</v>
      </c>
      <c r="P289" s="44">
        <f t="shared" ref="P289:T289" si="290">H301/A$314</f>
        <v>0.0640569395</v>
      </c>
      <c r="Q289" s="44">
        <f t="shared" si="290"/>
        <v>0.08045977011</v>
      </c>
      <c r="R289" s="44">
        <f t="shared" si="290"/>
        <v>0</v>
      </c>
      <c r="S289" s="44">
        <f t="shared" si="290"/>
        <v>0.07142857143</v>
      </c>
      <c r="T289" s="44">
        <f t="shared" si="290"/>
        <v>0.07407407407</v>
      </c>
    </row>
    <row r="290" ht="15.75" customHeight="1">
      <c r="A290" s="73">
        <f t="shared" ref="A290:E290" si="291">SUM(H262:H285)</f>
        <v>141</v>
      </c>
      <c r="B290" s="73">
        <f t="shared" si="291"/>
        <v>49</v>
      </c>
      <c r="C290" s="73">
        <f t="shared" si="291"/>
        <v>0</v>
      </c>
      <c r="D290" s="73">
        <f t="shared" si="291"/>
        <v>5</v>
      </c>
      <c r="E290" s="73">
        <f t="shared" si="291"/>
        <v>0</v>
      </c>
      <c r="F290" s="23"/>
      <c r="G290" s="19">
        <f>$G$12</f>
        <v>4</v>
      </c>
      <c r="H290" s="45">
        <v>2.0</v>
      </c>
      <c r="I290" s="45">
        <v>1.0</v>
      </c>
      <c r="J290" s="45">
        <v>0.0</v>
      </c>
      <c r="K290" s="45">
        <v>1.0</v>
      </c>
      <c r="L290" s="45">
        <v>0.0</v>
      </c>
      <c r="N290" s="23"/>
      <c r="O290" s="19">
        <f>$G$24</f>
        <v>16</v>
      </c>
      <c r="P290" s="44">
        <f t="shared" ref="P290:T290" si="292">H302/A$314</f>
        <v>0.06761565836</v>
      </c>
      <c r="Q290" s="44">
        <f t="shared" si="292"/>
        <v>0.06896551724</v>
      </c>
      <c r="R290" s="44">
        <f t="shared" si="292"/>
        <v>0</v>
      </c>
      <c r="S290" s="44">
        <f t="shared" si="292"/>
        <v>0.1428571429</v>
      </c>
      <c r="T290" s="44">
        <f t="shared" si="292"/>
        <v>0.1111111111</v>
      </c>
    </row>
    <row r="291" ht="15.75" customHeight="1">
      <c r="A291" s="19">
        <f>$H$7</f>
        <v>31</v>
      </c>
      <c r="B291" s="19">
        <f>$I$7</f>
        <v>32</v>
      </c>
      <c r="C291" s="19">
        <f>$J$7</f>
        <v>41</v>
      </c>
      <c r="D291" s="19">
        <f>$K$7</f>
        <v>42</v>
      </c>
      <c r="E291" s="19">
        <f>$L$7</f>
        <v>5</v>
      </c>
      <c r="F291" s="23"/>
      <c r="G291" s="19">
        <f>$G$13</f>
        <v>5</v>
      </c>
      <c r="H291" s="45">
        <v>4.0</v>
      </c>
      <c r="I291" s="45">
        <v>5.0</v>
      </c>
      <c r="J291" s="45">
        <v>0.0</v>
      </c>
      <c r="K291" s="45">
        <v>0.0</v>
      </c>
      <c r="L291" s="45">
        <v>0.0</v>
      </c>
      <c r="N291" s="23"/>
      <c r="O291" s="19">
        <f>$G$25</f>
        <v>17</v>
      </c>
      <c r="P291" s="44">
        <f t="shared" ref="P291:T291" si="293">H303/A$314</f>
        <v>0.103202847</v>
      </c>
      <c r="Q291" s="44">
        <f t="shared" si="293"/>
        <v>0.04597701149</v>
      </c>
      <c r="R291" s="44">
        <f t="shared" si="293"/>
        <v>0.3333333333</v>
      </c>
      <c r="S291" s="44">
        <f t="shared" si="293"/>
        <v>0</v>
      </c>
      <c r="T291" s="44">
        <f t="shared" si="293"/>
        <v>0</v>
      </c>
    </row>
    <row r="292" ht="15.75" customHeight="1">
      <c r="A292" s="63"/>
      <c r="B292" s="63"/>
      <c r="C292" s="63"/>
      <c r="D292" s="63"/>
      <c r="E292" s="63"/>
      <c r="F292" s="23"/>
      <c r="G292" s="19">
        <f>$G$14</f>
        <v>6</v>
      </c>
      <c r="H292" s="45">
        <v>9.0</v>
      </c>
      <c r="I292" s="45">
        <v>3.0</v>
      </c>
      <c r="J292" s="45">
        <v>0.0</v>
      </c>
      <c r="K292" s="45">
        <v>0.0</v>
      </c>
      <c r="L292" s="45">
        <v>0.0</v>
      </c>
      <c r="N292" s="23"/>
      <c r="O292" s="19">
        <f>$G$26</f>
        <v>18</v>
      </c>
      <c r="P292" s="44">
        <f t="shared" ref="P292:T292" si="294">H304/A$314</f>
        <v>0.08896797153</v>
      </c>
      <c r="Q292" s="44">
        <f t="shared" si="294"/>
        <v>0.1034482759</v>
      </c>
      <c r="R292" s="44">
        <f t="shared" si="294"/>
        <v>0</v>
      </c>
      <c r="S292" s="44">
        <f t="shared" si="294"/>
        <v>0</v>
      </c>
      <c r="T292" s="44">
        <f t="shared" si="294"/>
        <v>0</v>
      </c>
    </row>
    <row r="293" ht="15.75" customHeight="1">
      <c r="A293" s="63"/>
      <c r="B293" s="63"/>
      <c r="C293" s="63"/>
      <c r="D293" s="63"/>
      <c r="E293" s="63"/>
      <c r="F293" s="23"/>
      <c r="G293" s="19">
        <f>$G$15</f>
        <v>7</v>
      </c>
      <c r="H293" s="45">
        <v>28.0</v>
      </c>
      <c r="I293" s="45">
        <v>3.0</v>
      </c>
      <c r="J293" s="45">
        <v>1.0</v>
      </c>
      <c r="K293" s="45">
        <v>1.0</v>
      </c>
      <c r="L293" s="45">
        <v>3.0</v>
      </c>
      <c r="N293" s="23"/>
      <c r="O293" s="19">
        <f>$G$27</f>
        <v>19</v>
      </c>
      <c r="P293" s="44">
        <f t="shared" ref="P293:T293" si="295">H305/A$314</f>
        <v>0.0640569395</v>
      </c>
      <c r="Q293" s="44">
        <f t="shared" si="295"/>
        <v>0.04597701149</v>
      </c>
      <c r="R293" s="44">
        <f t="shared" si="295"/>
        <v>0</v>
      </c>
      <c r="S293" s="44">
        <f t="shared" si="295"/>
        <v>0</v>
      </c>
      <c r="T293" s="44">
        <f t="shared" si="295"/>
        <v>0</v>
      </c>
    </row>
    <row r="294" ht="15.75" customHeight="1">
      <c r="A294" s="63"/>
      <c r="B294" s="63"/>
      <c r="C294" s="63"/>
      <c r="D294" s="63"/>
      <c r="E294" s="63"/>
      <c r="F294" s="23"/>
      <c r="G294" s="19">
        <f>$G$16</f>
        <v>8</v>
      </c>
      <c r="H294" s="45">
        <v>16.0</v>
      </c>
      <c r="I294" s="45">
        <v>5.0</v>
      </c>
      <c r="J294" s="45">
        <v>0.0</v>
      </c>
      <c r="K294" s="45">
        <v>0.0</v>
      </c>
      <c r="L294" s="45">
        <v>2.0</v>
      </c>
      <c r="N294" s="23"/>
      <c r="O294" s="19">
        <f>$G$28</f>
        <v>20</v>
      </c>
      <c r="P294" s="44">
        <f t="shared" ref="P294:T294" si="296">H306/A$314</f>
        <v>0.04982206406</v>
      </c>
      <c r="Q294" s="44">
        <f t="shared" si="296"/>
        <v>0.02298850575</v>
      </c>
      <c r="R294" s="44">
        <f t="shared" si="296"/>
        <v>0</v>
      </c>
      <c r="S294" s="44">
        <f t="shared" si="296"/>
        <v>0</v>
      </c>
      <c r="T294" s="44">
        <f t="shared" si="296"/>
        <v>0</v>
      </c>
    </row>
    <row r="295" ht="15.75" customHeight="1">
      <c r="A295" s="63"/>
      <c r="B295" s="63"/>
      <c r="C295" s="63"/>
      <c r="D295" s="63"/>
      <c r="E295" s="63"/>
      <c r="F295" s="23"/>
      <c r="G295" s="19">
        <f>$G$17</f>
        <v>9</v>
      </c>
      <c r="H295" s="45">
        <v>14.0</v>
      </c>
      <c r="I295" s="45">
        <v>1.0</v>
      </c>
      <c r="J295" s="45">
        <v>1.0</v>
      </c>
      <c r="K295" s="45">
        <v>1.0</v>
      </c>
      <c r="L295" s="45">
        <v>4.0</v>
      </c>
      <c r="N295" s="23"/>
      <c r="O295" s="19">
        <f>$G$29</f>
        <v>21</v>
      </c>
      <c r="P295" s="44">
        <f t="shared" ref="P295:T295" si="297">H307/A$314</f>
        <v>0.03202846975</v>
      </c>
      <c r="Q295" s="44">
        <f t="shared" si="297"/>
        <v>0.01149425287</v>
      </c>
      <c r="R295" s="44">
        <f t="shared" si="297"/>
        <v>0</v>
      </c>
      <c r="S295" s="44">
        <f t="shared" si="297"/>
        <v>0.07142857143</v>
      </c>
      <c r="T295" s="44">
        <f t="shared" si="297"/>
        <v>0</v>
      </c>
    </row>
    <row r="296" ht="15.75" customHeight="1">
      <c r="A296" s="63"/>
      <c r="B296" s="63"/>
      <c r="C296" s="63"/>
      <c r="D296" s="63"/>
      <c r="E296" s="63"/>
      <c r="F296" s="23"/>
      <c r="G296" s="19">
        <f>$G$18</f>
        <v>10</v>
      </c>
      <c r="H296" s="45">
        <v>11.0</v>
      </c>
      <c r="I296" s="45">
        <v>10.0</v>
      </c>
      <c r="J296" s="45">
        <v>0.0</v>
      </c>
      <c r="K296" s="45">
        <v>1.0</v>
      </c>
      <c r="L296" s="45">
        <v>2.0</v>
      </c>
      <c r="N296" s="23"/>
      <c r="O296" s="19">
        <f>$G$30</f>
        <v>22</v>
      </c>
      <c r="P296" s="44">
        <f t="shared" ref="P296:T296" si="298">H308/A$314</f>
        <v>0.02846975089</v>
      </c>
      <c r="Q296" s="44">
        <f t="shared" si="298"/>
        <v>0.01149425287</v>
      </c>
      <c r="R296" s="44">
        <f t="shared" si="298"/>
        <v>0</v>
      </c>
      <c r="S296" s="44">
        <f t="shared" si="298"/>
        <v>0</v>
      </c>
      <c r="T296" s="44">
        <f t="shared" si="298"/>
        <v>0</v>
      </c>
    </row>
    <row r="297" ht="15.75" customHeight="1">
      <c r="A297" s="63"/>
      <c r="B297" s="63"/>
      <c r="C297" s="63"/>
      <c r="D297" s="63"/>
      <c r="E297" s="63"/>
      <c r="F297" s="23"/>
      <c r="G297" s="19">
        <f>$G$19</f>
        <v>11</v>
      </c>
      <c r="H297" s="45">
        <v>13.0</v>
      </c>
      <c r="I297" s="45">
        <v>5.0</v>
      </c>
      <c r="J297" s="45">
        <v>0.0</v>
      </c>
      <c r="K297" s="45">
        <v>3.0</v>
      </c>
      <c r="L297" s="45">
        <v>2.0</v>
      </c>
      <c r="N297" s="27"/>
      <c r="O297" s="19">
        <f>$G$31</f>
        <v>23</v>
      </c>
      <c r="P297" s="44">
        <f t="shared" ref="P297:T297" si="299">H309/A$314</f>
        <v>0.01423487544</v>
      </c>
      <c r="Q297" s="44">
        <f t="shared" si="299"/>
        <v>0.02298850575</v>
      </c>
      <c r="R297" s="44">
        <f t="shared" si="299"/>
        <v>0</v>
      </c>
      <c r="S297" s="44">
        <f t="shared" si="299"/>
        <v>0</v>
      </c>
      <c r="T297" s="44">
        <f t="shared" si="299"/>
        <v>0</v>
      </c>
    </row>
    <row r="298" ht="15.75" customHeight="1">
      <c r="A298" s="63"/>
      <c r="B298" s="63"/>
      <c r="C298" s="63"/>
      <c r="D298" s="63"/>
      <c r="E298" s="63"/>
      <c r="F298" s="23"/>
      <c r="G298" s="19">
        <f>$G$20</f>
        <v>12</v>
      </c>
      <c r="H298" s="45">
        <v>7.0</v>
      </c>
      <c r="I298" s="45">
        <v>8.0</v>
      </c>
      <c r="J298" s="45">
        <v>0.0</v>
      </c>
      <c r="K298" s="45">
        <v>2.0</v>
      </c>
      <c r="L298" s="45">
        <v>3.0</v>
      </c>
      <c r="N298" s="56">
        <v>45206.0</v>
      </c>
      <c r="O298" s="19">
        <f>$G$8</f>
        <v>0</v>
      </c>
      <c r="P298" s="40">
        <f t="shared" ref="P298:T298" si="300">H310/A$342</f>
        <v>0.01226993865</v>
      </c>
      <c r="Q298" s="40">
        <f t="shared" si="300"/>
        <v>0.009708737864</v>
      </c>
      <c r="R298" s="40">
        <f t="shared" si="300"/>
        <v>0</v>
      </c>
      <c r="S298" s="40">
        <f t="shared" si="300"/>
        <v>0</v>
      </c>
      <c r="T298" s="40">
        <f t="shared" si="300"/>
        <v>0</v>
      </c>
    </row>
    <row r="299" ht="15.75" customHeight="1">
      <c r="A299" s="63"/>
      <c r="B299" s="63"/>
      <c r="C299" s="63"/>
      <c r="D299" s="63"/>
      <c r="E299" s="63"/>
      <c r="F299" s="23"/>
      <c r="G299" s="19">
        <f>$G$21</f>
        <v>13</v>
      </c>
      <c r="H299" s="45">
        <v>14.0</v>
      </c>
      <c r="I299" s="45">
        <v>4.0</v>
      </c>
      <c r="J299" s="45">
        <v>0.0</v>
      </c>
      <c r="K299" s="45">
        <v>0.0</v>
      </c>
      <c r="L299" s="45">
        <v>2.0</v>
      </c>
      <c r="N299" s="23"/>
      <c r="O299" s="19">
        <f>$G$9</f>
        <v>1</v>
      </c>
      <c r="P299" s="40">
        <f t="shared" ref="P299:T299" si="301">H311/A$342</f>
        <v>0.009202453988</v>
      </c>
      <c r="Q299" s="40">
        <f t="shared" si="301"/>
        <v>0</v>
      </c>
      <c r="R299" s="40">
        <f t="shared" si="301"/>
        <v>0</v>
      </c>
      <c r="S299" s="40">
        <f t="shared" si="301"/>
        <v>0</v>
      </c>
      <c r="T299" s="40">
        <f t="shared" si="301"/>
        <v>0</v>
      </c>
    </row>
    <row r="300" ht="15.75" customHeight="1">
      <c r="A300" s="63"/>
      <c r="B300" s="63"/>
      <c r="C300" s="63"/>
      <c r="D300" s="63"/>
      <c r="E300" s="63"/>
      <c r="F300" s="23"/>
      <c r="G300" s="19">
        <f>$G$22</f>
        <v>14</v>
      </c>
      <c r="H300" s="45">
        <v>12.0</v>
      </c>
      <c r="I300" s="45">
        <v>5.0</v>
      </c>
      <c r="J300" s="45">
        <v>0.0</v>
      </c>
      <c r="K300" s="45">
        <v>0.0</v>
      </c>
      <c r="L300" s="45">
        <v>4.0</v>
      </c>
      <c r="N300" s="23"/>
      <c r="O300" s="19">
        <f>$G$10</f>
        <v>2</v>
      </c>
      <c r="P300" s="40">
        <f t="shared" ref="P300:T300" si="302">H312/A$342</f>
        <v>0</v>
      </c>
      <c r="Q300" s="40">
        <f t="shared" si="302"/>
        <v>0</v>
      </c>
      <c r="R300" s="40">
        <f t="shared" si="302"/>
        <v>0</v>
      </c>
      <c r="S300" s="40">
        <f t="shared" si="302"/>
        <v>0</v>
      </c>
      <c r="T300" s="40">
        <f t="shared" si="302"/>
        <v>0</v>
      </c>
    </row>
    <row r="301" ht="15.75" customHeight="1">
      <c r="A301" s="63"/>
      <c r="B301" s="63"/>
      <c r="C301" s="63"/>
      <c r="D301" s="63"/>
      <c r="E301" s="63"/>
      <c r="F301" s="23"/>
      <c r="G301" s="19">
        <f>$G$23</f>
        <v>15</v>
      </c>
      <c r="H301" s="45">
        <v>18.0</v>
      </c>
      <c r="I301" s="45">
        <v>7.0</v>
      </c>
      <c r="J301" s="45">
        <v>0.0</v>
      </c>
      <c r="K301" s="45">
        <v>1.0</v>
      </c>
      <c r="L301" s="45">
        <v>2.0</v>
      </c>
      <c r="N301" s="23"/>
      <c r="O301" s="19">
        <f>$G$11</f>
        <v>3</v>
      </c>
      <c r="P301" s="40">
        <f t="shared" ref="P301:T301" si="303">H313/A$342</f>
        <v>0.006134969325</v>
      </c>
      <c r="Q301" s="40">
        <f t="shared" si="303"/>
        <v>0.009708737864</v>
      </c>
      <c r="R301" s="40">
        <f t="shared" si="303"/>
        <v>0</v>
      </c>
      <c r="S301" s="40">
        <f t="shared" si="303"/>
        <v>0</v>
      </c>
      <c r="T301" s="40">
        <f t="shared" si="303"/>
        <v>0</v>
      </c>
    </row>
    <row r="302" ht="15.75" customHeight="1">
      <c r="A302" s="63"/>
      <c r="B302" s="63"/>
      <c r="C302" s="63"/>
      <c r="D302" s="63"/>
      <c r="E302" s="63"/>
      <c r="F302" s="23"/>
      <c r="G302" s="19">
        <f>$G$24</f>
        <v>16</v>
      </c>
      <c r="H302" s="45">
        <v>19.0</v>
      </c>
      <c r="I302" s="45">
        <v>6.0</v>
      </c>
      <c r="J302" s="45">
        <v>0.0</v>
      </c>
      <c r="K302" s="45">
        <v>2.0</v>
      </c>
      <c r="L302" s="45">
        <v>3.0</v>
      </c>
      <c r="N302" s="23"/>
      <c r="O302" s="19">
        <f>$G$12</f>
        <v>4</v>
      </c>
      <c r="P302" s="40">
        <f t="shared" ref="P302:T302" si="304">H314/A$342</f>
        <v>0.01226993865</v>
      </c>
      <c r="Q302" s="40">
        <f t="shared" si="304"/>
        <v>0.009708737864</v>
      </c>
      <c r="R302" s="40">
        <f t="shared" si="304"/>
        <v>0.5</v>
      </c>
      <c r="S302" s="40">
        <f t="shared" si="304"/>
        <v>0.1</v>
      </c>
      <c r="T302" s="40">
        <f t="shared" si="304"/>
        <v>0</v>
      </c>
    </row>
    <row r="303" ht="15.75" customHeight="1">
      <c r="A303" s="63"/>
      <c r="B303" s="63"/>
      <c r="C303" s="63"/>
      <c r="D303" s="63"/>
      <c r="E303" s="63"/>
      <c r="F303" s="23"/>
      <c r="G303" s="19">
        <f>$G$25</f>
        <v>17</v>
      </c>
      <c r="H303" s="45">
        <v>29.0</v>
      </c>
      <c r="I303" s="45">
        <v>4.0</v>
      </c>
      <c r="J303" s="45">
        <v>1.0</v>
      </c>
      <c r="K303" s="45">
        <v>0.0</v>
      </c>
      <c r="L303" s="45">
        <v>0.0</v>
      </c>
      <c r="N303" s="23"/>
      <c r="O303" s="19">
        <f>$G$13</f>
        <v>5</v>
      </c>
      <c r="P303" s="40">
        <f t="shared" ref="P303:T303" si="305">H315/A$342</f>
        <v>0</v>
      </c>
      <c r="Q303" s="40">
        <f t="shared" si="305"/>
        <v>0.05825242718</v>
      </c>
      <c r="R303" s="40">
        <f t="shared" si="305"/>
        <v>0</v>
      </c>
      <c r="S303" s="40">
        <f t="shared" si="305"/>
        <v>0</v>
      </c>
      <c r="T303" s="40">
        <f t="shared" si="305"/>
        <v>0</v>
      </c>
    </row>
    <row r="304" ht="15.75" customHeight="1">
      <c r="A304" s="63"/>
      <c r="B304" s="63"/>
      <c r="C304" s="63"/>
      <c r="D304" s="63"/>
      <c r="E304" s="63"/>
      <c r="F304" s="23"/>
      <c r="G304" s="19">
        <f>$G$26</f>
        <v>18</v>
      </c>
      <c r="H304" s="45">
        <v>25.0</v>
      </c>
      <c r="I304" s="45">
        <v>9.0</v>
      </c>
      <c r="J304" s="45">
        <v>0.0</v>
      </c>
      <c r="K304" s="45">
        <v>0.0</v>
      </c>
      <c r="L304" s="45">
        <v>0.0</v>
      </c>
      <c r="N304" s="23"/>
      <c r="O304" s="19">
        <f>$G$14</f>
        <v>6</v>
      </c>
      <c r="P304" s="40">
        <f t="shared" ref="P304:T304" si="306">H316/A$342</f>
        <v>0.01840490798</v>
      </c>
      <c r="Q304" s="40">
        <f t="shared" si="306"/>
        <v>0.01941747573</v>
      </c>
      <c r="R304" s="40">
        <f t="shared" si="306"/>
        <v>0</v>
      </c>
      <c r="S304" s="40">
        <f t="shared" si="306"/>
        <v>0</v>
      </c>
      <c r="T304" s="40">
        <f t="shared" si="306"/>
        <v>0</v>
      </c>
    </row>
    <row r="305" ht="15.75" customHeight="1">
      <c r="A305" s="63"/>
      <c r="B305" s="63"/>
      <c r="C305" s="63"/>
      <c r="D305" s="63"/>
      <c r="E305" s="63"/>
      <c r="F305" s="23"/>
      <c r="G305" s="19">
        <f>$G$27</f>
        <v>19</v>
      </c>
      <c r="H305" s="45">
        <v>18.0</v>
      </c>
      <c r="I305" s="45">
        <v>4.0</v>
      </c>
      <c r="J305" s="45">
        <v>0.0</v>
      </c>
      <c r="K305" s="45">
        <v>0.0</v>
      </c>
      <c r="L305" s="45">
        <v>0.0</v>
      </c>
      <c r="N305" s="23"/>
      <c r="O305" s="19">
        <f>$G$15</f>
        <v>7</v>
      </c>
      <c r="P305" s="40">
        <f t="shared" ref="P305:T305" si="307">H317/A$342</f>
        <v>0.02147239264</v>
      </c>
      <c r="Q305" s="40">
        <f t="shared" si="307"/>
        <v>0.04854368932</v>
      </c>
      <c r="R305" s="40">
        <f t="shared" si="307"/>
        <v>0</v>
      </c>
      <c r="S305" s="40">
        <f t="shared" si="307"/>
        <v>0</v>
      </c>
      <c r="T305" s="40">
        <f t="shared" si="307"/>
        <v>0.2</v>
      </c>
    </row>
    <row r="306" ht="15.75" customHeight="1">
      <c r="A306" s="63"/>
      <c r="B306" s="63"/>
      <c r="C306" s="63"/>
      <c r="D306" s="63"/>
      <c r="E306" s="63"/>
      <c r="F306" s="23"/>
      <c r="G306" s="19">
        <f>$G$28</f>
        <v>20</v>
      </c>
      <c r="H306" s="45">
        <v>14.0</v>
      </c>
      <c r="I306" s="45">
        <v>2.0</v>
      </c>
      <c r="J306" s="45">
        <v>0.0</v>
      </c>
      <c r="K306" s="45">
        <v>0.0</v>
      </c>
      <c r="L306" s="45">
        <v>0.0</v>
      </c>
      <c r="N306" s="23"/>
      <c r="O306" s="19">
        <f>$G$16</f>
        <v>8</v>
      </c>
      <c r="P306" s="40">
        <f t="shared" ref="P306:T306" si="308">H318/A$342</f>
        <v>0.03987730061</v>
      </c>
      <c r="Q306" s="40">
        <f t="shared" si="308"/>
        <v>0.09708737864</v>
      </c>
      <c r="R306" s="40">
        <f t="shared" si="308"/>
        <v>0</v>
      </c>
      <c r="S306" s="40">
        <f t="shared" si="308"/>
        <v>0.3</v>
      </c>
      <c r="T306" s="40">
        <f t="shared" si="308"/>
        <v>0</v>
      </c>
    </row>
    <row r="307" ht="15.75" customHeight="1">
      <c r="A307" s="63"/>
      <c r="B307" s="63"/>
      <c r="C307" s="63"/>
      <c r="D307" s="63"/>
      <c r="E307" s="63"/>
      <c r="F307" s="23"/>
      <c r="G307" s="19">
        <f>$G$29</f>
        <v>21</v>
      </c>
      <c r="H307" s="45">
        <v>9.0</v>
      </c>
      <c r="I307" s="45">
        <v>1.0</v>
      </c>
      <c r="J307" s="45">
        <v>0.0</v>
      </c>
      <c r="K307" s="45">
        <v>1.0</v>
      </c>
      <c r="L307" s="45">
        <v>0.0</v>
      </c>
      <c r="N307" s="23"/>
      <c r="O307" s="19">
        <f>$G$17</f>
        <v>9</v>
      </c>
      <c r="P307" s="40">
        <f t="shared" ref="P307:T307" si="309">H319/A$342</f>
        <v>0.06748466258</v>
      </c>
      <c r="Q307" s="40">
        <f t="shared" si="309"/>
        <v>0.1067961165</v>
      </c>
      <c r="R307" s="40">
        <f t="shared" si="309"/>
        <v>0</v>
      </c>
      <c r="S307" s="40">
        <f t="shared" si="309"/>
        <v>0</v>
      </c>
      <c r="T307" s="40">
        <f t="shared" si="309"/>
        <v>0.1</v>
      </c>
    </row>
    <row r="308" ht="15.75" customHeight="1">
      <c r="A308" s="63"/>
      <c r="B308" s="63"/>
      <c r="C308" s="63"/>
      <c r="D308" s="63"/>
      <c r="E308" s="63"/>
      <c r="F308" s="23"/>
      <c r="G308" s="19">
        <f>$G$30</f>
        <v>22</v>
      </c>
      <c r="H308" s="45">
        <v>8.0</v>
      </c>
      <c r="I308" s="45">
        <v>1.0</v>
      </c>
      <c r="J308" s="45">
        <v>0.0</v>
      </c>
      <c r="K308" s="45">
        <v>0.0</v>
      </c>
      <c r="L308" s="45">
        <v>0.0</v>
      </c>
      <c r="N308" s="23"/>
      <c r="O308" s="19">
        <f>$G$18</f>
        <v>10</v>
      </c>
      <c r="P308" s="40">
        <f t="shared" ref="P308:T308" si="310">H320/A$342</f>
        <v>0.03067484663</v>
      </c>
      <c r="Q308" s="40">
        <f t="shared" si="310"/>
        <v>0.009708737864</v>
      </c>
      <c r="R308" s="40">
        <f t="shared" si="310"/>
        <v>0.5</v>
      </c>
      <c r="S308" s="40">
        <f t="shared" si="310"/>
        <v>0.1</v>
      </c>
      <c r="T308" s="40">
        <f t="shared" si="310"/>
        <v>0.15</v>
      </c>
    </row>
    <row r="309" ht="15.75" customHeight="1">
      <c r="A309" s="63"/>
      <c r="B309" s="63"/>
      <c r="C309" s="63"/>
      <c r="D309" s="63"/>
      <c r="E309" s="63"/>
      <c r="F309" s="27"/>
      <c r="G309" s="19">
        <f>$G$31</f>
        <v>23</v>
      </c>
      <c r="H309" s="87">
        <v>4.0</v>
      </c>
      <c r="I309" s="87">
        <v>2.0</v>
      </c>
      <c r="J309" s="87">
        <v>0.0</v>
      </c>
      <c r="K309" s="87">
        <v>0.0</v>
      </c>
      <c r="L309" s="87">
        <v>0.0</v>
      </c>
      <c r="N309" s="23"/>
      <c r="O309" s="19">
        <f>$G$19</f>
        <v>11</v>
      </c>
      <c r="P309" s="40">
        <f t="shared" ref="P309:T309" si="311">H321/A$342</f>
        <v>0.06441717791</v>
      </c>
      <c r="Q309" s="40">
        <f t="shared" si="311"/>
        <v>0.04854368932</v>
      </c>
      <c r="R309" s="40">
        <f t="shared" si="311"/>
        <v>0</v>
      </c>
      <c r="S309" s="40">
        <f t="shared" si="311"/>
        <v>0.1</v>
      </c>
      <c r="T309" s="40">
        <f t="shared" si="311"/>
        <v>0.05</v>
      </c>
    </row>
    <row r="310" ht="15.75" customHeight="1">
      <c r="A310" s="63"/>
      <c r="B310" s="63"/>
      <c r="C310" s="63"/>
      <c r="D310" s="63"/>
      <c r="E310" s="63"/>
      <c r="F310" s="56">
        <v>45206.0</v>
      </c>
      <c r="G310" s="19">
        <f>$G$8</f>
        <v>0</v>
      </c>
      <c r="H310" s="20">
        <v>4.0</v>
      </c>
      <c r="I310" s="20">
        <v>1.0</v>
      </c>
      <c r="J310" s="20">
        <v>0.0</v>
      </c>
      <c r="K310" s="20">
        <v>0.0</v>
      </c>
      <c r="L310" s="20">
        <v>0.0</v>
      </c>
      <c r="N310" s="23"/>
      <c r="O310" s="19">
        <f>$G$20</f>
        <v>12</v>
      </c>
      <c r="P310" s="40">
        <f t="shared" ref="P310:T310" si="312">H322/A$342</f>
        <v>0.06748466258</v>
      </c>
      <c r="Q310" s="40">
        <f t="shared" si="312"/>
        <v>0.1067961165</v>
      </c>
      <c r="R310" s="40">
        <f t="shared" si="312"/>
        <v>0</v>
      </c>
      <c r="S310" s="40">
        <f t="shared" si="312"/>
        <v>0.1</v>
      </c>
      <c r="T310" s="40">
        <f t="shared" si="312"/>
        <v>0.2</v>
      </c>
    </row>
    <row r="311" ht="15.75" customHeight="1">
      <c r="A311" s="63"/>
      <c r="B311" s="63"/>
      <c r="C311" s="63"/>
      <c r="D311" s="63"/>
      <c r="E311" s="63"/>
      <c r="F311" s="23"/>
      <c r="G311" s="19">
        <f>$G$9</f>
        <v>1</v>
      </c>
      <c r="H311" s="20">
        <v>3.0</v>
      </c>
      <c r="I311" s="20">
        <v>0.0</v>
      </c>
      <c r="J311" s="20">
        <v>0.0</v>
      </c>
      <c r="K311" s="20">
        <v>0.0</v>
      </c>
      <c r="L311" s="20">
        <v>0.0</v>
      </c>
      <c r="N311" s="23"/>
      <c r="O311" s="19">
        <f>$G$21</f>
        <v>13</v>
      </c>
      <c r="P311" s="40">
        <f t="shared" ref="P311:T311" si="313">H323/A$342</f>
        <v>0.06748466258</v>
      </c>
      <c r="Q311" s="40">
        <f t="shared" si="313"/>
        <v>0.04854368932</v>
      </c>
      <c r="R311" s="40">
        <f t="shared" si="313"/>
        <v>0</v>
      </c>
      <c r="S311" s="40">
        <f t="shared" si="313"/>
        <v>0.1</v>
      </c>
      <c r="T311" s="40">
        <f t="shared" si="313"/>
        <v>0.15</v>
      </c>
    </row>
    <row r="312" ht="15.75" customHeight="1">
      <c r="A312" s="63"/>
      <c r="B312" s="63"/>
      <c r="C312" s="63"/>
      <c r="D312" s="63"/>
      <c r="E312" s="63"/>
      <c r="F312" s="23"/>
      <c r="G312" s="19">
        <f>$G$10</f>
        <v>2</v>
      </c>
      <c r="H312" s="16">
        <v>0.0</v>
      </c>
      <c r="I312" s="16">
        <v>0.0</v>
      </c>
      <c r="J312" s="16">
        <v>0.0</v>
      </c>
      <c r="K312" s="16">
        <v>0.0</v>
      </c>
      <c r="L312" s="16">
        <v>0.0</v>
      </c>
      <c r="N312" s="23"/>
      <c r="O312" s="19">
        <f>$G$22</f>
        <v>14</v>
      </c>
      <c r="P312" s="40">
        <f t="shared" ref="P312:T312" si="314">H324/A$342</f>
        <v>0.05521472393</v>
      </c>
      <c r="Q312" s="40">
        <f t="shared" si="314"/>
        <v>0.02912621359</v>
      </c>
      <c r="R312" s="40">
        <f t="shared" si="314"/>
        <v>0</v>
      </c>
      <c r="S312" s="40">
        <f t="shared" si="314"/>
        <v>0</v>
      </c>
      <c r="T312" s="40">
        <f t="shared" si="314"/>
        <v>0</v>
      </c>
    </row>
    <row r="313" ht="15.75" customHeight="1">
      <c r="A313" s="63"/>
      <c r="B313" s="63"/>
      <c r="C313" s="63"/>
      <c r="D313" s="63"/>
      <c r="E313" s="63"/>
      <c r="F313" s="23"/>
      <c r="G313" s="19">
        <f>$G$11</f>
        <v>3</v>
      </c>
      <c r="H313" s="20">
        <v>2.0</v>
      </c>
      <c r="I313" s="20">
        <v>1.0</v>
      </c>
      <c r="J313" s="20">
        <v>0.0</v>
      </c>
      <c r="K313" s="20">
        <v>0.0</v>
      </c>
      <c r="L313" s="20">
        <v>0.0</v>
      </c>
      <c r="N313" s="23"/>
      <c r="O313" s="19">
        <f>$G$23</f>
        <v>15</v>
      </c>
      <c r="P313" s="40">
        <f t="shared" ref="P313:T313" si="315">H325/A$342</f>
        <v>0.1165644172</v>
      </c>
      <c r="Q313" s="40">
        <f t="shared" si="315"/>
        <v>0.07766990291</v>
      </c>
      <c r="R313" s="40">
        <f t="shared" si="315"/>
        <v>0</v>
      </c>
      <c r="S313" s="40">
        <f t="shared" si="315"/>
        <v>0.1</v>
      </c>
      <c r="T313" s="40">
        <f t="shared" si="315"/>
        <v>0.05</v>
      </c>
    </row>
    <row r="314" ht="15.75" customHeight="1">
      <c r="A314" s="73">
        <f t="shared" ref="A314:E314" si="316">SUM(H286:H309)</f>
        <v>281</v>
      </c>
      <c r="B314" s="73">
        <f t="shared" si="316"/>
        <v>87</v>
      </c>
      <c r="C314" s="73">
        <f t="shared" si="316"/>
        <v>3</v>
      </c>
      <c r="D314" s="73">
        <f t="shared" si="316"/>
        <v>14</v>
      </c>
      <c r="E314" s="73">
        <f t="shared" si="316"/>
        <v>27</v>
      </c>
      <c r="F314" s="23"/>
      <c r="G314" s="19">
        <f>$G$12</f>
        <v>4</v>
      </c>
      <c r="H314" s="20">
        <v>4.0</v>
      </c>
      <c r="I314" s="20">
        <v>1.0</v>
      </c>
      <c r="J314" s="20">
        <v>1.0</v>
      </c>
      <c r="K314" s="20">
        <v>1.0</v>
      </c>
      <c r="L314" s="20">
        <v>0.0</v>
      </c>
      <c r="N314" s="23"/>
      <c r="O314" s="19">
        <f>$G$24</f>
        <v>16</v>
      </c>
      <c r="P314" s="40">
        <f t="shared" ref="P314:T314" si="317">H326/A$342</f>
        <v>0.07055214724</v>
      </c>
      <c r="Q314" s="40">
        <f t="shared" si="317"/>
        <v>0.08737864078</v>
      </c>
      <c r="R314" s="40">
        <f t="shared" si="317"/>
        <v>0</v>
      </c>
      <c r="S314" s="40">
        <f t="shared" si="317"/>
        <v>0</v>
      </c>
      <c r="T314" s="40">
        <f t="shared" si="317"/>
        <v>0</v>
      </c>
    </row>
    <row r="315" ht="15.75" customHeight="1">
      <c r="A315" s="88">
        <f>$H$7</f>
        <v>31</v>
      </c>
      <c r="B315" s="88">
        <f>$I$7</f>
        <v>32</v>
      </c>
      <c r="C315" s="88">
        <f>$J$7</f>
        <v>41</v>
      </c>
      <c r="D315" s="88">
        <f>$K$7</f>
        <v>42</v>
      </c>
      <c r="E315" s="88">
        <f>$L$7</f>
        <v>5</v>
      </c>
      <c r="F315" s="23"/>
      <c r="G315" s="19">
        <f>$G$13</f>
        <v>5</v>
      </c>
      <c r="H315" s="20">
        <v>0.0</v>
      </c>
      <c r="I315" s="20">
        <v>6.0</v>
      </c>
      <c r="J315" s="20">
        <v>0.0</v>
      </c>
      <c r="K315" s="20">
        <v>0.0</v>
      </c>
      <c r="L315" s="20">
        <v>0.0</v>
      </c>
      <c r="N315" s="23"/>
      <c r="O315" s="19">
        <f>$G$25</f>
        <v>17</v>
      </c>
      <c r="P315" s="40">
        <f t="shared" ref="P315:T315" si="318">H327/A$342</f>
        <v>0.1073619632</v>
      </c>
      <c r="Q315" s="40">
        <f t="shared" si="318"/>
        <v>0.05825242718</v>
      </c>
      <c r="R315" s="40">
        <f t="shared" si="318"/>
        <v>0</v>
      </c>
      <c r="S315" s="40">
        <f t="shared" si="318"/>
        <v>0</v>
      </c>
      <c r="T315" s="40">
        <f t="shared" si="318"/>
        <v>0</v>
      </c>
    </row>
    <row r="316" ht="15.75" customHeight="1">
      <c r="A316" s="63"/>
      <c r="B316" s="63"/>
      <c r="C316" s="63"/>
      <c r="D316" s="63"/>
      <c r="E316" s="63"/>
      <c r="F316" s="23"/>
      <c r="G316" s="19">
        <f>$G$14</f>
        <v>6</v>
      </c>
      <c r="H316" s="20">
        <v>6.0</v>
      </c>
      <c r="I316" s="20">
        <v>2.0</v>
      </c>
      <c r="J316" s="20">
        <v>0.0</v>
      </c>
      <c r="K316" s="20">
        <v>0.0</v>
      </c>
      <c r="L316" s="20">
        <v>0.0</v>
      </c>
      <c r="N316" s="23"/>
      <c r="O316" s="19">
        <f>$G$26</f>
        <v>18</v>
      </c>
      <c r="P316" s="40">
        <f t="shared" ref="P316:T316" si="319">H328/A$342</f>
        <v>0.07055214724</v>
      </c>
      <c r="Q316" s="40">
        <f t="shared" si="319"/>
        <v>0.03883495146</v>
      </c>
      <c r="R316" s="40">
        <f t="shared" si="319"/>
        <v>0</v>
      </c>
      <c r="S316" s="40">
        <f t="shared" si="319"/>
        <v>0</v>
      </c>
      <c r="T316" s="40">
        <f t="shared" si="319"/>
        <v>0.05</v>
      </c>
    </row>
    <row r="317" ht="15.75" customHeight="1">
      <c r="A317" s="63"/>
      <c r="B317" s="63"/>
      <c r="C317" s="63"/>
      <c r="D317" s="63"/>
      <c r="E317" s="63"/>
      <c r="F317" s="23"/>
      <c r="G317" s="19">
        <f>$G$15</f>
        <v>7</v>
      </c>
      <c r="H317" s="20">
        <v>7.0</v>
      </c>
      <c r="I317" s="20">
        <v>5.0</v>
      </c>
      <c r="J317" s="20">
        <v>0.0</v>
      </c>
      <c r="K317" s="20">
        <v>0.0</v>
      </c>
      <c r="L317" s="20">
        <v>4.0</v>
      </c>
      <c r="N317" s="23"/>
      <c r="O317" s="19">
        <f>$G$27</f>
        <v>19</v>
      </c>
      <c r="P317" s="40">
        <f t="shared" ref="P317:T317" si="320">H329/A$342</f>
        <v>0.05214723926</v>
      </c>
      <c r="Q317" s="40">
        <f t="shared" si="320"/>
        <v>0.06796116505</v>
      </c>
      <c r="R317" s="40">
        <f t="shared" si="320"/>
        <v>0</v>
      </c>
      <c r="S317" s="40">
        <f t="shared" si="320"/>
        <v>0</v>
      </c>
      <c r="T317" s="40">
        <f t="shared" si="320"/>
        <v>0</v>
      </c>
    </row>
    <row r="318" ht="15.75" customHeight="1">
      <c r="A318" s="63"/>
      <c r="B318" s="63"/>
      <c r="C318" s="63"/>
      <c r="D318" s="63"/>
      <c r="E318" s="63"/>
      <c r="F318" s="23"/>
      <c r="G318" s="19">
        <f>$G$16</f>
        <v>8</v>
      </c>
      <c r="H318" s="20">
        <v>13.0</v>
      </c>
      <c r="I318" s="20">
        <v>10.0</v>
      </c>
      <c r="J318" s="20">
        <v>0.0</v>
      </c>
      <c r="K318" s="20">
        <v>3.0</v>
      </c>
      <c r="L318" s="20">
        <v>0.0</v>
      </c>
      <c r="N318" s="23"/>
      <c r="O318" s="19">
        <f>$G$28</f>
        <v>20</v>
      </c>
      <c r="P318" s="40">
        <f t="shared" ref="P318:T318" si="321">H330/A$342</f>
        <v>0.03374233129</v>
      </c>
      <c r="Q318" s="40">
        <f t="shared" si="321"/>
        <v>0.02912621359</v>
      </c>
      <c r="R318" s="40">
        <f t="shared" si="321"/>
        <v>0</v>
      </c>
      <c r="S318" s="40">
        <f t="shared" si="321"/>
        <v>0.1</v>
      </c>
      <c r="T318" s="40">
        <f t="shared" si="321"/>
        <v>0.05</v>
      </c>
    </row>
    <row r="319" ht="15.75" customHeight="1">
      <c r="A319" s="63"/>
      <c r="B319" s="63"/>
      <c r="C319" s="63"/>
      <c r="D319" s="63"/>
      <c r="E319" s="63"/>
      <c r="F319" s="23"/>
      <c r="G319" s="19">
        <f>$G$17</f>
        <v>9</v>
      </c>
      <c r="H319" s="20">
        <v>22.0</v>
      </c>
      <c r="I319" s="20">
        <v>11.0</v>
      </c>
      <c r="J319" s="20">
        <v>0.0</v>
      </c>
      <c r="K319" s="20">
        <v>0.0</v>
      </c>
      <c r="L319" s="20">
        <v>2.0</v>
      </c>
      <c r="N319" s="23"/>
      <c r="O319" s="19">
        <f>$G$29</f>
        <v>21</v>
      </c>
      <c r="P319" s="40">
        <f t="shared" ref="P319:T319" si="322">H331/A$342</f>
        <v>0.03067484663</v>
      </c>
      <c r="Q319" s="40">
        <f t="shared" si="322"/>
        <v>0</v>
      </c>
      <c r="R319" s="40">
        <f t="shared" si="322"/>
        <v>0</v>
      </c>
      <c r="S319" s="40">
        <f t="shared" si="322"/>
        <v>0</v>
      </c>
      <c r="T319" s="40">
        <f t="shared" si="322"/>
        <v>0</v>
      </c>
    </row>
    <row r="320" ht="15.75" customHeight="1">
      <c r="A320" s="63"/>
      <c r="B320" s="63"/>
      <c r="C320" s="63"/>
      <c r="D320" s="63"/>
      <c r="E320" s="63"/>
      <c r="F320" s="23"/>
      <c r="G320" s="19">
        <f>$G$18</f>
        <v>10</v>
      </c>
      <c r="H320" s="20">
        <v>10.0</v>
      </c>
      <c r="I320" s="20">
        <v>1.0</v>
      </c>
      <c r="J320" s="20">
        <v>1.0</v>
      </c>
      <c r="K320" s="20">
        <v>1.0</v>
      </c>
      <c r="L320" s="20">
        <v>3.0</v>
      </c>
      <c r="N320" s="23"/>
      <c r="O320" s="19">
        <f>$G$30</f>
        <v>22</v>
      </c>
      <c r="P320" s="40">
        <f t="shared" ref="P320:T320" si="323">H332/A$342</f>
        <v>0.0245398773</v>
      </c>
      <c r="Q320" s="40">
        <f t="shared" si="323"/>
        <v>0.02912621359</v>
      </c>
      <c r="R320" s="40">
        <f t="shared" si="323"/>
        <v>0</v>
      </c>
      <c r="S320" s="40">
        <f t="shared" si="323"/>
        <v>0</v>
      </c>
      <c r="T320" s="40">
        <f t="shared" si="323"/>
        <v>0</v>
      </c>
    </row>
    <row r="321" ht="15.75" customHeight="1">
      <c r="A321" s="63"/>
      <c r="B321" s="63"/>
      <c r="C321" s="63"/>
      <c r="D321" s="63"/>
      <c r="E321" s="63"/>
      <c r="F321" s="23"/>
      <c r="G321" s="19">
        <f>$G$19</f>
        <v>11</v>
      </c>
      <c r="H321" s="20">
        <v>21.0</v>
      </c>
      <c r="I321" s="20">
        <v>5.0</v>
      </c>
      <c r="J321" s="20">
        <v>0.0</v>
      </c>
      <c r="K321" s="20">
        <v>1.0</v>
      </c>
      <c r="L321" s="20">
        <v>1.0</v>
      </c>
      <c r="N321" s="27"/>
      <c r="O321" s="19">
        <f>$G$31</f>
        <v>23</v>
      </c>
      <c r="P321" s="40">
        <f t="shared" ref="P321:T321" si="324">H333/A$342</f>
        <v>0.02147239264</v>
      </c>
      <c r="Q321" s="40">
        <f t="shared" si="324"/>
        <v>0.009708737864</v>
      </c>
      <c r="R321" s="40">
        <f t="shared" si="324"/>
        <v>0</v>
      </c>
      <c r="S321" s="40">
        <f t="shared" si="324"/>
        <v>0</v>
      </c>
      <c r="T321" s="40">
        <f t="shared" si="324"/>
        <v>0</v>
      </c>
    </row>
    <row r="322" ht="15.75" customHeight="1">
      <c r="A322" s="63"/>
      <c r="B322" s="63"/>
      <c r="C322" s="63"/>
      <c r="D322" s="63"/>
      <c r="E322" s="63"/>
      <c r="F322" s="23"/>
      <c r="G322" s="19">
        <f>$G$20</f>
        <v>12</v>
      </c>
      <c r="H322" s="20">
        <v>22.0</v>
      </c>
      <c r="I322" s="20">
        <v>11.0</v>
      </c>
      <c r="J322" s="20">
        <v>0.0</v>
      </c>
      <c r="K322" s="20">
        <v>1.0</v>
      </c>
      <c r="L322" s="20">
        <v>4.0</v>
      </c>
      <c r="N322" s="56">
        <v>45207.0</v>
      </c>
      <c r="O322" s="19">
        <f>$G$8</f>
        <v>0</v>
      </c>
      <c r="P322" s="40">
        <f t="shared" ref="P322:T322" si="325">H334/H$370</f>
        <v>0.004926108374</v>
      </c>
      <c r="Q322" s="40">
        <f t="shared" si="325"/>
        <v>0.01709401709</v>
      </c>
      <c r="R322" s="40">
        <f t="shared" si="325"/>
        <v>0</v>
      </c>
      <c r="S322" s="40">
        <f t="shared" si="325"/>
        <v>0</v>
      </c>
      <c r="T322" s="40">
        <f t="shared" si="325"/>
        <v>0</v>
      </c>
    </row>
    <row r="323" ht="15.75" customHeight="1">
      <c r="A323" s="63"/>
      <c r="B323" s="63"/>
      <c r="C323" s="63"/>
      <c r="D323" s="63"/>
      <c r="E323" s="63"/>
      <c r="F323" s="23"/>
      <c r="G323" s="19">
        <f>$G$21</f>
        <v>13</v>
      </c>
      <c r="H323" s="20">
        <v>22.0</v>
      </c>
      <c r="I323" s="20">
        <v>5.0</v>
      </c>
      <c r="J323" s="20">
        <v>0.0</v>
      </c>
      <c r="K323" s="20">
        <v>1.0</v>
      </c>
      <c r="L323" s="20">
        <v>3.0</v>
      </c>
      <c r="N323" s="23"/>
      <c r="O323" s="19">
        <f>$G$9</f>
        <v>1</v>
      </c>
      <c r="P323" s="40">
        <f t="shared" ref="P323:T323" si="326">H335/H$370</f>
        <v>0.004926108374</v>
      </c>
      <c r="Q323" s="40">
        <f t="shared" si="326"/>
        <v>0.008547008547</v>
      </c>
      <c r="R323" s="40">
        <f t="shared" si="326"/>
        <v>0</v>
      </c>
      <c r="S323" s="40">
        <f t="shared" si="326"/>
        <v>0</v>
      </c>
      <c r="T323" s="40">
        <f t="shared" si="326"/>
        <v>0.1666666667</v>
      </c>
    </row>
    <row r="324" ht="15.75" customHeight="1">
      <c r="A324" s="63"/>
      <c r="B324" s="63"/>
      <c r="C324" s="63"/>
      <c r="D324" s="63"/>
      <c r="E324" s="63"/>
      <c r="F324" s="23"/>
      <c r="G324" s="19">
        <f>$G$22</f>
        <v>14</v>
      </c>
      <c r="H324" s="20">
        <v>18.0</v>
      </c>
      <c r="I324" s="20">
        <v>3.0</v>
      </c>
      <c r="J324" s="20">
        <v>0.0</v>
      </c>
      <c r="K324" s="20">
        <v>0.0</v>
      </c>
      <c r="L324" s="20">
        <v>0.0</v>
      </c>
      <c r="N324" s="23"/>
      <c r="O324" s="19">
        <f>$G$10</f>
        <v>2</v>
      </c>
      <c r="P324" s="40">
        <f t="shared" ref="P324:T324" si="327">H336/H$370</f>
        <v>0.004926108374</v>
      </c>
      <c r="Q324" s="40">
        <f t="shared" si="327"/>
        <v>0</v>
      </c>
      <c r="R324" s="40">
        <f t="shared" si="327"/>
        <v>0</v>
      </c>
      <c r="S324" s="40">
        <f t="shared" si="327"/>
        <v>0</v>
      </c>
      <c r="T324" s="40">
        <f t="shared" si="327"/>
        <v>0</v>
      </c>
    </row>
    <row r="325" ht="15.75" customHeight="1">
      <c r="A325" s="63"/>
      <c r="B325" s="63"/>
      <c r="C325" s="63"/>
      <c r="D325" s="63"/>
      <c r="E325" s="63"/>
      <c r="F325" s="23"/>
      <c r="G325" s="19">
        <f>$G$23</f>
        <v>15</v>
      </c>
      <c r="H325" s="20">
        <v>38.0</v>
      </c>
      <c r="I325" s="20">
        <v>8.0</v>
      </c>
      <c r="J325" s="20">
        <v>0.0</v>
      </c>
      <c r="K325" s="20">
        <v>1.0</v>
      </c>
      <c r="L325" s="20">
        <v>1.0</v>
      </c>
      <c r="N325" s="23"/>
      <c r="O325" s="19">
        <f>$G$11</f>
        <v>3</v>
      </c>
      <c r="P325" s="40">
        <f t="shared" ref="P325:T325" si="328">H337/H$370</f>
        <v>0.007389162562</v>
      </c>
      <c r="Q325" s="40">
        <f t="shared" si="328"/>
        <v>0.008547008547</v>
      </c>
      <c r="R325" s="40">
        <f t="shared" si="328"/>
        <v>0</v>
      </c>
      <c r="S325" s="40">
        <f t="shared" si="328"/>
        <v>0</v>
      </c>
      <c r="T325" s="40">
        <f t="shared" si="328"/>
        <v>0.1666666667</v>
      </c>
    </row>
    <row r="326" ht="15.75" customHeight="1">
      <c r="A326" s="63"/>
      <c r="B326" s="63"/>
      <c r="C326" s="63"/>
      <c r="D326" s="63"/>
      <c r="E326" s="63"/>
      <c r="F326" s="23"/>
      <c r="G326" s="19">
        <f>$G$24</f>
        <v>16</v>
      </c>
      <c r="H326" s="20">
        <v>23.0</v>
      </c>
      <c r="I326" s="20">
        <v>9.0</v>
      </c>
      <c r="J326" s="20">
        <v>0.0</v>
      </c>
      <c r="K326" s="20">
        <v>0.0</v>
      </c>
      <c r="L326" s="20">
        <v>0.0</v>
      </c>
      <c r="N326" s="23"/>
      <c r="O326" s="19">
        <f>$G$12</f>
        <v>4</v>
      </c>
      <c r="P326" s="40">
        <f t="shared" ref="P326:T326" si="329">H338/H$370</f>
        <v>0.01477832512</v>
      </c>
      <c r="Q326" s="40">
        <f t="shared" si="329"/>
        <v>0.008547008547</v>
      </c>
      <c r="R326" s="40">
        <f t="shared" si="329"/>
        <v>0</v>
      </c>
      <c r="S326" s="40">
        <f t="shared" si="329"/>
        <v>0</v>
      </c>
      <c r="T326" s="40">
        <f t="shared" si="329"/>
        <v>0</v>
      </c>
    </row>
    <row r="327" ht="15.75" customHeight="1">
      <c r="A327" s="63"/>
      <c r="B327" s="63"/>
      <c r="C327" s="63"/>
      <c r="D327" s="63"/>
      <c r="E327" s="63"/>
      <c r="F327" s="23"/>
      <c r="G327" s="19">
        <f>$G$25</f>
        <v>17</v>
      </c>
      <c r="H327" s="20">
        <v>35.0</v>
      </c>
      <c r="I327" s="20">
        <v>6.0</v>
      </c>
      <c r="J327" s="20">
        <v>0.0</v>
      </c>
      <c r="K327" s="20">
        <v>0.0</v>
      </c>
      <c r="L327" s="20">
        <v>0.0</v>
      </c>
      <c r="N327" s="23"/>
      <c r="O327" s="19">
        <f>$G$13</f>
        <v>5</v>
      </c>
      <c r="P327" s="40">
        <f t="shared" ref="P327:T327" si="330">H339/H$370</f>
        <v>0.01724137931</v>
      </c>
      <c r="Q327" s="40">
        <f t="shared" si="330"/>
        <v>0.02564102564</v>
      </c>
      <c r="R327" s="40">
        <f t="shared" si="330"/>
        <v>0</v>
      </c>
      <c r="S327" s="40">
        <f t="shared" si="330"/>
        <v>0.1666666667</v>
      </c>
      <c r="T327" s="40">
        <f t="shared" si="330"/>
        <v>0</v>
      </c>
    </row>
    <row r="328" ht="15.75" customHeight="1">
      <c r="A328" s="63"/>
      <c r="B328" s="63"/>
      <c r="C328" s="63"/>
      <c r="D328" s="63"/>
      <c r="E328" s="63"/>
      <c r="F328" s="23"/>
      <c r="G328" s="19">
        <f>$G$26</f>
        <v>18</v>
      </c>
      <c r="H328" s="20">
        <v>23.0</v>
      </c>
      <c r="I328" s="20">
        <v>4.0</v>
      </c>
      <c r="J328" s="20">
        <v>0.0</v>
      </c>
      <c r="K328" s="20">
        <v>0.0</v>
      </c>
      <c r="L328" s="20">
        <v>1.0</v>
      </c>
      <c r="N328" s="23"/>
      <c r="O328" s="19">
        <f>$G$14</f>
        <v>6</v>
      </c>
      <c r="P328" s="40">
        <f t="shared" ref="P328:T328" si="331">H340/H$370</f>
        <v>0</v>
      </c>
      <c r="Q328" s="40">
        <f t="shared" si="331"/>
        <v>0.03418803419</v>
      </c>
      <c r="R328" s="40">
        <f t="shared" si="331"/>
        <v>0</v>
      </c>
      <c r="S328" s="40">
        <f t="shared" si="331"/>
        <v>0</v>
      </c>
      <c r="T328" s="40">
        <f t="shared" si="331"/>
        <v>0</v>
      </c>
    </row>
    <row r="329" ht="15.75" customHeight="1">
      <c r="A329" s="63"/>
      <c r="B329" s="63"/>
      <c r="C329" s="63"/>
      <c r="D329" s="63"/>
      <c r="E329" s="63"/>
      <c r="F329" s="23"/>
      <c r="G329" s="19">
        <f>$G$27</f>
        <v>19</v>
      </c>
      <c r="H329" s="20">
        <v>17.0</v>
      </c>
      <c r="I329" s="20">
        <v>7.0</v>
      </c>
      <c r="J329" s="20">
        <v>0.0</v>
      </c>
      <c r="K329" s="20">
        <v>0.0</v>
      </c>
      <c r="L329" s="20">
        <v>0.0</v>
      </c>
      <c r="N329" s="23"/>
      <c r="O329" s="19">
        <f>$G$15</f>
        <v>7</v>
      </c>
      <c r="P329" s="40">
        <f t="shared" ref="P329:T329" si="332">H341/H$370</f>
        <v>0.0197044335</v>
      </c>
      <c r="Q329" s="40">
        <f t="shared" si="332"/>
        <v>0.05128205128</v>
      </c>
      <c r="R329" s="40">
        <f t="shared" si="332"/>
        <v>0</v>
      </c>
      <c r="S329" s="40">
        <f t="shared" si="332"/>
        <v>0.1666666667</v>
      </c>
      <c r="T329" s="40">
        <f t="shared" si="332"/>
        <v>0.1666666667</v>
      </c>
    </row>
    <row r="330" ht="15.75" customHeight="1">
      <c r="A330" s="63"/>
      <c r="B330" s="63"/>
      <c r="C330" s="63"/>
      <c r="D330" s="63"/>
      <c r="E330" s="63"/>
      <c r="F330" s="23"/>
      <c r="G330" s="19">
        <f>$G$28</f>
        <v>20</v>
      </c>
      <c r="H330" s="20">
        <v>11.0</v>
      </c>
      <c r="I330" s="20">
        <v>3.0</v>
      </c>
      <c r="J330" s="20">
        <v>0.0</v>
      </c>
      <c r="K330" s="20">
        <v>1.0</v>
      </c>
      <c r="L330" s="20">
        <v>1.0</v>
      </c>
      <c r="N330" s="23"/>
      <c r="O330" s="19">
        <f>$G$16</f>
        <v>8</v>
      </c>
      <c r="P330" s="40">
        <f t="shared" ref="P330:T330" si="333">H342/H$370</f>
        <v>0.02709359606</v>
      </c>
      <c r="Q330" s="40">
        <f t="shared" si="333"/>
        <v>0.03418803419</v>
      </c>
      <c r="R330" s="40">
        <f t="shared" si="333"/>
        <v>0</v>
      </c>
      <c r="S330" s="40">
        <f t="shared" si="333"/>
        <v>0.1666666667</v>
      </c>
      <c r="T330" s="40">
        <f t="shared" si="333"/>
        <v>0.1666666667</v>
      </c>
    </row>
    <row r="331" ht="15.75" customHeight="1">
      <c r="A331" s="63"/>
      <c r="B331" s="63"/>
      <c r="C331" s="63"/>
      <c r="D331" s="63"/>
      <c r="E331" s="63"/>
      <c r="F331" s="23"/>
      <c r="G331" s="19">
        <f>$G$29</f>
        <v>21</v>
      </c>
      <c r="H331" s="20">
        <v>10.0</v>
      </c>
      <c r="I331" s="20">
        <v>0.0</v>
      </c>
      <c r="J331" s="20">
        <v>0.0</v>
      </c>
      <c r="K331" s="20">
        <v>0.0</v>
      </c>
      <c r="L331" s="20">
        <v>0.0</v>
      </c>
      <c r="N331" s="23"/>
      <c r="O331" s="19">
        <f>$G$17</f>
        <v>9</v>
      </c>
      <c r="P331" s="40">
        <f t="shared" ref="P331:T331" si="334">H343/H$370</f>
        <v>0.04187192118</v>
      </c>
      <c r="Q331" s="40">
        <f t="shared" si="334"/>
        <v>0.06837606838</v>
      </c>
      <c r="R331" s="40">
        <f t="shared" si="334"/>
        <v>0</v>
      </c>
      <c r="S331" s="40">
        <f t="shared" si="334"/>
        <v>0</v>
      </c>
      <c r="T331" s="40">
        <f t="shared" si="334"/>
        <v>0.1666666667</v>
      </c>
    </row>
    <row r="332" ht="15.75" customHeight="1">
      <c r="A332" s="63"/>
      <c r="B332" s="63"/>
      <c r="C332" s="63"/>
      <c r="D332" s="63"/>
      <c r="E332" s="63"/>
      <c r="F332" s="23"/>
      <c r="G332" s="19">
        <f>$G$30</f>
        <v>22</v>
      </c>
      <c r="H332" s="20">
        <v>8.0</v>
      </c>
      <c r="I332" s="20">
        <v>3.0</v>
      </c>
      <c r="J332" s="20">
        <v>0.0</v>
      </c>
      <c r="K332" s="20">
        <v>0.0</v>
      </c>
      <c r="L332" s="20">
        <v>0.0</v>
      </c>
      <c r="N332" s="23"/>
      <c r="O332" s="19">
        <f>$G$18</f>
        <v>10</v>
      </c>
      <c r="P332" s="40">
        <f t="shared" ref="P332:T332" si="335">H344/H$370</f>
        <v>0.05172413793</v>
      </c>
      <c r="Q332" s="40">
        <f t="shared" si="335"/>
        <v>0.04273504274</v>
      </c>
      <c r="R332" s="40">
        <f t="shared" si="335"/>
        <v>0</v>
      </c>
      <c r="S332" s="40">
        <f t="shared" si="335"/>
        <v>0</v>
      </c>
      <c r="T332" s="40">
        <f t="shared" si="335"/>
        <v>0</v>
      </c>
    </row>
    <row r="333" ht="15.75" customHeight="1">
      <c r="A333" s="63"/>
      <c r="B333" s="63"/>
      <c r="C333" s="63"/>
      <c r="D333" s="63"/>
      <c r="E333" s="63"/>
      <c r="F333" s="27"/>
      <c r="G333" s="19">
        <f>$G$31</f>
        <v>23</v>
      </c>
      <c r="H333" s="20">
        <v>7.0</v>
      </c>
      <c r="I333" s="20">
        <v>1.0</v>
      </c>
      <c r="J333" s="20">
        <v>0.0</v>
      </c>
      <c r="K333" s="20">
        <v>0.0</v>
      </c>
      <c r="L333" s="20">
        <v>0.0</v>
      </c>
      <c r="N333" s="23"/>
      <c r="O333" s="19">
        <f>$G$19</f>
        <v>11</v>
      </c>
      <c r="P333" s="40">
        <f t="shared" ref="P333:T333" si="336">H345/H$370</f>
        <v>0.09113300493</v>
      </c>
      <c r="Q333" s="40">
        <f t="shared" si="336"/>
        <v>0.05128205128</v>
      </c>
      <c r="R333" s="40">
        <f t="shared" si="336"/>
        <v>0</v>
      </c>
      <c r="S333" s="40">
        <f t="shared" si="336"/>
        <v>0</v>
      </c>
      <c r="T333" s="40">
        <f t="shared" si="336"/>
        <v>0.1666666667</v>
      </c>
    </row>
    <row r="334" ht="15.75" customHeight="1">
      <c r="A334" s="63"/>
      <c r="B334" s="63"/>
      <c r="C334" s="63"/>
      <c r="D334" s="63"/>
      <c r="E334" s="63"/>
      <c r="F334" s="56">
        <v>45207.0</v>
      </c>
      <c r="G334" s="19">
        <f>$G$8</f>
        <v>0</v>
      </c>
      <c r="H334" s="20">
        <v>2.0</v>
      </c>
      <c r="I334" s="20">
        <v>2.0</v>
      </c>
      <c r="J334" s="20">
        <v>0.0</v>
      </c>
      <c r="K334" s="20">
        <v>0.0</v>
      </c>
      <c r="L334" s="20">
        <v>0.0</v>
      </c>
      <c r="N334" s="23"/>
      <c r="O334" s="19">
        <f>$G$20</f>
        <v>12</v>
      </c>
      <c r="P334" s="40">
        <f t="shared" ref="P334:T334" si="337">H346/H$370</f>
        <v>0.07142857143</v>
      </c>
      <c r="Q334" s="40">
        <f t="shared" si="337"/>
        <v>0.08547008547</v>
      </c>
      <c r="R334" s="40">
        <f t="shared" si="337"/>
        <v>0</v>
      </c>
      <c r="S334" s="40">
        <f t="shared" si="337"/>
        <v>0.1666666667</v>
      </c>
      <c r="T334" s="40">
        <f t="shared" si="337"/>
        <v>0</v>
      </c>
    </row>
    <row r="335" ht="15.75" customHeight="1">
      <c r="A335" s="63"/>
      <c r="B335" s="63"/>
      <c r="C335" s="63"/>
      <c r="D335" s="63"/>
      <c r="E335" s="63"/>
      <c r="F335" s="23"/>
      <c r="G335" s="19">
        <f>$G$9</f>
        <v>1</v>
      </c>
      <c r="H335" s="20">
        <v>2.0</v>
      </c>
      <c r="I335" s="20">
        <v>1.0</v>
      </c>
      <c r="J335" s="20">
        <v>0.0</v>
      </c>
      <c r="K335" s="20">
        <v>0.0</v>
      </c>
      <c r="L335" s="20">
        <v>1.0</v>
      </c>
      <c r="N335" s="23"/>
      <c r="O335" s="19">
        <f>$G$21</f>
        <v>13</v>
      </c>
      <c r="P335" s="40">
        <f t="shared" ref="P335:T335" si="338">H347/H$370</f>
        <v>0.06650246305</v>
      </c>
      <c r="Q335" s="40">
        <f t="shared" si="338"/>
        <v>0.05128205128</v>
      </c>
      <c r="R335" s="40">
        <f t="shared" si="338"/>
        <v>0</v>
      </c>
      <c r="S335" s="40">
        <f t="shared" si="338"/>
        <v>0</v>
      </c>
      <c r="T335" s="40">
        <f t="shared" si="338"/>
        <v>0</v>
      </c>
    </row>
    <row r="336" ht="15.75" customHeight="1">
      <c r="A336" s="63"/>
      <c r="B336" s="63"/>
      <c r="C336" s="63"/>
      <c r="D336" s="63"/>
      <c r="E336" s="63"/>
      <c r="F336" s="23"/>
      <c r="G336" s="19">
        <f>$G$10</f>
        <v>2</v>
      </c>
      <c r="H336" s="34">
        <v>2.0</v>
      </c>
      <c r="I336" s="34">
        <v>0.0</v>
      </c>
      <c r="J336" s="34">
        <v>0.0</v>
      </c>
      <c r="K336" s="34">
        <v>0.0</v>
      </c>
      <c r="L336" s="34">
        <v>0.0</v>
      </c>
      <c r="N336" s="23"/>
      <c r="O336" s="19">
        <f>$G$22</f>
        <v>14</v>
      </c>
      <c r="P336" s="40">
        <f t="shared" ref="P336:T336" si="339">H348/H$370</f>
        <v>0.0960591133</v>
      </c>
      <c r="Q336" s="40">
        <f t="shared" si="339"/>
        <v>0.07692307692</v>
      </c>
      <c r="R336" s="40">
        <f t="shared" si="339"/>
        <v>0.3333333333</v>
      </c>
      <c r="S336" s="40">
        <f t="shared" si="339"/>
        <v>0</v>
      </c>
      <c r="T336" s="40">
        <f t="shared" si="339"/>
        <v>0</v>
      </c>
    </row>
    <row r="337" ht="15.75" customHeight="1">
      <c r="A337" s="63"/>
      <c r="B337" s="63"/>
      <c r="C337" s="63"/>
      <c r="D337" s="63"/>
      <c r="E337" s="63"/>
      <c r="F337" s="23"/>
      <c r="G337" s="19">
        <f>$G$11</f>
        <v>3</v>
      </c>
      <c r="H337" s="20">
        <v>3.0</v>
      </c>
      <c r="I337" s="20">
        <v>1.0</v>
      </c>
      <c r="J337" s="20">
        <v>0.0</v>
      </c>
      <c r="K337" s="20">
        <v>0.0</v>
      </c>
      <c r="L337" s="20">
        <v>1.0</v>
      </c>
      <c r="N337" s="23"/>
      <c r="O337" s="19">
        <f>$G$23</f>
        <v>15</v>
      </c>
      <c r="P337" s="40">
        <f t="shared" ref="P337:T337" si="340">H349/H$370</f>
        <v>0.1280788177</v>
      </c>
      <c r="Q337" s="40">
        <f t="shared" si="340"/>
        <v>0.07692307692</v>
      </c>
      <c r="R337" s="40">
        <f t="shared" si="340"/>
        <v>0.6666666667</v>
      </c>
      <c r="S337" s="40">
        <f t="shared" si="340"/>
        <v>0</v>
      </c>
      <c r="T337" s="40">
        <f t="shared" si="340"/>
        <v>0</v>
      </c>
    </row>
    <row r="338" ht="15.75" customHeight="1">
      <c r="A338" s="63"/>
      <c r="B338" s="63"/>
      <c r="C338" s="63"/>
      <c r="D338" s="63"/>
      <c r="E338" s="63"/>
      <c r="F338" s="23"/>
      <c r="G338" s="19">
        <f>$G$12</f>
        <v>4</v>
      </c>
      <c r="H338" s="20">
        <v>6.0</v>
      </c>
      <c r="I338" s="20">
        <v>1.0</v>
      </c>
      <c r="J338" s="20">
        <v>0.0</v>
      </c>
      <c r="K338" s="20">
        <v>0.0</v>
      </c>
      <c r="L338" s="20">
        <v>0.0</v>
      </c>
      <c r="N338" s="23"/>
      <c r="O338" s="19">
        <f>$G$24</f>
        <v>16</v>
      </c>
      <c r="P338" s="40">
        <f t="shared" ref="P338:T338" si="341">H350/H$370</f>
        <v>0.1009852217</v>
      </c>
      <c r="Q338" s="40">
        <f t="shared" si="341"/>
        <v>0.08547008547</v>
      </c>
      <c r="R338" s="40">
        <f t="shared" si="341"/>
        <v>0</v>
      </c>
      <c r="S338" s="40">
        <f t="shared" si="341"/>
        <v>0.1666666667</v>
      </c>
      <c r="T338" s="40">
        <f t="shared" si="341"/>
        <v>0</v>
      </c>
    </row>
    <row r="339" ht="15.75" customHeight="1">
      <c r="A339" s="63"/>
      <c r="B339" s="63"/>
      <c r="C339" s="63"/>
      <c r="D339" s="63"/>
      <c r="E339" s="63"/>
      <c r="F339" s="23"/>
      <c r="G339" s="19">
        <f>$G$13</f>
        <v>5</v>
      </c>
      <c r="H339" s="20">
        <v>7.0</v>
      </c>
      <c r="I339" s="20">
        <v>3.0</v>
      </c>
      <c r="J339" s="20">
        <v>0.0</v>
      </c>
      <c r="K339" s="20">
        <v>1.0</v>
      </c>
      <c r="L339" s="20">
        <v>0.0</v>
      </c>
      <c r="N339" s="23"/>
      <c r="O339" s="19">
        <f>$G$25</f>
        <v>17</v>
      </c>
      <c r="P339" s="40">
        <f t="shared" ref="P339:T339" si="342">H351/H$370</f>
        <v>0.0763546798</v>
      </c>
      <c r="Q339" s="40">
        <f t="shared" si="342"/>
        <v>0.07692307692</v>
      </c>
      <c r="R339" s="40">
        <f t="shared" si="342"/>
        <v>0</v>
      </c>
      <c r="S339" s="40">
        <f t="shared" si="342"/>
        <v>0</v>
      </c>
      <c r="T339" s="40">
        <f t="shared" si="342"/>
        <v>0</v>
      </c>
    </row>
    <row r="340" ht="15.75" customHeight="1">
      <c r="A340" s="63"/>
      <c r="B340" s="63"/>
      <c r="C340" s="63"/>
      <c r="D340" s="63"/>
      <c r="E340" s="63"/>
      <c r="F340" s="23"/>
      <c r="G340" s="19">
        <f>$G$14</f>
        <v>6</v>
      </c>
      <c r="H340" s="20">
        <v>0.0</v>
      </c>
      <c r="I340" s="20">
        <v>4.0</v>
      </c>
      <c r="J340" s="20">
        <v>0.0</v>
      </c>
      <c r="K340" s="20">
        <v>0.0</v>
      </c>
      <c r="L340" s="20">
        <v>0.0</v>
      </c>
      <c r="N340" s="23"/>
      <c r="O340" s="19">
        <f>$G$26</f>
        <v>18</v>
      </c>
      <c r="P340" s="40">
        <f t="shared" ref="P340:T340" si="343">H352/H$370</f>
        <v>0.04433497537</v>
      </c>
      <c r="Q340" s="40">
        <f t="shared" si="343"/>
        <v>0.03418803419</v>
      </c>
      <c r="R340" s="40">
        <f t="shared" si="343"/>
        <v>0</v>
      </c>
      <c r="S340" s="40">
        <f t="shared" si="343"/>
        <v>0</v>
      </c>
      <c r="T340" s="40">
        <f t="shared" si="343"/>
        <v>0</v>
      </c>
    </row>
    <row r="341" ht="15.75" customHeight="1">
      <c r="A341" s="63"/>
      <c r="B341" s="63"/>
      <c r="C341" s="63"/>
      <c r="D341" s="63"/>
      <c r="E341" s="63"/>
      <c r="F341" s="23"/>
      <c r="G341" s="19">
        <f>$G$15</f>
        <v>7</v>
      </c>
      <c r="H341" s="20">
        <v>8.0</v>
      </c>
      <c r="I341" s="20">
        <v>6.0</v>
      </c>
      <c r="J341" s="20">
        <v>0.0</v>
      </c>
      <c r="K341" s="20">
        <v>1.0</v>
      </c>
      <c r="L341" s="20">
        <v>1.0</v>
      </c>
      <c r="N341" s="23"/>
      <c r="O341" s="19">
        <f>$G$27</f>
        <v>19</v>
      </c>
      <c r="P341" s="40">
        <f t="shared" ref="P341:T341" si="344">H353/H$370</f>
        <v>0.03201970443</v>
      </c>
      <c r="Q341" s="40">
        <f t="shared" si="344"/>
        <v>0.03418803419</v>
      </c>
      <c r="R341" s="40">
        <f t="shared" si="344"/>
        <v>0</v>
      </c>
      <c r="S341" s="40">
        <f t="shared" si="344"/>
        <v>0</v>
      </c>
      <c r="T341" s="40">
        <f t="shared" si="344"/>
        <v>0</v>
      </c>
    </row>
    <row r="342" ht="15.75" customHeight="1">
      <c r="A342" s="89">
        <f t="shared" ref="A342:E342" si="345">SUM(H310:H333)</f>
        <v>326</v>
      </c>
      <c r="B342" s="89">
        <f t="shared" si="345"/>
        <v>103</v>
      </c>
      <c r="C342" s="89">
        <f t="shared" si="345"/>
        <v>2</v>
      </c>
      <c r="D342" s="89">
        <f t="shared" si="345"/>
        <v>10</v>
      </c>
      <c r="E342" s="89">
        <f t="shared" si="345"/>
        <v>20</v>
      </c>
      <c r="F342" s="23"/>
      <c r="G342" s="19">
        <f>$G$16</f>
        <v>8</v>
      </c>
      <c r="H342" s="20">
        <v>11.0</v>
      </c>
      <c r="I342" s="20">
        <v>4.0</v>
      </c>
      <c r="J342" s="20">
        <v>0.0</v>
      </c>
      <c r="K342" s="20">
        <v>1.0</v>
      </c>
      <c r="L342" s="20">
        <v>1.0</v>
      </c>
      <c r="N342" s="23"/>
      <c r="O342" s="19">
        <f>$G$28</f>
        <v>20</v>
      </c>
      <c r="P342" s="40">
        <f t="shared" ref="P342:T342" si="346">H354/H$370</f>
        <v>0.039408867</v>
      </c>
      <c r="Q342" s="40">
        <f t="shared" si="346"/>
        <v>0.06837606838</v>
      </c>
      <c r="R342" s="40">
        <f t="shared" si="346"/>
        <v>0</v>
      </c>
      <c r="S342" s="40">
        <f t="shared" si="346"/>
        <v>0.1666666667</v>
      </c>
      <c r="T342" s="40">
        <f t="shared" si="346"/>
        <v>0</v>
      </c>
    </row>
    <row r="343" ht="15.75" customHeight="1">
      <c r="A343" s="88">
        <f>$H$7</f>
        <v>31</v>
      </c>
      <c r="B343" s="88">
        <f>$I$7</f>
        <v>32</v>
      </c>
      <c r="C343" s="88">
        <f>$J$7</f>
        <v>41</v>
      </c>
      <c r="D343" s="88">
        <f>$K$7</f>
        <v>42</v>
      </c>
      <c r="E343" s="88">
        <f>$L$7</f>
        <v>5</v>
      </c>
      <c r="F343" s="23"/>
      <c r="G343" s="19">
        <f>$G$17</f>
        <v>9</v>
      </c>
      <c r="H343" s="20">
        <v>17.0</v>
      </c>
      <c r="I343" s="20">
        <v>8.0</v>
      </c>
      <c r="J343" s="20">
        <v>0.0</v>
      </c>
      <c r="K343" s="20">
        <v>0.0</v>
      </c>
      <c r="L343" s="20">
        <v>1.0</v>
      </c>
      <c r="N343" s="23"/>
      <c r="O343" s="19">
        <f>$G$29</f>
        <v>21</v>
      </c>
      <c r="P343" s="40">
        <f t="shared" ref="P343:T343" si="347">H355/H$370</f>
        <v>0.02216748768</v>
      </c>
      <c r="Q343" s="40">
        <f t="shared" si="347"/>
        <v>0.03418803419</v>
      </c>
      <c r="R343" s="40">
        <f t="shared" si="347"/>
        <v>0</v>
      </c>
      <c r="S343" s="40">
        <f t="shared" si="347"/>
        <v>0</v>
      </c>
      <c r="T343" s="40">
        <f t="shared" si="347"/>
        <v>0</v>
      </c>
    </row>
    <row r="344" ht="15.75" customHeight="1">
      <c r="A344" s="63"/>
      <c r="B344" s="63"/>
      <c r="C344" s="63"/>
      <c r="D344" s="63"/>
      <c r="E344" s="63"/>
      <c r="F344" s="23"/>
      <c r="G344" s="19">
        <f>$G$18</f>
        <v>10</v>
      </c>
      <c r="H344" s="20">
        <v>21.0</v>
      </c>
      <c r="I344" s="20">
        <v>5.0</v>
      </c>
      <c r="J344" s="20">
        <v>0.0</v>
      </c>
      <c r="K344" s="20">
        <v>0.0</v>
      </c>
      <c r="L344" s="20">
        <v>0.0</v>
      </c>
      <c r="N344" s="23"/>
      <c r="O344" s="19">
        <f>$G$30</f>
        <v>22</v>
      </c>
      <c r="P344" s="40">
        <f t="shared" ref="P344:T344" si="348">H356/H$370</f>
        <v>0.02216748768</v>
      </c>
      <c r="Q344" s="40">
        <f t="shared" si="348"/>
        <v>0.02564102564</v>
      </c>
      <c r="R344" s="40">
        <f t="shared" si="348"/>
        <v>0</v>
      </c>
      <c r="S344" s="40">
        <f t="shared" si="348"/>
        <v>0</v>
      </c>
      <c r="T344" s="40">
        <f t="shared" si="348"/>
        <v>0</v>
      </c>
    </row>
    <row r="345" ht="15.75" customHeight="1">
      <c r="A345" s="63"/>
      <c r="B345" s="63"/>
      <c r="C345" s="63"/>
      <c r="D345" s="63"/>
      <c r="E345" s="63"/>
      <c r="F345" s="23"/>
      <c r="G345" s="19">
        <f>$G$19</f>
        <v>11</v>
      </c>
      <c r="H345" s="20">
        <v>37.0</v>
      </c>
      <c r="I345" s="20">
        <v>6.0</v>
      </c>
      <c r="J345" s="20">
        <v>0.0</v>
      </c>
      <c r="K345" s="20">
        <v>0.0</v>
      </c>
      <c r="L345" s="20">
        <v>1.0</v>
      </c>
      <c r="N345" s="27"/>
      <c r="O345" s="19">
        <f>$G$31</f>
        <v>23</v>
      </c>
      <c r="P345" s="40">
        <f t="shared" ref="P345:T345" si="349">H357/H$370</f>
        <v>0.01477832512</v>
      </c>
      <c r="Q345" s="40">
        <f t="shared" si="349"/>
        <v>0</v>
      </c>
      <c r="R345" s="40">
        <f t="shared" si="349"/>
        <v>0</v>
      </c>
      <c r="S345" s="40">
        <f t="shared" si="349"/>
        <v>0</v>
      </c>
      <c r="T345" s="40">
        <f t="shared" si="349"/>
        <v>0</v>
      </c>
    </row>
    <row r="346" ht="15.75" customHeight="1">
      <c r="A346" s="63"/>
      <c r="B346" s="63"/>
      <c r="C346" s="63"/>
      <c r="D346" s="63"/>
      <c r="E346" s="63"/>
      <c r="F346" s="23"/>
      <c r="G346" s="19">
        <f>$G$20</f>
        <v>12</v>
      </c>
      <c r="H346" s="20">
        <v>29.0</v>
      </c>
      <c r="I346" s="20">
        <v>10.0</v>
      </c>
      <c r="J346" s="20">
        <v>0.0</v>
      </c>
      <c r="K346" s="20">
        <v>1.0</v>
      </c>
      <c r="L346" s="20">
        <v>0.0</v>
      </c>
    </row>
    <row r="347" ht="15.75" customHeight="1">
      <c r="A347" s="63"/>
      <c r="B347" s="63"/>
      <c r="C347" s="63"/>
      <c r="D347" s="63"/>
      <c r="E347" s="63"/>
      <c r="F347" s="23"/>
      <c r="G347" s="19">
        <f>$G$21</f>
        <v>13</v>
      </c>
      <c r="H347" s="20">
        <v>27.0</v>
      </c>
      <c r="I347" s="20">
        <v>6.0</v>
      </c>
      <c r="J347" s="20">
        <v>0.0</v>
      </c>
      <c r="K347" s="20">
        <v>0.0</v>
      </c>
      <c r="L347" s="20">
        <v>0.0</v>
      </c>
    </row>
    <row r="348" ht="15.75" customHeight="1">
      <c r="A348" s="63"/>
      <c r="B348" s="63"/>
      <c r="C348" s="63"/>
      <c r="D348" s="63"/>
      <c r="E348" s="63"/>
      <c r="F348" s="23"/>
      <c r="G348" s="19">
        <f>$G$22</f>
        <v>14</v>
      </c>
      <c r="H348" s="20">
        <v>39.0</v>
      </c>
      <c r="I348" s="20">
        <v>9.0</v>
      </c>
      <c r="J348" s="20">
        <v>1.0</v>
      </c>
      <c r="K348" s="20">
        <v>0.0</v>
      </c>
      <c r="L348" s="20">
        <v>0.0</v>
      </c>
    </row>
    <row r="349" ht="15.75" customHeight="1">
      <c r="A349" s="63"/>
      <c r="B349" s="63"/>
      <c r="C349" s="63"/>
      <c r="D349" s="63"/>
      <c r="E349" s="63"/>
      <c r="F349" s="23"/>
      <c r="G349" s="19">
        <f>$G$23</f>
        <v>15</v>
      </c>
      <c r="H349" s="20">
        <v>52.0</v>
      </c>
      <c r="I349" s="20">
        <v>9.0</v>
      </c>
      <c r="J349" s="20">
        <v>2.0</v>
      </c>
      <c r="K349" s="20">
        <v>0.0</v>
      </c>
      <c r="L349" s="20">
        <v>0.0</v>
      </c>
    </row>
    <row r="350" ht="15.75" customHeight="1">
      <c r="A350" s="63"/>
      <c r="B350" s="63"/>
      <c r="C350" s="63"/>
      <c r="D350" s="63"/>
      <c r="E350" s="63"/>
      <c r="F350" s="23"/>
      <c r="G350" s="19">
        <f>$G$24</f>
        <v>16</v>
      </c>
      <c r="H350" s="20">
        <v>41.0</v>
      </c>
      <c r="I350" s="20">
        <v>10.0</v>
      </c>
      <c r="J350" s="20">
        <v>0.0</v>
      </c>
      <c r="K350" s="20">
        <v>1.0</v>
      </c>
      <c r="L350" s="20">
        <v>0.0</v>
      </c>
    </row>
    <row r="351" ht="15.75" customHeight="1">
      <c r="A351" s="63"/>
      <c r="B351" s="63"/>
      <c r="C351" s="63"/>
      <c r="D351" s="63"/>
      <c r="E351" s="63"/>
      <c r="F351" s="23"/>
      <c r="G351" s="19">
        <f>$G$25</f>
        <v>17</v>
      </c>
      <c r="H351" s="20">
        <v>31.0</v>
      </c>
      <c r="I351" s="20">
        <v>9.0</v>
      </c>
      <c r="J351" s="20">
        <v>0.0</v>
      </c>
      <c r="K351" s="20">
        <v>0.0</v>
      </c>
      <c r="L351" s="20">
        <v>0.0</v>
      </c>
    </row>
    <row r="352" ht="15.75" customHeight="1">
      <c r="A352" s="63"/>
      <c r="B352" s="63"/>
      <c r="C352" s="63"/>
      <c r="D352" s="63"/>
      <c r="E352" s="63"/>
      <c r="F352" s="23"/>
      <c r="G352" s="19">
        <f>$G$26</f>
        <v>18</v>
      </c>
      <c r="H352" s="20">
        <v>18.0</v>
      </c>
      <c r="I352" s="20">
        <v>4.0</v>
      </c>
      <c r="J352" s="20">
        <v>0.0</v>
      </c>
      <c r="K352" s="20">
        <v>0.0</v>
      </c>
      <c r="L352" s="20">
        <v>0.0</v>
      </c>
    </row>
    <row r="353" ht="15.75" customHeight="1">
      <c r="A353" s="63"/>
      <c r="B353" s="63"/>
      <c r="C353" s="63"/>
      <c r="D353" s="63"/>
      <c r="E353" s="63"/>
      <c r="F353" s="23"/>
      <c r="G353" s="19">
        <f>$G$27</f>
        <v>19</v>
      </c>
      <c r="H353" s="20">
        <v>13.0</v>
      </c>
      <c r="I353" s="20">
        <v>4.0</v>
      </c>
      <c r="J353" s="20">
        <v>0.0</v>
      </c>
      <c r="K353" s="20">
        <v>0.0</v>
      </c>
      <c r="L353" s="20">
        <v>0.0</v>
      </c>
    </row>
    <row r="354" ht="15.75" customHeight="1">
      <c r="A354" s="63"/>
      <c r="B354" s="63"/>
      <c r="C354" s="63"/>
      <c r="D354" s="63"/>
      <c r="E354" s="63"/>
      <c r="F354" s="23"/>
      <c r="G354" s="19">
        <f>$G$28</f>
        <v>20</v>
      </c>
      <c r="H354" s="20">
        <v>16.0</v>
      </c>
      <c r="I354" s="20">
        <v>8.0</v>
      </c>
      <c r="J354" s="20">
        <v>0.0</v>
      </c>
      <c r="K354" s="20">
        <v>1.0</v>
      </c>
      <c r="L354" s="20">
        <v>0.0</v>
      </c>
    </row>
    <row r="355" ht="15.75" customHeight="1">
      <c r="A355" s="63"/>
      <c r="B355" s="63"/>
      <c r="C355" s="63"/>
      <c r="D355" s="63"/>
      <c r="E355" s="63"/>
      <c r="F355" s="23"/>
      <c r="G355" s="19">
        <f>$G$29</f>
        <v>21</v>
      </c>
      <c r="H355" s="20">
        <v>9.0</v>
      </c>
      <c r="I355" s="20">
        <v>4.0</v>
      </c>
      <c r="J355" s="20">
        <v>0.0</v>
      </c>
      <c r="K355" s="20">
        <v>0.0</v>
      </c>
      <c r="L355" s="20">
        <v>0.0</v>
      </c>
    </row>
    <row r="356" ht="15.75" customHeight="1">
      <c r="A356" s="63"/>
      <c r="B356" s="63"/>
      <c r="C356" s="63"/>
      <c r="D356" s="63"/>
      <c r="E356" s="63"/>
      <c r="F356" s="23"/>
      <c r="G356" s="19">
        <f>$G$30</f>
        <v>22</v>
      </c>
      <c r="H356" s="20">
        <v>9.0</v>
      </c>
      <c r="I356" s="20">
        <v>3.0</v>
      </c>
      <c r="J356" s="20">
        <v>0.0</v>
      </c>
      <c r="K356" s="20">
        <v>0.0</v>
      </c>
      <c r="L356" s="20">
        <v>0.0</v>
      </c>
    </row>
    <row r="357" ht="15.75" customHeight="1">
      <c r="A357" s="63"/>
      <c r="B357" s="63"/>
      <c r="C357" s="63"/>
      <c r="D357" s="63"/>
      <c r="E357" s="63"/>
      <c r="F357" s="27"/>
      <c r="G357" s="19">
        <f>$G$31</f>
        <v>23</v>
      </c>
      <c r="H357" s="20">
        <v>6.0</v>
      </c>
      <c r="I357" s="20">
        <v>0.0</v>
      </c>
      <c r="J357" s="20">
        <v>0.0</v>
      </c>
      <c r="K357" s="20">
        <v>0.0</v>
      </c>
      <c r="L357" s="20">
        <v>0.0</v>
      </c>
    </row>
    <row r="358" ht="15.75" customHeight="1">
      <c r="A358" s="63"/>
      <c r="B358" s="63"/>
      <c r="C358" s="63"/>
      <c r="D358" s="63"/>
      <c r="E358" s="63"/>
    </row>
    <row r="359" ht="15.75" customHeight="1">
      <c r="A359" s="63"/>
      <c r="B359" s="63"/>
      <c r="C359" s="63"/>
      <c r="D359" s="63"/>
      <c r="E359" s="63"/>
    </row>
    <row r="360" ht="15.75" customHeight="1">
      <c r="A360" s="63"/>
      <c r="B360" s="63"/>
      <c r="C360" s="63"/>
      <c r="D360" s="63"/>
      <c r="E360" s="63"/>
    </row>
    <row r="361" ht="15.75" customHeight="1">
      <c r="A361" s="63"/>
      <c r="B361" s="63"/>
      <c r="C361" s="63"/>
      <c r="D361" s="63"/>
      <c r="E361" s="63"/>
    </row>
    <row r="362" ht="15.75" customHeight="1">
      <c r="A362" s="63"/>
      <c r="B362" s="63"/>
      <c r="C362" s="63"/>
      <c r="D362" s="63"/>
      <c r="E362" s="63"/>
    </row>
    <row r="363" ht="15.75" customHeight="1">
      <c r="A363" s="63"/>
      <c r="B363" s="63"/>
      <c r="C363" s="63"/>
      <c r="D363" s="63"/>
      <c r="E363" s="63"/>
    </row>
    <row r="364" ht="15.75" customHeight="1">
      <c r="A364" s="63"/>
      <c r="B364" s="63"/>
      <c r="C364" s="63"/>
      <c r="D364" s="63"/>
      <c r="E364" s="63"/>
    </row>
    <row r="365" ht="15.75" customHeight="1">
      <c r="A365" s="63"/>
      <c r="B365" s="63"/>
      <c r="C365" s="63"/>
      <c r="D365" s="63"/>
      <c r="E365" s="63"/>
    </row>
    <row r="366" ht="15.75" customHeight="1">
      <c r="A366" s="63"/>
      <c r="B366" s="63"/>
      <c r="C366" s="63"/>
      <c r="D366" s="63"/>
      <c r="E366" s="63"/>
    </row>
    <row r="367" ht="15.75" customHeight="1">
      <c r="A367" s="63"/>
      <c r="B367" s="63"/>
      <c r="C367" s="63"/>
      <c r="D367" s="63"/>
      <c r="E367" s="63"/>
    </row>
    <row r="368" ht="15.75" customHeight="1">
      <c r="A368" s="63"/>
      <c r="B368" s="63"/>
      <c r="C368" s="63"/>
      <c r="D368" s="63"/>
      <c r="E368" s="63"/>
    </row>
    <row r="369" ht="15.75" customHeight="1">
      <c r="A369" s="63"/>
      <c r="B369" s="63"/>
      <c r="C369" s="63"/>
      <c r="D369" s="63"/>
      <c r="E369" s="63"/>
    </row>
    <row r="370" ht="15.75" customHeight="1">
      <c r="A370" s="63"/>
      <c r="B370" s="63"/>
      <c r="C370" s="63"/>
      <c r="D370" s="63"/>
      <c r="E370" s="63"/>
      <c r="F370" s="86"/>
      <c r="G370" s="16"/>
      <c r="H370" s="73">
        <f t="shared" ref="H370:L370" si="350">SUM(H334:H357)</f>
        <v>406</v>
      </c>
      <c r="I370" s="73">
        <f t="shared" si="350"/>
        <v>117</v>
      </c>
      <c r="J370" s="73">
        <f t="shared" si="350"/>
        <v>3</v>
      </c>
      <c r="K370" s="73">
        <f t="shared" si="350"/>
        <v>6</v>
      </c>
      <c r="L370" s="73">
        <f t="shared" si="350"/>
        <v>6</v>
      </c>
    </row>
    <row r="371" ht="15.75" customHeight="1">
      <c r="G371" s="16"/>
      <c r="H371" s="54"/>
      <c r="I371" s="54"/>
      <c r="J371" s="54"/>
      <c r="K371" s="54"/>
      <c r="L371" s="54"/>
      <c r="O371" s="16"/>
      <c r="P371" s="54"/>
      <c r="Q371" s="54"/>
      <c r="R371" s="54"/>
      <c r="S371" s="54"/>
      <c r="T371" s="54"/>
    </row>
    <row r="372" ht="15.75" customHeight="1">
      <c r="F372" s="55"/>
      <c r="G372" s="51"/>
      <c r="H372" s="16"/>
      <c r="I372" s="16"/>
      <c r="J372" s="16"/>
      <c r="K372" s="16"/>
      <c r="L372" s="16"/>
      <c r="N372" s="55"/>
      <c r="O372" s="51"/>
      <c r="P372" s="52"/>
      <c r="Q372" s="52"/>
      <c r="R372" s="52"/>
      <c r="S372" s="52"/>
      <c r="T372" s="52"/>
    </row>
    <row r="373" ht="15.75" customHeight="1">
      <c r="G373" s="51"/>
      <c r="H373" s="16"/>
      <c r="I373" s="16"/>
      <c r="J373" s="16"/>
      <c r="K373" s="16"/>
      <c r="L373" s="16"/>
      <c r="O373" s="51"/>
      <c r="P373" s="52"/>
      <c r="Q373" s="52"/>
      <c r="R373" s="52"/>
      <c r="S373" s="52"/>
      <c r="T373" s="52"/>
    </row>
    <row r="374" ht="15.75" customHeight="1">
      <c r="G374" s="51"/>
      <c r="H374" s="16"/>
      <c r="I374" s="16"/>
      <c r="J374" s="16"/>
      <c r="K374" s="16"/>
      <c r="L374" s="16"/>
      <c r="O374" s="51"/>
      <c r="P374" s="52"/>
      <c r="Q374" s="52"/>
      <c r="R374" s="52"/>
      <c r="S374" s="52"/>
      <c r="T374" s="52"/>
    </row>
    <row r="375" ht="15.75" customHeight="1">
      <c r="G375" s="51"/>
      <c r="H375" s="16"/>
      <c r="I375" s="16"/>
      <c r="J375" s="16"/>
      <c r="K375" s="16"/>
      <c r="L375" s="16"/>
      <c r="O375" s="51"/>
      <c r="P375" s="52"/>
      <c r="Q375" s="52"/>
      <c r="R375" s="52"/>
      <c r="S375" s="52"/>
      <c r="T375" s="52"/>
    </row>
    <row r="376" ht="15.75" customHeight="1">
      <c r="G376" s="51"/>
      <c r="H376" s="16"/>
      <c r="I376" s="16"/>
      <c r="J376" s="16"/>
      <c r="K376" s="16"/>
      <c r="L376" s="16"/>
      <c r="O376" s="51"/>
      <c r="P376" s="52"/>
      <c r="Q376" s="52"/>
      <c r="R376" s="52"/>
      <c r="S376" s="52"/>
      <c r="T376" s="52"/>
    </row>
    <row r="377" ht="15.75" customHeight="1">
      <c r="G377" s="51"/>
      <c r="H377" s="16"/>
      <c r="I377" s="16"/>
      <c r="J377" s="16"/>
      <c r="K377" s="16"/>
      <c r="L377" s="16"/>
      <c r="O377" s="51"/>
      <c r="P377" s="52"/>
      <c r="Q377" s="52"/>
      <c r="R377" s="52"/>
      <c r="S377" s="52"/>
      <c r="T377" s="52"/>
    </row>
    <row r="378" ht="15.75" customHeight="1">
      <c r="G378" s="51"/>
      <c r="H378" s="16"/>
      <c r="I378" s="16"/>
      <c r="J378" s="16"/>
      <c r="K378" s="16"/>
      <c r="L378" s="16"/>
      <c r="O378" s="51"/>
      <c r="P378" s="52"/>
      <c r="Q378" s="52"/>
      <c r="R378" s="52"/>
      <c r="S378" s="52"/>
      <c r="T378" s="52"/>
    </row>
    <row r="379" ht="15.75" customHeight="1">
      <c r="G379" s="51"/>
      <c r="H379" s="16"/>
      <c r="I379" s="16"/>
      <c r="J379" s="16"/>
      <c r="K379" s="16"/>
      <c r="L379" s="16"/>
      <c r="O379" s="51"/>
      <c r="P379" s="52"/>
      <c r="Q379" s="52"/>
      <c r="R379" s="52"/>
      <c r="S379" s="52"/>
      <c r="T379" s="52"/>
    </row>
    <row r="380" ht="15.75" customHeight="1">
      <c r="G380" s="51"/>
      <c r="H380" s="16"/>
      <c r="I380" s="16"/>
      <c r="J380" s="16"/>
      <c r="K380" s="16"/>
      <c r="L380" s="16"/>
      <c r="O380" s="51"/>
      <c r="P380" s="52"/>
      <c r="Q380" s="52"/>
      <c r="R380" s="52"/>
      <c r="S380" s="52"/>
      <c r="T380" s="52"/>
    </row>
    <row r="381" ht="15.75" customHeight="1">
      <c r="G381" s="51"/>
      <c r="H381" s="16"/>
      <c r="I381" s="16"/>
      <c r="J381" s="16"/>
      <c r="K381" s="16"/>
      <c r="L381" s="16"/>
      <c r="O381" s="51"/>
      <c r="P381" s="52"/>
      <c r="Q381" s="52"/>
      <c r="R381" s="52"/>
      <c r="S381" s="52"/>
      <c r="T381" s="52"/>
    </row>
    <row r="382" ht="15.75" customHeight="1">
      <c r="G382" s="51"/>
      <c r="H382" s="16"/>
      <c r="I382" s="16"/>
      <c r="J382" s="16"/>
      <c r="K382" s="16"/>
      <c r="L382" s="16"/>
      <c r="O382" s="51"/>
      <c r="P382" s="52"/>
      <c r="Q382" s="52"/>
      <c r="R382" s="52"/>
      <c r="S382" s="52"/>
      <c r="T382" s="52"/>
    </row>
    <row r="383" ht="15.75" customHeight="1">
      <c r="G383" s="51"/>
      <c r="H383" s="16"/>
      <c r="I383" s="16"/>
      <c r="J383" s="16"/>
      <c r="K383" s="16"/>
      <c r="L383" s="16"/>
      <c r="O383" s="51"/>
      <c r="P383" s="52"/>
      <c r="Q383" s="52"/>
      <c r="R383" s="52"/>
      <c r="S383" s="52"/>
      <c r="T383" s="52"/>
    </row>
    <row r="384" ht="15.75" customHeight="1">
      <c r="G384" s="51"/>
      <c r="H384" s="16"/>
      <c r="I384" s="16"/>
      <c r="J384" s="16"/>
      <c r="K384" s="16"/>
      <c r="L384" s="16"/>
      <c r="O384" s="51"/>
      <c r="P384" s="52"/>
      <c r="Q384" s="52"/>
      <c r="R384" s="52"/>
      <c r="S384" s="52"/>
      <c r="T384" s="52"/>
    </row>
    <row r="385" ht="15.75" customHeight="1">
      <c r="G385" s="51"/>
      <c r="H385" s="16"/>
      <c r="I385" s="16"/>
      <c r="J385" s="16"/>
      <c r="K385" s="16"/>
      <c r="L385" s="16"/>
      <c r="O385" s="51"/>
      <c r="P385" s="52"/>
      <c r="Q385" s="52"/>
      <c r="R385" s="52"/>
      <c r="S385" s="52"/>
      <c r="T385" s="52"/>
    </row>
    <row r="386" ht="15.75" customHeight="1">
      <c r="G386" s="51"/>
      <c r="H386" s="16"/>
      <c r="I386" s="16"/>
      <c r="J386" s="16"/>
      <c r="K386" s="16"/>
      <c r="L386" s="16"/>
      <c r="O386" s="51"/>
      <c r="P386" s="52"/>
      <c r="Q386" s="52"/>
      <c r="R386" s="52"/>
      <c r="S386" s="52"/>
      <c r="T386" s="52"/>
    </row>
    <row r="387" ht="15.75" customHeight="1">
      <c r="G387" s="51"/>
      <c r="H387" s="16"/>
      <c r="I387" s="16"/>
      <c r="J387" s="16"/>
      <c r="K387" s="16"/>
      <c r="L387" s="16"/>
      <c r="O387" s="51"/>
      <c r="P387" s="52"/>
      <c r="Q387" s="52"/>
      <c r="R387" s="52"/>
      <c r="S387" s="52"/>
      <c r="T387" s="52"/>
    </row>
    <row r="388" ht="15.75" customHeight="1">
      <c r="G388" s="51"/>
      <c r="H388" s="16"/>
      <c r="I388" s="16"/>
      <c r="J388" s="16"/>
      <c r="K388" s="16"/>
      <c r="L388" s="16"/>
      <c r="O388" s="51"/>
      <c r="P388" s="52"/>
      <c r="Q388" s="52"/>
      <c r="R388" s="52"/>
      <c r="S388" s="52"/>
      <c r="T388" s="52"/>
    </row>
    <row r="389" ht="15.75" customHeight="1">
      <c r="G389" s="51"/>
      <c r="H389" s="16"/>
      <c r="I389" s="16"/>
      <c r="J389" s="16"/>
      <c r="K389" s="16"/>
      <c r="L389" s="16"/>
      <c r="O389" s="51"/>
      <c r="P389" s="52"/>
      <c r="Q389" s="52"/>
      <c r="R389" s="52"/>
      <c r="S389" s="52"/>
      <c r="T389" s="52"/>
    </row>
    <row r="390" ht="15.75" customHeight="1">
      <c r="G390" s="51"/>
      <c r="H390" s="16"/>
      <c r="I390" s="16"/>
      <c r="J390" s="16"/>
      <c r="K390" s="16"/>
      <c r="L390" s="16"/>
      <c r="O390" s="51"/>
      <c r="P390" s="52"/>
      <c r="Q390" s="52"/>
      <c r="R390" s="52"/>
      <c r="S390" s="52"/>
      <c r="T390" s="52"/>
    </row>
    <row r="391" ht="15.75" customHeight="1">
      <c r="G391" s="51"/>
      <c r="H391" s="16"/>
      <c r="I391" s="16"/>
      <c r="J391" s="16"/>
      <c r="K391" s="16"/>
      <c r="L391" s="16"/>
      <c r="O391" s="51"/>
      <c r="P391" s="52"/>
      <c r="Q391" s="52"/>
      <c r="R391" s="52"/>
      <c r="S391" s="52"/>
      <c r="T391" s="52"/>
    </row>
    <row r="392" ht="15.75" customHeight="1">
      <c r="G392" s="51"/>
      <c r="H392" s="16"/>
      <c r="I392" s="16"/>
      <c r="J392" s="16"/>
      <c r="K392" s="16"/>
      <c r="L392" s="16"/>
      <c r="O392" s="51"/>
      <c r="P392" s="52"/>
      <c r="Q392" s="52"/>
      <c r="R392" s="52"/>
      <c r="S392" s="52"/>
      <c r="T392" s="52"/>
    </row>
    <row r="393" ht="15.75" customHeight="1">
      <c r="G393" s="51"/>
      <c r="H393" s="16"/>
      <c r="I393" s="16"/>
      <c r="J393" s="16"/>
      <c r="K393" s="16"/>
      <c r="L393" s="16"/>
      <c r="O393" s="51"/>
      <c r="P393" s="52"/>
      <c r="Q393" s="52"/>
      <c r="R393" s="52"/>
      <c r="S393" s="52"/>
      <c r="T393" s="52"/>
    </row>
    <row r="394" ht="15.75" customHeight="1">
      <c r="G394" s="51"/>
      <c r="H394" s="16"/>
      <c r="I394" s="16"/>
      <c r="J394" s="16"/>
      <c r="K394" s="16"/>
      <c r="L394" s="16"/>
      <c r="O394" s="51"/>
      <c r="P394" s="52"/>
      <c r="Q394" s="52"/>
      <c r="R394" s="52"/>
      <c r="S394" s="52"/>
      <c r="T394" s="52"/>
    </row>
    <row r="395" ht="15.75" customHeight="1">
      <c r="G395" s="51"/>
      <c r="H395" s="16"/>
      <c r="I395" s="16"/>
      <c r="J395" s="16"/>
      <c r="K395" s="16"/>
      <c r="L395" s="16"/>
      <c r="O395" s="51"/>
      <c r="P395" s="52"/>
      <c r="Q395" s="52"/>
      <c r="R395" s="52"/>
      <c r="S395" s="52"/>
      <c r="T395" s="52"/>
    </row>
    <row r="396" ht="15.75" customHeight="1">
      <c r="F396" s="41"/>
      <c r="G396" s="16"/>
      <c r="H396" s="26"/>
      <c r="I396" s="26"/>
      <c r="J396" s="26"/>
      <c r="K396" s="26"/>
      <c r="L396" s="26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10.25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66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67</v>
      </c>
      <c r="I4" s="7"/>
      <c r="J4" s="7"/>
      <c r="K4" s="7"/>
      <c r="L4" s="8"/>
    </row>
    <row r="5" ht="15.75" customHeight="1">
      <c r="A5" s="12" t="s">
        <v>10</v>
      </c>
      <c r="B5" s="92" t="s">
        <v>11</v>
      </c>
      <c r="C5" s="70" t="s">
        <v>12</v>
      </c>
      <c r="D5" s="93" t="s">
        <v>13</v>
      </c>
      <c r="E5" s="93" t="s">
        <v>14</v>
      </c>
    </row>
    <row r="6" ht="15.75" customHeight="1">
      <c r="B6" s="94"/>
      <c r="C6" s="94"/>
      <c r="D6" s="94"/>
      <c r="E6" s="94"/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56">
        <v>45217.0</v>
      </c>
      <c r="G8" s="19">
        <v>0.0</v>
      </c>
      <c r="H8" s="20">
        <v>190.0</v>
      </c>
      <c r="I8" s="20">
        <v>41.0</v>
      </c>
      <c r="J8" s="20">
        <v>1.0</v>
      </c>
      <c r="K8" s="20">
        <v>4.0</v>
      </c>
      <c r="L8" s="20">
        <v>1.0</v>
      </c>
      <c r="O8" s="19">
        <v>0.0</v>
      </c>
      <c r="P8" s="40">
        <f t="shared" ref="P8:T8" si="1">H8/H$32</f>
        <v>0.04811344644</v>
      </c>
      <c r="Q8" s="40">
        <f t="shared" si="1"/>
        <v>0.03744292237</v>
      </c>
      <c r="R8" s="40">
        <f t="shared" si="1"/>
        <v>0.01923076923</v>
      </c>
      <c r="S8" s="40">
        <f t="shared" si="1"/>
        <v>0.02547770701</v>
      </c>
      <c r="T8" s="40">
        <f t="shared" si="1"/>
        <v>0.0303030303</v>
      </c>
    </row>
    <row r="9" ht="15.75" customHeight="1">
      <c r="F9" s="23"/>
      <c r="G9" s="19">
        <v>1.0</v>
      </c>
      <c r="H9" s="20">
        <v>24.0</v>
      </c>
      <c r="I9" s="20">
        <v>5.0</v>
      </c>
      <c r="J9" s="20">
        <v>0.0</v>
      </c>
      <c r="K9" s="20">
        <v>2.0</v>
      </c>
      <c r="L9" s="20">
        <v>1.0</v>
      </c>
      <c r="O9" s="19">
        <v>1.0</v>
      </c>
      <c r="P9" s="40">
        <f t="shared" ref="P9:T9" si="2">H9/H$32</f>
        <v>0.006077487972</v>
      </c>
      <c r="Q9" s="40">
        <f t="shared" si="2"/>
        <v>0.004566210046</v>
      </c>
      <c r="R9" s="40">
        <f t="shared" si="2"/>
        <v>0</v>
      </c>
      <c r="S9" s="40">
        <f t="shared" si="2"/>
        <v>0.0127388535</v>
      </c>
      <c r="T9" s="40">
        <f t="shared" si="2"/>
        <v>0.0303030303</v>
      </c>
    </row>
    <row r="10" ht="15.75" customHeight="1">
      <c r="F10" s="23"/>
      <c r="G10" s="19">
        <v>2.0</v>
      </c>
      <c r="H10" s="20">
        <v>19.0</v>
      </c>
      <c r="I10" s="20">
        <v>1.0</v>
      </c>
      <c r="J10" s="20">
        <v>0.0</v>
      </c>
      <c r="K10" s="20">
        <v>1.0</v>
      </c>
      <c r="L10" s="20">
        <v>1.0</v>
      </c>
      <c r="O10" s="19">
        <v>2.0</v>
      </c>
      <c r="P10" s="40">
        <f t="shared" ref="P10:T10" si="3">H10/H$32</f>
        <v>0.004811344644</v>
      </c>
      <c r="Q10" s="40">
        <f t="shared" si="3"/>
        <v>0.0009132420091</v>
      </c>
      <c r="R10" s="40">
        <f t="shared" si="3"/>
        <v>0</v>
      </c>
      <c r="S10" s="40">
        <f t="shared" si="3"/>
        <v>0.006369426752</v>
      </c>
      <c r="T10" s="40">
        <f t="shared" si="3"/>
        <v>0.0303030303</v>
      </c>
    </row>
    <row r="11" ht="15.75" customHeight="1">
      <c r="F11" s="23"/>
      <c r="G11" s="19">
        <v>3.0</v>
      </c>
      <c r="H11" s="20">
        <v>7.0</v>
      </c>
      <c r="I11" s="20">
        <v>8.0</v>
      </c>
      <c r="J11" s="20">
        <v>0.0</v>
      </c>
      <c r="K11" s="20">
        <v>0.0</v>
      </c>
      <c r="L11" s="20">
        <v>0.0</v>
      </c>
      <c r="O11" s="19">
        <v>3.0</v>
      </c>
      <c r="P11" s="40">
        <f t="shared" ref="P11:T11" si="4">H11/H$32</f>
        <v>0.001772600658</v>
      </c>
      <c r="Q11" s="40">
        <f t="shared" si="4"/>
        <v>0.007305936073</v>
      </c>
      <c r="R11" s="40">
        <f t="shared" si="4"/>
        <v>0</v>
      </c>
      <c r="S11" s="40">
        <f t="shared" si="4"/>
        <v>0</v>
      </c>
      <c r="T11" s="40">
        <f t="shared" si="4"/>
        <v>0</v>
      </c>
    </row>
    <row r="12" ht="15.75" customHeight="1">
      <c r="F12" s="23"/>
      <c r="G12" s="19">
        <v>4.0</v>
      </c>
      <c r="H12" s="20">
        <v>17.0</v>
      </c>
      <c r="I12" s="20">
        <v>7.0</v>
      </c>
      <c r="J12" s="20">
        <v>1.0</v>
      </c>
      <c r="K12" s="20">
        <v>2.0</v>
      </c>
      <c r="L12" s="20">
        <v>1.0</v>
      </c>
      <c r="O12" s="19">
        <v>4.0</v>
      </c>
      <c r="P12" s="40">
        <f t="shared" ref="P12:T12" si="5">H12/H$32</f>
        <v>0.004304887313</v>
      </c>
      <c r="Q12" s="40">
        <f t="shared" si="5"/>
        <v>0.006392694064</v>
      </c>
      <c r="R12" s="40">
        <f t="shared" si="5"/>
        <v>0.01923076923</v>
      </c>
      <c r="S12" s="40">
        <f t="shared" si="5"/>
        <v>0.0127388535</v>
      </c>
      <c r="T12" s="40">
        <f t="shared" si="5"/>
        <v>0.0303030303</v>
      </c>
    </row>
    <row r="13" ht="15.75" customHeight="1">
      <c r="F13" s="23"/>
      <c r="G13" s="19">
        <v>5.0</v>
      </c>
      <c r="H13" s="20">
        <v>33.0</v>
      </c>
      <c r="I13" s="20">
        <v>14.0</v>
      </c>
      <c r="J13" s="20">
        <v>0.0</v>
      </c>
      <c r="K13" s="20">
        <v>3.0</v>
      </c>
      <c r="L13" s="20">
        <v>3.0</v>
      </c>
      <c r="O13" s="19">
        <v>5.0</v>
      </c>
      <c r="P13" s="40">
        <f t="shared" ref="P13:T13" si="6">H13/H$32</f>
        <v>0.008356545961</v>
      </c>
      <c r="Q13" s="40">
        <f t="shared" si="6"/>
        <v>0.01278538813</v>
      </c>
      <c r="R13" s="40">
        <f t="shared" si="6"/>
        <v>0</v>
      </c>
      <c r="S13" s="40">
        <f t="shared" si="6"/>
        <v>0.01910828025</v>
      </c>
      <c r="T13" s="40">
        <f t="shared" si="6"/>
        <v>0.09090909091</v>
      </c>
    </row>
    <row r="14" ht="15.75" customHeight="1">
      <c r="F14" s="23"/>
      <c r="G14" s="19">
        <v>6.0</v>
      </c>
      <c r="H14" s="20">
        <v>130.0</v>
      </c>
      <c r="I14" s="20">
        <v>23.0</v>
      </c>
      <c r="J14" s="20">
        <v>3.0</v>
      </c>
      <c r="K14" s="20">
        <v>7.0</v>
      </c>
      <c r="L14" s="20">
        <v>2.0</v>
      </c>
      <c r="O14" s="19">
        <v>6.0</v>
      </c>
      <c r="P14" s="40">
        <f t="shared" ref="P14:T14" si="7">H14/H$32</f>
        <v>0.03291972651</v>
      </c>
      <c r="Q14" s="40">
        <f t="shared" si="7"/>
        <v>0.02100456621</v>
      </c>
      <c r="R14" s="40">
        <f t="shared" si="7"/>
        <v>0.05769230769</v>
      </c>
      <c r="S14" s="40">
        <f t="shared" si="7"/>
        <v>0.04458598726</v>
      </c>
      <c r="T14" s="40">
        <f t="shared" si="7"/>
        <v>0.06060606061</v>
      </c>
    </row>
    <row r="15" ht="15.75" customHeight="1">
      <c r="F15" s="23"/>
      <c r="G15" s="19">
        <v>7.0</v>
      </c>
      <c r="H15" s="20">
        <v>509.0</v>
      </c>
      <c r="I15" s="20">
        <v>96.0</v>
      </c>
      <c r="J15" s="20">
        <v>5.0</v>
      </c>
      <c r="K15" s="20">
        <v>14.0</v>
      </c>
      <c r="L15" s="20">
        <v>7.0</v>
      </c>
      <c r="O15" s="19">
        <v>7.0</v>
      </c>
      <c r="P15" s="40">
        <f t="shared" ref="P15:T15" si="8">H15/H$32</f>
        <v>0.1288933907</v>
      </c>
      <c r="Q15" s="40">
        <f t="shared" si="8"/>
        <v>0.08767123288</v>
      </c>
      <c r="R15" s="40">
        <f t="shared" si="8"/>
        <v>0.09615384615</v>
      </c>
      <c r="S15" s="40">
        <f t="shared" si="8"/>
        <v>0.08917197452</v>
      </c>
      <c r="T15" s="40">
        <f t="shared" si="8"/>
        <v>0.2121212121</v>
      </c>
    </row>
    <row r="16" ht="15.75" customHeight="1">
      <c r="F16" s="23"/>
      <c r="G16" s="19">
        <v>8.0</v>
      </c>
      <c r="H16" s="20">
        <v>414.0</v>
      </c>
      <c r="I16" s="20">
        <v>87.0</v>
      </c>
      <c r="J16" s="20">
        <v>10.0</v>
      </c>
      <c r="K16" s="20">
        <v>9.0</v>
      </c>
      <c r="L16" s="20">
        <v>1.0</v>
      </c>
      <c r="O16" s="19">
        <v>8.0</v>
      </c>
      <c r="P16" s="40">
        <f t="shared" ref="P16:T16" si="9">H16/H$32</f>
        <v>0.1048366675</v>
      </c>
      <c r="Q16" s="40">
        <f t="shared" si="9"/>
        <v>0.07945205479</v>
      </c>
      <c r="R16" s="40">
        <f t="shared" si="9"/>
        <v>0.1923076923</v>
      </c>
      <c r="S16" s="40">
        <f t="shared" si="9"/>
        <v>0.05732484076</v>
      </c>
      <c r="T16" s="40">
        <f t="shared" si="9"/>
        <v>0.0303030303</v>
      </c>
    </row>
    <row r="17" ht="15.75" customHeight="1">
      <c r="F17" s="23"/>
      <c r="G17" s="19">
        <v>9.0</v>
      </c>
      <c r="H17" s="20">
        <v>245.0</v>
      </c>
      <c r="I17" s="20">
        <v>73.0</v>
      </c>
      <c r="J17" s="20">
        <v>3.0</v>
      </c>
      <c r="K17" s="20">
        <v>15.0</v>
      </c>
      <c r="L17" s="20">
        <v>6.0</v>
      </c>
      <c r="O17" s="19">
        <v>9.0</v>
      </c>
      <c r="P17" s="40">
        <f t="shared" ref="P17:T17" si="10">H17/H$32</f>
        <v>0.06204102304</v>
      </c>
      <c r="Q17" s="40">
        <f t="shared" si="10"/>
        <v>0.06666666667</v>
      </c>
      <c r="R17" s="40">
        <f t="shared" si="10"/>
        <v>0.05769230769</v>
      </c>
      <c r="S17" s="40">
        <f t="shared" si="10"/>
        <v>0.09554140127</v>
      </c>
      <c r="T17" s="40">
        <f t="shared" si="10"/>
        <v>0.1818181818</v>
      </c>
    </row>
    <row r="18" ht="15.75" customHeight="1">
      <c r="F18" s="23"/>
      <c r="G18" s="19">
        <v>10.0</v>
      </c>
      <c r="H18" s="20">
        <v>154.0</v>
      </c>
      <c r="I18" s="20">
        <v>64.0</v>
      </c>
      <c r="J18" s="20">
        <v>5.0</v>
      </c>
      <c r="K18" s="20">
        <v>6.0</v>
      </c>
      <c r="L18" s="20">
        <v>1.0</v>
      </c>
      <c r="O18" s="19">
        <v>10.0</v>
      </c>
      <c r="P18" s="40">
        <f t="shared" ref="P18:T18" si="11">H18/H$32</f>
        <v>0.03899721448</v>
      </c>
      <c r="Q18" s="40">
        <f t="shared" si="11"/>
        <v>0.05844748858</v>
      </c>
      <c r="R18" s="40">
        <f t="shared" si="11"/>
        <v>0.09615384615</v>
      </c>
      <c r="S18" s="40">
        <f t="shared" si="11"/>
        <v>0.03821656051</v>
      </c>
      <c r="T18" s="40">
        <f t="shared" si="11"/>
        <v>0.0303030303</v>
      </c>
    </row>
    <row r="19" ht="15.75" customHeight="1">
      <c r="F19" s="23"/>
      <c r="G19" s="19">
        <v>11.0</v>
      </c>
      <c r="H19" s="20">
        <v>172.0</v>
      </c>
      <c r="I19" s="20">
        <v>56.0</v>
      </c>
      <c r="J19" s="20">
        <v>0.0</v>
      </c>
      <c r="K19" s="20">
        <v>18.0</v>
      </c>
      <c r="L19" s="20">
        <v>3.0</v>
      </c>
      <c r="O19" s="19">
        <v>11.0</v>
      </c>
      <c r="P19" s="40">
        <f t="shared" ref="P19:T19" si="12">H19/H$32</f>
        <v>0.04355533046</v>
      </c>
      <c r="Q19" s="40">
        <f t="shared" si="12"/>
        <v>0.05114155251</v>
      </c>
      <c r="R19" s="40">
        <f t="shared" si="12"/>
        <v>0</v>
      </c>
      <c r="S19" s="40">
        <f t="shared" si="12"/>
        <v>0.1146496815</v>
      </c>
      <c r="T19" s="40">
        <f t="shared" si="12"/>
        <v>0.09090909091</v>
      </c>
    </row>
    <row r="20" ht="15.75" customHeight="1">
      <c r="F20" s="23"/>
      <c r="G20" s="19">
        <v>12.0</v>
      </c>
      <c r="H20" s="20">
        <v>157.0</v>
      </c>
      <c r="I20" s="20">
        <v>54.0</v>
      </c>
      <c r="J20" s="20">
        <v>2.0</v>
      </c>
      <c r="K20" s="20">
        <v>12.0</v>
      </c>
      <c r="L20" s="20">
        <v>1.0</v>
      </c>
      <c r="O20" s="19">
        <v>12.0</v>
      </c>
      <c r="P20" s="40">
        <f t="shared" ref="P20:T20" si="13">H20/H$32</f>
        <v>0.03975690048</v>
      </c>
      <c r="Q20" s="40">
        <f t="shared" si="13"/>
        <v>0.04931506849</v>
      </c>
      <c r="R20" s="40">
        <f t="shared" si="13"/>
        <v>0.03846153846</v>
      </c>
      <c r="S20" s="40">
        <f t="shared" si="13"/>
        <v>0.07643312102</v>
      </c>
      <c r="T20" s="40">
        <f t="shared" si="13"/>
        <v>0.0303030303</v>
      </c>
    </row>
    <row r="21" ht="15.75" customHeight="1">
      <c r="F21" s="23"/>
      <c r="G21" s="19">
        <v>13.0</v>
      </c>
      <c r="H21" s="20">
        <v>144.0</v>
      </c>
      <c r="I21" s="20">
        <v>77.0</v>
      </c>
      <c r="J21" s="20">
        <v>1.0</v>
      </c>
      <c r="K21" s="20">
        <v>14.0</v>
      </c>
      <c r="L21" s="20">
        <v>1.0</v>
      </c>
      <c r="O21" s="19">
        <v>13.0</v>
      </c>
      <c r="P21" s="40">
        <f t="shared" ref="P21:T21" si="14">H21/H$32</f>
        <v>0.03646492783</v>
      </c>
      <c r="Q21" s="40">
        <f t="shared" si="14"/>
        <v>0.0703196347</v>
      </c>
      <c r="R21" s="40">
        <f t="shared" si="14"/>
        <v>0.01923076923</v>
      </c>
      <c r="S21" s="40">
        <f t="shared" si="14"/>
        <v>0.08917197452</v>
      </c>
      <c r="T21" s="40">
        <f t="shared" si="14"/>
        <v>0.0303030303</v>
      </c>
    </row>
    <row r="22" ht="15.75" customHeight="1">
      <c r="F22" s="23"/>
      <c r="G22" s="19">
        <v>14.0</v>
      </c>
      <c r="H22" s="20">
        <v>157.0</v>
      </c>
      <c r="I22" s="20">
        <v>76.0</v>
      </c>
      <c r="J22" s="20">
        <v>1.0</v>
      </c>
      <c r="K22" s="20">
        <v>13.0</v>
      </c>
      <c r="L22" s="20">
        <v>0.0</v>
      </c>
      <c r="O22" s="19">
        <v>14.0</v>
      </c>
      <c r="P22" s="40">
        <f t="shared" ref="P22:T22" si="15">H22/H$32</f>
        <v>0.03975690048</v>
      </c>
      <c r="Q22" s="40">
        <f t="shared" si="15"/>
        <v>0.06940639269</v>
      </c>
      <c r="R22" s="40">
        <f t="shared" si="15"/>
        <v>0.01923076923</v>
      </c>
      <c r="S22" s="40">
        <f t="shared" si="15"/>
        <v>0.08280254777</v>
      </c>
      <c r="T22" s="40">
        <f t="shared" si="15"/>
        <v>0</v>
      </c>
    </row>
    <row r="23" ht="15.75" customHeight="1">
      <c r="F23" s="23"/>
      <c r="G23" s="19">
        <v>15.0</v>
      </c>
      <c r="H23" s="20">
        <v>204.0</v>
      </c>
      <c r="I23" s="20">
        <v>73.0</v>
      </c>
      <c r="J23" s="20">
        <v>3.0</v>
      </c>
      <c r="K23" s="20">
        <v>9.0</v>
      </c>
      <c r="L23" s="20">
        <v>0.0</v>
      </c>
      <c r="O23" s="19">
        <v>15.0</v>
      </c>
      <c r="P23" s="40">
        <f t="shared" ref="P23:T23" si="16">H23/H$32</f>
        <v>0.05165864776</v>
      </c>
      <c r="Q23" s="40">
        <f t="shared" si="16"/>
        <v>0.06666666667</v>
      </c>
      <c r="R23" s="40">
        <f t="shared" si="16"/>
        <v>0.05769230769</v>
      </c>
      <c r="S23" s="40">
        <f t="shared" si="16"/>
        <v>0.05732484076</v>
      </c>
      <c r="T23" s="40">
        <f t="shared" si="16"/>
        <v>0</v>
      </c>
    </row>
    <row r="24" ht="15.75" customHeight="1">
      <c r="F24" s="23"/>
      <c r="G24" s="19">
        <v>16.0</v>
      </c>
      <c r="H24" s="20">
        <v>242.0</v>
      </c>
      <c r="I24" s="20">
        <v>91.0</v>
      </c>
      <c r="J24" s="20">
        <v>1.0</v>
      </c>
      <c r="K24" s="20">
        <v>9.0</v>
      </c>
      <c r="L24" s="20">
        <v>1.0</v>
      </c>
      <c r="O24" s="19">
        <v>16.0</v>
      </c>
      <c r="P24" s="40">
        <f t="shared" ref="P24:T24" si="17">H24/H$32</f>
        <v>0.06128133705</v>
      </c>
      <c r="Q24" s="40">
        <f t="shared" si="17"/>
        <v>0.08310502283</v>
      </c>
      <c r="R24" s="40">
        <f t="shared" si="17"/>
        <v>0.01923076923</v>
      </c>
      <c r="S24" s="40">
        <f t="shared" si="17"/>
        <v>0.05732484076</v>
      </c>
      <c r="T24" s="40">
        <f t="shared" si="17"/>
        <v>0.0303030303</v>
      </c>
    </row>
    <row r="25" ht="15.75" customHeight="1">
      <c r="F25" s="23"/>
      <c r="G25" s="19">
        <v>17.0</v>
      </c>
      <c r="H25" s="20">
        <v>381.0</v>
      </c>
      <c r="I25" s="20">
        <v>105.0</v>
      </c>
      <c r="J25" s="20">
        <v>4.0</v>
      </c>
      <c r="K25" s="20">
        <v>12.0</v>
      </c>
      <c r="L25" s="20">
        <v>0.0</v>
      </c>
      <c r="O25" s="19">
        <v>17.0</v>
      </c>
      <c r="P25" s="40">
        <f t="shared" ref="P25:T25" si="18">H25/H$32</f>
        <v>0.09648012155</v>
      </c>
      <c r="Q25" s="40">
        <f t="shared" si="18"/>
        <v>0.09589041096</v>
      </c>
      <c r="R25" s="40">
        <f t="shared" si="18"/>
        <v>0.07692307692</v>
      </c>
      <c r="S25" s="40">
        <f t="shared" si="18"/>
        <v>0.07643312102</v>
      </c>
      <c r="T25" s="40">
        <f t="shared" si="18"/>
        <v>0</v>
      </c>
    </row>
    <row r="26" ht="15.75" customHeight="1">
      <c r="F26" s="23"/>
      <c r="G26" s="19">
        <v>18.0</v>
      </c>
      <c r="H26" s="20">
        <v>268.0</v>
      </c>
      <c r="I26" s="20">
        <v>51.0</v>
      </c>
      <c r="J26" s="20">
        <v>3.0</v>
      </c>
      <c r="K26" s="20">
        <v>3.0</v>
      </c>
      <c r="L26" s="20">
        <v>0.0</v>
      </c>
      <c r="O26" s="19">
        <v>18.0</v>
      </c>
      <c r="P26" s="40">
        <f t="shared" ref="P26:T26" si="19">H26/H$32</f>
        <v>0.06786528235</v>
      </c>
      <c r="Q26" s="40">
        <f t="shared" si="19"/>
        <v>0.04657534247</v>
      </c>
      <c r="R26" s="40">
        <f t="shared" si="19"/>
        <v>0.05769230769</v>
      </c>
      <c r="S26" s="40">
        <f t="shared" si="19"/>
        <v>0.01910828025</v>
      </c>
      <c r="T26" s="40">
        <f t="shared" si="19"/>
        <v>0</v>
      </c>
    </row>
    <row r="27" ht="15.75" customHeight="1">
      <c r="F27" s="23"/>
      <c r="G27" s="19">
        <v>19.0</v>
      </c>
      <c r="H27" s="20">
        <v>168.0</v>
      </c>
      <c r="I27" s="20">
        <v>38.0</v>
      </c>
      <c r="J27" s="20">
        <v>8.0</v>
      </c>
      <c r="K27" s="20">
        <v>3.0</v>
      </c>
      <c r="L27" s="20">
        <v>1.0</v>
      </c>
      <c r="O27" s="19">
        <v>19.0</v>
      </c>
      <c r="P27" s="40">
        <f t="shared" ref="P27:T27" si="20">H27/H$32</f>
        <v>0.0425424158</v>
      </c>
      <c r="Q27" s="40">
        <f t="shared" si="20"/>
        <v>0.03470319635</v>
      </c>
      <c r="R27" s="40">
        <f t="shared" si="20"/>
        <v>0.1538461538</v>
      </c>
      <c r="S27" s="40">
        <f t="shared" si="20"/>
        <v>0.01910828025</v>
      </c>
      <c r="T27" s="40">
        <f t="shared" si="20"/>
        <v>0.0303030303</v>
      </c>
    </row>
    <row r="28" ht="15.75" customHeight="1">
      <c r="F28" s="23"/>
      <c r="G28" s="19">
        <v>20.0</v>
      </c>
      <c r="H28" s="20">
        <v>35.0</v>
      </c>
      <c r="I28" s="20">
        <v>7.0</v>
      </c>
      <c r="J28" s="20">
        <v>0.0</v>
      </c>
      <c r="K28" s="20">
        <v>0.0</v>
      </c>
      <c r="L28" s="20">
        <v>1.0</v>
      </c>
      <c r="O28" s="19">
        <v>20.0</v>
      </c>
      <c r="P28" s="40">
        <f t="shared" ref="P28:T28" si="21">H28/H$32</f>
        <v>0.008863003292</v>
      </c>
      <c r="Q28" s="40">
        <f t="shared" si="21"/>
        <v>0.006392694064</v>
      </c>
      <c r="R28" s="40">
        <f t="shared" si="21"/>
        <v>0</v>
      </c>
      <c r="S28" s="40">
        <f t="shared" si="21"/>
        <v>0</v>
      </c>
      <c r="T28" s="40">
        <f t="shared" si="21"/>
        <v>0.0303030303</v>
      </c>
    </row>
    <row r="29" ht="15.75" customHeight="1">
      <c r="F29" s="23"/>
      <c r="G29" s="19">
        <v>21.0</v>
      </c>
      <c r="H29" s="20">
        <v>146.0</v>
      </c>
      <c r="I29" s="20">
        <v>28.0</v>
      </c>
      <c r="J29" s="20">
        <v>0.0</v>
      </c>
      <c r="K29" s="20">
        <v>1.0</v>
      </c>
      <c r="L29" s="20">
        <v>0.0</v>
      </c>
      <c r="O29" s="19">
        <v>21.0</v>
      </c>
      <c r="P29" s="40">
        <f t="shared" ref="P29:T29" si="22">H29/H$32</f>
        <v>0.03697138516</v>
      </c>
      <c r="Q29" s="40">
        <f t="shared" si="22"/>
        <v>0.02557077626</v>
      </c>
      <c r="R29" s="40">
        <f t="shared" si="22"/>
        <v>0</v>
      </c>
      <c r="S29" s="40">
        <f t="shared" si="22"/>
        <v>0.006369426752</v>
      </c>
      <c r="T29" s="40">
        <f t="shared" si="22"/>
        <v>0</v>
      </c>
    </row>
    <row r="30" ht="15.75" customHeight="1">
      <c r="F30" s="23"/>
      <c r="G30" s="19">
        <v>22.0</v>
      </c>
      <c r="H30" s="16">
        <v>92.0</v>
      </c>
      <c r="I30" s="16">
        <v>14.0</v>
      </c>
      <c r="J30" s="16">
        <v>1.0</v>
      </c>
      <c r="K30" s="16">
        <v>0.0</v>
      </c>
      <c r="L30" s="16">
        <v>0.0</v>
      </c>
      <c r="O30" s="19">
        <v>22.0</v>
      </c>
      <c r="P30" s="40">
        <f t="shared" ref="P30:T30" si="23">H30/H$32</f>
        <v>0.02329703722</v>
      </c>
      <c r="Q30" s="40">
        <f t="shared" si="23"/>
        <v>0.01278538813</v>
      </c>
      <c r="R30" s="40">
        <f t="shared" si="23"/>
        <v>0.01923076923</v>
      </c>
      <c r="S30" s="40">
        <f t="shared" si="23"/>
        <v>0</v>
      </c>
      <c r="T30" s="40">
        <f t="shared" si="23"/>
        <v>0</v>
      </c>
    </row>
    <row r="31" ht="15.75" customHeight="1">
      <c r="F31" s="27"/>
      <c r="G31" s="19">
        <v>23.0</v>
      </c>
      <c r="H31" s="16">
        <v>41.0</v>
      </c>
      <c r="I31" s="16">
        <v>6.0</v>
      </c>
      <c r="J31" s="16">
        <v>0.0</v>
      </c>
      <c r="K31" s="16">
        <v>0.0</v>
      </c>
      <c r="L31" s="16">
        <v>1.0</v>
      </c>
      <c r="O31" s="19">
        <v>23.0</v>
      </c>
      <c r="P31" s="40">
        <f t="shared" ref="P31:T31" si="24">H31/H$32</f>
        <v>0.01038237528</v>
      </c>
      <c r="Q31" s="40">
        <f t="shared" si="24"/>
        <v>0.005479452055</v>
      </c>
      <c r="R31" s="40">
        <f t="shared" si="24"/>
        <v>0</v>
      </c>
      <c r="S31" s="40">
        <f t="shared" si="24"/>
        <v>0</v>
      </c>
      <c r="T31" s="40">
        <f t="shared" si="24"/>
        <v>0.0303030303</v>
      </c>
    </row>
    <row r="32" ht="15.75" customHeight="1">
      <c r="F32" s="95"/>
      <c r="G32" s="96"/>
      <c r="H32" s="26">
        <f t="shared" ref="H32:L32" si="25">SUM(H8:H31)</f>
        <v>3949</v>
      </c>
      <c r="I32" s="26">
        <f t="shared" si="25"/>
        <v>1095</v>
      </c>
      <c r="J32" s="26">
        <f t="shared" si="25"/>
        <v>52</v>
      </c>
      <c r="K32" s="26">
        <f t="shared" si="25"/>
        <v>157</v>
      </c>
      <c r="L32" s="26">
        <f t="shared" si="25"/>
        <v>33</v>
      </c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F34" s="56">
        <v>45208.0</v>
      </c>
      <c r="G34" s="19">
        <f>$G$8</f>
        <v>0</v>
      </c>
      <c r="H34" s="20">
        <v>6.0</v>
      </c>
      <c r="I34" s="20">
        <v>3.0</v>
      </c>
      <c r="J34" s="20">
        <v>0.0</v>
      </c>
      <c r="K34" s="20">
        <v>0.0</v>
      </c>
      <c r="L34" s="20">
        <v>0.0</v>
      </c>
      <c r="N34" s="56">
        <v>45208.0</v>
      </c>
      <c r="O34" s="19">
        <f>$G$8</f>
        <v>0</v>
      </c>
      <c r="P34" s="40">
        <f t="shared" ref="P34:T34" si="26">H34/U$59</f>
        <v>0.01694915254</v>
      </c>
      <c r="Q34" s="40">
        <f t="shared" si="26"/>
        <v>0.02521008403</v>
      </c>
      <c r="R34" s="40">
        <f t="shared" si="26"/>
        <v>0</v>
      </c>
      <c r="S34" s="40">
        <f t="shared" si="26"/>
        <v>0</v>
      </c>
      <c r="T34" s="40">
        <f t="shared" si="26"/>
        <v>0</v>
      </c>
    </row>
    <row r="35" ht="15.75" customHeight="1">
      <c r="F35" s="23"/>
      <c r="G35" s="19">
        <f>$G$9</f>
        <v>1</v>
      </c>
      <c r="H35" s="20">
        <v>3.0</v>
      </c>
      <c r="I35" s="20">
        <v>0.0</v>
      </c>
      <c r="J35" s="20">
        <v>0.0</v>
      </c>
      <c r="K35" s="20">
        <v>0.0</v>
      </c>
      <c r="L35" s="20">
        <v>0.0</v>
      </c>
      <c r="N35" s="23"/>
      <c r="O35" s="19">
        <f>$G$9</f>
        <v>1</v>
      </c>
      <c r="P35" s="40">
        <f t="shared" ref="P35:T35" si="27">H35/U$59</f>
        <v>0.008474576271</v>
      </c>
      <c r="Q35" s="40">
        <f t="shared" si="27"/>
        <v>0</v>
      </c>
      <c r="R35" s="40">
        <f t="shared" si="27"/>
        <v>0</v>
      </c>
      <c r="S35" s="40">
        <f t="shared" si="27"/>
        <v>0</v>
      </c>
      <c r="T35" s="40">
        <f t="shared" si="27"/>
        <v>0</v>
      </c>
    </row>
    <row r="36" ht="15.75" customHeight="1">
      <c r="F36" s="23"/>
      <c r="G36" s="19">
        <f>$G$10</f>
        <v>2</v>
      </c>
      <c r="H36" s="16">
        <v>4.0</v>
      </c>
      <c r="I36" s="16">
        <v>0.0</v>
      </c>
      <c r="J36" s="16">
        <v>0.0</v>
      </c>
      <c r="K36" s="16">
        <v>1.0</v>
      </c>
      <c r="L36" s="16">
        <v>0.0</v>
      </c>
      <c r="N36" s="23"/>
      <c r="O36" s="19">
        <f>$G$10</f>
        <v>2</v>
      </c>
      <c r="P36" s="40">
        <f t="shared" ref="P36:T36" si="28">H36/U$59</f>
        <v>0.01129943503</v>
      </c>
      <c r="Q36" s="40">
        <f t="shared" si="28"/>
        <v>0</v>
      </c>
      <c r="R36" s="40">
        <f t="shared" si="28"/>
        <v>0</v>
      </c>
      <c r="S36" s="40">
        <f t="shared" si="28"/>
        <v>0.04347826087</v>
      </c>
      <c r="T36" s="40">
        <f t="shared" si="28"/>
        <v>0</v>
      </c>
    </row>
    <row r="37" ht="15.75" customHeight="1">
      <c r="F37" s="23"/>
      <c r="G37" s="19">
        <f>$G$11</f>
        <v>3</v>
      </c>
      <c r="H37" s="20">
        <v>0.0</v>
      </c>
      <c r="I37" s="20">
        <v>1.0</v>
      </c>
      <c r="J37" s="20">
        <v>0.0</v>
      </c>
      <c r="K37" s="20">
        <v>0.0</v>
      </c>
      <c r="L37" s="20">
        <v>0.0</v>
      </c>
      <c r="N37" s="23"/>
      <c r="O37" s="19">
        <f>$G$11</f>
        <v>3</v>
      </c>
      <c r="P37" s="40">
        <f t="shared" ref="P37:T37" si="29">H37/U$59</f>
        <v>0</v>
      </c>
      <c r="Q37" s="40">
        <f t="shared" si="29"/>
        <v>0.008403361345</v>
      </c>
      <c r="R37" s="40">
        <f t="shared" si="29"/>
        <v>0</v>
      </c>
      <c r="S37" s="40">
        <f t="shared" si="29"/>
        <v>0</v>
      </c>
      <c r="T37" s="40">
        <f t="shared" si="29"/>
        <v>0</v>
      </c>
    </row>
    <row r="38" ht="15.75" customHeight="1">
      <c r="F38" s="23"/>
      <c r="G38" s="19">
        <f>$G$12</f>
        <v>4</v>
      </c>
      <c r="H38" s="20">
        <v>1.0</v>
      </c>
      <c r="I38" s="20">
        <v>1.0</v>
      </c>
      <c r="J38" s="20">
        <v>0.0</v>
      </c>
      <c r="K38" s="20">
        <v>0.0</v>
      </c>
      <c r="L38" s="20">
        <v>0.0</v>
      </c>
      <c r="N38" s="23"/>
      <c r="O38" s="19">
        <f>$G$12</f>
        <v>4</v>
      </c>
      <c r="P38" s="40">
        <f t="shared" ref="P38:T38" si="30">H38/U$59</f>
        <v>0.002824858757</v>
      </c>
      <c r="Q38" s="40">
        <f t="shared" si="30"/>
        <v>0.008403361345</v>
      </c>
      <c r="R38" s="40">
        <f t="shared" si="30"/>
        <v>0</v>
      </c>
      <c r="S38" s="40">
        <f t="shared" si="30"/>
        <v>0</v>
      </c>
      <c r="T38" s="40">
        <f t="shared" si="30"/>
        <v>0</v>
      </c>
    </row>
    <row r="39" ht="15.75" customHeight="1">
      <c r="F39" s="23"/>
      <c r="G39" s="19">
        <f>$G$13</f>
        <v>5</v>
      </c>
      <c r="H39" s="20">
        <v>5.0</v>
      </c>
      <c r="I39" s="20">
        <v>3.0</v>
      </c>
      <c r="J39" s="20">
        <v>0.0</v>
      </c>
      <c r="K39" s="20">
        <v>0.0</v>
      </c>
      <c r="L39" s="20">
        <v>0.0</v>
      </c>
      <c r="N39" s="23"/>
      <c r="O39" s="19">
        <f>$G$13</f>
        <v>5</v>
      </c>
      <c r="P39" s="40">
        <f t="shared" ref="P39:T39" si="31">H39/U$59</f>
        <v>0.01412429379</v>
      </c>
      <c r="Q39" s="40">
        <f t="shared" si="31"/>
        <v>0.02521008403</v>
      </c>
      <c r="R39" s="40">
        <f t="shared" si="31"/>
        <v>0</v>
      </c>
      <c r="S39" s="40">
        <f t="shared" si="31"/>
        <v>0</v>
      </c>
      <c r="T39" s="40">
        <f t="shared" si="31"/>
        <v>0</v>
      </c>
    </row>
    <row r="40" ht="15.75" customHeight="1">
      <c r="F40" s="23"/>
      <c r="G40" s="19">
        <f>$G$14</f>
        <v>6</v>
      </c>
      <c r="H40" s="20">
        <v>7.0</v>
      </c>
      <c r="I40" s="20">
        <v>3.0</v>
      </c>
      <c r="J40" s="20">
        <v>0.0</v>
      </c>
      <c r="K40" s="20">
        <v>0.0</v>
      </c>
      <c r="L40" s="20">
        <v>0.0</v>
      </c>
      <c r="N40" s="23"/>
      <c r="O40" s="19">
        <f>$G$14</f>
        <v>6</v>
      </c>
      <c r="P40" s="40">
        <f t="shared" ref="P40:T40" si="32">H40/U$59</f>
        <v>0.0197740113</v>
      </c>
      <c r="Q40" s="40">
        <f t="shared" si="32"/>
        <v>0.02521008403</v>
      </c>
      <c r="R40" s="40">
        <f t="shared" si="32"/>
        <v>0</v>
      </c>
      <c r="S40" s="40">
        <f t="shared" si="32"/>
        <v>0</v>
      </c>
      <c r="T40" s="40">
        <f t="shared" si="32"/>
        <v>0</v>
      </c>
    </row>
    <row r="41" ht="15.75" customHeight="1">
      <c r="F41" s="23"/>
      <c r="G41" s="19">
        <f>$G$15</f>
        <v>7</v>
      </c>
      <c r="H41" s="20">
        <v>10.0</v>
      </c>
      <c r="I41" s="20">
        <v>2.0</v>
      </c>
      <c r="J41" s="20">
        <v>0.0</v>
      </c>
      <c r="K41" s="20">
        <v>0.0</v>
      </c>
      <c r="L41" s="20">
        <v>2.0</v>
      </c>
      <c r="N41" s="23"/>
      <c r="O41" s="19">
        <f>$G$15</f>
        <v>7</v>
      </c>
      <c r="P41" s="40">
        <f t="shared" ref="P41:T41" si="33">H41/U$59</f>
        <v>0.02824858757</v>
      </c>
      <c r="Q41" s="40">
        <f t="shared" si="33"/>
        <v>0.01680672269</v>
      </c>
      <c r="R41" s="40">
        <f t="shared" si="33"/>
        <v>0</v>
      </c>
      <c r="S41" s="40">
        <f t="shared" si="33"/>
        <v>0</v>
      </c>
      <c r="T41" s="40">
        <f t="shared" si="33"/>
        <v>0.1052631579</v>
      </c>
    </row>
    <row r="42" ht="15.75" customHeight="1">
      <c r="F42" s="23"/>
      <c r="G42" s="19">
        <f>$G$16</f>
        <v>8</v>
      </c>
      <c r="H42" s="20">
        <v>10.0</v>
      </c>
      <c r="I42" s="20">
        <v>4.0</v>
      </c>
      <c r="J42" s="20">
        <v>0.0</v>
      </c>
      <c r="K42" s="20">
        <v>0.0</v>
      </c>
      <c r="L42" s="20">
        <v>1.0</v>
      </c>
      <c r="N42" s="23"/>
      <c r="O42" s="19">
        <f>$G$16</f>
        <v>8</v>
      </c>
      <c r="P42" s="40">
        <f t="shared" ref="P42:T42" si="34">H42/U$59</f>
        <v>0.02824858757</v>
      </c>
      <c r="Q42" s="40">
        <f t="shared" si="34"/>
        <v>0.03361344538</v>
      </c>
      <c r="R42" s="40">
        <f t="shared" si="34"/>
        <v>0</v>
      </c>
      <c r="S42" s="40">
        <f t="shared" si="34"/>
        <v>0</v>
      </c>
      <c r="T42" s="40">
        <f t="shared" si="34"/>
        <v>0.05263157895</v>
      </c>
    </row>
    <row r="43" ht="15.75" customHeight="1">
      <c r="F43" s="23"/>
      <c r="G43" s="19">
        <f>$G$17</f>
        <v>9</v>
      </c>
      <c r="H43" s="20">
        <v>10.0</v>
      </c>
      <c r="I43" s="20">
        <v>4.0</v>
      </c>
      <c r="J43" s="20">
        <v>0.0</v>
      </c>
      <c r="K43" s="20">
        <v>1.0</v>
      </c>
      <c r="L43" s="20">
        <v>2.0</v>
      </c>
      <c r="N43" s="23"/>
      <c r="O43" s="19">
        <f>$G$17</f>
        <v>9</v>
      </c>
      <c r="P43" s="40">
        <f t="shared" ref="P43:T43" si="35">H43/U$59</f>
        <v>0.02824858757</v>
      </c>
      <c r="Q43" s="40">
        <f t="shared" si="35"/>
        <v>0.03361344538</v>
      </c>
      <c r="R43" s="40">
        <f t="shared" si="35"/>
        <v>0</v>
      </c>
      <c r="S43" s="40">
        <f t="shared" si="35"/>
        <v>0.04347826087</v>
      </c>
      <c r="T43" s="40">
        <f t="shared" si="35"/>
        <v>0.1052631579</v>
      </c>
    </row>
    <row r="44" ht="15.75" customHeight="1">
      <c r="F44" s="23"/>
      <c r="G44" s="19">
        <f>$G$18</f>
        <v>10</v>
      </c>
      <c r="H44" s="20">
        <v>27.0</v>
      </c>
      <c r="I44" s="20">
        <v>8.0</v>
      </c>
      <c r="J44" s="20">
        <v>0.0</v>
      </c>
      <c r="K44" s="20">
        <v>2.0</v>
      </c>
      <c r="L44" s="20">
        <v>4.0</v>
      </c>
      <c r="N44" s="23"/>
      <c r="O44" s="19">
        <f>$G$18</f>
        <v>10</v>
      </c>
      <c r="P44" s="40">
        <f t="shared" ref="P44:T44" si="36">H44/U$59</f>
        <v>0.07627118644</v>
      </c>
      <c r="Q44" s="40">
        <f t="shared" si="36"/>
        <v>0.06722689076</v>
      </c>
      <c r="R44" s="40">
        <f t="shared" si="36"/>
        <v>0</v>
      </c>
      <c r="S44" s="40">
        <f t="shared" si="36"/>
        <v>0.08695652174</v>
      </c>
      <c r="T44" s="40">
        <f t="shared" si="36"/>
        <v>0.2105263158</v>
      </c>
    </row>
    <row r="45" ht="15.75" customHeight="1">
      <c r="F45" s="23"/>
      <c r="G45" s="19">
        <f>$G$19</f>
        <v>11</v>
      </c>
      <c r="H45" s="20">
        <v>22.0</v>
      </c>
      <c r="I45" s="20">
        <v>9.0</v>
      </c>
      <c r="J45" s="20">
        <v>1.0</v>
      </c>
      <c r="K45" s="20">
        <v>2.0</v>
      </c>
      <c r="L45" s="20">
        <v>2.0</v>
      </c>
      <c r="N45" s="23"/>
      <c r="O45" s="19">
        <f>$G$19</f>
        <v>11</v>
      </c>
      <c r="P45" s="40">
        <f t="shared" ref="P45:T45" si="37">H45/U$59</f>
        <v>0.06214689266</v>
      </c>
      <c r="Q45" s="40">
        <f t="shared" si="37"/>
        <v>0.0756302521</v>
      </c>
      <c r="R45" s="40">
        <f t="shared" si="37"/>
        <v>1</v>
      </c>
      <c r="S45" s="40">
        <f t="shared" si="37"/>
        <v>0.08695652174</v>
      </c>
      <c r="T45" s="40">
        <f t="shared" si="37"/>
        <v>0.1052631579</v>
      </c>
    </row>
    <row r="46" ht="15.75" customHeight="1">
      <c r="F46" s="23"/>
      <c r="G46" s="19">
        <f>$G$20</f>
        <v>12</v>
      </c>
      <c r="H46" s="20">
        <v>22.0</v>
      </c>
      <c r="I46" s="20">
        <v>13.0</v>
      </c>
      <c r="J46" s="20">
        <v>0.0</v>
      </c>
      <c r="K46" s="20">
        <v>4.0</v>
      </c>
      <c r="L46" s="20">
        <v>0.0</v>
      </c>
      <c r="N46" s="23"/>
      <c r="O46" s="19">
        <f>$G$20</f>
        <v>12</v>
      </c>
      <c r="P46" s="40">
        <f t="shared" ref="P46:T46" si="38">H46/U$59</f>
        <v>0.06214689266</v>
      </c>
      <c r="Q46" s="40">
        <f t="shared" si="38"/>
        <v>0.1092436975</v>
      </c>
      <c r="R46" s="40">
        <f t="shared" si="38"/>
        <v>0</v>
      </c>
      <c r="S46" s="40">
        <f t="shared" si="38"/>
        <v>0.1739130435</v>
      </c>
      <c r="T46" s="40">
        <f t="shared" si="38"/>
        <v>0</v>
      </c>
    </row>
    <row r="47" ht="15.75" customHeight="1">
      <c r="F47" s="23"/>
      <c r="G47" s="19">
        <f>$G$21</f>
        <v>13</v>
      </c>
      <c r="H47" s="20">
        <v>22.0</v>
      </c>
      <c r="I47" s="20">
        <v>3.0</v>
      </c>
      <c r="J47" s="20">
        <v>0.0</v>
      </c>
      <c r="K47" s="20">
        <v>3.0</v>
      </c>
      <c r="L47" s="20">
        <v>3.0</v>
      </c>
      <c r="N47" s="23"/>
      <c r="O47" s="19">
        <f>$G$21</f>
        <v>13</v>
      </c>
      <c r="P47" s="40">
        <f t="shared" ref="P47:T47" si="39">H47/U$59</f>
        <v>0.06214689266</v>
      </c>
      <c r="Q47" s="40">
        <f t="shared" si="39"/>
        <v>0.02521008403</v>
      </c>
      <c r="R47" s="40">
        <f t="shared" si="39"/>
        <v>0</v>
      </c>
      <c r="S47" s="40">
        <f t="shared" si="39"/>
        <v>0.1304347826</v>
      </c>
      <c r="T47" s="40">
        <f t="shared" si="39"/>
        <v>0.1578947368</v>
      </c>
    </row>
    <row r="48" ht="15.75" customHeight="1">
      <c r="F48" s="23"/>
      <c r="G48" s="19">
        <f>$G$22</f>
        <v>14</v>
      </c>
      <c r="H48" s="20">
        <v>25.0</v>
      </c>
      <c r="I48" s="20">
        <v>12.0</v>
      </c>
      <c r="J48" s="20">
        <v>0.0</v>
      </c>
      <c r="K48" s="20">
        <v>4.0</v>
      </c>
      <c r="L48" s="20">
        <v>0.0</v>
      </c>
      <c r="N48" s="23"/>
      <c r="O48" s="19">
        <f>$G$22</f>
        <v>14</v>
      </c>
      <c r="P48" s="40">
        <f t="shared" ref="P48:T48" si="40">H48/U$59</f>
        <v>0.07062146893</v>
      </c>
      <c r="Q48" s="40">
        <f t="shared" si="40"/>
        <v>0.1008403361</v>
      </c>
      <c r="R48" s="40">
        <f t="shared" si="40"/>
        <v>0</v>
      </c>
      <c r="S48" s="40">
        <f t="shared" si="40"/>
        <v>0.1739130435</v>
      </c>
      <c r="T48" s="40">
        <f t="shared" si="40"/>
        <v>0</v>
      </c>
    </row>
    <row r="49" ht="15.75" customHeight="1">
      <c r="F49" s="23"/>
      <c r="G49" s="19">
        <f>$G$23</f>
        <v>15</v>
      </c>
      <c r="H49" s="20">
        <v>30.0</v>
      </c>
      <c r="I49" s="20">
        <v>9.0</v>
      </c>
      <c r="J49" s="20">
        <v>0.0</v>
      </c>
      <c r="K49" s="20">
        <v>0.0</v>
      </c>
      <c r="L49" s="20">
        <v>0.0</v>
      </c>
      <c r="N49" s="23"/>
      <c r="O49" s="19">
        <f>$G$23</f>
        <v>15</v>
      </c>
      <c r="P49" s="40">
        <f t="shared" ref="P49:T49" si="41">H49/U$59</f>
        <v>0.08474576271</v>
      </c>
      <c r="Q49" s="40">
        <f t="shared" si="41"/>
        <v>0.0756302521</v>
      </c>
      <c r="R49" s="40">
        <f t="shared" si="41"/>
        <v>0</v>
      </c>
      <c r="S49" s="40">
        <f t="shared" si="41"/>
        <v>0</v>
      </c>
      <c r="T49" s="40">
        <f t="shared" si="41"/>
        <v>0</v>
      </c>
    </row>
    <row r="50" ht="15.75" customHeight="1">
      <c r="F50" s="23"/>
      <c r="G50" s="19">
        <f>$G$24</f>
        <v>16</v>
      </c>
      <c r="H50" s="20">
        <v>41.0</v>
      </c>
      <c r="I50" s="20">
        <v>10.0</v>
      </c>
      <c r="J50" s="20">
        <v>0.0</v>
      </c>
      <c r="K50" s="20">
        <v>4.0</v>
      </c>
      <c r="L50" s="20">
        <v>0.0</v>
      </c>
      <c r="N50" s="23"/>
      <c r="O50" s="19">
        <f>$G$24</f>
        <v>16</v>
      </c>
      <c r="P50" s="40">
        <f t="shared" ref="P50:T50" si="42">H50/U$59</f>
        <v>0.115819209</v>
      </c>
      <c r="Q50" s="40">
        <f t="shared" si="42"/>
        <v>0.08403361345</v>
      </c>
      <c r="R50" s="40">
        <f t="shared" si="42"/>
        <v>0</v>
      </c>
      <c r="S50" s="40">
        <f t="shared" si="42"/>
        <v>0.1739130435</v>
      </c>
      <c r="T50" s="40">
        <f t="shared" si="42"/>
        <v>0</v>
      </c>
    </row>
    <row r="51" ht="15.75" customHeight="1">
      <c r="F51" s="23"/>
      <c r="G51" s="19">
        <f>$G$25</f>
        <v>17</v>
      </c>
      <c r="H51" s="20">
        <v>39.0</v>
      </c>
      <c r="I51" s="20">
        <v>10.0</v>
      </c>
      <c r="J51" s="20">
        <v>0.0</v>
      </c>
      <c r="K51" s="20">
        <v>1.0</v>
      </c>
      <c r="L51" s="20">
        <v>1.0</v>
      </c>
      <c r="N51" s="23"/>
      <c r="O51" s="19">
        <f>$G$25</f>
        <v>17</v>
      </c>
      <c r="P51" s="40">
        <f t="shared" ref="P51:T51" si="43">H51/U$59</f>
        <v>0.1101694915</v>
      </c>
      <c r="Q51" s="40">
        <f t="shared" si="43"/>
        <v>0.08403361345</v>
      </c>
      <c r="R51" s="40">
        <f t="shared" si="43"/>
        <v>0</v>
      </c>
      <c r="S51" s="40">
        <f t="shared" si="43"/>
        <v>0.04347826087</v>
      </c>
      <c r="T51" s="40">
        <f t="shared" si="43"/>
        <v>0.05263157895</v>
      </c>
    </row>
    <row r="52" ht="15.75" customHeight="1">
      <c r="F52" s="23"/>
      <c r="G52" s="19">
        <f>$G$26</f>
        <v>18</v>
      </c>
      <c r="H52" s="20">
        <v>22.0</v>
      </c>
      <c r="I52" s="20">
        <v>7.0</v>
      </c>
      <c r="J52" s="20">
        <v>0.0</v>
      </c>
      <c r="K52" s="20">
        <v>1.0</v>
      </c>
      <c r="L52" s="20">
        <v>1.0</v>
      </c>
      <c r="N52" s="23"/>
      <c r="O52" s="19">
        <f>$G$26</f>
        <v>18</v>
      </c>
      <c r="P52" s="40">
        <f t="shared" ref="P52:T52" si="44">H52/U$59</f>
        <v>0.06214689266</v>
      </c>
      <c r="Q52" s="40">
        <f t="shared" si="44"/>
        <v>0.05882352941</v>
      </c>
      <c r="R52" s="40">
        <f t="shared" si="44"/>
        <v>0</v>
      </c>
      <c r="S52" s="40">
        <f t="shared" si="44"/>
        <v>0.04347826087</v>
      </c>
      <c r="T52" s="40">
        <f t="shared" si="44"/>
        <v>0.05263157895</v>
      </c>
    </row>
    <row r="53" ht="15.75" customHeight="1">
      <c r="F53" s="23"/>
      <c r="G53" s="19">
        <f>$G$27</f>
        <v>19</v>
      </c>
      <c r="H53" s="20">
        <v>11.0</v>
      </c>
      <c r="I53" s="20">
        <v>7.0</v>
      </c>
      <c r="J53" s="20">
        <v>0.0</v>
      </c>
      <c r="K53" s="20">
        <v>0.0</v>
      </c>
      <c r="L53" s="20">
        <v>0.0</v>
      </c>
      <c r="N53" s="23"/>
      <c r="O53" s="19">
        <f>$G$27</f>
        <v>19</v>
      </c>
      <c r="P53" s="40">
        <f t="shared" ref="P53:T53" si="45">H53/U$59</f>
        <v>0.03107344633</v>
      </c>
      <c r="Q53" s="40">
        <f t="shared" si="45"/>
        <v>0.05882352941</v>
      </c>
      <c r="R53" s="40">
        <f t="shared" si="45"/>
        <v>0</v>
      </c>
      <c r="S53" s="40">
        <f t="shared" si="45"/>
        <v>0</v>
      </c>
      <c r="T53" s="40">
        <f t="shared" si="45"/>
        <v>0</v>
      </c>
    </row>
    <row r="54" ht="15.75" customHeight="1">
      <c r="F54" s="23"/>
      <c r="G54" s="19">
        <f>$G$28</f>
        <v>20</v>
      </c>
      <c r="H54" s="20">
        <v>11.0</v>
      </c>
      <c r="I54" s="20">
        <v>2.0</v>
      </c>
      <c r="J54" s="20">
        <v>0.0</v>
      </c>
      <c r="K54" s="20">
        <v>0.0</v>
      </c>
      <c r="L54" s="20">
        <v>1.0</v>
      </c>
      <c r="N54" s="23"/>
      <c r="O54" s="19">
        <f>$G$28</f>
        <v>20</v>
      </c>
      <c r="P54" s="40">
        <f t="shared" ref="P54:T54" si="46">H54/U$59</f>
        <v>0.03107344633</v>
      </c>
      <c r="Q54" s="40">
        <f t="shared" si="46"/>
        <v>0.01680672269</v>
      </c>
      <c r="R54" s="40">
        <f t="shared" si="46"/>
        <v>0</v>
      </c>
      <c r="S54" s="40">
        <f t="shared" si="46"/>
        <v>0</v>
      </c>
      <c r="T54" s="40">
        <f t="shared" si="46"/>
        <v>0.05263157895</v>
      </c>
    </row>
    <row r="55" ht="15.75" customHeight="1">
      <c r="F55" s="23"/>
      <c r="G55" s="19">
        <f>$G$29</f>
        <v>21</v>
      </c>
      <c r="H55" s="20">
        <v>13.0</v>
      </c>
      <c r="I55" s="20">
        <v>5.0</v>
      </c>
      <c r="J55" s="20">
        <v>0.0</v>
      </c>
      <c r="K55" s="20">
        <v>0.0</v>
      </c>
      <c r="L55" s="20">
        <v>1.0</v>
      </c>
      <c r="N55" s="23"/>
      <c r="O55" s="19">
        <f>$G$29</f>
        <v>21</v>
      </c>
      <c r="P55" s="40">
        <f t="shared" ref="P55:T55" si="47">H55/U$59</f>
        <v>0.03672316384</v>
      </c>
      <c r="Q55" s="40">
        <f t="shared" si="47"/>
        <v>0.04201680672</v>
      </c>
      <c r="R55" s="40">
        <f t="shared" si="47"/>
        <v>0</v>
      </c>
      <c r="S55" s="40">
        <f t="shared" si="47"/>
        <v>0</v>
      </c>
      <c r="T55" s="40">
        <f t="shared" si="47"/>
        <v>0.05263157895</v>
      </c>
    </row>
    <row r="56" ht="15.75" customHeight="1">
      <c r="F56" s="23"/>
      <c r="G56" s="19">
        <f>$G$30</f>
        <v>22</v>
      </c>
      <c r="H56" s="20">
        <v>8.0</v>
      </c>
      <c r="I56" s="20">
        <v>2.0</v>
      </c>
      <c r="J56" s="20">
        <v>0.0</v>
      </c>
      <c r="K56" s="20">
        <v>0.0</v>
      </c>
      <c r="L56" s="20">
        <v>0.0</v>
      </c>
      <c r="N56" s="23"/>
      <c r="O56" s="19">
        <f>$G$30</f>
        <v>22</v>
      </c>
      <c r="P56" s="40">
        <f t="shared" ref="P56:T56" si="48">H56/U$59</f>
        <v>0.02259887006</v>
      </c>
      <c r="Q56" s="40">
        <f t="shared" si="48"/>
        <v>0.01680672269</v>
      </c>
      <c r="R56" s="40">
        <f t="shared" si="48"/>
        <v>0</v>
      </c>
      <c r="S56" s="40">
        <f t="shared" si="48"/>
        <v>0</v>
      </c>
      <c r="T56" s="40">
        <f t="shared" si="48"/>
        <v>0</v>
      </c>
    </row>
    <row r="57" ht="15.75" customHeight="1">
      <c r="F57" s="27"/>
      <c r="G57" s="19">
        <f>$G$31</f>
        <v>23</v>
      </c>
      <c r="H57" s="20">
        <v>5.0</v>
      </c>
      <c r="I57" s="20">
        <v>1.0</v>
      </c>
      <c r="J57" s="20">
        <v>0.0</v>
      </c>
      <c r="K57" s="20">
        <v>0.0</v>
      </c>
      <c r="L57" s="20">
        <v>1.0</v>
      </c>
      <c r="N57" s="27"/>
      <c r="O57" s="19">
        <f>$G$31</f>
        <v>23</v>
      </c>
      <c r="P57" s="40">
        <f t="shared" ref="P57:T57" si="49">H57/U$59</f>
        <v>0.01412429379</v>
      </c>
      <c r="Q57" s="40">
        <f t="shared" si="49"/>
        <v>0.008403361345</v>
      </c>
      <c r="R57" s="40">
        <f t="shared" si="49"/>
        <v>0</v>
      </c>
      <c r="S57" s="40">
        <f t="shared" si="49"/>
        <v>0</v>
      </c>
      <c r="T57" s="40">
        <f t="shared" si="49"/>
        <v>0.05263157895</v>
      </c>
    </row>
    <row r="58" ht="15.75" customHeight="1">
      <c r="A58" s="16" t="s">
        <v>68</v>
      </c>
      <c r="F58" s="56">
        <v>45209.0</v>
      </c>
      <c r="G58" s="19">
        <f>$G$8</f>
        <v>0</v>
      </c>
      <c r="H58" s="20">
        <v>6.0</v>
      </c>
      <c r="I58" s="20">
        <v>1.0</v>
      </c>
      <c r="J58" s="20">
        <v>0.0</v>
      </c>
      <c r="K58" s="20">
        <v>0.0</v>
      </c>
      <c r="L58" s="20">
        <v>0.0</v>
      </c>
      <c r="N58" s="56">
        <v>45209.0</v>
      </c>
      <c r="O58" s="19">
        <f>$G$8</f>
        <v>0</v>
      </c>
      <c r="P58" s="40">
        <f t="shared" ref="P58:T58" si="50">H58/U$83</f>
        <v>0.02205882353</v>
      </c>
      <c r="Q58" s="40">
        <f t="shared" si="50"/>
        <v>0.01204819277</v>
      </c>
      <c r="R58" s="40">
        <f t="shared" si="50"/>
        <v>0</v>
      </c>
      <c r="S58" s="40">
        <f t="shared" si="50"/>
        <v>0</v>
      </c>
      <c r="T58" s="40">
        <f t="shared" si="50"/>
        <v>0</v>
      </c>
    </row>
    <row r="59" ht="15.75" customHeight="1">
      <c r="A59" s="16" t="s">
        <v>69</v>
      </c>
      <c r="F59" s="23"/>
      <c r="G59" s="19">
        <f>$G$9</f>
        <v>1</v>
      </c>
      <c r="H59" s="20">
        <v>2.0</v>
      </c>
      <c r="I59" s="20">
        <v>1.0</v>
      </c>
      <c r="J59" s="20">
        <v>0.0</v>
      </c>
      <c r="K59" s="20">
        <v>0.0</v>
      </c>
      <c r="L59" s="20">
        <v>0.0</v>
      </c>
      <c r="N59" s="23"/>
      <c r="O59" s="19">
        <f>$G$9</f>
        <v>1</v>
      </c>
      <c r="P59" s="40">
        <f t="shared" ref="P59:T59" si="51">H59/U$83</f>
        <v>0.007352941176</v>
      </c>
      <c r="Q59" s="40">
        <f t="shared" si="51"/>
        <v>0.01204819277</v>
      </c>
      <c r="R59" s="40">
        <f t="shared" si="51"/>
        <v>0</v>
      </c>
      <c r="S59" s="40">
        <f t="shared" si="51"/>
        <v>0</v>
      </c>
      <c r="T59" s="40">
        <f t="shared" si="51"/>
        <v>0</v>
      </c>
      <c r="U59" s="26">
        <f t="shared" ref="U59:Y59" si="52">SUM(H34:H57)</f>
        <v>354</v>
      </c>
      <c r="V59" s="26">
        <f t="shared" si="52"/>
        <v>119</v>
      </c>
      <c r="W59" s="26">
        <f t="shared" si="52"/>
        <v>1</v>
      </c>
      <c r="X59" s="26">
        <f t="shared" si="52"/>
        <v>23</v>
      </c>
      <c r="Y59" s="26">
        <f t="shared" si="52"/>
        <v>19</v>
      </c>
    </row>
    <row r="60" ht="15.75" customHeight="1">
      <c r="A60" s="16" t="s">
        <v>70</v>
      </c>
      <c r="F60" s="23"/>
      <c r="G60" s="19">
        <f>$G$10</f>
        <v>2</v>
      </c>
      <c r="H60" s="16">
        <v>2.0</v>
      </c>
      <c r="I60" s="16">
        <v>0.0</v>
      </c>
      <c r="J60" s="16">
        <v>0.0</v>
      </c>
      <c r="K60" s="16">
        <v>0.0</v>
      </c>
      <c r="L60" s="16">
        <v>0.0</v>
      </c>
      <c r="N60" s="23"/>
      <c r="O60" s="19">
        <f>$G$10</f>
        <v>2</v>
      </c>
      <c r="P60" s="40">
        <f t="shared" ref="P60:T60" si="53">H60/U$83</f>
        <v>0.007352941176</v>
      </c>
      <c r="Q60" s="40">
        <f t="shared" si="53"/>
        <v>0</v>
      </c>
      <c r="R60" s="40">
        <f t="shared" si="53"/>
        <v>0</v>
      </c>
      <c r="S60" s="40">
        <f t="shared" si="53"/>
        <v>0</v>
      </c>
      <c r="T60" s="40">
        <f t="shared" si="53"/>
        <v>0</v>
      </c>
      <c r="U60" s="17">
        <f>$H$7</f>
        <v>31</v>
      </c>
      <c r="V60" s="17">
        <f>$I$7</f>
        <v>32</v>
      </c>
      <c r="W60" s="17">
        <f>$J$7</f>
        <v>41</v>
      </c>
      <c r="X60" s="17">
        <f>$K$7</f>
        <v>42</v>
      </c>
      <c r="Y60" s="17">
        <f>$L$7</f>
        <v>5</v>
      </c>
      <c r="AB60" s="16"/>
      <c r="AC60" s="17">
        <f>$H$7</f>
        <v>31</v>
      </c>
      <c r="AD60" s="17">
        <f>$I$7</f>
        <v>32</v>
      </c>
      <c r="AE60" s="17">
        <f>$J$7</f>
        <v>41</v>
      </c>
      <c r="AF60" s="17">
        <f>$K$7</f>
        <v>42</v>
      </c>
      <c r="AG60" s="17">
        <f>$L$7</f>
        <v>5</v>
      </c>
    </row>
    <row r="61" ht="15.75" customHeight="1">
      <c r="A61" s="16" t="s">
        <v>71</v>
      </c>
      <c r="F61" s="23"/>
      <c r="G61" s="19">
        <f>$G$11</f>
        <v>3</v>
      </c>
      <c r="H61" s="20">
        <v>2.0</v>
      </c>
      <c r="I61" s="20">
        <v>1.0</v>
      </c>
      <c r="J61" s="20">
        <v>0.0</v>
      </c>
      <c r="K61" s="20">
        <v>1.0</v>
      </c>
      <c r="L61" s="20">
        <v>0.0</v>
      </c>
      <c r="N61" s="23"/>
      <c r="O61" s="19">
        <f>$G$11</f>
        <v>3</v>
      </c>
      <c r="P61" s="40">
        <f t="shared" ref="P61:T61" si="54">H61/U$83</f>
        <v>0.007352941176</v>
      </c>
      <c r="Q61" s="40">
        <f t="shared" si="54"/>
        <v>0.01204819277</v>
      </c>
      <c r="R61" s="40">
        <f t="shared" si="54"/>
        <v>0</v>
      </c>
      <c r="S61" s="40">
        <f t="shared" si="54"/>
        <v>0.07142857143</v>
      </c>
      <c r="T61" s="40">
        <f t="shared" si="54"/>
        <v>0</v>
      </c>
    </row>
    <row r="62" ht="15.75" customHeight="1">
      <c r="A62" s="16" t="s">
        <v>72</v>
      </c>
      <c r="F62" s="23"/>
      <c r="G62" s="19">
        <f>$G$12</f>
        <v>4</v>
      </c>
      <c r="H62" s="20">
        <v>4.0</v>
      </c>
      <c r="I62" s="20">
        <v>1.0</v>
      </c>
      <c r="J62" s="20">
        <v>1.0</v>
      </c>
      <c r="K62" s="20">
        <v>0.0</v>
      </c>
      <c r="L62" s="20">
        <v>0.0</v>
      </c>
      <c r="N62" s="23"/>
      <c r="O62" s="19">
        <f>$G$12</f>
        <v>4</v>
      </c>
      <c r="P62" s="40">
        <f t="shared" ref="P62:T62" si="55">H62/U$83</f>
        <v>0.01470588235</v>
      </c>
      <c r="Q62" s="40">
        <f t="shared" si="55"/>
        <v>0.01204819277</v>
      </c>
      <c r="R62" s="40">
        <f t="shared" si="55"/>
        <v>0.1666666667</v>
      </c>
      <c r="S62" s="40">
        <f t="shared" si="55"/>
        <v>0</v>
      </c>
      <c r="T62" s="40">
        <f t="shared" si="55"/>
        <v>0</v>
      </c>
    </row>
    <row r="63" ht="15.75" customHeight="1">
      <c r="A63" s="16" t="s">
        <v>73</v>
      </c>
      <c r="F63" s="23"/>
      <c r="G63" s="19">
        <f>$G$13</f>
        <v>5</v>
      </c>
      <c r="H63" s="20">
        <v>3.0</v>
      </c>
      <c r="I63" s="20">
        <v>1.0</v>
      </c>
      <c r="J63" s="20">
        <v>0.0</v>
      </c>
      <c r="K63" s="20">
        <v>0.0</v>
      </c>
      <c r="L63" s="20">
        <v>0.0</v>
      </c>
      <c r="N63" s="23"/>
      <c r="O63" s="19">
        <f>$G$13</f>
        <v>5</v>
      </c>
      <c r="P63" s="40">
        <f t="shared" ref="P63:T63" si="56">H63/U$83</f>
        <v>0.01102941176</v>
      </c>
      <c r="Q63" s="40">
        <f t="shared" si="56"/>
        <v>0.01204819277</v>
      </c>
      <c r="R63" s="40">
        <f t="shared" si="56"/>
        <v>0</v>
      </c>
      <c r="S63" s="40">
        <f t="shared" si="56"/>
        <v>0</v>
      </c>
      <c r="T63" s="40">
        <f t="shared" si="56"/>
        <v>0</v>
      </c>
    </row>
    <row r="64" ht="15.75" customHeight="1">
      <c r="A64" s="16" t="s">
        <v>74</v>
      </c>
      <c r="F64" s="23"/>
      <c r="G64" s="19">
        <f>$G$14</f>
        <v>6</v>
      </c>
      <c r="H64" s="20">
        <v>5.0</v>
      </c>
      <c r="I64" s="20">
        <v>2.0</v>
      </c>
      <c r="J64" s="20">
        <v>0.0</v>
      </c>
      <c r="K64" s="20">
        <v>0.0</v>
      </c>
      <c r="L64" s="20">
        <v>0.0</v>
      </c>
      <c r="N64" s="23"/>
      <c r="O64" s="19">
        <f>$G$14</f>
        <v>6</v>
      </c>
      <c r="P64" s="40">
        <f t="shared" ref="P64:T64" si="57">H64/U$83</f>
        <v>0.01838235294</v>
      </c>
      <c r="Q64" s="40">
        <f t="shared" si="57"/>
        <v>0.02409638554</v>
      </c>
      <c r="R64" s="40">
        <f t="shared" si="57"/>
        <v>0</v>
      </c>
      <c r="S64" s="40">
        <f t="shared" si="57"/>
        <v>0</v>
      </c>
      <c r="T64" s="40">
        <f t="shared" si="57"/>
        <v>0</v>
      </c>
    </row>
    <row r="65" ht="15.75" customHeight="1">
      <c r="A65" s="16" t="s">
        <v>75</v>
      </c>
      <c r="F65" s="23"/>
      <c r="G65" s="19">
        <f>$G$15</f>
        <v>7</v>
      </c>
      <c r="H65" s="20">
        <v>5.0</v>
      </c>
      <c r="I65" s="20">
        <v>4.0</v>
      </c>
      <c r="J65" s="20">
        <v>0.0</v>
      </c>
      <c r="K65" s="20">
        <v>0.0</v>
      </c>
      <c r="L65" s="20">
        <v>2.0</v>
      </c>
      <c r="N65" s="23"/>
      <c r="O65" s="19">
        <f>$G$15</f>
        <v>7</v>
      </c>
      <c r="P65" s="40">
        <f t="shared" ref="P65:T65" si="58">H65/U$83</f>
        <v>0.01838235294</v>
      </c>
      <c r="Q65" s="40">
        <f t="shared" si="58"/>
        <v>0.04819277108</v>
      </c>
      <c r="R65" s="40">
        <f t="shared" si="58"/>
        <v>0</v>
      </c>
      <c r="S65" s="40">
        <f t="shared" si="58"/>
        <v>0</v>
      </c>
      <c r="T65" s="40">
        <f t="shared" si="58"/>
        <v>0.125</v>
      </c>
    </row>
    <row r="66" ht="15.75" customHeight="1">
      <c r="A66" s="16" t="s">
        <v>76</v>
      </c>
      <c r="F66" s="23"/>
      <c r="G66" s="19">
        <f>$G$16</f>
        <v>8</v>
      </c>
      <c r="H66" s="20">
        <v>9.0</v>
      </c>
      <c r="I66" s="20">
        <v>3.0</v>
      </c>
      <c r="J66" s="20">
        <v>0.0</v>
      </c>
      <c r="K66" s="20">
        <v>3.0</v>
      </c>
      <c r="L66" s="20">
        <v>1.0</v>
      </c>
      <c r="N66" s="23"/>
      <c r="O66" s="19">
        <f>$G$16</f>
        <v>8</v>
      </c>
      <c r="P66" s="40">
        <f t="shared" ref="P66:T66" si="59">H66/U$83</f>
        <v>0.03308823529</v>
      </c>
      <c r="Q66" s="40">
        <f t="shared" si="59"/>
        <v>0.03614457831</v>
      </c>
      <c r="R66" s="40">
        <f t="shared" si="59"/>
        <v>0</v>
      </c>
      <c r="S66" s="40">
        <f t="shared" si="59"/>
        <v>0.2142857143</v>
      </c>
      <c r="T66" s="40">
        <f t="shared" si="59"/>
        <v>0.0625</v>
      </c>
    </row>
    <row r="67" ht="15.75" customHeight="1">
      <c r="A67" s="16" t="s">
        <v>77</v>
      </c>
      <c r="F67" s="23"/>
      <c r="G67" s="19">
        <f>$G$17</f>
        <v>9</v>
      </c>
      <c r="H67" s="20">
        <v>17.0</v>
      </c>
      <c r="I67" s="20">
        <v>1.0</v>
      </c>
      <c r="J67" s="20">
        <v>0.0</v>
      </c>
      <c r="K67" s="20">
        <v>0.0</v>
      </c>
      <c r="L67" s="20">
        <v>2.0</v>
      </c>
      <c r="N67" s="23"/>
      <c r="O67" s="19">
        <f>$G$17</f>
        <v>9</v>
      </c>
      <c r="P67" s="40">
        <f t="shared" ref="P67:T67" si="60">H67/U$83</f>
        <v>0.0625</v>
      </c>
      <c r="Q67" s="40">
        <f t="shared" si="60"/>
        <v>0.01204819277</v>
      </c>
      <c r="R67" s="40">
        <f t="shared" si="60"/>
        <v>0</v>
      </c>
      <c r="S67" s="40">
        <f t="shared" si="60"/>
        <v>0</v>
      </c>
      <c r="T67" s="40">
        <f t="shared" si="60"/>
        <v>0.125</v>
      </c>
    </row>
    <row r="68" ht="15.75" customHeight="1">
      <c r="A68" s="16" t="s">
        <v>78</v>
      </c>
      <c r="F68" s="23"/>
      <c r="G68" s="19">
        <f>$G$18</f>
        <v>10</v>
      </c>
      <c r="H68" s="20">
        <v>16.0</v>
      </c>
      <c r="I68" s="20">
        <v>7.0</v>
      </c>
      <c r="J68" s="20">
        <v>0.0</v>
      </c>
      <c r="K68" s="20">
        <v>1.0</v>
      </c>
      <c r="L68" s="20">
        <v>1.0</v>
      </c>
      <c r="N68" s="23"/>
      <c r="O68" s="19">
        <f>$G$18</f>
        <v>10</v>
      </c>
      <c r="P68" s="40">
        <f t="shared" ref="P68:T68" si="61">H68/U$83</f>
        <v>0.05882352941</v>
      </c>
      <c r="Q68" s="40">
        <f t="shared" si="61"/>
        <v>0.0843373494</v>
      </c>
      <c r="R68" s="40">
        <f t="shared" si="61"/>
        <v>0</v>
      </c>
      <c r="S68" s="40">
        <f t="shared" si="61"/>
        <v>0.07142857143</v>
      </c>
      <c r="T68" s="40">
        <f t="shared" si="61"/>
        <v>0.0625</v>
      </c>
    </row>
    <row r="69" ht="15.75" customHeight="1">
      <c r="A69" s="16" t="s">
        <v>79</v>
      </c>
      <c r="F69" s="23"/>
      <c r="G69" s="19">
        <f>$G$19</f>
        <v>11</v>
      </c>
      <c r="H69" s="20">
        <v>21.0</v>
      </c>
      <c r="I69" s="20">
        <v>8.0</v>
      </c>
      <c r="J69" s="20">
        <v>0.0</v>
      </c>
      <c r="K69" s="20">
        <v>2.0</v>
      </c>
      <c r="L69" s="20">
        <v>1.0</v>
      </c>
      <c r="N69" s="23"/>
      <c r="O69" s="19">
        <f>$G$19</f>
        <v>11</v>
      </c>
      <c r="P69" s="40">
        <f t="shared" ref="P69:T69" si="62">H69/U$83</f>
        <v>0.07720588235</v>
      </c>
      <c r="Q69" s="40">
        <f t="shared" si="62"/>
        <v>0.09638554217</v>
      </c>
      <c r="R69" s="40">
        <f t="shared" si="62"/>
        <v>0</v>
      </c>
      <c r="S69" s="40">
        <f t="shared" si="62"/>
        <v>0.1428571429</v>
      </c>
      <c r="T69" s="40">
        <f t="shared" si="62"/>
        <v>0.0625</v>
      </c>
    </row>
    <row r="70" ht="15.75" customHeight="1">
      <c r="A70" s="16" t="s">
        <v>80</v>
      </c>
      <c r="F70" s="23"/>
      <c r="G70" s="19">
        <f>$G$20</f>
        <v>12</v>
      </c>
      <c r="H70" s="20">
        <v>15.0</v>
      </c>
      <c r="I70" s="20">
        <v>7.0</v>
      </c>
      <c r="J70" s="20">
        <v>1.0</v>
      </c>
      <c r="K70" s="20">
        <v>2.0</v>
      </c>
      <c r="L70" s="20">
        <v>1.0</v>
      </c>
      <c r="N70" s="23"/>
      <c r="O70" s="19">
        <f>$G$20</f>
        <v>12</v>
      </c>
      <c r="P70" s="40">
        <f t="shared" ref="P70:T70" si="63">H70/U$83</f>
        <v>0.05514705882</v>
      </c>
      <c r="Q70" s="40">
        <f t="shared" si="63"/>
        <v>0.0843373494</v>
      </c>
      <c r="R70" s="40">
        <f t="shared" si="63"/>
        <v>0.1666666667</v>
      </c>
      <c r="S70" s="40">
        <f t="shared" si="63"/>
        <v>0.1428571429</v>
      </c>
      <c r="T70" s="40">
        <f t="shared" si="63"/>
        <v>0.0625</v>
      </c>
    </row>
    <row r="71" ht="15.75" customHeight="1">
      <c r="A71" s="16" t="s">
        <v>81</v>
      </c>
      <c r="F71" s="23"/>
      <c r="G71" s="19">
        <f>$G$21</f>
        <v>13</v>
      </c>
      <c r="H71" s="20">
        <v>14.0</v>
      </c>
      <c r="I71" s="20">
        <v>2.0</v>
      </c>
      <c r="J71" s="20">
        <v>0.0</v>
      </c>
      <c r="K71" s="20">
        <v>1.0</v>
      </c>
      <c r="L71" s="20">
        <v>5.0</v>
      </c>
      <c r="N71" s="23"/>
      <c r="O71" s="19">
        <f>$G$21</f>
        <v>13</v>
      </c>
      <c r="P71" s="40">
        <f t="shared" ref="P71:T71" si="64">H71/U$83</f>
        <v>0.05147058824</v>
      </c>
      <c r="Q71" s="40">
        <f t="shared" si="64"/>
        <v>0.02409638554</v>
      </c>
      <c r="R71" s="40">
        <f t="shared" si="64"/>
        <v>0</v>
      </c>
      <c r="S71" s="40">
        <f t="shared" si="64"/>
        <v>0.07142857143</v>
      </c>
      <c r="T71" s="40">
        <f t="shared" si="64"/>
        <v>0.3125</v>
      </c>
    </row>
    <row r="72" ht="15.75" customHeight="1">
      <c r="A72" s="16" t="s">
        <v>82</v>
      </c>
      <c r="F72" s="23"/>
      <c r="G72" s="19">
        <f>$G$22</f>
        <v>14</v>
      </c>
      <c r="H72" s="20">
        <v>8.0</v>
      </c>
      <c r="I72" s="20">
        <v>6.0</v>
      </c>
      <c r="J72" s="20">
        <v>0.0</v>
      </c>
      <c r="K72" s="20">
        <v>1.0</v>
      </c>
      <c r="L72" s="20">
        <v>1.0</v>
      </c>
      <c r="N72" s="23"/>
      <c r="O72" s="19">
        <f>$G$22</f>
        <v>14</v>
      </c>
      <c r="P72" s="40">
        <f t="shared" ref="P72:T72" si="65">H72/U$83</f>
        <v>0.02941176471</v>
      </c>
      <c r="Q72" s="40">
        <f t="shared" si="65"/>
        <v>0.07228915663</v>
      </c>
      <c r="R72" s="40">
        <f t="shared" si="65"/>
        <v>0</v>
      </c>
      <c r="S72" s="40">
        <f t="shared" si="65"/>
        <v>0.07142857143</v>
      </c>
      <c r="T72" s="40">
        <f t="shared" si="65"/>
        <v>0.0625</v>
      </c>
    </row>
    <row r="73" ht="15.75" customHeight="1">
      <c r="A73" s="16" t="s">
        <v>83</v>
      </c>
      <c r="F73" s="23"/>
      <c r="G73" s="19">
        <f>$G$23</f>
        <v>15</v>
      </c>
      <c r="H73" s="20">
        <v>26.0</v>
      </c>
      <c r="I73" s="20">
        <v>6.0</v>
      </c>
      <c r="J73" s="20">
        <v>4.0</v>
      </c>
      <c r="K73" s="20">
        <v>0.0</v>
      </c>
      <c r="L73" s="20">
        <v>0.0</v>
      </c>
      <c r="N73" s="23"/>
      <c r="O73" s="19">
        <f>$G$23</f>
        <v>15</v>
      </c>
      <c r="P73" s="40">
        <f t="shared" ref="P73:T73" si="66">H73/U$83</f>
        <v>0.09558823529</v>
      </c>
      <c r="Q73" s="40">
        <f t="shared" si="66"/>
        <v>0.07228915663</v>
      </c>
      <c r="R73" s="40">
        <f t="shared" si="66"/>
        <v>0.6666666667</v>
      </c>
      <c r="S73" s="40">
        <f t="shared" si="66"/>
        <v>0</v>
      </c>
      <c r="T73" s="40">
        <f t="shared" si="66"/>
        <v>0</v>
      </c>
    </row>
    <row r="74" ht="15.75" customHeight="1">
      <c r="A74" s="16" t="s">
        <v>84</v>
      </c>
      <c r="F74" s="23"/>
      <c r="G74" s="19">
        <f>$G$24</f>
        <v>16</v>
      </c>
      <c r="H74" s="20">
        <v>20.0</v>
      </c>
      <c r="I74" s="20">
        <v>6.0</v>
      </c>
      <c r="J74" s="20">
        <v>0.0</v>
      </c>
      <c r="K74" s="20">
        <v>0.0</v>
      </c>
      <c r="L74" s="20">
        <v>1.0</v>
      </c>
      <c r="N74" s="23"/>
      <c r="O74" s="19">
        <f>$G$24</f>
        <v>16</v>
      </c>
      <c r="P74" s="40">
        <f t="shared" ref="P74:T74" si="67">H74/U$83</f>
        <v>0.07352941176</v>
      </c>
      <c r="Q74" s="40">
        <f t="shared" si="67"/>
        <v>0.07228915663</v>
      </c>
      <c r="R74" s="40">
        <f t="shared" si="67"/>
        <v>0</v>
      </c>
      <c r="S74" s="40">
        <f t="shared" si="67"/>
        <v>0</v>
      </c>
      <c r="T74" s="40">
        <f t="shared" si="67"/>
        <v>0.0625</v>
      </c>
    </row>
    <row r="75" ht="15.75" customHeight="1">
      <c r="A75" s="16" t="s">
        <v>85</v>
      </c>
      <c r="F75" s="23"/>
      <c r="G75" s="19">
        <f>$G$25</f>
        <v>17</v>
      </c>
      <c r="H75" s="20">
        <v>23.0</v>
      </c>
      <c r="I75" s="20">
        <v>5.0</v>
      </c>
      <c r="J75" s="20">
        <v>0.0</v>
      </c>
      <c r="K75" s="20">
        <v>0.0</v>
      </c>
      <c r="L75" s="20">
        <v>0.0</v>
      </c>
      <c r="N75" s="23"/>
      <c r="O75" s="19">
        <f>$G$25</f>
        <v>17</v>
      </c>
      <c r="P75" s="40">
        <f t="shared" ref="P75:T75" si="68">H75/U$83</f>
        <v>0.08455882353</v>
      </c>
      <c r="Q75" s="40">
        <f t="shared" si="68"/>
        <v>0.06024096386</v>
      </c>
      <c r="R75" s="40">
        <f t="shared" si="68"/>
        <v>0</v>
      </c>
      <c r="S75" s="40">
        <f t="shared" si="68"/>
        <v>0</v>
      </c>
      <c r="T75" s="40">
        <f t="shared" si="68"/>
        <v>0</v>
      </c>
    </row>
    <row r="76" ht="15.75" customHeight="1">
      <c r="A76" s="16" t="s">
        <v>86</v>
      </c>
      <c r="F76" s="23"/>
      <c r="G76" s="19">
        <f>$G$26</f>
        <v>18</v>
      </c>
      <c r="H76" s="20">
        <v>25.0</v>
      </c>
      <c r="I76" s="20">
        <v>5.0</v>
      </c>
      <c r="J76" s="20">
        <v>0.0</v>
      </c>
      <c r="K76" s="20">
        <v>0.0</v>
      </c>
      <c r="L76" s="20">
        <v>1.0</v>
      </c>
      <c r="N76" s="23"/>
      <c r="O76" s="19">
        <f>$G$26</f>
        <v>18</v>
      </c>
      <c r="P76" s="40">
        <f t="shared" ref="P76:T76" si="69">H76/U$83</f>
        <v>0.09191176471</v>
      </c>
      <c r="Q76" s="40">
        <f t="shared" si="69"/>
        <v>0.06024096386</v>
      </c>
      <c r="R76" s="40">
        <f t="shared" si="69"/>
        <v>0</v>
      </c>
      <c r="S76" s="40">
        <f t="shared" si="69"/>
        <v>0</v>
      </c>
      <c r="T76" s="40">
        <f t="shared" si="69"/>
        <v>0.0625</v>
      </c>
    </row>
    <row r="77" ht="15.75" customHeight="1">
      <c r="A77" s="16" t="s">
        <v>87</v>
      </c>
      <c r="F77" s="23"/>
      <c r="G77" s="19">
        <f>$G$27</f>
        <v>19</v>
      </c>
      <c r="H77" s="20">
        <v>12.0</v>
      </c>
      <c r="I77" s="20">
        <v>4.0</v>
      </c>
      <c r="J77" s="20">
        <v>0.0</v>
      </c>
      <c r="K77" s="20">
        <v>2.0</v>
      </c>
      <c r="L77" s="20">
        <v>0.0</v>
      </c>
      <c r="N77" s="23"/>
      <c r="O77" s="19">
        <f>$G$27</f>
        <v>19</v>
      </c>
      <c r="P77" s="40">
        <f t="shared" ref="P77:T77" si="70">H77/U$83</f>
        <v>0.04411764706</v>
      </c>
      <c r="Q77" s="40">
        <f t="shared" si="70"/>
        <v>0.04819277108</v>
      </c>
      <c r="R77" s="40">
        <f t="shared" si="70"/>
        <v>0</v>
      </c>
      <c r="S77" s="40">
        <f t="shared" si="70"/>
        <v>0.1428571429</v>
      </c>
      <c r="T77" s="40">
        <f t="shared" si="70"/>
        <v>0</v>
      </c>
    </row>
    <row r="78" ht="15.75" customHeight="1">
      <c r="A78" s="16" t="s">
        <v>88</v>
      </c>
      <c r="F78" s="23"/>
      <c r="G78" s="19">
        <f>$G$28</f>
        <v>20</v>
      </c>
      <c r="H78" s="20">
        <v>6.0</v>
      </c>
      <c r="I78" s="20">
        <v>3.0</v>
      </c>
      <c r="J78" s="20">
        <v>0.0</v>
      </c>
      <c r="K78" s="20">
        <v>0.0</v>
      </c>
      <c r="L78" s="20">
        <v>0.0</v>
      </c>
      <c r="N78" s="23"/>
      <c r="O78" s="19">
        <f>$G$28</f>
        <v>20</v>
      </c>
      <c r="P78" s="40">
        <f t="shared" ref="P78:T78" si="71">H78/U$83</f>
        <v>0.02205882353</v>
      </c>
      <c r="Q78" s="40">
        <f t="shared" si="71"/>
        <v>0.03614457831</v>
      </c>
      <c r="R78" s="40">
        <f t="shared" si="71"/>
        <v>0</v>
      </c>
      <c r="S78" s="40">
        <f t="shared" si="71"/>
        <v>0</v>
      </c>
      <c r="T78" s="40">
        <f t="shared" si="71"/>
        <v>0</v>
      </c>
    </row>
    <row r="79" ht="15.75" customHeight="1">
      <c r="A79" s="16" t="s">
        <v>89</v>
      </c>
      <c r="F79" s="23"/>
      <c r="G79" s="19">
        <f>$G$29</f>
        <v>21</v>
      </c>
      <c r="H79" s="20">
        <v>14.0</v>
      </c>
      <c r="I79" s="20">
        <v>7.0</v>
      </c>
      <c r="J79" s="20">
        <v>0.0</v>
      </c>
      <c r="K79" s="20">
        <v>0.0</v>
      </c>
      <c r="L79" s="20">
        <v>0.0</v>
      </c>
      <c r="N79" s="23"/>
      <c r="O79" s="19">
        <f>$G$29</f>
        <v>21</v>
      </c>
      <c r="P79" s="40">
        <f t="shared" ref="P79:T79" si="72">H79/U$83</f>
        <v>0.05147058824</v>
      </c>
      <c r="Q79" s="40">
        <f t="shared" si="72"/>
        <v>0.0843373494</v>
      </c>
      <c r="R79" s="40">
        <f t="shared" si="72"/>
        <v>0</v>
      </c>
      <c r="S79" s="40">
        <f t="shared" si="72"/>
        <v>0</v>
      </c>
      <c r="T79" s="40">
        <f t="shared" si="72"/>
        <v>0</v>
      </c>
    </row>
    <row r="80" ht="15.75" customHeight="1">
      <c r="A80" s="16" t="s">
        <v>90</v>
      </c>
      <c r="F80" s="23"/>
      <c r="G80" s="19">
        <f>$G$30</f>
        <v>22</v>
      </c>
      <c r="H80" s="20">
        <v>10.0</v>
      </c>
      <c r="I80" s="20">
        <v>1.0</v>
      </c>
      <c r="J80" s="20">
        <v>0.0</v>
      </c>
      <c r="K80" s="20">
        <v>0.0</v>
      </c>
      <c r="L80" s="20">
        <v>0.0</v>
      </c>
      <c r="N80" s="23"/>
      <c r="O80" s="19">
        <f>$G$30</f>
        <v>22</v>
      </c>
      <c r="P80" s="40">
        <f t="shared" ref="P80:T80" si="73">H80/U$83</f>
        <v>0.03676470588</v>
      </c>
      <c r="Q80" s="40">
        <f t="shared" si="73"/>
        <v>0.01204819277</v>
      </c>
      <c r="R80" s="40">
        <f t="shared" si="73"/>
        <v>0</v>
      </c>
      <c r="S80" s="40">
        <f t="shared" si="73"/>
        <v>0</v>
      </c>
      <c r="T80" s="40">
        <f t="shared" si="73"/>
        <v>0</v>
      </c>
    </row>
    <row r="81" ht="15.75" customHeight="1">
      <c r="A81" s="16" t="s">
        <v>91</v>
      </c>
      <c r="F81" s="27"/>
      <c r="G81" s="19">
        <f>$G$31</f>
        <v>23</v>
      </c>
      <c r="H81" s="20">
        <v>7.0</v>
      </c>
      <c r="I81" s="20">
        <v>1.0</v>
      </c>
      <c r="J81" s="20">
        <v>0.0</v>
      </c>
      <c r="K81" s="20">
        <v>1.0</v>
      </c>
      <c r="L81" s="20">
        <v>0.0</v>
      </c>
      <c r="N81" s="27"/>
      <c r="O81" s="19">
        <f>$G$31</f>
        <v>23</v>
      </c>
      <c r="P81" s="40">
        <f t="shared" ref="P81:T81" si="74">H81/U$83</f>
        <v>0.02573529412</v>
      </c>
      <c r="Q81" s="40">
        <f t="shared" si="74"/>
        <v>0.01204819277</v>
      </c>
      <c r="R81" s="40">
        <f t="shared" si="74"/>
        <v>0</v>
      </c>
      <c r="S81" s="40">
        <f t="shared" si="74"/>
        <v>0.07142857143</v>
      </c>
      <c r="T81" s="40">
        <f t="shared" si="74"/>
        <v>0</v>
      </c>
    </row>
    <row r="82" ht="15.75" customHeight="1">
      <c r="F82" s="56">
        <v>45210.0</v>
      </c>
      <c r="G82" s="19">
        <f>$G$8</f>
        <v>0</v>
      </c>
      <c r="H82" s="20">
        <v>1.0</v>
      </c>
      <c r="I82" s="20">
        <v>2.0</v>
      </c>
      <c r="J82" s="20">
        <v>0.0</v>
      </c>
      <c r="K82" s="20">
        <v>0.0</v>
      </c>
      <c r="L82" s="20">
        <v>0.0</v>
      </c>
      <c r="N82" s="56">
        <v>45210.0</v>
      </c>
      <c r="O82" s="19">
        <f>$G$8</f>
        <v>0</v>
      </c>
      <c r="P82" s="40">
        <f t="shared" ref="P82:T82" si="75">H82/U$110</f>
        <v>0.003937007874</v>
      </c>
      <c r="Q82" s="40">
        <f t="shared" si="75"/>
        <v>0.01739130435</v>
      </c>
      <c r="R82" s="40">
        <f t="shared" si="75"/>
        <v>0</v>
      </c>
      <c r="S82" s="40">
        <f t="shared" si="75"/>
        <v>0</v>
      </c>
      <c r="T82" s="40">
        <f t="shared" si="75"/>
        <v>0</v>
      </c>
    </row>
    <row r="83" ht="15.75" customHeight="1">
      <c r="F83" s="23"/>
      <c r="G83" s="19">
        <f>$G$9</f>
        <v>1</v>
      </c>
      <c r="H83" s="20">
        <v>0.0</v>
      </c>
      <c r="I83" s="20">
        <v>1.0</v>
      </c>
      <c r="J83" s="20">
        <v>0.0</v>
      </c>
      <c r="K83" s="20">
        <v>0.0</v>
      </c>
      <c r="L83" s="20">
        <v>0.0</v>
      </c>
      <c r="N83" s="23"/>
      <c r="O83" s="19">
        <f>$G$9</f>
        <v>1</v>
      </c>
      <c r="P83" s="40">
        <f t="shared" ref="P83:T83" si="76">H83/U$110</f>
        <v>0</v>
      </c>
      <c r="Q83" s="40">
        <f t="shared" si="76"/>
        <v>0.008695652174</v>
      </c>
      <c r="R83" s="40">
        <f t="shared" si="76"/>
        <v>0</v>
      </c>
      <c r="S83" s="40">
        <f t="shared" si="76"/>
        <v>0</v>
      </c>
      <c r="T83" s="40">
        <f t="shared" si="76"/>
        <v>0</v>
      </c>
      <c r="U83" s="26">
        <f t="shared" ref="U83:Y83" si="77">SUM(H58:H81)</f>
        <v>272</v>
      </c>
      <c r="V83" s="26">
        <f t="shared" si="77"/>
        <v>83</v>
      </c>
      <c r="W83" s="26">
        <f t="shared" si="77"/>
        <v>6</v>
      </c>
      <c r="X83" s="26">
        <f t="shared" si="77"/>
        <v>14</v>
      </c>
      <c r="Y83" s="26">
        <f t="shared" si="77"/>
        <v>16</v>
      </c>
    </row>
    <row r="84" ht="15.75" customHeight="1">
      <c r="F84" s="23"/>
      <c r="G84" s="19">
        <f>$G$10</f>
        <v>2</v>
      </c>
      <c r="H84" s="16">
        <v>1.0</v>
      </c>
      <c r="I84" s="16">
        <v>0.0</v>
      </c>
      <c r="J84" s="16">
        <v>0.0</v>
      </c>
      <c r="K84" s="16">
        <v>0.0</v>
      </c>
      <c r="L84" s="16">
        <v>0.0</v>
      </c>
      <c r="N84" s="23"/>
      <c r="O84" s="19">
        <f>$G$10</f>
        <v>2</v>
      </c>
      <c r="P84" s="40">
        <f t="shared" ref="P84:T84" si="78">H84/U$110</f>
        <v>0.003937007874</v>
      </c>
      <c r="Q84" s="40">
        <f t="shared" si="78"/>
        <v>0</v>
      </c>
      <c r="R84" s="40">
        <f t="shared" si="78"/>
        <v>0</v>
      </c>
      <c r="S84" s="40">
        <f t="shared" si="78"/>
        <v>0</v>
      </c>
      <c r="T84" s="40">
        <f t="shared" si="78"/>
        <v>0</v>
      </c>
      <c r="U84" s="17">
        <f>$H$7</f>
        <v>31</v>
      </c>
      <c r="V84" s="17">
        <f>$I$7</f>
        <v>32</v>
      </c>
      <c r="W84" s="17">
        <f>$J$7</f>
        <v>41</v>
      </c>
      <c r="X84" s="17">
        <f>$K$7</f>
        <v>42</v>
      </c>
      <c r="Y84" s="17">
        <f>$L$7</f>
        <v>5</v>
      </c>
      <c r="AB84" s="16"/>
      <c r="AC84" s="17">
        <f>$H$7</f>
        <v>31</v>
      </c>
      <c r="AD84" s="17">
        <f>$I$7</f>
        <v>32</v>
      </c>
      <c r="AE84" s="17">
        <f>$J$7</f>
        <v>41</v>
      </c>
      <c r="AF84" s="17">
        <f>$K$7</f>
        <v>42</v>
      </c>
      <c r="AG84" s="17">
        <f>$L$7</f>
        <v>5</v>
      </c>
    </row>
    <row r="85" ht="15.75" customHeight="1">
      <c r="A85" s="16" t="s">
        <v>92</v>
      </c>
      <c r="F85" s="23"/>
      <c r="G85" s="19">
        <f>$G$11</f>
        <v>3</v>
      </c>
      <c r="H85" s="20">
        <v>2.0</v>
      </c>
      <c r="I85" s="20">
        <v>0.0</v>
      </c>
      <c r="J85" s="20">
        <v>0.0</v>
      </c>
      <c r="K85" s="20">
        <v>0.0</v>
      </c>
      <c r="L85" s="20">
        <v>0.0</v>
      </c>
      <c r="N85" s="23"/>
      <c r="O85" s="19">
        <f>$G$11</f>
        <v>3</v>
      </c>
      <c r="P85" s="40">
        <f t="shared" ref="P85:T85" si="79">H85/U$110</f>
        <v>0.007874015748</v>
      </c>
      <c r="Q85" s="40">
        <f t="shared" si="79"/>
        <v>0</v>
      </c>
      <c r="R85" s="40">
        <f t="shared" si="79"/>
        <v>0</v>
      </c>
      <c r="S85" s="40">
        <f t="shared" si="79"/>
        <v>0</v>
      </c>
      <c r="T85" s="40">
        <f t="shared" si="79"/>
        <v>0</v>
      </c>
    </row>
    <row r="86" ht="15.75" customHeight="1">
      <c r="A86" s="16" t="s">
        <v>93</v>
      </c>
      <c r="F86" s="23"/>
      <c r="G86" s="19">
        <f>$G$12</f>
        <v>4</v>
      </c>
      <c r="H86" s="20">
        <v>1.0</v>
      </c>
      <c r="I86" s="20">
        <v>4.0</v>
      </c>
      <c r="J86" s="20">
        <v>0.0</v>
      </c>
      <c r="K86" s="20">
        <v>1.0</v>
      </c>
      <c r="L86" s="20">
        <v>0.0</v>
      </c>
      <c r="N86" s="23"/>
      <c r="O86" s="19">
        <f>$G$12</f>
        <v>4</v>
      </c>
      <c r="P86" s="40">
        <f t="shared" ref="P86:T86" si="80">H86/U$110</f>
        <v>0.003937007874</v>
      </c>
      <c r="Q86" s="40">
        <f t="shared" si="80"/>
        <v>0.0347826087</v>
      </c>
      <c r="R86" s="40">
        <f t="shared" si="80"/>
        <v>0</v>
      </c>
      <c r="S86" s="40">
        <f t="shared" si="80"/>
        <v>0.1</v>
      </c>
      <c r="T86" s="40">
        <f t="shared" si="80"/>
        <v>0</v>
      </c>
    </row>
    <row r="87" ht="15.75" customHeight="1">
      <c r="A87" s="16" t="s">
        <v>94</v>
      </c>
      <c r="F87" s="23"/>
      <c r="G87" s="19">
        <f>$G$13</f>
        <v>5</v>
      </c>
      <c r="H87" s="20">
        <v>2.0</v>
      </c>
      <c r="I87" s="20">
        <v>2.0</v>
      </c>
      <c r="J87" s="20">
        <v>0.0</v>
      </c>
      <c r="K87" s="20">
        <v>0.0</v>
      </c>
      <c r="L87" s="20">
        <v>0.0</v>
      </c>
      <c r="N87" s="23"/>
      <c r="O87" s="19">
        <f>$G$13</f>
        <v>5</v>
      </c>
      <c r="P87" s="40">
        <f t="shared" ref="P87:T87" si="81">H87/U$110</f>
        <v>0.007874015748</v>
      </c>
      <c r="Q87" s="40">
        <f t="shared" si="81"/>
        <v>0.01739130435</v>
      </c>
      <c r="R87" s="40">
        <f t="shared" si="81"/>
        <v>0</v>
      </c>
      <c r="S87" s="40">
        <f t="shared" si="81"/>
        <v>0</v>
      </c>
      <c r="T87" s="40">
        <f t="shared" si="81"/>
        <v>0</v>
      </c>
    </row>
    <row r="88" ht="15.75" customHeight="1">
      <c r="A88" s="16" t="s">
        <v>70</v>
      </c>
      <c r="F88" s="23"/>
      <c r="G88" s="19">
        <f>$G$14</f>
        <v>6</v>
      </c>
      <c r="H88" s="20">
        <v>3.0</v>
      </c>
      <c r="I88" s="20">
        <v>3.0</v>
      </c>
      <c r="J88" s="20">
        <v>0.0</v>
      </c>
      <c r="K88" s="20">
        <v>0.0</v>
      </c>
      <c r="L88" s="20">
        <v>1.0</v>
      </c>
      <c r="N88" s="23"/>
      <c r="O88" s="19">
        <f>$G$14</f>
        <v>6</v>
      </c>
      <c r="P88" s="40">
        <f t="shared" ref="P88:T88" si="82">H88/U$110</f>
        <v>0.01181102362</v>
      </c>
      <c r="Q88" s="40">
        <f t="shared" si="82"/>
        <v>0.02608695652</v>
      </c>
      <c r="R88" s="40">
        <f t="shared" si="82"/>
        <v>0</v>
      </c>
      <c r="S88" s="40">
        <f t="shared" si="82"/>
        <v>0</v>
      </c>
      <c r="T88" s="40">
        <f t="shared" si="82"/>
        <v>0.06666666667</v>
      </c>
    </row>
    <row r="89" ht="15.75" customHeight="1">
      <c r="A89" s="16" t="s">
        <v>95</v>
      </c>
      <c r="F89" s="23"/>
      <c r="G89" s="19">
        <f>$G$15</f>
        <v>7</v>
      </c>
      <c r="H89" s="20">
        <v>31.0</v>
      </c>
      <c r="I89" s="20">
        <v>5.0</v>
      </c>
      <c r="J89" s="20">
        <v>0.0</v>
      </c>
      <c r="K89" s="20">
        <v>2.0</v>
      </c>
      <c r="L89" s="20">
        <v>1.0</v>
      </c>
      <c r="N89" s="23"/>
      <c r="O89" s="19">
        <f>$G$15</f>
        <v>7</v>
      </c>
      <c r="P89" s="40">
        <f t="shared" ref="P89:T89" si="83">H89/U$110</f>
        <v>0.1220472441</v>
      </c>
      <c r="Q89" s="40">
        <f t="shared" si="83"/>
        <v>0.04347826087</v>
      </c>
      <c r="R89" s="40">
        <f t="shared" si="83"/>
        <v>0</v>
      </c>
      <c r="S89" s="40">
        <f t="shared" si="83"/>
        <v>0.2</v>
      </c>
      <c r="T89" s="40">
        <f t="shared" si="83"/>
        <v>0.06666666667</v>
      </c>
    </row>
    <row r="90" ht="15.75" customHeight="1">
      <c r="A90" s="16" t="s">
        <v>96</v>
      </c>
      <c r="F90" s="23"/>
      <c r="G90" s="19">
        <f>$G$16</f>
        <v>8</v>
      </c>
      <c r="H90" s="20">
        <v>12.0</v>
      </c>
      <c r="I90" s="20">
        <v>4.0</v>
      </c>
      <c r="J90" s="20">
        <v>0.0</v>
      </c>
      <c r="K90" s="20">
        <v>0.0</v>
      </c>
      <c r="L90" s="20">
        <v>1.0</v>
      </c>
      <c r="N90" s="23"/>
      <c r="O90" s="19">
        <f>$G$16</f>
        <v>8</v>
      </c>
      <c r="P90" s="40">
        <f t="shared" ref="P90:T90" si="84">H90/U$110</f>
        <v>0.04724409449</v>
      </c>
      <c r="Q90" s="40">
        <f t="shared" si="84"/>
        <v>0.0347826087</v>
      </c>
      <c r="R90" s="40">
        <f t="shared" si="84"/>
        <v>0</v>
      </c>
      <c r="S90" s="40">
        <f t="shared" si="84"/>
        <v>0</v>
      </c>
      <c r="T90" s="40">
        <f t="shared" si="84"/>
        <v>0.06666666667</v>
      </c>
    </row>
    <row r="91" ht="15.75" customHeight="1">
      <c r="A91" s="16" t="s">
        <v>97</v>
      </c>
      <c r="F91" s="23"/>
      <c r="G91" s="19">
        <f>$G$17</f>
        <v>9</v>
      </c>
      <c r="H91" s="20">
        <v>15.0</v>
      </c>
      <c r="I91" s="20">
        <v>5.0</v>
      </c>
      <c r="J91" s="20">
        <v>0.0</v>
      </c>
      <c r="K91" s="20">
        <v>0.0</v>
      </c>
      <c r="L91" s="20">
        <v>3.0</v>
      </c>
      <c r="N91" s="23"/>
      <c r="O91" s="19">
        <f>$G$17</f>
        <v>9</v>
      </c>
      <c r="P91" s="40">
        <f t="shared" ref="P91:T91" si="85">H91/U$110</f>
        <v>0.05905511811</v>
      </c>
      <c r="Q91" s="40">
        <f t="shared" si="85"/>
        <v>0.04347826087</v>
      </c>
      <c r="R91" s="40">
        <f t="shared" si="85"/>
        <v>0</v>
      </c>
      <c r="S91" s="40">
        <f t="shared" si="85"/>
        <v>0</v>
      </c>
      <c r="T91" s="40">
        <f t="shared" si="85"/>
        <v>0.2</v>
      </c>
    </row>
    <row r="92" ht="15.75" customHeight="1">
      <c r="A92" s="16" t="s">
        <v>98</v>
      </c>
      <c r="F92" s="23"/>
      <c r="G92" s="19">
        <f>$G$18</f>
        <v>10</v>
      </c>
      <c r="H92" s="20">
        <v>9.0</v>
      </c>
      <c r="I92" s="20">
        <v>6.0</v>
      </c>
      <c r="J92" s="20">
        <v>0.0</v>
      </c>
      <c r="K92" s="20">
        <v>1.0</v>
      </c>
      <c r="L92" s="20">
        <v>0.0</v>
      </c>
      <c r="N92" s="23"/>
      <c r="O92" s="19">
        <f>$G$18</f>
        <v>10</v>
      </c>
      <c r="P92" s="40">
        <f t="shared" ref="P92:T92" si="86">H92/U$110</f>
        <v>0.03543307087</v>
      </c>
      <c r="Q92" s="40">
        <f t="shared" si="86"/>
        <v>0.05217391304</v>
      </c>
      <c r="R92" s="40">
        <f t="shared" si="86"/>
        <v>0</v>
      </c>
      <c r="S92" s="40">
        <f t="shared" si="86"/>
        <v>0.1</v>
      </c>
      <c r="T92" s="40">
        <f t="shared" si="86"/>
        <v>0</v>
      </c>
    </row>
    <row r="93" ht="15.75" customHeight="1">
      <c r="A93" s="16" t="s">
        <v>99</v>
      </c>
      <c r="F93" s="23"/>
      <c r="G93" s="19">
        <f>$G$19</f>
        <v>11</v>
      </c>
      <c r="H93" s="20">
        <v>21.0</v>
      </c>
      <c r="I93" s="20">
        <v>11.0</v>
      </c>
      <c r="J93" s="20">
        <v>0.0</v>
      </c>
      <c r="K93" s="20">
        <v>0.0</v>
      </c>
      <c r="L93" s="20">
        <v>1.0</v>
      </c>
      <c r="N93" s="23"/>
      <c r="O93" s="19">
        <f>$G$19</f>
        <v>11</v>
      </c>
      <c r="P93" s="40">
        <f t="shared" ref="P93:T93" si="87">H93/U$110</f>
        <v>0.08267716535</v>
      </c>
      <c r="Q93" s="40">
        <f t="shared" si="87"/>
        <v>0.09565217391</v>
      </c>
      <c r="R93" s="40">
        <f t="shared" si="87"/>
        <v>0</v>
      </c>
      <c r="S93" s="40">
        <f t="shared" si="87"/>
        <v>0</v>
      </c>
      <c r="T93" s="40">
        <f t="shared" si="87"/>
        <v>0.06666666667</v>
      </c>
    </row>
    <row r="94" ht="15.75" customHeight="1">
      <c r="A94" s="16" t="s">
        <v>100</v>
      </c>
      <c r="F94" s="23"/>
      <c r="G94" s="19">
        <f>$G$20</f>
        <v>12</v>
      </c>
      <c r="H94" s="20">
        <v>10.0</v>
      </c>
      <c r="I94" s="20">
        <v>7.0</v>
      </c>
      <c r="J94" s="20">
        <v>0.0</v>
      </c>
      <c r="K94" s="20">
        <v>1.0</v>
      </c>
      <c r="L94" s="20">
        <v>1.0</v>
      </c>
      <c r="N94" s="23"/>
      <c r="O94" s="19">
        <f>$G$20</f>
        <v>12</v>
      </c>
      <c r="P94" s="40">
        <f t="shared" ref="P94:T94" si="88">H94/U$110</f>
        <v>0.03937007874</v>
      </c>
      <c r="Q94" s="40">
        <f t="shared" si="88"/>
        <v>0.06086956522</v>
      </c>
      <c r="R94" s="40">
        <f t="shared" si="88"/>
        <v>0</v>
      </c>
      <c r="S94" s="40">
        <f t="shared" si="88"/>
        <v>0.1</v>
      </c>
      <c r="T94" s="40">
        <f t="shared" si="88"/>
        <v>0.06666666667</v>
      </c>
    </row>
    <row r="95" ht="15.75" customHeight="1">
      <c r="A95" s="16" t="s">
        <v>101</v>
      </c>
      <c r="F95" s="23"/>
      <c r="G95" s="19">
        <f>$G$21</f>
        <v>13</v>
      </c>
      <c r="H95" s="20">
        <v>5.0</v>
      </c>
      <c r="I95" s="20">
        <v>5.0</v>
      </c>
      <c r="J95" s="20">
        <v>0.0</v>
      </c>
      <c r="K95" s="20">
        <v>0.0</v>
      </c>
      <c r="L95" s="20">
        <v>3.0</v>
      </c>
      <c r="N95" s="23"/>
      <c r="O95" s="19">
        <f>$G$21</f>
        <v>13</v>
      </c>
      <c r="P95" s="40">
        <f t="shared" ref="P95:T95" si="89">H95/U$110</f>
        <v>0.01968503937</v>
      </c>
      <c r="Q95" s="40">
        <f t="shared" si="89"/>
        <v>0.04347826087</v>
      </c>
      <c r="R95" s="40">
        <f t="shared" si="89"/>
        <v>0</v>
      </c>
      <c r="S95" s="40">
        <f t="shared" si="89"/>
        <v>0</v>
      </c>
      <c r="T95" s="40">
        <f t="shared" si="89"/>
        <v>0.2</v>
      </c>
    </row>
    <row r="96" ht="15.75" customHeight="1">
      <c r="A96" s="16" t="s">
        <v>102</v>
      </c>
      <c r="F96" s="23"/>
      <c r="G96" s="19">
        <f>$G$22</f>
        <v>14</v>
      </c>
      <c r="H96" s="20">
        <v>17.0</v>
      </c>
      <c r="I96" s="20">
        <v>5.0</v>
      </c>
      <c r="J96" s="20">
        <v>0.0</v>
      </c>
      <c r="K96" s="20">
        <v>3.0</v>
      </c>
      <c r="L96" s="20">
        <v>1.0</v>
      </c>
      <c r="N96" s="23"/>
      <c r="O96" s="19">
        <f>$G$22</f>
        <v>14</v>
      </c>
      <c r="P96" s="40">
        <f t="shared" ref="P96:T96" si="90">H96/U$110</f>
        <v>0.06692913386</v>
      </c>
      <c r="Q96" s="40">
        <f t="shared" si="90"/>
        <v>0.04347826087</v>
      </c>
      <c r="R96" s="40">
        <f t="shared" si="90"/>
        <v>0</v>
      </c>
      <c r="S96" s="40">
        <f t="shared" si="90"/>
        <v>0.3</v>
      </c>
      <c r="T96" s="40">
        <f t="shared" si="90"/>
        <v>0.06666666667</v>
      </c>
    </row>
    <row r="97" ht="15.75" customHeight="1">
      <c r="A97" s="16" t="s">
        <v>103</v>
      </c>
      <c r="F97" s="23"/>
      <c r="G97" s="19">
        <f>$G$23</f>
        <v>15</v>
      </c>
      <c r="H97" s="20">
        <v>13.0</v>
      </c>
      <c r="I97" s="20">
        <v>8.0</v>
      </c>
      <c r="J97" s="20">
        <v>0.0</v>
      </c>
      <c r="K97" s="20">
        <v>1.0</v>
      </c>
      <c r="L97" s="20">
        <v>2.0</v>
      </c>
      <c r="N97" s="23"/>
      <c r="O97" s="19">
        <f>$G$23</f>
        <v>15</v>
      </c>
      <c r="P97" s="40">
        <f t="shared" ref="P97:T97" si="91">H97/U$110</f>
        <v>0.05118110236</v>
      </c>
      <c r="Q97" s="40">
        <f t="shared" si="91"/>
        <v>0.06956521739</v>
      </c>
      <c r="R97" s="40">
        <f t="shared" si="91"/>
        <v>0</v>
      </c>
      <c r="S97" s="40">
        <f t="shared" si="91"/>
        <v>0.1</v>
      </c>
      <c r="T97" s="40">
        <f t="shared" si="91"/>
        <v>0.1333333333</v>
      </c>
    </row>
    <row r="98" ht="15.75" customHeight="1">
      <c r="A98" s="16" t="s">
        <v>104</v>
      </c>
      <c r="F98" s="23"/>
      <c r="G98" s="19">
        <f>$G$24</f>
        <v>16</v>
      </c>
      <c r="H98" s="20">
        <v>19.0</v>
      </c>
      <c r="I98" s="20">
        <v>12.0</v>
      </c>
      <c r="J98" s="20">
        <v>0.0</v>
      </c>
      <c r="K98" s="20">
        <v>0.0</v>
      </c>
      <c r="L98" s="20">
        <v>1.0</v>
      </c>
      <c r="N98" s="23"/>
      <c r="O98" s="19">
        <f>$G$24</f>
        <v>16</v>
      </c>
      <c r="P98" s="40">
        <f t="shared" ref="P98:T98" si="92">H98/U$110</f>
        <v>0.07480314961</v>
      </c>
      <c r="Q98" s="40">
        <f t="shared" si="92"/>
        <v>0.1043478261</v>
      </c>
      <c r="R98" s="40">
        <f t="shared" si="92"/>
        <v>0</v>
      </c>
      <c r="S98" s="40">
        <f t="shared" si="92"/>
        <v>0</v>
      </c>
      <c r="T98" s="40">
        <f t="shared" si="92"/>
        <v>0.06666666667</v>
      </c>
    </row>
    <row r="99" ht="15.75" customHeight="1">
      <c r="A99" s="16" t="s">
        <v>105</v>
      </c>
      <c r="F99" s="23"/>
      <c r="G99" s="19">
        <f>$G$25</f>
        <v>17</v>
      </c>
      <c r="H99" s="20">
        <v>29.0</v>
      </c>
      <c r="I99" s="20">
        <v>11.0</v>
      </c>
      <c r="J99" s="20">
        <v>1.0</v>
      </c>
      <c r="K99" s="20">
        <v>1.0</v>
      </c>
      <c r="L99" s="20">
        <v>0.0</v>
      </c>
      <c r="N99" s="23"/>
      <c r="O99" s="19">
        <f>$G$25</f>
        <v>17</v>
      </c>
      <c r="P99" s="40">
        <f t="shared" ref="P99:T99" si="93">H99/U$110</f>
        <v>0.1141732283</v>
      </c>
      <c r="Q99" s="40">
        <f t="shared" si="93"/>
        <v>0.09565217391</v>
      </c>
      <c r="R99" s="40">
        <f t="shared" si="93"/>
        <v>1</v>
      </c>
      <c r="S99" s="40">
        <f t="shared" si="93"/>
        <v>0.1</v>
      </c>
      <c r="T99" s="40">
        <f t="shared" si="93"/>
        <v>0</v>
      </c>
    </row>
    <row r="100" ht="15.75" customHeight="1">
      <c r="A100" s="16" t="s">
        <v>106</v>
      </c>
      <c r="F100" s="23"/>
      <c r="G100" s="19">
        <f>$G$26</f>
        <v>18</v>
      </c>
      <c r="H100" s="20">
        <v>21.0</v>
      </c>
      <c r="I100" s="20">
        <v>6.0</v>
      </c>
      <c r="J100" s="20">
        <v>0.0</v>
      </c>
      <c r="K100" s="20">
        <v>0.0</v>
      </c>
      <c r="L100" s="20">
        <v>0.0</v>
      </c>
      <c r="N100" s="23"/>
      <c r="O100" s="19">
        <f>$G$26</f>
        <v>18</v>
      </c>
      <c r="P100" s="40">
        <f t="shared" ref="P100:T100" si="94">H100/U$110</f>
        <v>0.08267716535</v>
      </c>
      <c r="Q100" s="40">
        <f t="shared" si="94"/>
        <v>0.05217391304</v>
      </c>
      <c r="R100" s="40">
        <f t="shared" si="94"/>
        <v>0</v>
      </c>
      <c r="S100" s="40">
        <f t="shared" si="94"/>
        <v>0</v>
      </c>
      <c r="T100" s="40">
        <f t="shared" si="94"/>
        <v>0</v>
      </c>
    </row>
    <row r="101" ht="15.75" customHeight="1">
      <c r="A101" s="16" t="s">
        <v>107</v>
      </c>
      <c r="F101" s="23"/>
      <c r="G101" s="19">
        <f>$G$27</f>
        <v>19</v>
      </c>
      <c r="H101" s="20">
        <v>13.0</v>
      </c>
      <c r="I101" s="20">
        <v>7.0</v>
      </c>
      <c r="J101" s="20">
        <v>0.0</v>
      </c>
      <c r="K101" s="20">
        <v>0.0</v>
      </c>
      <c r="L101" s="20">
        <v>0.0</v>
      </c>
      <c r="N101" s="23"/>
      <c r="O101" s="19">
        <f>$G$27</f>
        <v>19</v>
      </c>
      <c r="P101" s="40">
        <f t="shared" ref="P101:T101" si="95">H101/U$110</f>
        <v>0.05118110236</v>
      </c>
      <c r="Q101" s="40">
        <f t="shared" si="95"/>
        <v>0.06086956522</v>
      </c>
      <c r="R101" s="40">
        <f t="shared" si="95"/>
        <v>0</v>
      </c>
      <c r="S101" s="40">
        <f t="shared" si="95"/>
        <v>0</v>
      </c>
      <c r="T101" s="40">
        <f t="shared" si="95"/>
        <v>0</v>
      </c>
    </row>
    <row r="102" ht="15.75" customHeight="1">
      <c r="A102" s="16" t="s">
        <v>108</v>
      </c>
      <c r="F102" s="23"/>
      <c r="G102" s="19">
        <f>$G$28</f>
        <v>20</v>
      </c>
      <c r="H102" s="20">
        <v>9.0</v>
      </c>
      <c r="I102" s="20">
        <v>8.0</v>
      </c>
      <c r="J102" s="20">
        <v>0.0</v>
      </c>
      <c r="K102" s="20">
        <v>0.0</v>
      </c>
      <c r="L102" s="20">
        <v>0.0</v>
      </c>
      <c r="N102" s="23"/>
      <c r="O102" s="19">
        <f>$G$28</f>
        <v>20</v>
      </c>
      <c r="P102" s="40">
        <f t="shared" ref="P102:T102" si="96">H102/U$110</f>
        <v>0.03543307087</v>
      </c>
      <c r="Q102" s="40">
        <f t="shared" si="96"/>
        <v>0.06956521739</v>
      </c>
      <c r="R102" s="40">
        <f t="shared" si="96"/>
        <v>0</v>
      </c>
      <c r="S102" s="40">
        <f t="shared" si="96"/>
        <v>0</v>
      </c>
      <c r="T102" s="40">
        <f t="shared" si="96"/>
        <v>0</v>
      </c>
    </row>
    <row r="103" ht="15.75" customHeight="1">
      <c r="A103" s="16" t="s">
        <v>109</v>
      </c>
      <c r="F103" s="23"/>
      <c r="G103" s="19">
        <f>$G$29</f>
        <v>21</v>
      </c>
      <c r="H103" s="20">
        <v>9.0</v>
      </c>
      <c r="I103" s="20">
        <v>1.0</v>
      </c>
      <c r="J103" s="20">
        <v>0.0</v>
      </c>
      <c r="K103" s="20">
        <v>0.0</v>
      </c>
      <c r="L103" s="20">
        <v>0.0</v>
      </c>
      <c r="N103" s="23"/>
      <c r="O103" s="19">
        <f>$G$29</f>
        <v>21</v>
      </c>
      <c r="P103" s="40">
        <f t="shared" ref="P103:T103" si="97">H103/U$110</f>
        <v>0.03543307087</v>
      </c>
      <c r="Q103" s="40">
        <f t="shared" si="97"/>
        <v>0.008695652174</v>
      </c>
      <c r="R103" s="40">
        <f t="shared" si="97"/>
        <v>0</v>
      </c>
      <c r="S103" s="40">
        <f t="shared" si="97"/>
        <v>0</v>
      </c>
      <c r="T103" s="40">
        <f t="shared" si="97"/>
        <v>0</v>
      </c>
    </row>
    <row r="104" ht="15.75" customHeight="1">
      <c r="A104" s="16" t="s">
        <v>110</v>
      </c>
      <c r="F104" s="23"/>
      <c r="G104" s="19">
        <f>$G$30</f>
        <v>22</v>
      </c>
      <c r="H104" s="20">
        <v>6.0</v>
      </c>
      <c r="I104" s="20">
        <v>1.0</v>
      </c>
      <c r="J104" s="20">
        <v>0.0</v>
      </c>
      <c r="K104" s="20">
        <v>0.0</v>
      </c>
      <c r="L104" s="20">
        <v>0.0</v>
      </c>
      <c r="N104" s="23"/>
      <c r="O104" s="19">
        <f>$G$30</f>
        <v>22</v>
      </c>
      <c r="P104" s="40">
        <f t="shared" ref="P104:T104" si="98">H104/U$110</f>
        <v>0.02362204724</v>
      </c>
      <c r="Q104" s="40">
        <f t="shared" si="98"/>
        <v>0.008695652174</v>
      </c>
      <c r="R104" s="40">
        <f t="shared" si="98"/>
        <v>0</v>
      </c>
      <c r="S104" s="40">
        <f t="shared" si="98"/>
        <v>0</v>
      </c>
      <c r="T104" s="40">
        <f t="shared" si="98"/>
        <v>0</v>
      </c>
    </row>
    <row r="105" ht="15.75" customHeight="1">
      <c r="A105" s="16" t="s">
        <v>111</v>
      </c>
      <c r="F105" s="27"/>
      <c r="G105" s="19">
        <f>$G$31</f>
        <v>23</v>
      </c>
      <c r="H105" s="20">
        <v>5.0</v>
      </c>
      <c r="I105" s="20">
        <v>1.0</v>
      </c>
      <c r="J105" s="20">
        <v>0.0</v>
      </c>
      <c r="K105" s="20">
        <v>0.0</v>
      </c>
      <c r="L105" s="20">
        <v>0.0</v>
      </c>
      <c r="N105" s="27"/>
      <c r="O105" s="19">
        <f>$G$31</f>
        <v>23</v>
      </c>
      <c r="P105" s="40">
        <f t="shared" ref="P105:T105" si="99">H105/U$110</f>
        <v>0.01968503937</v>
      </c>
      <c r="Q105" s="40">
        <f t="shared" si="99"/>
        <v>0.008695652174</v>
      </c>
      <c r="R105" s="40">
        <f t="shared" si="99"/>
        <v>0</v>
      </c>
      <c r="S105" s="40">
        <f t="shared" si="99"/>
        <v>0</v>
      </c>
      <c r="T105" s="40">
        <f t="shared" si="99"/>
        <v>0</v>
      </c>
    </row>
    <row r="106" ht="15.75" customHeight="1">
      <c r="A106" s="16" t="s">
        <v>112</v>
      </c>
      <c r="F106" s="56">
        <v>45211.0</v>
      </c>
      <c r="G106" s="19">
        <f>$G$8</f>
        <v>0</v>
      </c>
      <c r="H106" s="20">
        <v>4.0</v>
      </c>
      <c r="I106" s="20">
        <v>0.0</v>
      </c>
      <c r="J106" s="20">
        <v>0.0</v>
      </c>
      <c r="K106" s="20">
        <v>0.0</v>
      </c>
      <c r="L106" s="20">
        <v>0.0</v>
      </c>
      <c r="N106" s="56">
        <v>45211.0</v>
      </c>
      <c r="O106" s="19">
        <f>$G$8</f>
        <v>0</v>
      </c>
      <c r="P106" s="40">
        <f t="shared" ref="P106:T106" si="100">H106/U$135</f>
        <v>0.01515151515</v>
      </c>
      <c r="Q106" s="40">
        <f t="shared" si="100"/>
        <v>0</v>
      </c>
      <c r="R106" s="40">
        <f t="shared" si="100"/>
        <v>0</v>
      </c>
      <c r="S106" s="40">
        <f t="shared" si="100"/>
        <v>0</v>
      </c>
      <c r="T106" s="40">
        <f t="shared" si="100"/>
        <v>0</v>
      </c>
    </row>
    <row r="107" ht="15.75" customHeight="1">
      <c r="A107" s="16" t="s">
        <v>68</v>
      </c>
      <c r="F107" s="23"/>
      <c r="G107" s="19">
        <f>$G$9</f>
        <v>1</v>
      </c>
      <c r="H107" s="20">
        <v>2.0</v>
      </c>
      <c r="I107" s="20">
        <v>0.0</v>
      </c>
      <c r="J107" s="20">
        <v>0.0</v>
      </c>
      <c r="K107" s="20">
        <v>0.0</v>
      </c>
      <c r="L107" s="20">
        <v>0.0</v>
      </c>
      <c r="N107" s="23"/>
      <c r="O107" s="19">
        <f>$G$9</f>
        <v>1</v>
      </c>
      <c r="P107" s="40">
        <f t="shared" ref="P107:T107" si="101">H107/U$135</f>
        <v>0.007575757576</v>
      </c>
      <c r="Q107" s="40">
        <f t="shared" si="101"/>
        <v>0</v>
      </c>
      <c r="R107" s="40">
        <f t="shared" si="101"/>
        <v>0</v>
      </c>
      <c r="S107" s="40">
        <f t="shared" si="101"/>
        <v>0</v>
      </c>
      <c r="T107" s="40">
        <f t="shared" si="101"/>
        <v>0</v>
      </c>
    </row>
    <row r="108" ht="15.75" customHeight="1">
      <c r="A108" s="16" t="s">
        <v>113</v>
      </c>
      <c r="F108" s="23"/>
      <c r="G108" s="19">
        <f>$G$10</f>
        <v>2</v>
      </c>
      <c r="H108" s="16">
        <v>1.0</v>
      </c>
      <c r="I108" s="16">
        <v>0.0</v>
      </c>
      <c r="J108" s="16">
        <v>0.0</v>
      </c>
      <c r="K108" s="16">
        <v>0.0</v>
      </c>
      <c r="L108" s="16">
        <v>0.0</v>
      </c>
      <c r="N108" s="23"/>
      <c r="O108" s="19">
        <f>$G$10</f>
        <v>2</v>
      </c>
      <c r="P108" s="40">
        <f t="shared" ref="P108:T108" si="102">H108/U$135</f>
        <v>0.003787878788</v>
      </c>
      <c r="Q108" s="40">
        <f t="shared" si="102"/>
        <v>0</v>
      </c>
      <c r="R108" s="40">
        <f t="shared" si="102"/>
        <v>0</v>
      </c>
      <c r="S108" s="40">
        <f t="shared" si="102"/>
        <v>0</v>
      </c>
      <c r="T108" s="40">
        <f t="shared" si="102"/>
        <v>0</v>
      </c>
    </row>
    <row r="109" ht="15.75" customHeight="1">
      <c r="F109" s="23"/>
      <c r="G109" s="19">
        <f>$G$11</f>
        <v>3</v>
      </c>
      <c r="H109" s="20">
        <v>2.0</v>
      </c>
      <c r="I109" s="20">
        <v>1.0</v>
      </c>
      <c r="J109" s="20">
        <v>0.0</v>
      </c>
      <c r="K109" s="20">
        <v>0.0</v>
      </c>
      <c r="L109" s="20">
        <v>0.0</v>
      </c>
      <c r="N109" s="23"/>
      <c r="O109" s="19">
        <f>$G$11</f>
        <v>3</v>
      </c>
      <c r="P109" s="40">
        <f t="shared" ref="P109:T109" si="103">H109/U$135</f>
        <v>0.007575757576</v>
      </c>
      <c r="Q109" s="40">
        <f t="shared" si="103"/>
        <v>0.01075268817</v>
      </c>
      <c r="R109" s="40">
        <f t="shared" si="103"/>
        <v>0</v>
      </c>
      <c r="S109" s="40">
        <f t="shared" si="103"/>
        <v>0</v>
      </c>
      <c r="T109" s="40">
        <f t="shared" si="103"/>
        <v>0</v>
      </c>
    </row>
    <row r="110" ht="15.75" customHeight="1">
      <c r="F110" s="23"/>
      <c r="G110" s="19">
        <f>$G$12</f>
        <v>4</v>
      </c>
      <c r="H110" s="20">
        <v>4.0</v>
      </c>
      <c r="I110" s="20">
        <v>3.0</v>
      </c>
      <c r="J110" s="20">
        <v>0.0</v>
      </c>
      <c r="K110" s="20">
        <v>1.0</v>
      </c>
      <c r="L110" s="20">
        <v>0.0</v>
      </c>
      <c r="N110" s="23"/>
      <c r="O110" s="19">
        <f>$G$12</f>
        <v>4</v>
      </c>
      <c r="P110" s="40">
        <f t="shared" ref="P110:T110" si="104">H110/U$135</f>
        <v>0.01515151515</v>
      </c>
      <c r="Q110" s="40">
        <f t="shared" si="104"/>
        <v>0.03225806452</v>
      </c>
      <c r="R110" s="40">
        <f t="shared" si="104"/>
        <v>0</v>
      </c>
      <c r="S110" s="40">
        <f t="shared" si="104"/>
        <v>0.08333333333</v>
      </c>
      <c r="T110" s="40">
        <f t="shared" si="104"/>
        <v>0</v>
      </c>
      <c r="U110" s="26">
        <f t="shared" ref="U110:Y110" si="105">SUM(H82:H105)</f>
        <v>254</v>
      </c>
      <c r="V110" s="26">
        <f t="shared" si="105"/>
        <v>115</v>
      </c>
      <c r="W110" s="26">
        <f t="shared" si="105"/>
        <v>1</v>
      </c>
      <c r="X110" s="26">
        <f t="shared" si="105"/>
        <v>10</v>
      </c>
      <c r="Y110" s="26">
        <f t="shared" si="105"/>
        <v>15</v>
      </c>
    </row>
    <row r="111" ht="15.75" customHeight="1">
      <c r="F111" s="23"/>
      <c r="G111" s="19">
        <f>$G$13</f>
        <v>5</v>
      </c>
      <c r="H111" s="20">
        <v>4.0</v>
      </c>
      <c r="I111" s="20">
        <v>1.0</v>
      </c>
      <c r="J111" s="20">
        <v>0.0</v>
      </c>
      <c r="K111" s="20">
        <v>1.0</v>
      </c>
      <c r="L111" s="20">
        <v>0.0</v>
      </c>
      <c r="N111" s="23"/>
      <c r="O111" s="19">
        <f>$G$13</f>
        <v>5</v>
      </c>
      <c r="P111" s="40">
        <f t="shared" ref="P111:T111" si="106">H111/U$135</f>
        <v>0.01515151515</v>
      </c>
      <c r="Q111" s="40">
        <f t="shared" si="106"/>
        <v>0.01075268817</v>
      </c>
      <c r="R111" s="40">
        <f t="shared" si="106"/>
        <v>0</v>
      </c>
      <c r="S111" s="40">
        <f t="shared" si="106"/>
        <v>0.08333333333</v>
      </c>
      <c r="T111" s="40">
        <f t="shared" si="106"/>
        <v>0</v>
      </c>
      <c r="U111" s="17">
        <f>$H$7</f>
        <v>31</v>
      </c>
      <c r="V111" s="17">
        <f>$I$7</f>
        <v>32</v>
      </c>
      <c r="W111" s="17">
        <f>$J$7</f>
        <v>41</v>
      </c>
      <c r="X111" s="17">
        <f>$K$7</f>
        <v>42</v>
      </c>
      <c r="Y111" s="17">
        <f>$L$7</f>
        <v>5</v>
      </c>
      <c r="AB111" s="16"/>
      <c r="AC111" s="17">
        <f>$H$7</f>
        <v>31</v>
      </c>
      <c r="AD111" s="17">
        <f>$I$7</f>
        <v>32</v>
      </c>
      <c r="AE111" s="17">
        <f>$J$7</f>
        <v>41</v>
      </c>
      <c r="AF111" s="17">
        <f>$K$7</f>
        <v>42</v>
      </c>
      <c r="AG111" s="17">
        <f>$L$7</f>
        <v>5</v>
      </c>
    </row>
    <row r="112" ht="15.75" customHeight="1">
      <c r="A112" s="16" t="s">
        <v>114</v>
      </c>
      <c r="F112" s="23"/>
      <c r="G112" s="19">
        <f>$G$14</f>
        <v>6</v>
      </c>
      <c r="H112" s="20">
        <v>2.0</v>
      </c>
      <c r="I112" s="20">
        <v>3.0</v>
      </c>
      <c r="J112" s="20">
        <v>1.0</v>
      </c>
      <c r="K112" s="20">
        <v>0.0</v>
      </c>
      <c r="L112" s="20">
        <v>0.0</v>
      </c>
      <c r="N112" s="23"/>
      <c r="O112" s="19">
        <f>$G$14</f>
        <v>6</v>
      </c>
      <c r="P112" s="40">
        <f t="shared" ref="P112:T112" si="107">H112/U$135</f>
        <v>0.007575757576</v>
      </c>
      <c r="Q112" s="40">
        <f t="shared" si="107"/>
        <v>0.03225806452</v>
      </c>
      <c r="R112" s="40">
        <f t="shared" si="107"/>
        <v>0.3333333333</v>
      </c>
      <c r="S112" s="40">
        <f t="shared" si="107"/>
        <v>0</v>
      </c>
      <c r="T112" s="40">
        <f t="shared" si="107"/>
        <v>0</v>
      </c>
    </row>
    <row r="113" ht="15.75" customHeight="1">
      <c r="A113" s="16" t="s">
        <v>70</v>
      </c>
      <c r="F113" s="23"/>
      <c r="G113" s="19">
        <f>$G$15</f>
        <v>7</v>
      </c>
      <c r="H113" s="20">
        <v>28.0</v>
      </c>
      <c r="I113" s="20">
        <v>4.0</v>
      </c>
      <c r="J113" s="20">
        <v>0.0</v>
      </c>
      <c r="K113" s="20">
        <v>1.0</v>
      </c>
      <c r="L113" s="20">
        <v>2.0</v>
      </c>
      <c r="N113" s="23"/>
      <c r="O113" s="19">
        <f>$G$15</f>
        <v>7</v>
      </c>
      <c r="P113" s="40">
        <f t="shared" ref="P113:T113" si="108">H113/U$135</f>
        <v>0.1060606061</v>
      </c>
      <c r="Q113" s="40">
        <f t="shared" si="108"/>
        <v>0.04301075269</v>
      </c>
      <c r="R113" s="40">
        <f t="shared" si="108"/>
        <v>0</v>
      </c>
      <c r="S113" s="40">
        <f t="shared" si="108"/>
        <v>0.08333333333</v>
      </c>
      <c r="T113" s="40">
        <f t="shared" si="108"/>
        <v>0.08695652174</v>
      </c>
    </row>
    <row r="114" ht="15.75" customHeight="1">
      <c r="A114" s="16" t="s">
        <v>94</v>
      </c>
      <c r="F114" s="23"/>
      <c r="G114" s="19">
        <f>$G$16</f>
        <v>8</v>
      </c>
      <c r="H114" s="20">
        <v>14.0</v>
      </c>
      <c r="I114" s="20">
        <v>9.0</v>
      </c>
      <c r="J114" s="20">
        <v>0.0</v>
      </c>
      <c r="K114" s="20">
        <v>2.0</v>
      </c>
      <c r="L114" s="20">
        <v>0.0</v>
      </c>
      <c r="N114" s="23"/>
      <c r="O114" s="19">
        <f>$G$16</f>
        <v>8</v>
      </c>
      <c r="P114" s="40">
        <f t="shared" ref="P114:T114" si="109">H114/U$135</f>
        <v>0.05303030303</v>
      </c>
      <c r="Q114" s="40">
        <f t="shared" si="109"/>
        <v>0.09677419355</v>
      </c>
      <c r="R114" s="40">
        <f t="shared" si="109"/>
        <v>0</v>
      </c>
      <c r="S114" s="40">
        <f t="shared" si="109"/>
        <v>0.1666666667</v>
      </c>
      <c r="T114" s="40">
        <f t="shared" si="109"/>
        <v>0</v>
      </c>
    </row>
    <row r="115" ht="15.75" customHeight="1">
      <c r="A115" s="16" t="s">
        <v>69</v>
      </c>
      <c r="F115" s="23"/>
      <c r="G115" s="19">
        <f>$G$17</f>
        <v>9</v>
      </c>
      <c r="H115" s="20">
        <v>11.0</v>
      </c>
      <c r="I115" s="20">
        <v>8.0</v>
      </c>
      <c r="J115" s="20">
        <v>0.0</v>
      </c>
      <c r="K115" s="20">
        <v>1.0</v>
      </c>
      <c r="L115" s="20">
        <v>4.0</v>
      </c>
      <c r="N115" s="23"/>
      <c r="O115" s="19">
        <f>$G$17</f>
        <v>9</v>
      </c>
      <c r="P115" s="40">
        <f t="shared" ref="P115:T115" si="110">H115/U$135</f>
        <v>0.04166666667</v>
      </c>
      <c r="Q115" s="40">
        <f t="shared" si="110"/>
        <v>0.08602150538</v>
      </c>
      <c r="R115" s="40">
        <f t="shared" si="110"/>
        <v>0</v>
      </c>
      <c r="S115" s="40">
        <f t="shared" si="110"/>
        <v>0.08333333333</v>
      </c>
      <c r="T115" s="40">
        <f t="shared" si="110"/>
        <v>0.1739130435</v>
      </c>
    </row>
    <row r="116" ht="15.75" customHeight="1">
      <c r="A116" s="16" t="s">
        <v>115</v>
      </c>
      <c r="F116" s="23"/>
      <c r="G116" s="19">
        <f>$G$18</f>
        <v>10</v>
      </c>
      <c r="H116" s="20">
        <v>10.0</v>
      </c>
      <c r="I116" s="20">
        <v>4.0</v>
      </c>
      <c r="J116" s="20">
        <v>0.0</v>
      </c>
      <c r="K116" s="20">
        <v>2.0</v>
      </c>
      <c r="L116" s="20">
        <v>3.0</v>
      </c>
      <c r="N116" s="23"/>
      <c r="O116" s="19">
        <f>$G$18</f>
        <v>10</v>
      </c>
      <c r="P116" s="40">
        <f t="shared" ref="P116:T116" si="111">H116/U$135</f>
        <v>0.03787878788</v>
      </c>
      <c r="Q116" s="40">
        <f t="shared" si="111"/>
        <v>0.04301075269</v>
      </c>
      <c r="R116" s="40">
        <f t="shared" si="111"/>
        <v>0</v>
      </c>
      <c r="S116" s="40">
        <f t="shared" si="111"/>
        <v>0.1666666667</v>
      </c>
      <c r="T116" s="40">
        <f t="shared" si="111"/>
        <v>0.1304347826</v>
      </c>
    </row>
    <row r="117" ht="15.75" customHeight="1">
      <c r="A117" s="16" t="s">
        <v>116</v>
      </c>
      <c r="F117" s="23"/>
      <c r="G117" s="19">
        <f>$G$19</f>
        <v>11</v>
      </c>
      <c r="H117" s="20">
        <v>12.0</v>
      </c>
      <c r="I117" s="20">
        <v>4.0</v>
      </c>
      <c r="J117" s="20">
        <v>0.0</v>
      </c>
      <c r="K117" s="20">
        <v>1.0</v>
      </c>
      <c r="L117" s="20">
        <v>4.0</v>
      </c>
      <c r="N117" s="23"/>
      <c r="O117" s="19">
        <f>$G$19</f>
        <v>11</v>
      </c>
      <c r="P117" s="40">
        <f t="shared" ref="P117:T117" si="112">H117/U$135</f>
        <v>0.04545454545</v>
      </c>
      <c r="Q117" s="40">
        <f t="shared" si="112"/>
        <v>0.04301075269</v>
      </c>
      <c r="R117" s="40">
        <f t="shared" si="112"/>
        <v>0</v>
      </c>
      <c r="S117" s="40">
        <f t="shared" si="112"/>
        <v>0.08333333333</v>
      </c>
      <c r="T117" s="40">
        <f t="shared" si="112"/>
        <v>0.1739130435</v>
      </c>
    </row>
    <row r="118" ht="15.75" customHeight="1">
      <c r="A118" s="16" t="s">
        <v>117</v>
      </c>
      <c r="F118" s="23"/>
      <c r="G118" s="19">
        <f>$G$20</f>
        <v>12</v>
      </c>
      <c r="H118" s="20">
        <v>13.0</v>
      </c>
      <c r="I118" s="20">
        <v>5.0</v>
      </c>
      <c r="J118" s="20">
        <v>0.0</v>
      </c>
      <c r="K118" s="20">
        <v>2.0</v>
      </c>
      <c r="L118" s="20">
        <v>2.0</v>
      </c>
      <c r="N118" s="23"/>
      <c r="O118" s="19">
        <f>$G$20</f>
        <v>12</v>
      </c>
      <c r="P118" s="40">
        <f t="shared" ref="P118:T118" si="113">H118/U$135</f>
        <v>0.04924242424</v>
      </c>
      <c r="Q118" s="40">
        <f t="shared" si="113"/>
        <v>0.05376344086</v>
      </c>
      <c r="R118" s="40">
        <f t="shared" si="113"/>
        <v>0</v>
      </c>
      <c r="S118" s="40">
        <f t="shared" si="113"/>
        <v>0.1666666667</v>
      </c>
      <c r="T118" s="40">
        <f t="shared" si="113"/>
        <v>0.08695652174</v>
      </c>
    </row>
    <row r="119" ht="15.75" customHeight="1">
      <c r="A119" s="16" t="s">
        <v>118</v>
      </c>
      <c r="F119" s="23"/>
      <c r="G119" s="19">
        <f>$G$21</f>
        <v>13</v>
      </c>
      <c r="H119" s="20">
        <v>12.0</v>
      </c>
      <c r="I119" s="20">
        <v>1.0</v>
      </c>
      <c r="J119" s="20">
        <v>0.0</v>
      </c>
      <c r="K119" s="20">
        <v>0.0</v>
      </c>
      <c r="L119" s="20">
        <v>3.0</v>
      </c>
      <c r="N119" s="23"/>
      <c r="O119" s="19">
        <f>$G$21</f>
        <v>13</v>
      </c>
      <c r="P119" s="40">
        <f t="shared" ref="P119:T119" si="114">H119/U$135</f>
        <v>0.04545454545</v>
      </c>
      <c r="Q119" s="40">
        <f t="shared" si="114"/>
        <v>0.01075268817</v>
      </c>
      <c r="R119" s="40">
        <f t="shared" si="114"/>
        <v>0</v>
      </c>
      <c r="S119" s="40">
        <f t="shared" si="114"/>
        <v>0</v>
      </c>
      <c r="T119" s="40">
        <f t="shared" si="114"/>
        <v>0.1304347826</v>
      </c>
    </row>
    <row r="120" ht="15.75" customHeight="1">
      <c r="A120" s="16" t="s">
        <v>119</v>
      </c>
      <c r="F120" s="23"/>
      <c r="G120" s="19">
        <f>$G$22</f>
        <v>14</v>
      </c>
      <c r="H120" s="20">
        <v>10.0</v>
      </c>
      <c r="I120" s="20">
        <v>8.0</v>
      </c>
      <c r="J120" s="20">
        <v>0.0</v>
      </c>
      <c r="K120" s="20">
        <v>0.0</v>
      </c>
      <c r="L120" s="20">
        <v>2.0</v>
      </c>
      <c r="N120" s="23"/>
      <c r="O120" s="19">
        <f>$G$22</f>
        <v>14</v>
      </c>
      <c r="P120" s="40">
        <f t="shared" ref="P120:T120" si="115">H120/U$135</f>
        <v>0.03787878788</v>
      </c>
      <c r="Q120" s="40">
        <f t="shared" si="115"/>
        <v>0.08602150538</v>
      </c>
      <c r="R120" s="40">
        <f t="shared" si="115"/>
        <v>0</v>
      </c>
      <c r="S120" s="40">
        <f t="shared" si="115"/>
        <v>0</v>
      </c>
      <c r="T120" s="40">
        <f t="shared" si="115"/>
        <v>0.08695652174</v>
      </c>
    </row>
    <row r="121" ht="15.75" customHeight="1">
      <c r="A121" s="16" t="s">
        <v>120</v>
      </c>
      <c r="F121" s="23"/>
      <c r="G121" s="19">
        <f>$G$23</f>
        <v>15</v>
      </c>
      <c r="H121" s="20">
        <v>15.0</v>
      </c>
      <c r="I121" s="20">
        <v>6.0</v>
      </c>
      <c r="J121" s="20">
        <v>0.0</v>
      </c>
      <c r="K121" s="20">
        <v>0.0</v>
      </c>
      <c r="L121" s="20">
        <v>1.0</v>
      </c>
      <c r="N121" s="23"/>
      <c r="O121" s="19">
        <f>$G$23</f>
        <v>15</v>
      </c>
      <c r="P121" s="40">
        <f t="shared" ref="P121:T121" si="116">H121/U$135</f>
        <v>0.05681818182</v>
      </c>
      <c r="Q121" s="40">
        <f t="shared" si="116"/>
        <v>0.06451612903</v>
      </c>
      <c r="R121" s="40">
        <f t="shared" si="116"/>
        <v>0</v>
      </c>
      <c r="S121" s="40">
        <f t="shared" si="116"/>
        <v>0</v>
      </c>
      <c r="T121" s="40">
        <f t="shared" si="116"/>
        <v>0.04347826087</v>
      </c>
    </row>
    <row r="122" ht="15.75" customHeight="1">
      <c r="A122" s="16" t="s">
        <v>121</v>
      </c>
      <c r="F122" s="23"/>
      <c r="G122" s="19">
        <f>$G$24</f>
        <v>16</v>
      </c>
      <c r="H122" s="20">
        <v>19.0</v>
      </c>
      <c r="I122" s="20">
        <v>14.0</v>
      </c>
      <c r="J122" s="20">
        <v>1.0</v>
      </c>
      <c r="K122" s="20">
        <v>0.0</v>
      </c>
      <c r="L122" s="20">
        <v>1.0</v>
      </c>
      <c r="N122" s="23"/>
      <c r="O122" s="19">
        <f>$G$24</f>
        <v>16</v>
      </c>
      <c r="P122" s="40">
        <f t="shared" ref="P122:T122" si="117">H122/U$135</f>
        <v>0.07196969697</v>
      </c>
      <c r="Q122" s="40">
        <f t="shared" si="117"/>
        <v>0.1505376344</v>
      </c>
      <c r="R122" s="40">
        <f t="shared" si="117"/>
        <v>0.3333333333</v>
      </c>
      <c r="S122" s="40">
        <f t="shared" si="117"/>
        <v>0</v>
      </c>
      <c r="T122" s="40">
        <f t="shared" si="117"/>
        <v>0.04347826087</v>
      </c>
    </row>
    <row r="123" ht="15.75" customHeight="1">
      <c r="A123" s="16" t="s">
        <v>122</v>
      </c>
      <c r="F123" s="23"/>
      <c r="G123" s="19">
        <f>$G$25</f>
        <v>17</v>
      </c>
      <c r="H123" s="20">
        <v>32.0</v>
      </c>
      <c r="I123" s="20">
        <v>8.0</v>
      </c>
      <c r="J123" s="20">
        <v>1.0</v>
      </c>
      <c r="K123" s="20">
        <v>0.0</v>
      </c>
      <c r="L123" s="20">
        <v>1.0</v>
      </c>
      <c r="N123" s="23"/>
      <c r="O123" s="19">
        <f>$G$25</f>
        <v>17</v>
      </c>
      <c r="P123" s="40">
        <f t="shared" ref="P123:T123" si="118">H123/U$135</f>
        <v>0.1212121212</v>
      </c>
      <c r="Q123" s="40">
        <f t="shared" si="118"/>
        <v>0.08602150538</v>
      </c>
      <c r="R123" s="40">
        <f t="shared" si="118"/>
        <v>0.3333333333</v>
      </c>
      <c r="S123" s="40">
        <f t="shared" si="118"/>
        <v>0</v>
      </c>
      <c r="T123" s="40">
        <f t="shared" si="118"/>
        <v>0.04347826087</v>
      </c>
    </row>
    <row r="124" ht="15.75" customHeight="1">
      <c r="A124" s="16" t="s">
        <v>123</v>
      </c>
      <c r="F124" s="23"/>
      <c r="G124" s="19">
        <f>$G$26</f>
        <v>18</v>
      </c>
      <c r="H124" s="20">
        <v>20.0</v>
      </c>
      <c r="I124" s="20">
        <v>2.0</v>
      </c>
      <c r="J124" s="20">
        <v>0.0</v>
      </c>
      <c r="K124" s="20">
        <v>1.0</v>
      </c>
      <c r="L124" s="20">
        <v>0.0</v>
      </c>
      <c r="N124" s="23"/>
      <c r="O124" s="19">
        <f>$G$26</f>
        <v>18</v>
      </c>
      <c r="P124" s="40">
        <f t="shared" ref="P124:T124" si="119">H124/U$135</f>
        <v>0.07575757576</v>
      </c>
      <c r="Q124" s="40">
        <f t="shared" si="119"/>
        <v>0.02150537634</v>
      </c>
      <c r="R124" s="40">
        <f t="shared" si="119"/>
        <v>0</v>
      </c>
      <c r="S124" s="40">
        <f t="shared" si="119"/>
        <v>0.08333333333</v>
      </c>
      <c r="T124" s="40">
        <f t="shared" si="119"/>
        <v>0</v>
      </c>
    </row>
    <row r="125" ht="15.75" customHeight="1">
      <c r="A125" s="16" t="s">
        <v>124</v>
      </c>
      <c r="F125" s="23"/>
      <c r="G125" s="19">
        <f>$G$27</f>
        <v>19</v>
      </c>
      <c r="H125" s="20">
        <v>13.0</v>
      </c>
      <c r="I125" s="20">
        <v>5.0</v>
      </c>
      <c r="J125" s="20">
        <v>0.0</v>
      </c>
      <c r="K125" s="20">
        <v>0.0</v>
      </c>
      <c r="L125" s="20">
        <v>0.0</v>
      </c>
      <c r="N125" s="23"/>
      <c r="O125" s="19">
        <f>$G$27</f>
        <v>19</v>
      </c>
      <c r="P125" s="40">
        <f t="shared" ref="P125:T125" si="120">H125/U$135</f>
        <v>0.04924242424</v>
      </c>
      <c r="Q125" s="40">
        <f t="shared" si="120"/>
        <v>0.05376344086</v>
      </c>
      <c r="R125" s="40">
        <f t="shared" si="120"/>
        <v>0</v>
      </c>
      <c r="S125" s="40">
        <f t="shared" si="120"/>
        <v>0</v>
      </c>
      <c r="T125" s="40">
        <f t="shared" si="120"/>
        <v>0</v>
      </c>
    </row>
    <row r="126" ht="15.75" customHeight="1">
      <c r="A126" s="16" t="s">
        <v>125</v>
      </c>
      <c r="F126" s="23"/>
      <c r="G126" s="19">
        <f>$G$28</f>
        <v>20</v>
      </c>
      <c r="H126" s="20">
        <v>13.0</v>
      </c>
      <c r="I126" s="20">
        <v>3.0</v>
      </c>
      <c r="J126" s="20">
        <v>0.0</v>
      </c>
      <c r="K126" s="20">
        <v>0.0</v>
      </c>
      <c r="L126" s="20">
        <v>0.0</v>
      </c>
      <c r="N126" s="23"/>
      <c r="O126" s="19">
        <f>$G$28</f>
        <v>20</v>
      </c>
      <c r="P126" s="40">
        <f t="shared" ref="P126:T126" si="121">H126/U$135</f>
        <v>0.04924242424</v>
      </c>
      <c r="Q126" s="40">
        <f t="shared" si="121"/>
        <v>0.03225806452</v>
      </c>
      <c r="R126" s="40">
        <f t="shared" si="121"/>
        <v>0</v>
      </c>
      <c r="S126" s="40">
        <f t="shared" si="121"/>
        <v>0</v>
      </c>
      <c r="T126" s="40">
        <f t="shared" si="121"/>
        <v>0</v>
      </c>
    </row>
    <row r="127" ht="15.75" customHeight="1">
      <c r="A127" s="16" t="s">
        <v>126</v>
      </c>
      <c r="F127" s="23"/>
      <c r="G127" s="19">
        <f>$G$29</f>
        <v>21</v>
      </c>
      <c r="H127" s="20">
        <v>5.0</v>
      </c>
      <c r="I127" s="20">
        <v>2.0</v>
      </c>
      <c r="J127" s="20">
        <v>0.0</v>
      </c>
      <c r="K127" s="20">
        <v>0.0</v>
      </c>
      <c r="L127" s="20">
        <v>0.0</v>
      </c>
      <c r="N127" s="23"/>
      <c r="O127" s="19">
        <f>$G$29</f>
        <v>21</v>
      </c>
      <c r="P127" s="40">
        <f t="shared" ref="P127:T127" si="122">H127/U$135</f>
        <v>0.01893939394</v>
      </c>
      <c r="Q127" s="40">
        <f t="shared" si="122"/>
        <v>0.02150537634</v>
      </c>
      <c r="R127" s="40">
        <f t="shared" si="122"/>
        <v>0</v>
      </c>
      <c r="S127" s="40">
        <f t="shared" si="122"/>
        <v>0</v>
      </c>
      <c r="T127" s="40">
        <f t="shared" si="122"/>
        <v>0</v>
      </c>
    </row>
    <row r="128" ht="15.75" customHeight="1">
      <c r="A128" s="16" t="s">
        <v>127</v>
      </c>
      <c r="F128" s="23"/>
      <c r="G128" s="19">
        <f>$G$30</f>
        <v>22</v>
      </c>
      <c r="H128" s="20">
        <v>12.0</v>
      </c>
      <c r="I128" s="20">
        <v>0.0</v>
      </c>
      <c r="J128" s="20">
        <v>0.0</v>
      </c>
      <c r="K128" s="20">
        <v>0.0</v>
      </c>
      <c r="L128" s="20">
        <v>0.0</v>
      </c>
      <c r="N128" s="23"/>
      <c r="O128" s="19">
        <f>$G$30</f>
        <v>22</v>
      </c>
      <c r="P128" s="40">
        <f t="shared" ref="P128:T128" si="123">H128/U$135</f>
        <v>0.04545454545</v>
      </c>
      <c r="Q128" s="40">
        <f t="shared" si="123"/>
        <v>0</v>
      </c>
      <c r="R128" s="40">
        <f t="shared" si="123"/>
        <v>0</v>
      </c>
      <c r="S128" s="40">
        <f t="shared" si="123"/>
        <v>0</v>
      </c>
      <c r="T128" s="40">
        <f t="shared" si="123"/>
        <v>0</v>
      </c>
    </row>
    <row r="129" ht="15.75" customHeight="1">
      <c r="A129" s="16" t="s">
        <v>128</v>
      </c>
      <c r="F129" s="27"/>
      <c r="G129" s="19">
        <f>$G$31</f>
        <v>23</v>
      </c>
      <c r="H129" s="20">
        <v>6.0</v>
      </c>
      <c r="I129" s="20">
        <v>2.0</v>
      </c>
      <c r="J129" s="20">
        <v>0.0</v>
      </c>
      <c r="K129" s="20">
        <v>0.0</v>
      </c>
      <c r="L129" s="20">
        <v>0.0</v>
      </c>
      <c r="N129" s="27"/>
      <c r="O129" s="19">
        <f>$G$31</f>
        <v>23</v>
      </c>
      <c r="P129" s="40">
        <f t="shared" ref="P129:T129" si="124">H129/U$135</f>
        <v>0.02272727273</v>
      </c>
      <c r="Q129" s="40">
        <f t="shared" si="124"/>
        <v>0.02150537634</v>
      </c>
      <c r="R129" s="40">
        <f t="shared" si="124"/>
        <v>0</v>
      </c>
      <c r="S129" s="40">
        <f t="shared" si="124"/>
        <v>0</v>
      </c>
      <c r="T129" s="40">
        <f t="shared" si="124"/>
        <v>0</v>
      </c>
    </row>
    <row r="130" ht="15.75" customHeight="1">
      <c r="A130" s="16" t="s">
        <v>129</v>
      </c>
      <c r="F130" s="56">
        <v>45212.0</v>
      </c>
      <c r="G130" s="19">
        <f>$G$8</f>
        <v>0</v>
      </c>
      <c r="H130" s="20">
        <v>4.0</v>
      </c>
      <c r="I130" s="20">
        <v>0.0</v>
      </c>
      <c r="J130" s="20">
        <v>0.0</v>
      </c>
      <c r="K130" s="20">
        <v>0.0</v>
      </c>
      <c r="L130" s="20">
        <v>0.0</v>
      </c>
      <c r="N130" s="56">
        <v>45212.0</v>
      </c>
      <c r="O130" s="19">
        <f>$G$8</f>
        <v>0</v>
      </c>
      <c r="P130" s="40">
        <f t="shared" ref="P130:T130" si="125">H130/U$162</f>
        <v>0.01515151515</v>
      </c>
      <c r="Q130" s="40">
        <f t="shared" si="125"/>
        <v>0</v>
      </c>
      <c r="R130" s="40">
        <f t="shared" si="125"/>
        <v>0</v>
      </c>
      <c r="S130" s="40">
        <f t="shared" si="125"/>
        <v>0</v>
      </c>
      <c r="T130" s="40">
        <f t="shared" si="125"/>
        <v>0</v>
      </c>
    </row>
    <row r="131" ht="15.75" customHeight="1">
      <c r="A131" s="16" t="s">
        <v>130</v>
      </c>
      <c r="F131" s="23"/>
      <c r="G131" s="19">
        <f>$G$9</f>
        <v>1</v>
      </c>
      <c r="H131" s="20">
        <v>2.0</v>
      </c>
      <c r="I131" s="20">
        <v>0.0</v>
      </c>
      <c r="J131" s="20">
        <v>0.0</v>
      </c>
      <c r="K131" s="20">
        <v>0.0</v>
      </c>
      <c r="L131" s="20">
        <v>0.0</v>
      </c>
      <c r="N131" s="23"/>
      <c r="O131" s="19">
        <f>$G$9</f>
        <v>1</v>
      </c>
      <c r="P131" s="40">
        <f t="shared" ref="P131:T131" si="126">H131/U$162</f>
        <v>0.007575757576</v>
      </c>
      <c r="Q131" s="40">
        <f t="shared" si="126"/>
        <v>0</v>
      </c>
      <c r="R131" s="40">
        <f t="shared" si="126"/>
        <v>0</v>
      </c>
      <c r="S131" s="40">
        <f t="shared" si="126"/>
        <v>0</v>
      </c>
      <c r="T131" s="40">
        <f t="shared" si="126"/>
        <v>0</v>
      </c>
    </row>
    <row r="132" ht="15.75" customHeight="1">
      <c r="A132" s="16" t="s">
        <v>131</v>
      </c>
      <c r="F132" s="23"/>
      <c r="G132" s="19">
        <f>$G$10</f>
        <v>2</v>
      </c>
      <c r="H132" s="16">
        <v>1.0</v>
      </c>
      <c r="I132" s="16">
        <v>0.0</v>
      </c>
      <c r="J132" s="16">
        <v>0.0</v>
      </c>
      <c r="K132" s="16">
        <v>0.0</v>
      </c>
      <c r="L132" s="16">
        <v>0.0</v>
      </c>
      <c r="N132" s="23"/>
      <c r="O132" s="19">
        <f>$G$10</f>
        <v>2</v>
      </c>
      <c r="P132" s="40">
        <f t="shared" ref="P132:T132" si="127">H132/U$162</f>
        <v>0.003787878788</v>
      </c>
      <c r="Q132" s="40">
        <f t="shared" si="127"/>
        <v>0</v>
      </c>
      <c r="R132" s="40">
        <f t="shared" si="127"/>
        <v>0</v>
      </c>
      <c r="S132" s="40">
        <f t="shared" si="127"/>
        <v>0</v>
      </c>
      <c r="T132" s="40">
        <f t="shared" si="127"/>
        <v>0</v>
      </c>
    </row>
    <row r="133" ht="15.75" customHeight="1">
      <c r="A133" s="16" t="s">
        <v>74</v>
      </c>
      <c r="F133" s="23"/>
      <c r="G133" s="19">
        <f>$G$11</f>
        <v>3</v>
      </c>
      <c r="H133" s="20">
        <v>2.0</v>
      </c>
      <c r="I133" s="20">
        <v>1.0</v>
      </c>
      <c r="J133" s="20">
        <v>0.0</v>
      </c>
      <c r="K133" s="20">
        <v>0.0</v>
      </c>
      <c r="L133" s="20">
        <v>0.0</v>
      </c>
      <c r="N133" s="23"/>
      <c r="O133" s="19">
        <f>$G$11</f>
        <v>3</v>
      </c>
      <c r="P133" s="40">
        <f t="shared" ref="P133:T133" si="128">H133/U$162</f>
        <v>0.007575757576</v>
      </c>
      <c r="Q133" s="40">
        <f t="shared" si="128"/>
        <v>0.01075268817</v>
      </c>
      <c r="R133" s="40">
        <f t="shared" si="128"/>
        <v>0</v>
      </c>
      <c r="S133" s="40">
        <f t="shared" si="128"/>
        <v>0</v>
      </c>
      <c r="T133" s="40">
        <f t="shared" si="128"/>
        <v>0</v>
      </c>
    </row>
    <row r="134" ht="15.75" customHeight="1">
      <c r="A134" s="16" t="s">
        <v>132</v>
      </c>
      <c r="F134" s="23"/>
      <c r="G134" s="19">
        <f>$G$12</f>
        <v>4</v>
      </c>
      <c r="H134" s="20">
        <v>4.0</v>
      </c>
      <c r="I134" s="20">
        <v>3.0</v>
      </c>
      <c r="J134" s="20">
        <v>0.0</v>
      </c>
      <c r="K134" s="20">
        <v>1.0</v>
      </c>
      <c r="L134" s="20">
        <v>0.0</v>
      </c>
      <c r="N134" s="23"/>
      <c r="O134" s="19">
        <f>$G$12</f>
        <v>4</v>
      </c>
      <c r="P134" s="40">
        <f t="shared" ref="P134:T134" si="129">H134/U$162</f>
        <v>0.01515151515</v>
      </c>
      <c r="Q134" s="40">
        <f t="shared" si="129"/>
        <v>0.03225806452</v>
      </c>
      <c r="R134" s="40">
        <f t="shared" si="129"/>
        <v>0</v>
      </c>
      <c r="S134" s="40">
        <f t="shared" si="129"/>
        <v>0.08333333333</v>
      </c>
      <c r="T134" s="40">
        <f t="shared" si="129"/>
        <v>0</v>
      </c>
    </row>
    <row r="135" ht="15.75" customHeight="1">
      <c r="A135" s="16" t="s">
        <v>133</v>
      </c>
      <c r="F135" s="23"/>
      <c r="G135" s="19">
        <f>$G$13</f>
        <v>5</v>
      </c>
      <c r="H135" s="20">
        <v>4.0</v>
      </c>
      <c r="I135" s="20">
        <v>1.0</v>
      </c>
      <c r="J135" s="20">
        <v>0.0</v>
      </c>
      <c r="K135" s="20">
        <v>1.0</v>
      </c>
      <c r="L135" s="20">
        <v>0.0</v>
      </c>
      <c r="N135" s="23"/>
      <c r="O135" s="19">
        <f>$G$13</f>
        <v>5</v>
      </c>
      <c r="P135" s="40">
        <f t="shared" ref="P135:T135" si="130">H135/U$162</f>
        <v>0.01515151515</v>
      </c>
      <c r="Q135" s="40">
        <f t="shared" si="130"/>
        <v>0.01075268817</v>
      </c>
      <c r="R135" s="40">
        <f t="shared" si="130"/>
        <v>0</v>
      </c>
      <c r="S135" s="40">
        <f t="shared" si="130"/>
        <v>0.08333333333</v>
      </c>
      <c r="T135" s="40">
        <f t="shared" si="130"/>
        <v>0</v>
      </c>
      <c r="U135" s="26">
        <f t="shared" ref="U135:Y135" si="131">SUM(H106:H129)</f>
        <v>264</v>
      </c>
      <c r="V135" s="26">
        <f t="shared" si="131"/>
        <v>93</v>
      </c>
      <c r="W135" s="26">
        <f t="shared" si="131"/>
        <v>3</v>
      </c>
      <c r="X135" s="26">
        <f t="shared" si="131"/>
        <v>12</v>
      </c>
      <c r="Y135" s="26">
        <f t="shared" si="131"/>
        <v>23</v>
      </c>
    </row>
    <row r="136" ht="15.75" customHeight="1">
      <c r="F136" s="23"/>
      <c r="G136" s="19">
        <f>$G$14</f>
        <v>6</v>
      </c>
      <c r="H136" s="20">
        <v>2.0</v>
      </c>
      <c r="I136" s="20">
        <v>3.0</v>
      </c>
      <c r="J136" s="20">
        <v>1.0</v>
      </c>
      <c r="K136" s="20">
        <v>0.0</v>
      </c>
      <c r="L136" s="20">
        <v>0.0</v>
      </c>
      <c r="N136" s="23"/>
      <c r="O136" s="19">
        <f>$G$14</f>
        <v>6</v>
      </c>
      <c r="P136" s="40">
        <f t="shared" ref="P136:T136" si="132">H136/U$162</f>
        <v>0.007575757576</v>
      </c>
      <c r="Q136" s="40">
        <f t="shared" si="132"/>
        <v>0.03225806452</v>
      </c>
      <c r="R136" s="40">
        <f t="shared" si="132"/>
        <v>0.3333333333</v>
      </c>
      <c r="S136" s="40">
        <f t="shared" si="132"/>
        <v>0</v>
      </c>
      <c r="T136" s="40">
        <f t="shared" si="132"/>
        <v>0</v>
      </c>
      <c r="U136" s="17">
        <f>$H$7</f>
        <v>31</v>
      </c>
      <c r="V136" s="17">
        <f>$I$7</f>
        <v>32</v>
      </c>
      <c r="W136" s="17">
        <f>$J$7</f>
        <v>41</v>
      </c>
      <c r="X136" s="17">
        <f>$K$7</f>
        <v>42</v>
      </c>
      <c r="Y136" s="17">
        <f>$L$7</f>
        <v>5</v>
      </c>
      <c r="AB136" s="16"/>
      <c r="AC136" s="17">
        <f>$H$7</f>
        <v>31</v>
      </c>
      <c r="AD136" s="17">
        <f>$I$7</f>
        <v>32</v>
      </c>
      <c r="AE136" s="17">
        <f>$J$7</f>
        <v>41</v>
      </c>
      <c r="AF136" s="17">
        <f>$K$7</f>
        <v>42</v>
      </c>
      <c r="AG136" s="17">
        <f>$L$7</f>
        <v>5</v>
      </c>
    </row>
    <row r="137" ht="15.75" customHeight="1">
      <c r="A137" s="16" t="s">
        <v>114</v>
      </c>
      <c r="F137" s="23"/>
      <c r="G137" s="19">
        <f>$G$15</f>
        <v>7</v>
      </c>
      <c r="H137" s="20">
        <v>28.0</v>
      </c>
      <c r="I137" s="20">
        <v>4.0</v>
      </c>
      <c r="J137" s="20">
        <v>0.0</v>
      </c>
      <c r="K137" s="20">
        <v>1.0</v>
      </c>
      <c r="L137" s="20">
        <v>2.0</v>
      </c>
      <c r="N137" s="23"/>
      <c r="O137" s="19">
        <f>$G$15</f>
        <v>7</v>
      </c>
      <c r="P137" s="40">
        <f t="shared" ref="P137:T137" si="133">H137/U$162</f>
        <v>0.1060606061</v>
      </c>
      <c r="Q137" s="40">
        <f t="shared" si="133"/>
        <v>0.04301075269</v>
      </c>
      <c r="R137" s="40">
        <f t="shared" si="133"/>
        <v>0</v>
      </c>
      <c r="S137" s="40">
        <f t="shared" si="133"/>
        <v>0.08333333333</v>
      </c>
      <c r="T137" s="40">
        <f t="shared" si="133"/>
        <v>0.08695652174</v>
      </c>
    </row>
    <row r="138" ht="15.75" customHeight="1">
      <c r="A138" s="16" t="s">
        <v>70</v>
      </c>
      <c r="F138" s="23"/>
      <c r="G138" s="19">
        <f>$G$16</f>
        <v>8</v>
      </c>
      <c r="H138" s="20">
        <v>14.0</v>
      </c>
      <c r="I138" s="20">
        <v>9.0</v>
      </c>
      <c r="J138" s="20">
        <v>0.0</v>
      </c>
      <c r="K138" s="20">
        <v>2.0</v>
      </c>
      <c r="L138" s="20">
        <v>0.0</v>
      </c>
      <c r="N138" s="23"/>
      <c r="O138" s="19">
        <f>$G$16</f>
        <v>8</v>
      </c>
      <c r="P138" s="40">
        <f t="shared" ref="P138:T138" si="134">H138/U$162</f>
        <v>0.05303030303</v>
      </c>
      <c r="Q138" s="40">
        <f t="shared" si="134"/>
        <v>0.09677419355</v>
      </c>
      <c r="R138" s="40">
        <f t="shared" si="134"/>
        <v>0</v>
      </c>
      <c r="S138" s="40">
        <f t="shared" si="134"/>
        <v>0.1666666667</v>
      </c>
      <c r="T138" s="40">
        <f t="shared" si="134"/>
        <v>0</v>
      </c>
    </row>
    <row r="139" ht="15.75" customHeight="1">
      <c r="A139" s="16" t="s">
        <v>94</v>
      </c>
      <c r="F139" s="23"/>
      <c r="G139" s="19">
        <f>$G$17</f>
        <v>9</v>
      </c>
      <c r="H139" s="20">
        <v>11.0</v>
      </c>
      <c r="I139" s="20">
        <v>8.0</v>
      </c>
      <c r="J139" s="20">
        <v>0.0</v>
      </c>
      <c r="K139" s="20">
        <v>1.0</v>
      </c>
      <c r="L139" s="20">
        <v>4.0</v>
      </c>
      <c r="N139" s="23"/>
      <c r="O139" s="19">
        <f>$G$17</f>
        <v>9</v>
      </c>
      <c r="P139" s="40">
        <f t="shared" ref="P139:T139" si="135">H139/U$162</f>
        <v>0.04166666667</v>
      </c>
      <c r="Q139" s="40">
        <f t="shared" si="135"/>
        <v>0.08602150538</v>
      </c>
      <c r="R139" s="40">
        <f t="shared" si="135"/>
        <v>0</v>
      </c>
      <c r="S139" s="40">
        <f t="shared" si="135"/>
        <v>0.08333333333</v>
      </c>
      <c r="T139" s="40">
        <f t="shared" si="135"/>
        <v>0.1739130435</v>
      </c>
    </row>
    <row r="140" ht="15.75" customHeight="1">
      <c r="A140" s="16" t="s">
        <v>69</v>
      </c>
      <c r="F140" s="23"/>
      <c r="G140" s="19">
        <f>$G$18</f>
        <v>10</v>
      </c>
      <c r="H140" s="20">
        <v>10.0</v>
      </c>
      <c r="I140" s="20">
        <v>4.0</v>
      </c>
      <c r="J140" s="20">
        <v>0.0</v>
      </c>
      <c r="K140" s="20">
        <v>2.0</v>
      </c>
      <c r="L140" s="20">
        <v>3.0</v>
      </c>
      <c r="N140" s="23"/>
      <c r="O140" s="19">
        <f>$G$18</f>
        <v>10</v>
      </c>
      <c r="P140" s="40">
        <f t="shared" ref="P140:T140" si="136">H140/U$162</f>
        <v>0.03787878788</v>
      </c>
      <c r="Q140" s="40">
        <f t="shared" si="136"/>
        <v>0.04301075269</v>
      </c>
      <c r="R140" s="40">
        <f t="shared" si="136"/>
        <v>0</v>
      </c>
      <c r="S140" s="40">
        <f t="shared" si="136"/>
        <v>0.1666666667</v>
      </c>
      <c r="T140" s="40">
        <f t="shared" si="136"/>
        <v>0.1304347826</v>
      </c>
    </row>
    <row r="141" ht="15.75" customHeight="1">
      <c r="A141" s="16" t="s">
        <v>115</v>
      </c>
      <c r="F141" s="23"/>
      <c r="G141" s="19">
        <f>$G$19</f>
        <v>11</v>
      </c>
      <c r="H141" s="20">
        <v>12.0</v>
      </c>
      <c r="I141" s="20">
        <v>4.0</v>
      </c>
      <c r="J141" s="20">
        <v>0.0</v>
      </c>
      <c r="K141" s="20">
        <v>1.0</v>
      </c>
      <c r="L141" s="20">
        <v>4.0</v>
      </c>
      <c r="N141" s="23"/>
      <c r="O141" s="19">
        <f>$G$19</f>
        <v>11</v>
      </c>
      <c r="P141" s="40">
        <f t="shared" ref="P141:T141" si="137">H141/U$162</f>
        <v>0.04545454545</v>
      </c>
      <c r="Q141" s="40">
        <f t="shared" si="137"/>
        <v>0.04301075269</v>
      </c>
      <c r="R141" s="40">
        <f t="shared" si="137"/>
        <v>0</v>
      </c>
      <c r="S141" s="40">
        <f t="shared" si="137"/>
        <v>0.08333333333</v>
      </c>
      <c r="T141" s="40">
        <f t="shared" si="137"/>
        <v>0.1739130435</v>
      </c>
    </row>
    <row r="142" ht="15.75" customHeight="1">
      <c r="A142" s="16" t="s">
        <v>116</v>
      </c>
      <c r="F142" s="23"/>
      <c r="G142" s="19">
        <f>$G$20</f>
        <v>12</v>
      </c>
      <c r="H142" s="20">
        <v>13.0</v>
      </c>
      <c r="I142" s="20">
        <v>5.0</v>
      </c>
      <c r="J142" s="20">
        <v>0.0</v>
      </c>
      <c r="K142" s="20">
        <v>2.0</v>
      </c>
      <c r="L142" s="20">
        <v>2.0</v>
      </c>
      <c r="N142" s="23"/>
      <c r="O142" s="19">
        <f>$G$20</f>
        <v>12</v>
      </c>
      <c r="P142" s="40">
        <f t="shared" ref="P142:T142" si="138">H142/U$162</f>
        <v>0.04924242424</v>
      </c>
      <c r="Q142" s="40">
        <f t="shared" si="138"/>
        <v>0.05376344086</v>
      </c>
      <c r="R142" s="40">
        <f t="shared" si="138"/>
        <v>0</v>
      </c>
      <c r="S142" s="40">
        <f t="shared" si="138"/>
        <v>0.1666666667</v>
      </c>
      <c r="T142" s="40">
        <f t="shared" si="138"/>
        <v>0.08695652174</v>
      </c>
    </row>
    <row r="143" ht="15.75" customHeight="1">
      <c r="A143" s="16" t="s">
        <v>117</v>
      </c>
      <c r="F143" s="23"/>
      <c r="G143" s="19">
        <f>$G$21</f>
        <v>13</v>
      </c>
      <c r="H143" s="20">
        <v>12.0</v>
      </c>
      <c r="I143" s="20">
        <v>1.0</v>
      </c>
      <c r="J143" s="20">
        <v>0.0</v>
      </c>
      <c r="K143" s="20">
        <v>0.0</v>
      </c>
      <c r="L143" s="20">
        <v>3.0</v>
      </c>
      <c r="N143" s="23"/>
      <c r="O143" s="19">
        <f>$G$21</f>
        <v>13</v>
      </c>
      <c r="P143" s="40">
        <f t="shared" ref="P143:T143" si="139">H143/U$162</f>
        <v>0.04545454545</v>
      </c>
      <c r="Q143" s="40">
        <f t="shared" si="139"/>
        <v>0.01075268817</v>
      </c>
      <c r="R143" s="40">
        <f t="shared" si="139"/>
        <v>0</v>
      </c>
      <c r="S143" s="40">
        <f t="shared" si="139"/>
        <v>0</v>
      </c>
      <c r="T143" s="40">
        <f t="shared" si="139"/>
        <v>0.1304347826</v>
      </c>
    </row>
    <row r="144" ht="15.75" customHeight="1">
      <c r="A144" s="16" t="s">
        <v>118</v>
      </c>
      <c r="F144" s="23"/>
      <c r="G144" s="19">
        <f>$G$22</f>
        <v>14</v>
      </c>
      <c r="H144" s="20">
        <v>10.0</v>
      </c>
      <c r="I144" s="20">
        <v>8.0</v>
      </c>
      <c r="J144" s="20">
        <v>0.0</v>
      </c>
      <c r="K144" s="20">
        <v>0.0</v>
      </c>
      <c r="L144" s="20">
        <v>2.0</v>
      </c>
      <c r="N144" s="23"/>
      <c r="O144" s="19">
        <f>$G$22</f>
        <v>14</v>
      </c>
      <c r="P144" s="40">
        <f t="shared" ref="P144:T144" si="140">H144/U$162</f>
        <v>0.03787878788</v>
      </c>
      <c r="Q144" s="40">
        <f t="shared" si="140"/>
        <v>0.08602150538</v>
      </c>
      <c r="R144" s="40">
        <f t="shared" si="140"/>
        <v>0</v>
      </c>
      <c r="S144" s="40">
        <f t="shared" si="140"/>
        <v>0</v>
      </c>
      <c r="T144" s="40">
        <f t="shared" si="140"/>
        <v>0.08695652174</v>
      </c>
    </row>
    <row r="145" ht="15.75" customHeight="1">
      <c r="A145" s="16" t="s">
        <v>119</v>
      </c>
      <c r="F145" s="23"/>
      <c r="G145" s="19">
        <f>$G$23</f>
        <v>15</v>
      </c>
      <c r="H145" s="20">
        <v>15.0</v>
      </c>
      <c r="I145" s="20">
        <v>6.0</v>
      </c>
      <c r="J145" s="20">
        <v>0.0</v>
      </c>
      <c r="K145" s="20">
        <v>0.0</v>
      </c>
      <c r="L145" s="20">
        <v>1.0</v>
      </c>
      <c r="N145" s="23"/>
      <c r="O145" s="19">
        <f>$G$23</f>
        <v>15</v>
      </c>
      <c r="P145" s="40">
        <f t="shared" ref="P145:T145" si="141">H145/U$162</f>
        <v>0.05681818182</v>
      </c>
      <c r="Q145" s="40">
        <f t="shared" si="141"/>
        <v>0.06451612903</v>
      </c>
      <c r="R145" s="40">
        <f t="shared" si="141"/>
        <v>0</v>
      </c>
      <c r="S145" s="40">
        <f t="shared" si="141"/>
        <v>0</v>
      </c>
      <c r="T145" s="40">
        <f t="shared" si="141"/>
        <v>0.04347826087</v>
      </c>
    </row>
    <row r="146" ht="15.75" customHeight="1">
      <c r="A146" s="16" t="s">
        <v>120</v>
      </c>
      <c r="F146" s="23"/>
      <c r="G146" s="19">
        <f>$G$24</f>
        <v>16</v>
      </c>
      <c r="H146" s="20">
        <v>19.0</v>
      </c>
      <c r="I146" s="20">
        <v>14.0</v>
      </c>
      <c r="J146" s="20">
        <v>1.0</v>
      </c>
      <c r="K146" s="20">
        <v>0.0</v>
      </c>
      <c r="L146" s="20">
        <v>1.0</v>
      </c>
      <c r="N146" s="23"/>
      <c r="O146" s="19">
        <f>$G$24</f>
        <v>16</v>
      </c>
      <c r="P146" s="40">
        <f t="shared" ref="P146:T146" si="142">H146/U$162</f>
        <v>0.07196969697</v>
      </c>
      <c r="Q146" s="40">
        <f t="shared" si="142"/>
        <v>0.1505376344</v>
      </c>
      <c r="R146" s="40">
        <f t="shared" si="142"/>
        <v>0.3333333333</v>
      </c>
      <c r="S146" s="40">
        <f t="shared" si="142"/>
        <v>0</v>
      </c>
      <c r="T146" s="40">
        <f t="shared" si="142"/>
        <v>0.04347826087</v>
      </c>
    </row>
    <row r="147" ht="15.75" customHeight="1">
      <c r="A147" s="16" t="s">
        <v>121</v>
      </c>
      <c r="F147" s="23"/>
      <c r="G147" s="19">
        <f>$G$25</f>
        <v>17</v>
      </c>
      <c r="H147" s="20">
        <v>32.0</v>
      </c>
      <c r="I147" s="20">
        <v>8.0</v>
      </c>
      <c r="J147" s="20">
        <v>1.0</v>
      </c>
      <c r="K147" s="20">
        <v>0.0</v>
      </c>
      <c r="L147" s="20">
        <v>1.0</v>
      </c>
      <c r="N147" s="23"/>
      <c r="O147" s="19">
        <f>$G$25</f>
        <v>17</v>
      </c>
      <c r="P147" s="40">
        <f t="shared" ref="P147:T147" si="143">H147/U$162</f>
        <v>0.1212121212</v>
      </c>
      <c r="Q147" s="40">
        <f t="shared" si="143"/>
        <v>0.08602150538</v>
      </c>
      <c r="R147" s="40">
        <f t="shared" si="143"/>
        <v>0.3333333333</v>
      </c>
      <c r="S147" s="40">
        <f t="shared" si="143"/>
        <v>0</v>
      </c>
      <c r="T147" s="40">
        <f t="shared" si="143"/>
        <v>0.04347826087</v>
      </c>
    </row>
    <row r="148" ht="15.75" customHeight="1">
      <c r="A148" s="16" t="s">
        <v>122</v>
      </c>
      <c r="F148" s="23"/>
      <c r="G148" s="19">
        <f>$G$26</f>
        <v>18</v>
      </c>
      <c r="H148" s="20">
        <v>20.0</v>
      </c>
      <c r="I148" s="20">
        <v>2.0</v>
      </c>
      <c r="J148" s="20">
        <v>0.0</v>
      </c>
      <c r="K148" s="20">
        <v>1.0</v>
      </c>
      <c r="L148" s="20">
        <v>0.0</v>
      </c>
      <c r="N148" s="23"/>
      <c r="O148" s="19">
        <f>$G$26</f>
        <v>18</v>
      </c>
      <c r="P148" s="40">
        <f t="shared" ref="P148:T148" si="144">H148/U$162</f>
        <v>0.07575757576</v>
      </c>
      <c r="Q148" s="40">
        <f t="shared" si="144"/>
        <v>0.02150537634</v>
      </c>
      <c r="R148" s="40">
        <f t="shared" si="144"/>
        <v>0</v>
      </c>
      <c r="S148" s="40">
        <f t="shared" si="144"/>
        <v>0.08333333333</v>
      </c>
      <c r="T148" s="40">
        <f t="shared" si="144"/>
        <v>0</v>
      </c>
    </row>
    <row r="149" ht="15.75" customHeight="1">
      <c r="A149" s="16" t="s">
        <v>123</v>
      </c>
      <c r="F149" s="23"/>
      <c r="G149" s="19">
        <f>$G$27</f>
        <v>19</v>
      </c>
      <c r="H149" s="20">
        <v>13.0</v>
      </c>
      <c r="I149" s="20">
        <v>5.0</v>
      </c>
      <c r="J149" s="20">
        <v>0.0</v>
      </c>
      <c r="K149" s="20">
        <v>0.0</v>
      </c>
      <c r="L149" s="20">
        <v>0.0</v>
      </c>
      <c r="N149" s="23"/>
      <c r="O149" s="19">
        <f>$G$27</f>
        <v>19</v>
      </c>
      <c r="P149" s="40">
        <f t="shared" ref="P149:T149" si="145">H149/U$162</f>
        <v>0.04924242424</v>
      </c>
      <c r="Q149" s="40">
        <f t="shared" si="145"/>
        <v>0.05376344086</v>
      </c>
      <c r="R149" s="40">
        <f t="shared" si="145"/>
        <v>0</v>
      </c>
      <c r="S149" s="40">
        <f t="shared" si="145"/>
        <v>0</v>
      </c>
      <c r="T149" s="40">
        <f t="shared" si="145"/>
        <v>0</v>
      </c>
    </row>
    <row r="150" ht="15.75" customHeight="1">
      <c r="A150" s="16" t="s">
        <v>124</v>
      </c>
      <c r="F150" s="23"/>
      <c r="G150" s="19">
        <f>$G$28</f>
        <v>20</v>
      </c>
      <c r="H150" s="20">
        <v>13.0</v>
      </c>
      <c r="I150" s="20">
        <v>3.0</v>
      </c>
      <c r="J150" s="20">
        <v>0.0</v>
      </c>
      <c r="K150" s="20">
        <v>0.0</v>
      </c>
      <c r="L150" s="20">
        <v>0.0</v>
      </c>
      <c r="N150" s="23"/>
      <c r="O150" s="19">
        <f>$G$28</f>
        <v>20</v>
      </c>
      <c r="P150" s="40">
        <f t="shared" ref="P150:T150" si="146">H150/U$162</f>
        <v>0.04924242424</v>
      </c>
      <c r="Q150" s="40">
        <f t="shared" si="146"/>
        <v>0.03225806452</v>
      </c>
      <c r="R150" s="40">
        <f t="shared" si="146"/>
        <v>0</v>
      </c>
      <c r="S150" s="40">
        <f t="shared" si="146"/>
        <v>0</v>
      </c>
      <c r="T150" s="40">
        <f t="shared" si="146"/>
        <v>0</v>
      </c>
    </row>
    <row r="151" ht="15.75" customHeight="1">
      <c r="A151" s="16" t="s">
        <v>125</v>
      </c>
      <c r="F151" s="23"/>
      <c r="G151" s="19">
        <f>$G$29</f>
        <v>21</v>
      </c>
      <c r="H151" s="20">
        <v>5.0</v>
      </c>
      <c r="I151" s="20">
        <v>2.0</v>
      </c>
      <c r="J151" s="20">
        <v>0.0</v>
      </c>
      <c r="K151" s="20">
        <v>0.0</v>
      </c>
      <c r="L151" s="20">
        <v>0.0</v>
      </c>
      <c r="N151" s="23"/>
      <c r="O151" s="19">
        <f>$G$29</f>
        <v>21</v>
      </c>
      <c r="P151" s="40">
        <f t="shared" ref="P151:T151" si="147">H151/U$162</f>
        <v>0.01893939394</v>
      </c>
      <c r="Q151" s="40">
        <f t="shared" si="147"/>
        <v>0.02150537634</v>
      </c>
      <c r="R151" s="40">
        <f t="shared" si="147"/>
        <v>0</v>
      </c>
      <c r="S151" s="40">
        <f t="shared" si="147"/>
        <v>0</v>
      </c>
      <c r="T151" s="40">
        <f t="shared" si="147"/>
        <v>0</v>
      </c>
    </row>
    <row r="152" ht="15.75" customHeight="1">
      <c r="A152" s="16" t="s">
        <v>126</v>
      </c>
      <c r="F152" s="23"/>
      <c r="G152" s="19">
        <f>$G$30</f>
        <v>22</v>
      </c>
      <c r="H152" s="20">
        <v>12.0</v>
      </c>
      <c r="I152" s="20">
        <v>0.0</v>
      </c>
      <c r="J152" s="20">
        <v>0.0</v>
      </c>
      <c r="K152" s="20">
        <v>0.0</v>
      </c>
      <c r="L152" s="20">
        <v>0.0</v>
      </c>
      <c r="N152" s="23"/>
      <c r="O152" s="19">
        <f>$G$30</f>
        <v>22</v>
      </c>
      <c r="P152" s="40">
        <f t="shared" ref="P152:T152" si="148">H152/U$162</f>
        <v>0.04545454545</v>
      </c>
      <c r="Q152" s="40">
        <f t="shared" si="148"/>
        <v>0</v>
      </c>
      <c r="R152" s="40">
        <f t="shared" si="148"/>
        <v>0</v>
      </c>
      <c r="S152" s="40">
        <f t="shared" si="148"/>
        <v>0</v>
      </c>
      <c r="T152" s="40">
        <f t="shared" si="148"/>
        <v>0</v>
      </c>
    </row>
    <row r="153" ht="15.75" customHeight="1">
      <c r="A153" s="16" t="s">
        <v>127</v>
      </c>
      <c r="F153" s="27"/>
      <c r="G153" s="19">
        <f>$G$31</f>
        <v>23</v>
      </c>
      <c r="H153" s="20">
        <v>6.0</v>
      </c>
      <c r="I153" s="20">
        <v>2.0</v>
      </c>
      <c r="J153" s="20">
        <v>0.0</v>
      </c>
      <c r="K153" s="20">
        <v>0.0</v>
      </c>
      <c r="L153" s="20">
        <v>0.0</v>
      </c>
      <c r="N153" s="27"/>
      <c r="O153" s="19">
        <f>$G$31</f>
        <v>23</v>
      </c>
      <c r="P153" s="40">
        <f t="shared" ref="P153:T153" si="149">H153/U$162</f>
        <v>0.02272727273</v>
      </c>
      <c r="Q153" s="40">
        <f t="shared" si="149"/>
        <v>0.02150537634</v>
      </c>
      <c r="R153" s="40">
        <f t="shared" si="149"/>
        <v>0</v>
      </c>
      <c r="S153" s="40">
        <f t="shared" si="149"/>
        <v>0</v>
      </c>
      <c r="T153" s="40">
        <f t="shared" si="149"/>
        <v>0</v>
      </c>
    </row>
    <row r="154" ht="15.75" customHeight="1">
      <c r="A154" s="16" t="s">
        <v>128</v>
      </c>
      <c r="F154" s="56">
        <v>45213.0</v>
      </c>
      <c r="G154" s="19">
        <f>$G$8</f>
        <v>0</v>
      </c>
      <c r="H154" s="20">
        <v>4.0</v>
      </c>
      <c r="I154" s="20">
        <v>0.0</v>
      </c>
      <c r="J154" s="20">
        <v>0.0</v>
      </c>
      <c r="K154" s="20">
        <v>0.0</v>
      </c>
      <c r="L154" s="20">
        <v>1.0</v>
      </c>
      <c r="N154" s="56">
        <v>45213.0</v>
      </c>
      <c r="O154" s="19">
        <f>$G$8</f>
        <v>0</v>
      </c>
      <c r="P154" s="40">
        <f t="shared" ref="P154:T154" si="150">H154/U$188</f>
        <v>0.01369863014</v>
      </c>
      <c r="Q154" s="40">
        <f t="shared" si="150"/>
        <v>0</v>
      </c>
      <c r="R154" s="40">
        <f t="shared" si="150"/>
        <v>0</v>
      </c>
      <c r="S154" s="40">
        <f t="shared" si="150"/>
        <v>0</v>
      </c>
      <c r="T154" s="40">
        <f t="shared" si="150"/>
        <v>0.0625</v>
      </c>
    </row>
    <row r="155" ht="15.75" customHeight="1">
      <c r="A155" s="16" t="s">
        <v>129</v>
      </c>
      <c r="F155" s="23"/>
      <c r="G155" s="19">
        <f>$G$9</f>
        <v>1</v>
      </c>
      <c r="H155" s="20">
        <v>0.0</v>
      </c>
      <c r="I155" s="20">
        <v>2.0</v>
      </c>
      <c r="J155" s="20">
        <v>0.0</v>
      </c>
      <c r="K155" s="20">
        <v>0.0</v>
      </c>
      <c r="L155" s="20">
        <v>0.0</v>
      </c>
      <c r="N155" s="23"/>
      <c r="O155" s="19">
        <f>$G$9</f>
        <v>1</v>
      </c>
      <c r="P155" s="40">
        <f t="shared" ref="P155:T155" si="151">H155/U$188</f>
        <v>0</v>
      </c>
      <c r="Q155" s="40">
        <f t="shared" si="151"/>
        <v>0.01869158879</v>
      </c>
      <c r="R155" s="40">
        <f t="shared" si="151"/>
        <v>0</v>
      </c>
      <c r="S155" s="40">
        <f t="shared" si="151"/>
        <v>0</v>
      </c>
      <c r="T155" s="40">
        <f t="shared" si="151"/>
        <v>0</v>
      </c>
    </row>
    <row r="156" ht="15.75" customHeight="1">
      <c r="A156" s="16" t="s">
        <v>130</v>
      </c>
      <c r="F156" s="23"/>
      <c r="G156" s="19">
        <f>$G$10</f>
        <v>2</v>
      </c>
      <c r="H156" s="16">
        <v>1.0</v>
      </c>
      <c r="I156" s="16">
        <v>0.0</v>
      </c>
      <c r="J156" s="16">
        <v>0.0</v>
      </c>
      <c r="K156" s="16">
        <v>0.0</v>
      </c>
      <c r="L156" s="16">
        <v>1.0</v>
      </c>
      <c r="N156" s="23"/>
      <c r="O156" s="19">
        <f>$G$10</f>
        <v>2</v>
      </c>
      <c r="P156" s="40">
        <f t="shared" ref="P156:T156" si="152">H156/U$188</f>
        <v>0.003424657534</v>
      </c>
      <c r="Q156" s="40">
        <f t="shared" si="152"/>
        <v>0</v>
      </c>
      <c r="R156" s="40">
        <f t="shared" si="152"/>
        <v>0</v>
      </c>
      <c r="S156" s="40">
        <f t="shared" si="152"/>
        <v>0</v>
      </c>
      <c r="T156" s="40">
        <f t="shared" si="152"/>
        <v>0.0625</v>
      </c>
    </row>
    <row r="157" ht="15.75" customHeight="1">
      <c r="A157" s="16" t="s">
        <v>131</v>
      </c>
      <c r="F157" s="23"/>
      <c r="G157" s="19">
        <f>$G$11</f>
        <v>3</v>
      </c>
      <c r="H157" s="20">
        <v>0.0</v>
      </c>
      <c r="I157" s="20">
        <v>1.0</v>
      </c>
      <c r="J157" s="20">
        <v>0.0</v>
      </c>
      <c r="K157" s="20">
        <v>1.0</v>
      </c>
      <c r="L157" s="20">
        <v>1.0</v>
      </c>
      <c r="N157" s="23"/>
      <c r="O157" s="19">
        <f>$G$11</f>
        <v>3</v>
      </c>
      <c r="P157" s="40">
        <f t="shared" ref="P157:T157" si="153">H157/U$188</f>
        <v>0</v>
      </c>
      <c r="Q157" s="40">
        <f t="shared" si="153"/>
        <v>0.009345794393</v>
      </c>
      <c r="R157" s="40">
        <f t="shared" si="153"/>
        <v>0</v>
      </c>
      <c r="S157" s="40">
        <f t="shared" si="153"/>
        <v>0.1428571429</v>
      </c>
      <c r="T157" s="40">
        <f t="shared" si="153"/>
        <v>0.0625</v>
      </c>
    </row>
    <row r="158" ht="15.75" customHeight="1">
      <c r="A158" s="16" t="s">
        <v>74</v>
      </c>
      <c r="F158" s="23"/>
      <c r="G158" s="19">
        <f>$G$12</f>
        <v>4</v>
      </c>
      <c r="H158" s="20">
        <v>2.0</v>
      </c>
      <c r="I158" s="20">
        <v>2.0</v>
      </c>
      <c r="J158" s="20">
        <v>0.0</v>
      </c>
      <c r="K158" s="20">
        <v>1.0</v>
      </c>
      <c r="L158" s="20">
        <v>0.0</v>
      </c>
      <c r="N158" s="23"/>
      <c r="O158" s="19">
        <f>$G$12</f>
        <v>4</v>
      </c>
      <c r="P158" s="40">
        <f t="shared" ref="P158:T158" si="154">H158/U$188</f>
        <v>0.006849315068</v>
      </c>
      <c r="Q158" s="40">
        <f t="shared" si="154"/>
        <v>0.01869158879</v>
      </c>
      <c r="R158" s="40">
        <f t="shared" si="154"/>
        <v>0</v>
      </c>
      <c r="S158" s="40">
        <f t="shared" si="154"/>
        <v>0.1428571429</v>
      </c>
      <c r="T158" s="40">
        <f t="shared" si="154"/>
        <v>0</v>
      </c>
    </row>
    <row r="159" ht="15.75" customHeight="1">
      <c r="A159" s="16" t="s">
        <v>132</v>
      </c>
      <c r="F159" s="23"/>
      <c r="G159" s="19">
        <f>$G$13</f>
        <v>5</v>
      </c>
      <c r="H159" s="20">
        <v>5.0</v>
      </c>
      <c r="I159" s="20">
        <v>3.0</v>
      </c>
      <c r="J159" s="20">
        <v>0.0</v>
      </c>
      <c r="K159" s="20">
        <v>1.0</v>
      </c>
      <c r="L159" s="20">
        <v>0.0</v>
      </c>
      <c r="N159" s="23"/>
      <c r="O159" s="19">
        <f>$G$13</f>
        <v>5</v>
      </c>
      <c r="P159" s="40">
        <f t="shared" ref="P159:T159" si="155">H159/U$188</f>
        <v>0.01712328767</v>
      </c>
      <c r="Q159" s="40">
        <f t="shared" si="155"/>
        <v>0.02803738318</v>
      </c>
      <c r="R159" s="40">
        <f t="shared" si="155"/>
        <v>0</v>
      </c>
      <c r="S159" s="40">
        <f t="shared" si="155"/>
        <v>0.1428571429</v>
      </c>
      <c r="T159" s="40">
        <f t="shared" si="155"/>
        <v>0</v>
      </c>
    </row>
    <row r="160" ht="15.75" customHeight="1">
      <c r="A160" s="16" t="s">
        <v>133</v>
      </c>
      <c r="F160" s="23"/>
      <c r="G160" s="19">
        <f>$G$14</f>
        <v>6</v>
      </c>
      <c r="H160" s="20">
        <v>5.0</v>
      </c>
      <c r="I160" s="20">
        <v>2.0</v>
      </c>
      <c r="J160" s="20">
        <v>0.0</v>
      </c>
      <c r="K160" s="20">
        <v>0.0</v>
      </c>
      <c r="L160" s="20">
        <v>2.0</v>
      </c>
      <c r="N160" s="23"/>
      <c r="O160" s="19">
        <f>$G$14</f>
        <v>6</v>
      </c>
      <c r="P160" s="40">
        <f t="shared" ref="P160:T160" si="156">H160/U$188</f>
        <v>0.01712328767</v>
      </c>
      <c r="Q160" s="40">
        <f t="shared" si="156"/>
        <v>0.01869158879</v>
      </c>
      <c r="R160" s="40">
        <f t="shared" si="156"/>
        <v>0</v>
      </c>
      <c r="S160" s="40">
        <f t="shared" si="156"/>
        <v>0</v>
      </c>
      <c r="T160" s="40">
        <f t="shared" si="156"/>
        <v>0.125</v>
      </c>
    </row>
    <row r="161" ht="15.75" customHeight="1">
      <c r="F161" s="23"/>
      <c r="G161" s="19">
        <f>$G$15</f>
        <v>7</v>
      </c>
      <c r="H161" s="20">
        <v>12.0</v>
      </c>
      <c r="I161" s="20">
        <v>3.0</v>
      </c>
      <c r="J161" s="20">
        <v>0.0</v>
      </c>
      <c r="K161" s="20">
        <v>0.0</v>
      </c>
      <c r="L161" s="20">
        <v>1.0</v>
      </c>
      <c r="N161" s="23"/>
      <c r="O161" s="19">
        <f>$G$15</f>
        <v>7</v>
      </c>
      <c r="P161" s="40">
        <f t="shared" ref="P161:T161" si="157">H161/U$188</f>
        <v>0.04109589041</v>
      </c>
      <c r="Q161" s="40">
        <f t="shared" si="157"/>
        <v>0.02803738318</v>
      </c>
      <c r="R161" s="40">
        <f t="shared" si="157"/>
        <v>0</v>
      </c>
      <c r="S161" s="40">
        <f t="shared" si="157"/>
        <v>0</v>
      </c>
      <c r="T161" s="40">
        <f t="shared" si="157"/>
        <v>0.0625</v>
      </c>
    </row>
    <row r="162" ht="15.75" customHeight="1">
      <c r="F162" s="23"/>
      <c r="G162" s="19">
        <f>$G$16</f>
        <v>8</v>
      </c>
      <c r="H162" s="20">
        <v>15.0</v>
      </c>
      <c r="I162" s="20">
        <v>6.0</v>
      </c>
      <c r="J162" s="20">
        <v>0.0</v>
      </c>
      <c r="K162" s="20">
        <v>1.0</v>
      </c>
      <c r="L162" s="20">
        <v>1.0</v>
      </c>
      <c r="N162" s="23"/>
      <c r="O162" s="19">
        <f>$G$16</f>
        <v>8</v>
      </c>
      <c r="P162" s="40">
        <f t="shared" ref="P162:T162" si="158">H162/U$188</f>
        <v>0.05136986301</v>
      </c>
      <c r="Q162" s="40">
        <f t="shared" si="158"/>
        <v>0.05607476636</v>
      </c>
      <c r="R162" s="40">
        <f t="shared" si="158"/>
        <v>0</v>
      </c>
      <c r="S162" s="40">
        <f t="shared" si="158"/>
        <v>0.1428571429</v>
      </c>
      <c r="T162" s="40">
        <f t="shared" si="158"/>
        <v>0.0625</v>
      </c>
      <c r="U162" s="26">
        <f t="shared" ref="U162:Y162" si="159">SUM(H130:H153)</f>
        <v>264</v>
      </c>
      <c r="V162" s="26">
        <f t="shared" si="159"/>
        <v>93</v>
      </c>
      <c r="W162" s="26">
        <f t="shared" si="159"/>
        <v>3</v>
      </c>
      <c r="X162" s="26">
        <f t="shared" si="159"/>
        <v>12</v>
      </c>
      <c r="Y162" s="26">
        <f t="shared" si="159"/>
        <v>23</v>
      </c>
    </row>
    <row r="163" ht="15.75" customHeight="1">
      <c r="F163" s="23"/>
      <c r="G163" s="19">
        <f>$G$17</f>
        <v>9</v>
      </c>
      <c r="H163" s="20">
        <v>16.0</v>
      </c>
      <c r="I163" s="20">
        <v>1.0</v>
      </c>
      <c r="J163" s="20">
        <v>1.0</v>
      </c>
      <c r="K163" s="20">
        <v>0.0</v>
      </c>
      <c r="L163" s="20">
        <v>1.0</v>
      </c>
      <c r="N163" s="23"/>
      <c r="O163" s="19">
        <f>$G$17</f>
        <v>9</v>
      </c>
      <c r="P163" s="40">
        <f t="shared" ref="P163:T163" si="160">H163/U$188</f>
        <v>0.05479452055</v>
      </c>
      <c r="Q163" s="40">
        <f t="shared" si="160"/>
        <v>0.009345794393</v>
      </c>
      <c r="R163" s="40">
        <f t="shared" si="160"/>
        <v>0.2</v>
      </c>
      <c r="S163" s="40">
        <f t="shared" si="160"/>
        <v>0</v>
      </c>
      <c r="T163" s="40">
        <f t="shared" si="160"/>
        <v>0.0625</v>
      </c>
      <c r="U163" s="17">
        <f>$H$7</f>
        <v>31</v>
      </c>
      <c r="V163" s="17">
        <f>$I$7</f>
        <v>32</v>
      </c>
      <c r="W163" s="17">
        <f>$J$7</f>
        <v>41</v>
      </c>
      <c r="X163" s="17">
        <f>$K$7</f>
        <v>42</v>
      </c>
      <c r="Y163" s="17">
        <f>$L$7</f>
        <v>5</v>
      </c>
      <c r="AB163" s="16"/>
      <c r="AC163" s="17">
        <f>$H$7</f>
        <v>31</v>
      </c>
      <c r="AD163" s="17">
        <f>$I$7</f>
        <v>32</v>
      </c>
      <c r="AE163" s="17">
        <f>$J$7</f>
        <v>41</v>
      </c>
      <c r="AF163" s="17">
        <f>$K$7</f>
        <v>42</v>
      </c>
      <c r="AG163" s="17">
        <f>$L$7</f>
        <v>5</v>
      </c>
    </row>
    <row r="164" ht="15.75" customHeight="1">
      <c r="F164" s="23"/>
      <c r="G164" s="19">
        <f>$G$18</f>
        <v>10</v>
      </c>
      <c r="H164" s="20">
        <v>20.0</v>
      </c>
      <c r="I164" s="20">
        <v>8.0</v>
      </c>
      <c r="J164" s="20">
        <v>0.0</v>
      </c>
      <c r="K164" s="20">
        <v>0.0</v>
      </c>
      <c r="L164" s="20">
        <v>2.0</v>
      </c>
      <c r="N164" s="23"/>
      <c r="O164" s="19">
        <f>$G$18</f>
        <v>10</v>
      </c>
      <c r="P164" s="40">
        <f t="shared" ref="P164:T164" si="161">H164/U$188</f>
        <v>0.06849315068</v>
      </c>
      <c r="Q164" s="40">
        <f t="shared" si="161"/>
        <v>0.07476635514</v>
      </c>
      <c r="R164" s="40">
        <f t="shared" si="161"/>
        <v>0</v>
      </c>
      <c r="S164" s="40">
        <f t="shared" si="161"/>
        <v>0</v>
      </c>
      <c r="T164" s="40">
        <f t="shared" si="161"/>
        <v>0.125</v>
      </c>
    </row>
    <row r="165" ht="15.75" customHeight="1">
      <c r="A165" s="16" t="s">
        <v>134</v>
      </c>
      <c r="F165" s="23"/>
      <c r="G165" s="19">
        <f>$G$19</f>
        <v>11</v>
      </c>
      <c r="H165" s="20">
        <v>19.0</v>
      </c>
      <c r="I165" s="20">
        <v>10.0</v>
      </c>
      <c r="J165" s="20">
        <v>0.0</v>
      </c>
      <c r="K165" s="20">
        <v>0.0</v>
      </c>
      <c r="L165" s="20">
        <v>1.0</v>
      </c>
      <c r="N165" s="23"/>
      <c r="O165" s="19">
        <f>$G$19</f>
        <v>11</v>
      </c>
      <c r="P165" s="40">
        <f t="shared" ref="P165:T165" si="162">H165/U$188</f>
        <v>0.06506849315</v>
      </c>
      <c r="Q165" s="40">
        <f t="shared" si="162"/>
        <v>0.09345794393</v>
      </c>
      <c r="R165" s="40">
        <f t="shared" si="162"/>
        <v>0</v>
      </c>
      <c r="S165" s="40">
        <f t="shared" si="162"/>
        <v>0</v>
      </c>
      <c r="T165" s="40">
        <f t="shared" si="162"/>
        <v>0.0625</v>
      </c>
    </row>
    <row r="166" ht="15.75" customHeight="1">
      <c r="A166" s="16" t="s">
        <v>135</v>
      </c>
      <c r="F166" s="23"/>
      <c r="G166" s="19">
        <f>$G$20</f>
        <v>12</v>
      </c>
      <c r="H166" s="20">
        <v>16.0</v>
      </c>
      <c r="I166" s="20">
        <v>8.0</v>
      </c>
      <c r="J166" s="20">
        <v>3.0</v>
      </c>
      <c r="K166" s="20">
        <v>1.0</v>
      </c>
      <c r="L166" s="20">
        <v>3.0</v>
      </c>
      <c r="N166" s="23"/>
      <c r="O166" s="19">
        <f>$G$20</f>
        <v>12</v>
      </c>
      <c r="P166" s="40">
        <f t="shared" ref="P166:T166" si="163">H166/U$188</f>
        <v>0.05479452055</v>
      </c>
      <c r="Q166" s="40">
        <f t="shared" si="163"/>
        <v>0.07476635514</v>
      </c>
      <c r="R166" s="40">
        <f t="shared" si="163"/>
        <v>0.6</v>
      </c>
      <c r="S166" s="40">
        <f t="shared" si="163"/>
        <v>0.1428571429</v>
      </c>
      <c r="T166" s="40">
        <f t="shared" si="163"/>
        <v>0.1875</v>
      </c>
    </row>
    <row r="167" ht="15.75" customHeight="1">
      <c r="A167" s="16" t="s">
        <v>136</v>
      </c>
      <c r="F167" s="23"/>
      <c r="G167" s="19">
        <f>$G$21</f>
        <v>13</v>
      </c>
      <c r="H167" s="20">
        <v>11.0</v>
      </c>
      <c r="I167" s="20">
        <v>5.0</v>
      </c>
      <c r="J167" s="20">
        <v>0.0</v>
      </c>
      <c r="K167" s="20">
        <v>1.0</v>
      </c>
      <c r="L167" s="20">
        <v>2.0</v>
      </c>
      <c r="N167" s="23"/>
      <c r="O167" s="19">
        <f>$G$21</f>
        <v>13</v>
      </c>
      <c r="P167" s="40">
        <f t="shared" ref="P167:T167" si="164">H167/U$188</f>
        <v>0.03767123288</v>
      </c>
      <c r="Q167" s="40">
        <f t="shared" si="164"/>
        <v>0.04672897196</v>
      </c>
      <c r="R167" s="40">
        <f t="shared" si="164"/>
        <v>0</v>
      </c>
      <c r="S167" s="40">
        <f t="shared" si="164"/>
        <v>0.1428571429</v>
      </c>
      <c r="T167" s="40">
        <f t="shared" si="164"/>
        <v>0.125</v>
      </c>
    </row>
    <row r="168" ht="15.75" customHeight="1">
      <c r="A168" s="16" t="s">
        <v>137</v>
      </c>
      <c r="F168" s="23"/>
      <c r="G168" s="19">
        <f>$G$22</f>
        <v>14</v>
      </c>
      <c r="H168" s="20">
        <v>21.0</v>
      </c>
      <c r="I168" s="20">
        <v>9.0</v>
      </c>
      <c r="J168" s="20">
        <v>0.0</v>
      </c>
      <c r="K168" s="20">
        <v>0.0</v>
      </c>
      <c r="L168" s="20">
        <v>0.0</v>
      </c>
      <c r="N168" s="23"/>
      <c r="O168" s="19">
        <f>$G$22</f>
        <v>14</v>
      </c>
      <c r="P168" s="40">
        <f t="shared" ref="P168:T168" si="165">H168/U$188</f>
        <v>0.07191780822</v>
      </c>
      <c r="Q168" s="40">
        <f t="shared" si="165"/>
        <v>0.08411214953</v>
      </c>
      <c r="R168" s="40">
        <f t="shared" si="165"/>
        <v>0</v>
      </c>
      <c r="S168" s="40">
        <f t="shared" si="165"/>
        <v>0</v>
      </c>
      <c r="T168" s="40">
        <f t="shared" si="165"/>
        <v>0</v>
      </c>
    </row>
    <row r="169" ht="15.75" customHeight="1">
      <c r="A169" s="16" t="s">
        <v>138</v>
      </c>
      <c r="F169" s="23"/>
      <c r="G169" s="19">
        <f>$G$23</f>
        <v>15</v>
      </c>
      <c r="H169" s="20">
        <v>17.0</v>
      </c>
      <c r="I169" s="20">
        <v>11.0</v>
      </c>
      <c r="J169" s="20">
        <v>0.0</v>
      </c>
      <c r="K169" s="20">
        <v>1.0</v>
      </c>
      <c r="L169" s="20">
        <v>0.0</v>
      </c>
      <c r="N169" s="23"/>
      <c r="O169" s="19">
        <f>$G$23</f>
        <v>15</v>
      </c>
      <c r="P169" s="40">
        <f t="shared" ref="P169:T169" si="166">H169/U$188</f>
        <v>0.05821917808</v>
      </c>
      <c r="Q169" s="40">
        <f t="shared" si="166"/>
        <v>0.1028037383</v>
      </c>
      <c r="R169" s="40">
        <f t="shared" si="166"/>
        <v>0</v>
      </c>
      <c r="S169" s="40">
        <f t="shared" si="166"/>
        <v>0.1428571429</v>
      </c>
      <c r="T169" s="40">
        <f t="shared" si="166"/>
        <v>0</v>
      </c>
    </row>
    <row r="170" ht="15.75" customHeight="1">
      <c r="A170" s="16" t="s">
        <v>139</v>
      </c>
      <c r="F170" s="23"/>
      <c r="G170" s="19">
        <f>$G$24</f>
        <v>16</v>
      </c>
      <c r="H170" s="20">
        <v>29.0</v>
      </c>
      <c r="I170" s="20">
        <v>14.0</v>
      </c>
      <c r="J170" s="20">
        <v>0.0</v>
      </c>
      <c r="K170" s="20">
        <v>0.0</v>
      </c>
      <c r="L170" s="20">
        <v>0.0</v>
      </c>
      <c r="N170" s="23"/>
      <c r="O170" s="19">
        <f>$G$24</f>
        <v>16</v>
      </c>
      <c r="P170" s="40">
        <f t="shared" ref="P170:T170" si="167">H170/U$188</f>
        <v>0.09931506849</v>
      </c>
      <c r="Q170" s="40">
        <f t="shared" si="167"/>
        <v>0.1308411215</v>
      </c>
      <c r="R170" s="40">
        <f t="shared" si="167"/>
        <v>0</v>
      </c>
      <c r="S170" s="40">
        <f t="shared" si="167"/>
        <v>0</v>
      </c>
      <c r="T170" s="40">
        <f t="shared" si="167"/>
        <v>0</v>
      </c>
    </row>
    <row r="171" ht="15.75" customHeight="1">
      <c r="A171" s="16" t="s">
        <v>140</v>
      </c>
      <c r="F171" s="23"/>
      <c r="G171" s="19">
        <f>$G$25</f>
        <v>17</v>
      </c>
      <c r="H171" s="20">
        <v>28.0</v>
      </c>
      <c r="I171" s="20">
        <v>5.0</v>
      </c>
      <c r="J171" s="20">
        <v>0.0</v>
      </c>
      <c r="K171" s="20">
        <v>0.0</v>
      </c>
      <c r="L171" s="20">
        <v>0.0</v>
      </c>
      <c r="N171" s="23"/>
      <c r="O171" s="19">
        <f>$G$25</f>
        <v>17</v>
      </c>
      <c r="P171" s="40">
        <f t="shared" ref="P171:T171" si="168">H171/U$188</f>
        <v>0.09589041096</v>
      </c>
      <c r="Q171" s="40">
        <f t="shared" si="168"/>
        <v>0.04672897196</v>
      </c>
      <c r="R171" s="40">
        <f t="shared" si="168"/>
        <v>0</v>
      </c>
      <c r="S171" s="40">
        <f t="shared" si="168"/>
        <v>0</v>
      </c>
      <c r="T171" s="40">
        <f t="shared" si="168"/>
        <v>0</v>
      </c>
    </row>
    <row r="172" ht="15.75" customHeight="1">
      <c r="A172" s="16" t="s">
        <v>141</v>
      </c>
      <c r="F172" s="23"/>
      <c r="G172" s="19">
        <f>$G$26</f>
        <v>18</v>
      </c>
      <c r="H172" s="20">
        <v>22.0</v>
      </c>
      <c r="I172" s="20">
        <v>6.0</v>
      </c>
      <c r="J172" s="20">
        <v>0.0</v>
      </c>
      <c r="K172" s="20">
        <v>0.0</v>
      </c>
      <c r="L172" s="20">
        <v>0.0</v>
      </c>
      <c r="N172" s="23"/>
      <c r="O172" s="19">
        <f>$G$26</f>
        <v>18</v>
      </c>
      <c r="P172" s="40">
        <f t="shared" ref="P172:T172" si="169">H172/U$188</f>
        <v>0.07534246575</v>
      </c>
      <c r="Q172" s="40">
        <f t="shared" si="169"/>
        <v>0.05607476636</v>
      </c>
      <c r="R172" s="40">
        <f t="shared" si="169"/>
        <v>0</v>
      </c>
      <c r="S172" s="40">
        <f t="shared" si="169"/>
        <v>0</v>
      </c>
      <c r="T172" s="40">
        <f t="shared" si="169"/>
        <v>0</v>
      </c>
    </row>
    <row r="173" ht="15.75" customHeight="1">
      <c r="A173" s="16" t="s">
        <v>142</v>
      </c>
      <c r="F173" s="23"/>
      <c r="G173" s="19">
        <f>$G$27</f>
        <v>19</v>
      </c>
      <c r="H173" s="20">
        <v>15.0</v>
      </c>
      <c r="I173" s="20">
        <v>6.0</v>
      </c>
      <c r="J173" s="20">
        <v>0.0</v>
      </c>
      <c r="K173" s="20">
        <v>0.0</v>
      </c>
      <c r="L173" s="20">
        <v>0.0</v>
      </c>
      <c r="N173" s="23"/>
      <c r="O173" s="19">
        <f>$G$27</f>
        <v>19</v>
      </c>
      <c r="P173" s="40">
        <f t="shared" ref="P173:T173" si="170">H173/U$188</f>
        <v>0.05136986301</v>
      </c>
      <c r="Q173" s="40">
        <f t="shared" si="170"/>
        <v>0.05607476636</v>
      </c>
      <c r="R173" s="40">
        <f t="shared" si="170"/>
        <v>0</v>
      </c>
      <c r="S173" s="40">
        <f t="shared" si="170"/>
        <v>0</v>
      </c>
      <c r="T173" s="40">
        <f t="shared" si="170"/>
        <v>0</v>
      </c>
    </row>
    <row r="174" ht="15.75" customHeight="1">
      <c r="A174" s="16" t="s">
        <v>143</v>
      </c>
      <c r="F174" s="23"/>
      <c r="G174" s="19">
        <f>$G$28</f>
        <v>20</v>
      </c>
      <c r="H174" s="20">
        <v>12.0</v>
      </c>
      <c r="I174" s="20">
        <v>4.0</v>
      </c>
      <c r="J174" s="20">
        <v>0.0</v>
      </c>
      <c r="K174" s="20">
        <v>0.0</v>
      </c>
      <c r="L174" s="20">
        <v>0.0</v>
      </c>
      <c r="N174" s="23"/>
      <c r="O174" s="19">
        <f>$G$28</f>
        <v>20</v>
      </c>
      <c r="P174" s="40">
        <f t="shared" ref="P174:T174" si="171">H174/U$188</f>
        <v>0.04109589041</v>
      </c>
      <c r="Q174" s="40">
        <f t="shared" si="171"/>
        <v>0.03738317757</v>
      </c>
      <c r="R174" s="40">
        <f t="shared" si="171"/>
        <v>0</v>
      </c>
      <c r="S174" s="40">
        <f t="shared" si="171"/>
        <v>0</v>
      </c>
      <c r="T174" s="40">
        <f t="shared" si="171"/>
        <v>0</v>
      </c>
    </row>
    <row r="175" ht="15.75" customHeight="1">
      <c r="A175" s="16" t="s">
        <v>144</v>
      </c>
      <c r="F175" s="23"/>
      <c r="G175" s="19">
        <f>$G$29</f>
        <v>21</v>
      </c>
      <c r="H175" s="20">
        <v>9.0</v>
      </c>
      <c r="I175" s="20">
        <v>0.0</v>
      </c>
      <c r="J175" s="20">
        <v>1.0</v>
      </c>
      <c r="K175" s="20">
        <v>0.0</v>
      </c>
      <c r="L175" s="20">
        <v>0.0</v>
      </c>
      <c r="N175" s="23"/>
      <c r="O175" s="19">
        <f>$G$29</f>
        <v>21</v>
      </c>
      <c r="P175" s="40">
        <f t="shared" ref="P175:T175" si="172">H175/U$188</f>
        <v>0.03082191781</v>
      </c>
      <c r="Q175" s="40">
        <f t="shared" si="172"/>
        <v>0</v>
      </c>
      <c r="R175" s="40">
        <f t="shared" si="172"/>
        <v>0.2</v>
      </c>
      <c r="S175" s="40">
        <f t="shared" si="172"/>
        <v>0</v>
      </c>
      <c r="T175" s="40">
        <f t="shared" si="172"/>
        <v>0</v>
      </c>
    </row>
    <row r="176" ht="15.75" customHeight="1">
      <c r="A176" s="16" t="s">
        <v>145</v>
      </c>
      <c r="F176" s="23"/>
      <c r="G176" s="19">
        <f>$G$30</f>
        <v>22</v>
      </c>
      <c r="H176" s="20">
        <v>9.0</v>
      </c>
      <c r="I176" s="20">
        <v>0.0</v>
      </c>
      <c r="J176" s="20">
        <v>0.0</v>
      </c>
      <c r="K176" s="20">
        <v>0.0</v>
      </c>
      <c r="L176" s="20">
        <v>0.0</v>
      </c>
      <c r="N176" s="23"/>
      <c r="O176" s="19">
        <f>$G$30</f>
        <v>22</v>
      </c>
      <c r="P176" s="40">
        <f t="shared" ref="P176:T176" si="173">H176/U$188</f>
        <v>0.03082191781</v>
      </c>
      <c r="Q176" s="40">
        <f t="shared" si="173"/>
        <v>0</v>
      </c>
      <c r="R176" s="40">
        <f t="shared" si="173"/>
        <v>0</v>
      </c>
      <c r="S176" s="40">
        <f t="shared" si="173"/>
        <v>0</v>
      </c>
      <c r="T176" s="40">
        <f t="shared" si="173"/>
        <v>0</v>
      </c>
    </row>
    <row r="177" ht="15.75" customHeight="1">
      <c r="A177" s="16" t="s">
        <v>146</v>
      </c>
      <c r="F177" s="27"/>
      <c r="G177" s="19">
        <f>$G$31</f>
        <v>23</v>
      </c>
      <c r="H177" s="20">
        <v>4.0</v>
      </c>
      <c r="I177" s="20">
        <v>1.0</v>
      </c>
      <c r="J177" s="20">
        <v>0.0</v>
      </c>
      <c r="K177" s="20">
        <v>0.0</v>
      </c>
      <c r="L177" s="20">
        <v>0.0</v>
      </c>
      <c r="N177" s="27"/>
      <c r="O177" s="19">
        <f>$G$31</f>
        <v>23</v>
      </c>
      <c r="P177" s="40">
        <f t="shared" ref="P177:T177" si="174">H177/U$188</f>
        <v>0.01369863014</v>
      </c>
      <c r="Q177" s="40">
        <f t="shared" si="174"/>
        <v>0.009345794393</v>
      </c>
      <c r="R177" s="40">
        <f t="shared" si="174"/>
        <v>0</v>
      </c>
      <c r="S177" s="40">
        <f t="shared" si="174"/>
        <v>0</v>
      </c>
      <c r="T177" s="40">
        <f t="shared" si="174"/>
        <v>0</v>
      </c>
    </row>
    <row r="178" ht="15.75" customHeight="1">
      <c r="A178" s="16" t="s">
        <v>147</v>
      </c>
      <c r="F178" s="56">
        <v>45214.0</v>
      </c>
      <c r="G178" s="19">
        <f>$G$8</f>
        <v>0</v>
      </c>
      <c r="H178" s="20">
        <v>6.0</v>
      </c>
      <c r="I178" s="20">
        <v>1.0</v>
      </c>
      <c r="J178" s="20">
        <v>0.0</v>
      </c>
      <c r="K178" s="20">
        <v>0.0</v>
      </c>
      <c r="L178" s="20">
        <v>0.0</v>
      </c>
      <c r="N178" s="56">
        <v>45214.0</v>
      </c>
      <c r="O178" s="19">
        <f>$G$8</f>
        <v>0</v>
      </c>
      <c r="P178" s="40">
        <f t="shared" ref="P178:T178" si="175">H178/H$214</f>
        <v>0.01954397394</v>
      </c>
      <c r="Q178" s="40">
        <f t="shared" si="175"/>
        <v>0.0119047619</v>
      </c>
      <c r="R178" s="40">
        <f t="shared" si="175"/>
        <v>0</v>
      </c>
      <c r="S178" s="40">
        <f t="shared" si="175"/>
        <v>0</v>
      </c>
      <c r="T178" s="40">
        <f t="shared" si="175"/>
        <v>0</v>
      </c>
    </row>
    <row r="179" ht="15.75" customHeight="1">
      <c r="A179" s="16" t="s">
        <v>148</v>
      </c>
      <c r="F179" s="23"/>
      <c r="G179" s="19">
        <f>$G$9</f>
        <v>1</v>
      </c>
      <c r="H179" s="20">
        <v>4.0</v>
      </c>
      <c r="I179" s="20">
        <v>0.0</v>
      </c>
      <c r="J179" s="20">
        <v>0.0</v>
      </c>
      <c r="K179" s="20">
        <v>0.0</v>
      </c>
      <c r="L179" s="20">
        <v>0.0</v>
      </c>
      <c r="N179" s="23"/>
      <c r="O179" s="19">
        <f>$G$9</f>
        <v>1</v>
      </c>
      <c r="P179" s="40">
        <f t="shared" ref="P179:T179" si="176">H179/H$214</f>
        <v>0.01302931596</v>
      </c>
      <c r="Q179" s="40">
        <f t="shared" si="176"/>
        <v>0</v>
      </c>
      <c r="R179" s="40">
        <f t="shared" si="176"/>
        <v>0</v>
      </c>
      <c r="S179" s="40">
        <f t="shared" si="176"/>
        <v>0</v>
      </c>
      <c r="T179" s="40">
        <f t="shared" si="176"/>
        <v>0</v>
      </c>
    </row>
    <row r="180" ht="15.75" customHeight="1">
      <c r="A180" s="16" t="s">
        <v>149</v>
      </c>
      <c r="F180" s="23"/>
      <c r="G180" s="19">
        <f>$G$10</f>
        <v>2</v>
      </c>
      <c r="H180" s="16">
        <v>3.0</v>
      </c>
      <c r="I180" s="16">
        <v>1.0</v>
      </c>
      <c r="J180" s="16">
        <v>0.0</v>
      </c>
      <c r="K180" s="16">
        <v>1.0</v>
      </c>
      <c r="L180" s="16">
        <v>0.0</v>
      </c>
      <c r="N180" s="23"/>
      <c r="O180" s="19">
        <f>$G$10</f>
        <v>2</v>
      </c>
      <c r="P180" s="40">
        <f t="shared" ref="P180:T180" si="177">H180/H$214</f>
        <v>0.009771986971</v>
      </c>
      <c r="Q180" s="40">
        <f t="shared" si="177"/>
        <v>0.0119047619</v>
      </c>
      <c r="R180" s="40">
        <f t="shared" si="177"/>
        <v>0</v>
      </c>
      <c r="S180" s="40">
        <f t="shared" si="177"/>
        <v>0.3333333333</v>
      </c>
      <c r="T180" s="40">
        <f t="shared" si="177"/>
        <v>0</v>
      </c>
    </row>
    <row r="181" ht="15.75" customHeight="1">
      <c r="A181" s="16" t="s">
        <v>150</v>
      </c>
      <c r="F181" s="23"/>
      <c r="G181" s="19">
        <f>$G$11</f>
        <v>3</v>
      </c>
      <c r="H181" s="20">
        <v>2.0</v>
      </c>
      <c r="I181" s="20">
        <v>1.0</v>
      </c>
      <c r="J181" s="20">
        <v>0.0</v>
      </c>
      <c r="K181" s="20">
        <v>1.0</v>
      </c>
      <c r="L181" s="20">
        <v>0.0</v>
      </c>
      <c r="N181" s="23"/>
      <c r="O181" s="19">
        <f>$G$11</f>
        <v>3</v>
      </c>
      <c r="P181" s="40">
        <f t="shared" ref="P181:T181" si="178">H181/H$214</f>
        <v>0.00651465798</v>
      </c>
      <c r="Q181" s="40">
        <f t="shared" si="178"/>
        <v>0.0119047619</v>
      </c>
      <c r="R181" s="40">
        <f t="shared" si="178"/>
        <v>0</v>
      </c>
      <c r="S181" s="40">
        <f t="shared" si="178"/>
        <v>0.3333333333</v>
      </c>
      <c r="T181" s="40">
        <f t="shared" si="178"/>
        <v>0</v>
      </c>
    </row>
    <row r="182" ht="15.75" customHeight="1">
      <c r="A182" s="16" t="s">
        <v>151</v>
      </c>
      <c r="F182" s="23"/>
      <c r="G182" s="19">
        <f>$G$12</f>
        <v>4</v>
      </c>
      <c r="H182" s="20">
        <v>1.0</v>
      </c>
      <c r="I182" s="20">
        <v>3.0</v>
      </c>
      <c r="J182" s="20">
        <v>0.0</v>
      </c>
      <c r="K182" s="20">
        <v>0.0</v>
      </c>
      <c r="L182" s="20">
        <v>0.0</v>
      </c>
      <c r="N182" s="23"/>
      <c r="O182" s="19">
        <f>$G$12</f>
        <v>4</v>
      </c>
      <c r="P182" s="40">
        <f t="shared" ref="P182:T182" si="179">H182/H$214</f>
        <v>0.00325732899</v>
      </c>
      <c r="Q182" s="40">
        <f t="shared" si="179"/>
        <v>0.03571428571</v>
      </c>
      <c r="R182" s="40">
        <f t="shared" si="179"/>
        <v>0</v>
      </c>
      <c r="S182" s="40">
        <f t="shared" si="179"/>
        <v>0</v>
      </c>
      <c r="T182" s="40">
        <f t="shared" si="179"/>
        <v>0</v>
      </c>
    </row>
    <row r="183" ht="15.75" customHeight="1">
      <c r="A183" s="16" t="s">
        <v>152</v>
      </c>
      <c r="F183" s="23"/>
      <c r="G183" s="19">
        <f>$G$13</f>
        <v>5</v>
      </c>
      <c r="H183" s="20">
        <v>5.0</v>
      </c>
      <c r="I183" s="20">
        <v>1.0</v>
      </c>
      <c r="J183" s="20">
        <v>0.0</v>
      </c>
      <c r="K183" s="20">
        <v>0.0</v>
      </c>
      <c r="L183" s="20">
        <v>0.0</v>
      </c>
      <c r="N183" s="23"/>
      <c r="O183" s="19">
        <f>$G$13</f>
        <v>5</v>
      </c>
      <c r="P183" s="40">
        <f t="shared" ref="P183:T183" si="180">H183/H$214</f>
        <v>0.01628664495</v>
      </c>
      <c r="Q183" s="40">
        <f t="shared" si="180"/>
        <v>0.0119047619</v>
      </c>
      <c r="R183" s="40">
        <f t="shared" si="180"/>
        <v>0</v>
      </c>
      <c r="S183" s="40">
        <f t="shared" si="180"/>
        <v>0</v>
      </c>
      <c r="T183" s="40">
        <f t="shared" si="180"/>
        <v>0</v>
      </c>
    </row>
    <row r="184" ht="15.75" customHeight="1">
      <c r="A184" s="16" t="s">
        <v>153</v>
      </c>
      <c r="F184" s="23"/>
      <c r="G184" s="19">
        <f>$G$14</f>
        <v>6</v>
      </c>
      <c r="H184" s="20">
        <v>6.0</v>
      </c>
      <c r="I184" s="20">
        <v>3.0</v>
      </c>
      <c r="J184" s="20">
        <v>0.0</v>
      </c>
      <c r="K184" s="20">
        <v>0.0</v>
      </c>
      <c r="L184" s="20">
        <v>0.0</v>
      </c>
      <c r="N184" s="23"/>
      <c r="O184" s="19">
        <f>$G$14</f>
        <v>6</v>
      </c>
      <c r="P184" s="40">
        <f t="shared" ref="P184:T184" si="181">H184/H$214</f>
        <v>0.01954397394</v>
      </c>
      <c r="Q184" s="40">
        <f t="shared" si="181"/>
        <v>0.03571428571</v>
      </c>
      <c r="R184" s="40">
        <f t="shared" si="181"/>
        <v>0</v>
      </c>
      <c r="S184" s="40">
        <f t="shared" si="181"/>
        <v>0</v>
      </c>
      <c r="T184" s="40">
        <f t="shared" si="181"/>
        <v>0</v>
      </c>
    </row>
    <row r="185" ht="15.75" customHeight="1">
      <c r="A185" s="16" t="s">
        <v>154</v>
      </c>
      <c r="F185" s="23"/>
      <c r="G185" s="19">
        <f>$G$15</f>
        <v>7</v>
      </c>
      <c r="H185" s="20">
        <v>10.0</v>
      </c>
      <c r="I185" s="20">
        <v>2.0</v>
      </c>
      <c r="J185" s="20">
        <v>1.0</v>
      </c>
      <c r="K185" s="20">
        <v>0.0</v>
      </c>
      <c r="L185" s="20">
        <v>0.0</v>
      </c>
      <c r="N185" s="23"/>
      <c r="O185" s="19">
        <f>$G$15</f>
        <v>7</v>
      </c>
      <c r="P185" s="40">
        <f t="shared" ref="P185:T185" si="182">H185/H$214</f>
        <v>0.0325732899</v>
      </c>
      <c r="Q185" s="40">
        <f t="shared" si="182"/>
        <v>0.02380952381</v>
      </c>
      <c r="R185" s="40">
        <f t="shared" si="182"/>
        <v>1</v>
      </c>
      <c r="S185" s="40">
        <f t="shared" si="182"/>
        <v>0</v>
      </c>
      <c r="T185" s="40">
        <f t="shared" si="182"/>
        <v>0</v>
      </c>
    </row>
    <row r="186" ht="15.75" customHeight="1">
      <c r="A186" s="16" t="s">
        <v>155</v>
      </c>
      <c r="F186" s="23"/>
      <c r="G186" s="19">
        <f>$G$16</f>
        <v>8</v>
      </c>
      <c r="H186" s="20">
        <v>12.0</v>
      </c>
      <c r="I186" s="20">
        <v>6.0</v>
      </c>
      <c r="J186" s="20">
        <v>0.0</v>
      </c>
      <c r="K186" s="20">
        <v>0.0</v>
      </c>
      <c r="L186" s="20">
        <v>0.0</v>
      </c>
      <c r="N186" s="23"/>
      <c r="O186" s="19">
        <f>$G$16</f>
        <v>8</v>
      </c>
      <c r="P186" s="40">
        <f t="shared" ref="P186:T186" si="183">H186/H$214</f>
        <v>0.03908794788</v>
      </c>
      <c r="Q186" s="40">
        <f t="shared" si="183"/>
        <v>0.07142857143</v>
      </c>
      <c r="R186" s="40">
        <f t="shared" si="183"/>
        <v>0</v>
      </c>
      <c r="S186" s="40">
        <f t="shared" si="183"/>
        <v>0</v>
      </c>
      <c r="T186" s="40">
        <f t="shared" si="183"/>
        <v>0</v>
      </c>
    </row>
    <row r="187" ht="15.75" customHeight="1">
      <c r="A187" s="16" t="s">
        <v>156</v>
      </c>
      <c r="F187" s="23"/>
      <c r="G187" s="19">
        <f>$G$17</f>
        <v>9</v>
      </c>
      <c r="H187" s="20">
        <v>11.0</v>
      </c>
      <c r="I187" s="20">
        <v>2.0</v>
      </c>
      <c r="J187" s="20">
        <v>0.0</v>
      </c>
      <c r="K187" s="20">
        <v>0.0</v>
      </c>
      <c r="L187" s="20">
        <v>0.0</v>
      </c>
      <c r="N187" s="23"/>
      <c r="O187" s="19">
        <f>$G$17</f>
        <v>9</v>
      </c>
      <c r="P187" s="40">
        <f t="shared" ref="P187:T187" si="184">H187/H$214</f>
        <v>0.03583061889</v>
      </c>
      <c r="Q187" s="40">
        <f t="shared" si="184"/>
        <v>0.02380952381</v>
      </c>
      <c r="R187" s="40">
        <f t="shared" si="184"/>
        <v>0</v>
      </c>
      <c r="S187" s="40">
        <f t="shared" si="184"/>
        <v>0</v>
      </c>
      <c r="T187" s="40">
        <f t="shared" si="184"/>
        <v>0</v>
      </c>
    </row>
    <row r="188" ht="15.75" customHeight="1">
      <c r="A188" s="16" t="s">
        <v>157</v>
      </c>
      <c r="F188" s="23"/>
      <c r="G188" s="19">
        <f>$G$18</f>
        <v>10</v>
      </c>
      <c r="H188" s="20">
        <v>16.0</v>
      </c>
      <c r="I188" s="20">
        <v>7.0</v>
      </c>
      <c r="J188" s="20">
        <v>0.0</v>
      </c>
      <c r="K188" s="20">
        <v>0.0</v>
      </c>
      <c r="L188" s="20">
        <v>0.0</v>
      </c>
      <c r="N188" s="23"/>
      <c r="O188" s="19">
        <f>$G$18</f>
        <v>10</v>
      </c>
      <c r="P188" s="40">
        <f t="shared" ref="P188:T188" si="185">H188/H$214</f>
        <v>0.05211726384</v>
      </c>
      <c r="Q188" s="40">
        <f t="shared" si="185"/>
        <v>0.08333333333</v>
      </c>
      <c r="R188" s="40">
        <f t="shared" si="185"/>
        <v>0</v>
      </c>
      <c r="S188" s="40">
        <f t="shared" si="185"/>
        <v>0</v>
      </c>
      <c r="T188" s="40">
        <f t="shared" si="185"/>
        <v>0</v>
      </c>
      <c r="U188" s="26">
        <f t="shared" ref="U188:Y188" si="186">SUM(H154:H177)</f>
        <v>292</v>
      </c>
      <c r="V188" s="26">
        <f t="shared" si="186"/>
        <v>107</v>
      </c>
      <c r="W188" s="26">
        <f t="shared" si="186"/>
        <v>5</v>
      </c>
      <c r="X188" s="26">
        <f t="shared" si="186"/>
        <v>7</v>
      </c>
      <c r="Y188" s="26">
        <f t="shared" si="186"/>
        <v>16</v>
      </c>
    </row>
    <row r="189" ht="15.75" customHeight="1">
      <c r="F189" s="23"/>
      <c r="G189" s="19">
        <f>$G$19</f>
        <v>11</v>
      </c>
      <c r="H189" s="20">
        <v>14.0</v>
      </c>
      <c r="I189" s="20">
        <v>2.0</v>
      </c>
      <c r="J189" s="20">
        <v>0.0</v>
      </c>
      <c r="K189" s="20">
        <v>0.0</v>
      </c>
      <c r="L189" s="20">
        <v>0.0</v>
      </c>
      <c r="N189" s="23"/>
      <c r="O189" s="19">
        <f>$G$19</f>
        <v>11</v>
      </c>
      <c r="P189" s="40">
        <f t="shared" ref="P189:T189" si="187">H189/H$214</f>
        <v>0.04560260586</v>
      </c>
      <c r="Q189" s="40">
        <f t="shared" si="187"/>
        <v>0.02380952381</v>
      </c>
      <c r="R189" s="40">
        <f t="shared" si="187"/>
        <v>0</v>
      </c>
      <c r="S189" s="40">
        <f t="shared" si="187"/>
        <v>0</v>
      </c>
      <c r="T189" s="40">
        <f t="shared" si="187"/>
        <v>0</v>
      </c>
      <c r="U189" s="17">
        <f>$H$7</f>
        <v>31</v>
      </c>
      <c r="V189" s="17">
        <f>$I$7</f>
        <v>32</v>
      </c>
      <c r="W189" s="17">
        <f>$J$7</f>
        <v>41</v>
      </c>
      <c r="X189" s="17">
        <f>$K$7</f>
        <v>42</v>
      </c>
      <c r="Y189" s="17">
        <f>$L$7</f>
        <v>5</v>
      </c>
      <c r="AB189" s="16"/>
      <c r="AC189" s="17">
        <f>$H$7</f>
        <v>31</v>
      </c>
      <c r="AD189" s="17">
        <f>$I$7</f>
        <v>32</v>
      </c>
      <c r="AE189" s="17">
        <f>$J$7</f>
        <v>41</v>
      </c>
      <c r="AF189" s="17">
        <f>$K$7</f>
        <v>42</v>
      </c>
      <c r="AG189" s="17">
        <f>$L$7</f>
        <v>5</v>
      </c>
    </row>
    <row r="190" ht="15.75" customHeight="1">
      <c r="A190" s="16" t="s">
        <v>68</v>
      </c>
      <c r="F190" s="23"/>
      <c r="G190" s="19">
        <f>$G$20</f>
        <v>12</v>
      </c>
      <c r="H190" s="20">
        <v>21.0</v>
      </c>
      <c r="I190" s="20">
        <v>4.0</v>
      </c>
      <c r="J190" s="20">
        <v>0.0</v>
      </c>
      <c r="K190" s="20">
        <v>1.0</v>
      </c>
      <c r="L190" s="20">
        <v>0.0</v>
      </c>
      <c r="N190" s="23"/>
      <c r="O190" s="19">
        <f>$G$20</f>
        <v>12</v>
      </c>
      <c r="P190" s="40">
        <f t="shared" ref="P190:T190" si="188">H190/H$214</f>
        <v>0.06840390879</v>
      </c>
      <c r="Q190" s="40">
        <f t="shared" si="188"/>
        <v>0.04761904762</v>
      </c>
      <c r="R190" s="40">
        <f t="shared" si="188"/>
        <v>0</v>
      </c>
      <c r="S190" s="40">
        <f t="shared" si="188"/>
        <v>0.3333333333</v>
      </c>
      <c r="T190" s="40">
        <f t="shared" si="188"/>
        <v>0</v>
      </c>
    </row>
    <row r="191" ht="15.75" customHeight="1">
      <c r="A191" s="16" t="s">
        <v>114</v>
      </c>
      <c r="F191" s="23"/>
      <c r="G191" s="19">
        <f>$G$21</f>
        <v>13</v>
      </c>
      <c r="H191" s="20">
        <v>22.0</v>
      </c>
      <c r="I191" s="20">
        <v>6.0</v>
      </c>
      <c r="J191" s="20">
        <v>0.0</v>
      </c>
      <c r="K191" s="20">
        <v>0.0</v>
      </c>
      <c r="L191" s="20">
        <v>1.0</v>
      </c>
      <c r="N191" s="23"/>
      <c r="O191" s="19">
        <f>$G$21</f>
        <v>13</v>
      </c>
      <c r="P191" s="40">
        <f t="shared" ref="P191:T191" si="189">H191/H$214</f>
        <v>0.07166123779</v>
      </c>
      <c r="Q191" s="40">
        <f t="shared" si="189"/>
        <v>0.07142857143</v>
      </c>
      <c r="R191" s="40">
        <f t="shared" si="189"/>
        <v>0</v>
      </c>
      <c r="S191" s="40">
        <f t="shared" si="189"/>
        <v>0</v>
      </c>
      <c r="T191" s="40">
        <f t="shared" si="189"/>
        <v>0.5</v>
      </c>
    </row>
    <row r="192" ht="15.75" customHeight="1">
      <c r="A192" s="16" t="s">
        <v>158</v>
      </c>
      <c r="F192" s="23"/>
      <c r="G192" s="19">
        <f>$G$22</f>
        <v>14</v>
      </c>
      <c r="H192" s="20">
        <v>16.0</v>
      </c>
      <c r="I192" s="20">
        <v>9.0</v>
      </c>
      <c r="J192" s="20">
        <v>0.0</v>
      </c>
      <c r="K192" s="20">
        <v>0.0</v>
      </c>
      <c r="L192" s="20">
        <v>0.0</v>
      </c>
      <c r="N192" s="23"/>
      <c r="O192" s="19">
        <f>$G$22</f>
        <v>14</v>
      </c>
      <c r="P192" s="40">
        <f t="shared" ref="P192:T192" si="190">H192/H$214</f>
        <v>0.05211726384</v>
      </c>
      <c r="Q192" s="40">
        <f t="shared" si="190"/>
        <v>0.1071428571</v>
      </c>
      <c r="R192" s="40">
        <f t="shared" si="190"/>
        <v>0</v>
      </c>
      <c r="S192" s="40">
        <f t="shared" si="190"/>
        <v>0</v>
      </c>
      <c r="T192" s="40">
        <f t="shared" si="190"/>
        <v>0</v>
      </c>
    </row>
    <row r="193" ht="15.75" customHeight="1">
      <c r="A193" s="16" t="s">
        <v>71</v>
      </c>
      <c r="F193" s="23"/>
      <c r="G193" s="19">
        <f>$G$23</f>
        <v>15</v>
      </c>
      <c r="H193" s="20">
        <v>48.0</v>
      </c>
      <c r="I193" s="20">
        <v>8.0</v>
      </c>
      <c r="J193" s="20">
        <v>0.0</v>
      </c>
      <c r="K193" s="20">
        <v>0.0</v>
      </c>
      <c r="L193" s="20">
        <v>1.0</v>
      </c>
      <c r="N193" s="23"/>
      <c r="O193" s="19">
        <f>$G$23</f>
        <v>15</v>
      </c>
      <c r="P193" s="40">
        <f t="shared" ref="P193:T193" si="191">H193/H$214</f>
        <v>0.1563517915</v>
      </c>
      <c r="Q193" s="40">
        <f t="shared" si="191"/>
        <v>0.09523809524</v>
      </c>
      <c r="R193" s="40">
        <f t="shared" si="191"/>
        <v>0</v>
      </c>
      <c r="S193" s="40">
        <f t="shared" si="191"/>
        <v>0</v>
      </c>
      <c r="T193" s="40">
        <f t="shared" si="191"/>
        <v>0.5</v>
      </c>
    </row>
    <row r="194" ht="15.75" customHeight="1">
      <c r="A194" s="16" t="s">
        <v>159</v>
      </c>
      <c r="F194" s="23"/>
      <c r="G194" s="19">
        <f>$G$24</f>
        <v>16</v>
      </c>
      <c r="H194" s="20">
        <v>30.0</v>
      </c>
      <c r="I194" s="20">
        <v>6.0</v>
      </c>
      <c r="J194" s="20">
        <v>0.0</v>
      </c>
      <c r="K194" s="20">
        <v>0.0</v>
      </c>
      <c r="L194" s="20">
        <v>0.0</v>
      </c>
      <c r="N194" s="23"/>
      <c r="O194" s="19">
        <f>$G$24</f>
        <v>16</v>
      </c>
      <c r="P194" s="40">
        <f t="shared" ref="P194:T194" si="192">H194/H$214</f>
        <v>0.09771986971</v>
      </c>
      <c r="Q194" s="40">
        <f t="shared" si="192"/>
        <v>0.07142857143</v>
      </c>
      <c r="R194" s="40">
        <f t="shared" si="192"/>
        <v>0</v>
      </c>
      <c r="S194" s="40">
        <f t="shared" si="192"/>
        <v>0</v>
      </c>
      <c r="T194" s="40">
        <f t="shared" si="192"/>
        <v>0</v>
      </c>
    </row>
    <row r="195" ht="15.75" customHeight="1">
      <c r="A195" s="16" t="s">
        <v>113</v>
      </c>
      <c r="F195" s="23"/>
      <c r="G195" s="19">
        <f>$G$25</f>
        <v>17</v>
      </c>
      <c r="H195" s="20">
        <v>22.0</v>
      </c>
      <c r="I195" s="20">
        <v>12.0</v>
      </c>
      <c r="J195" s="20">
        <v>0.0</v>
      </c>
      <c r="K195" s="20">
        <v>0.0</v>
      </c>
      <c r="L195" s="20">
        <v>0.0</v>
      </c>
      <c r="N195" s="23"/>
      <c r="O195" s="19">
        <f>$G$25</f>
        <v>17</v>
      </c>
      <c r="P195" s="40">
        <f t="shared" ref="P195:T195" si="193">H195/H$214</f>
        <v>0.07166123779</v>
      </c>
      <c r="Q195" s="40">
        <f t="shared" si="193"/>
        <v>0.1428571429</v>
      </c>
      <c r="R195" s="40">
        <f t="shared" si="193"/>
        <v>0</v>
      </c>
      <c r="S195" s="40">
        <f t="shared" si="193"/>
        <v>0</v>
      </c>
      <c r="T195" s="40">
        <f t="shared" si="193"/>
        <v>0</v>
      </c>
    </row>
    <row r="196" ht="15.75" customHeight="1">
      <c r="A196" s="16" t="s">
        <v>88</v>
      </c>
      <c r="F196" s="23"/>
      <c r="G196" s="19">
        <f>$G$26</f>
        <v>18</v>
      </c>
      <c r="H196" s="20">
        <v>11.0</v>
      </c>
      <c r="I196" s="20">
        <v>4.0</v>
      </c>
      <c r="J196" s="20">
        <v>0.0</v>
      </c>
      <c r="K196" s="20">
        <v>0.0</v>
      </c>
      <c r="L196" s="20">
        <v>0.0</v>
      </c>
      <c r="N196" s="23"/>
      <c r="O196" s="19">
        <f>$G$26</f>
        <v>18</v>
      </c>
      <c r="P196" s="40">
        <f t="shared" ref="P196:T196" si="194">H196/H$214</f>
        <v>0.03583061889</v>
      </c>
      <c r="Q196" s="40">
        <f t="shared" si="194"/>
        <v>0.04761904762</v>
      </c>
      <c r="R196" s="40">
        <f t="shared" si="194"/>
        <v>0</v>
      </c>
      <c r="S196" s="40">
        <f t="shared" si="194"/>
        <v>0</v>
      </c>
      <c r="T196" s="40">
        <f t="shared" si="194"/>
        <v>0</v>
      </c>
    </row>
    <row r="197" ht="15.75" customHeight="1">
      <c r="A197" s="16" t="s">
        <v>160</v>
      </c>
      <c r="F197" s="23"/>
      <c r="G197" s="19">
        <f>$G$27</f>
        <v>19</v>
      </c>
      <c r="H197" s="20">
        <v>13.0</v>
      </c>
      <c r="I197" s="20">
        <v>4.0</v>
      </c>
      <c r="J197" s="20">
        <v>0.0</v>
      </c>
      <c r="K197" s="20">
        <v>0.0</v>
      </c>
      <c r="L197" s="20">
        <v>0.0</v>
      </c>
      <c r="N197" s="23"/>
      <c r="O197" s="19">
        <f>$G$27</f>
        <v>19</v>
      </c>
      <c r="P197" s="40">
        <f t="shared" ref="P197:T197" si="195">H197/H$214</f>
        <v>0.04234527687</v>
      </c>
      <c r="Q197" s="40">
        <f t="shared" si="195"/>
        <v>0.04761904762</v>
      </c>
      <c r="R197" s="40">
        <f t="shared" si="195"/>
        <v>0</v>
      </c>
      <c r="S197" s="40">
        <f t="shared" si="195"/>
        <v>0</v>
      </c>
      <c r="T197" s="40">
        <f t="shared" si="195"/>
        <v>0</v>
      </c>
    </row>
    <row r="198" ht="15.75" customHeight="1">
      <c r="A198" s="16" t="s">
        <v>161</v>
      </c>
      <c r="F198" s="23"/>
      <c r="G198" s="19">
        <f>$G$28</f>
        <v>20</v>
      </c>
      <c r="H198" s="20">
        <v>11.0</v>
      </c>
      <c r="I198" s="20">
        <v>0.0</v>
      </c>
      <c r="J198" s="20">
        <v>0.0</v>
      </c>
      <c r="K198" s="20">
        <v>0.0</v>
      </c>
      <c r="L198" s="20">
        <v>0.0</v>
      </c>
      <c r="N198" s="23"/>
      <c r="O198" s="19">
        <f>$G$28</f>
        <v>20</v>
      </c>
      <c r="P198" s="40">
        <f t="shared" ref="P198:T198" si="196">H198/H$214</f>
        <v>0.03583061889</v>
      </c>
      <c r="Q198" s="40">
        <f t="shared" si="196"/>
        <v>0</v>
      </c>
      <c r="R198" s="40">
        <f t="shared" si="196"/>
        <v>0</v>
      </c>
      <c r="S198" s="40">
        <f t="shared" si="196"/>
        <v>0</v>
      </c>
      <c r="T198" s="40">
        <f t="shared" si="196"/>
        <v>0</v>
      </c>
    </row>
    <row r="199" ht="15.75" customHeight="1">
      <c r="A199" s="16" t="s">
        <v>162</v>
      </c>
      <c r="F199" s="23"/>
      <c r="G199" s="19">
        <f>$G$29</f>
        <v>21</v>
      </c>
      <c r="H199" s="20">
        <v>12.0</v>
      </c>
      <c r="I199" s="20">
        <v>0.0</v>
      </c>
      <c r="J199" s="20">
        <v>0.0</v>
      </c>
      <c r="K199" s="20">
        <v>0.0</v>
      </c>
      <c r="L199" s="20">
        <v>0.0</v>
      </c>
      <c r="N199" s="23"/>
      <c r="O199" s="19">
        <f>$G$29</f>
        <v>21</v>
      </c>
      <c r="P199" s="40">
        <f t="shared" ref="P199:T199" si="197">H199/H$214</f>
        <v>0.03908794788</v>
      </c>
      <c r="Q199" s="40">
        <f t="shared" si="197"/>
        <v>0</v>
      </c>
      <c r="R199" s="40">
        <f t="shared" si="197"/>
        <v>0</v>
      </c>
      <c r="S199" s="40">
        <f t="shared" si="197"/>
        <v>0</v>
      </c>
      <c r="T199" s="40">
        <f t="shared" si="197"/>
        <v>0</v>
      </c>
    </row>
    <row r="200" ht="15.75" customHeight="1">
      <c r="A200" s="16" t="s">
        <v>163</v>
      </c>
      <c r="F200" s="23"/>
      <c r="G200" s="19">
        <f>$G$30</f>
        <v>22</v>
      </c>
      <c r="H200" s="20">
        <v>10.0</v>
      </c>
      <c r="I200" s="20">
        <v>1.0</v>
      </c>
      <c r="J200" s="20">
        <v>0.0</v>
      </c>
      <c r="K200" s="20">
        <v>0.0</v>
      </c>
      <c r="L200" s="20">
        <v>0.0</v>
      </c>
      <c r="N200" s="23"/>
      <c r="O200" s="19">
        <f>$G$30</f>
        <v>22</v>
      </c>
      <c r="P200" s="40">
        <f t="shared" ref="P200:T200" si="198">H200/H$214</f>
        <v>0.0325732899</v>
      </c>
      <c r="Q200" s="40">
        <f t="shared" si="198"/>
        <v>0.0119047619</v>
      </c>
      <c r="R200" s="40">
        <f t="shared" si="198"/>
        <v>0</v>
      </c>
      <c r="S200" s="40">
        <f t="shared" si="198"/>
        <v>0</v>
      </c>
      <c r="T200" s="40">
        <f t="shared" si="198"/>
        <v>0</v>
      </c>
    </row>
    <row r="201" ht="15.75" customHeight="1">
      <c r="A201" s="16" t="s">
        <v>164</v>
      </c>
      <c r="F201" s="27"/>
      <c r="G201" s="19">
        <f>$G$31</f>
        <v>23</v>
      </c>
      <c r="H201" s="20">
        <v>1.0</v>
      </c>
      <c r="I201" s="20">
        <v>1.0</v>
      </c>
      <c r="J201" s="20">
        <v>0.0</v>
      </c>
      <c r="K201" s="20">
        <v>0.0</v>
      </c>
      <c r="L201" s="20">
        <v>0.0</v>
      </c>
      <c r="N201" s="27"/>
      <c r="O201" s="19">
        <f>$G$31</f>
        <v>23</v>
      </c>
      <c r="P201" s="40">
        <f t="shared" ref="P201:T201" si="199">H201/H$214</f>
        <v>0.00325732899</v>
      </c>
      <c r="Q201" s="40">
        <f t="shared" si="199"/>
        <v>0.0119047619</v>
      </c>
      <c r="R201" s="40">
        <f t="shared" si="199"/>
        <v>0</v>
      </c>
      <c r="S201" s="40">
        <f t="shared" si="199"/>
        <v>0</v>
      </c>
      <c r="T201" s="40">
        <f t="shared" si="199"/>
        <v>0</v>
      </c>
    </row>
    <row r="202" ht="15.75" customHeight="1">
      <c r="A202" s="16" t="s">
        <v>165</v>
      </c>
    </row>
    <row r="203" ht="15.75" customHeight="1">
      <c r="A203" s="16" t="s">
        <v>166</v>
      </c>
    </row>
    <row r="204" ht="15.75" customHeight="1">
      <c r="A204" s="16" t="s">
        <v>167</v>
      </c>
    </row>
    <row r="205" ht="15.75" customHeight="1">
      <c r="A205" s="16" t="s">
        <v>168</v>
      </c>
    </row>
    <row r="206" ht="15.75" customHeight="1">
      <c r="A206" s="16" t="s">
        <v>169</v>
      </c>
    </row>
    <row r="207" ht="15.75" customHeight="1">
      <c r="A207" s="16" t="s">
        <v>170</v>
      </c>
    </row>
    <row r="208" ht="15.75" customHeight="1">
      <c r="A208" s="16" t="s">
        <v>171</v>
      </c>
    </row>
    <row r="209" ht="15.75" customHeight="1">
      <c r="A209" s="16" t="s">
        <v>172</v>
      </c>
    </row>
    <row r="210" ht="15.75" customHeight="1">
      <c r="A210" s="16" t="s">
        <v>173</v>
      </c>
    </row>
    <row r="211" ht="15.75" customHeight="1">
      <c r="A211" s="16" t="s">
        <v>132</v>
      </c>
    </row>
    <row r="212" ht="15.75" customHeight="1">
      <c r="A212" s="16" t="s">
        <v>90</v>
      </c>
      <c r="C212" s="97" t="s">
        <v>174</v>
      </c>
    </row>
    <row r="213" ht="15.75" customHeight="1">
      <c r="A213" s="16" t="s">
        <v>175</v>
      </c>
    </row>
    <row r="214" ht="15.75" customHeight="1">
      <c r="F214" s="41"/>
      <c r="G214" s="16"/>
      <c r="H214" s="26">
        <f t="shared" ref="H214:L214" si="200">SUM(H178:H201)</f>
        <v>307</v>
      </c>
      <c r="I214" s="26">
        <f t="shared" si="200"/>
        <v>84</v>
      </c>
      <c r="J214" s="26">
        <f t="shared" si="200"/>
        <v>1</v>
      </c>
      <c r="K214" s="26">
        <f t="shared" si="200"/>
        <v>3</v>
      </c>
      <c r="L214" s="26">
        <f t="shared" si="200"/>
        <v>2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4.0</v>
      </c>
      <c r="I216" s="20"/>
      <c r="J216" s="20"/>
      <c r="K216" s="20"/>
      <c r="L216" s="20"/>
      <c r="N216" s="56">
        <v>45215.0</v>
      </c>
      <c r="O216" s="19">
        <f>$G$8</f>
        <v>0</v>
      </c>
      <c r="P216" s="40">
        <f t="shared" ref="P216:T216" si="201">H216/W$239</f>
        <v>0.01612903226</v>
      </c>
      <c r="Q216" s="40">
        <f t="shared" si="201"/>
        <v>0</v>
      </c>
      <c r="R216" s="40">
        <f t="shared" si="201"/>
        <v>0</v>
      </c>
      <c r="S216" s="40">
        <f t="shared" si="201"/>
        <v>0</v>
      </c>
      <c r="T216" s="40">
        <f t="shared" si="201"/>
        <v>0</v>
      </c>
    </row>
    <row r="217" ht="15.75" customHeight="1">
      <c r="F217" s="23"/>
      <c r="G217" s="19">
        <f>$G$9</f>
        <v>1</v>
      </c>
      <c r="H217" s="20">
        <v>1.0</v>
      </c>
      <c r="I217" s="20"/>
      <c r="J217" s="20"/>
      <c r="K217" s="20"/>
      <c r="L217" s="20"/>
      <c r="N217" s="23"/>
      <c r="O217" s="19">
        <f>$G$9</f>
        <v>1</v>
      </c>
      <c r="P217" s="40">
        <f t="shared" ref="P217:T217" si="202">H217/W$239</f>
        <v>0.004032258065</v>
      </c>
      <c r="Q217" s="40">
        <f t="shared" si="202"/>
        <v>0</v>
      </c>
      <c r="R217" s="40">
        <f t="shared" si="202"/>
        <v>0</v>
      </c>
      <c r="S217" s="40">
        <f t="shared" si="202"/>
        <v>0</v>
      </c>
      <c r="T217" s="40">
        <f t="shared" si="202"/>
        <v>0</v>
      </c>
    </row>
    <row r="218" ht="15.75" customHeight="1">
      <c r="F218" s="23"/>
      <c r="G218" s="19">
        <f>$G$10</f>
        <v>2</v>
      </c>
      <c r="H218" s="16"/>
      <c r="I218" s="16"/>
      <c r="J218" s="16"/>
      <c r="K218" s="16">
        <v>1.0</v>
      </c>
      <c r="L218" s="16"/>
      <c r="N218" s="23"/>
      <c r="O218" s="19">
        <f>$G$10</f>
        <v>2</v>
      </c>
      <c r="P218" s="40">
        <f t="shared" ref="P218:T218" si="203">H218/W$239</f>
        <v>0</v>
      </c>
      <c r="Q218" s="40">
        <f t="shared" si="203"/>
        <v>0</v>
      </c>
      <c r="R218" s="40">
        <f t="shared" si="203"/>
        <v>0</v>
      </c>
      <c r="S218" s="40">
        <f t="shared" si="203"/>
        <v>0.05</v>
      </c>
      <c r="T218" s="40">
        <f t="shared" si="203"/>
        <v>0</v>
      </c>
    </row>
    <row r="219" ht="15.75" customHeight="1">
      <c r="F219" s="23"/>
      <c r="G219" s="19">
        <f>$G$11</f>
        <v>3</v>
      </c>
      <c r="H219" s="20">
        <v>2.0</v>
      </c>
      <c r="I219" s="20">
        <v>1.0</v>
      </c>
      <c r="J219" s="20"/>
      <c r="K219" s="20"/>
      <c r="L219" s="20"/>
      <c r="N219" s="23"/>
      <c r="O219" s="19">
        <f>$G$11</f>
        <v>3</v>
      </c>
      <c r="P219" s="40">
        <f t="shared" ref="P219:T219" si="204">H219/W$239</f>
        <v>0.008064516129</v>
      </c>
      <c r="Q219" s="40">
        <f t="shared" si="204"/>
        <v>0.009433962264</v>
      </c>
      <c r="R219" s="40">
        <f t="shared" si="204"/>
        <v>0</v>
      </c>
      <c r="S219" s="40">
        <f t="shared" si="204"/>
        <v>0</v>
      </c>
      <c r="T219" s="40">
        <f t="shared" si="204"/>
        <v>0</v>
      </c>
    </row>
    <row r="220" ht="15.75" customHeight="1">
      <c r="F220" s="23"/>
      <c r="G220" s="19">
        <f>$G$12</f>
        <v>4</v>
      </c>
      <c r="H220" s="20"/>
      <c r="I220" s="20">
        <v>2.0</v>
      </c>
      <c r="J220" s="20"/>
      <c r="K220" s="20"/>
      <c r="L220" s="20"/>
      <c r="N220" s="23"/>
      <c r="O220" s="19">
        <f>$G$12</f>
        <v>4</v>
      </c>
      <c r="P220" s="40">
        <f t="shared" ref="P220:T220" si="205">H220/W$239</f>
        <v>0</v>
      </c>
      <c r="Q220" s="40">
        <f t="shared" si="205"/>
        <v>0.01886792453</v>
      </c>
      <c r="R220" s="40">
        <f t="shared" si="205"/>
        <v>0</v>
      </c>
      <c r="S220" s="40">
        <f t="shared" si="205"/>
        <v>0</v>
      </c>
      <c r="T220" s="40">
        <f t="shared" si="205"/>
        <v>0</v>
      </c>
    </row>
    <row r="221" ht="15.75" customHeight="1">
      <c r="F221" s="23"/>
      <c r="G221" s="19">
        <f>$G$13</f>
        <v>5</v>
      </c>
      <c r="H221" s="20">
        <v>1.0</v>
      </c>
      <c r="I221" s="20">
        <v>2.0</v>
      </c>
      <c r="J221" s="20"/>
      <c r="K221" s="20"/>
      <c r="L221" s="20"/>
      <c r="N221" s="23"/>
      <c r="O221" s="19">
        <f>$G$13</f>
        <v>5</v>
      </c>
      <c r="P221" s="40">
        <f t="shared" ref="P221:T221" si="206">H221/W$239</f>
        <v>0.004032258065</v>
      </c>
      <c r="Q221" s="40">
        <f t="shared" si="206"/>
        <v>0.01886792453</v>
      </c>
      <c r="R221" s="40">
        <f t="shared" si="206"/>
        <v>0</v>
      </c>
      <c r="S221" s="40">
        <f t="shared" si="206"/>
        <v>0</v>
      </c>
      <c r="T221" s="40">
        <f t="shared" si="206"/>
        <v>0</v>
      </c>
    </row>
    <row r="222" ht="15.75" customHeight="1">
      <c r="F222" s="23"/>
      <c r="G222" s="19">
        <f>$G$14</f>
        <v>6</v>
      </c>
      <c r="H222" s="20">
        <v>7.0</v>
      </c>
      <c r="I222" s="20">
        <v>3.0</v>
      </c>
      <c r="J222" s="20"/>
      <c r="K222" s="20"/>
      <c r="L222" s="20"/>
      <c r="N222" s="23"/>
      <c r="O222" s="19">
        <f>$G$14</f>
        <v>6</v>
      </c>
      <c r="P222" s="40">
        <f t="shared" ref="P222:T222" si="207">H222/W$239</f>
        <v>0.02822580645</v>
      </c>
      <c r="Q222" s="40">
        <f t="shared" si="207"/>
        <v>0.02830188679</v>
      </c>
      <c r="R222" s="40">
        <f t="shared" si="207"/>
        <v>0</v>
      </c>
      <c r="S222" s="40">
        <f t="shared" si="207"/>
        <v>0</v>
      </c>
      <c r="T222" s="40">
        <f t="shared" si="207"/>
        <v>0</v>
      </c>
    </row>
    <row r="223" ht="15.75" customHeight="1">
      <c r="F223" s="23"/>
      <c r="G223" s="19">
        <f>$G$15</f>
        <v>7</v>
      </c>
      <c r="H223" s="20">
        <v>24.0</v>
      </c>
      <c r="I223" s="20">
        <v>3.0</v>
      </c>
      <c r="J223" s="20"/>
      <c r="K223" s="20"/>
      <c r="L223" s="20">
        <v>3.0</v>
      </c>
      <c r="N223" s="23"/>
      <c r="O223" s="19">
        <f>$G$15</f>
        <v>7</v>
      </c>
      <c r="P223" s="40">
        <f t="shared" ref="P223:T223" si="208">H223/W$239</f>
        <v>0.09677419355</v>
      </c>
      <c r="Q223" s="40">
        <f t="shared" si="208"/>
        <v>0.02830188679</v>
      </c>
      <c r="R223" s="40">
        <f t="shared" si="208"/>
        <v>0</v>
      </c>
      <c r="S223" s="40">
        <f t="shared" si="208"/>
        <v>0</v>
      </c>
      <c r="T223" s="40">
        <f t="shared" si="208"/>
        <v>0.1875</v>
      </c>
    </row>
    <row r="224" ht="15.75" customHeight="1">
      <c r="F224" s="23"/>
      <c r="G224" s="19">
        <f>$G$16</f>
        <v>8</v>
      </c>
      <c r="H224" s="20">
        <v>16.0</v>
      </c>
      <c r="I224" s="20">
        <v>7.0</v>
      </c>
      <c r="J224" s="20"/>
      <c r="K224" s="20">
        <v>1.0</v>
      </c>
      <c r="L224" s="20">
        <v>1.0</v>
      </c>
      <c r="N224" s="23"/>
      <c r="O224" s="19">
        <f>$G$16</f>
        <v>8</v>
      </c>
      <c r="P224" s="40">
        <f t="shared" ref="P224:T224" si="209">H224/W$239</f>
        <v>0.06451612903</v>
      </c>
      <c r="Q224" s="40">
        <f t="shared" si="209"/>
        <v>0.06603773585</v>
      </c>
      <c r="R224" s="40">
        <f t="shared" si="209"/>
        <v>0</v>
      </c>
      <c r="S224" s="40">
        <f t="shared" si="209"/>
        <v>0.05</v>
      </c>
      <c r="T224" s="40">
        <f t="shared" si="209"/>
        <v>0.0625</v>
      </c>
    </row>
    <row r="225" ht="15.75" customHeight="1">
      <c r="F225" s="23"/>
      <c r="G225" s="19">
        <f>$G$17</f>
        <v>9</v>
      </c>
      <c r="H225" s="20">
        <v>7.0</v>
      </c>
      <c r="I225" s="20">
        <v>9.0</v>
      </c>
      <c r="J225" s="20"/>
      <c r="K225" s="20">
        <v>1.0</v>
      </c>
      <c r="L225" s="20">
        <v>1.0</v>
      </c>
      <c r="N225" s="23"/>
      <c r="O225" s="19">
        <f>$G$17</f>
        <v>9</v>
      </c>
      <c r="P225" s="40">
        <f t="shared" ref="P225:T225" si="210">H225/W$239</f>
        <v>0.02822580645</v>
      </c>
      <c r="Q225" s="40">
        <f t="shared" si="210"/>
        <v>0.08490566038</v>
      </c>
      <c r="R225" s="40">
        <f t="shared" si="210"/>
        <v>0</v>
      </c>
      <c r="S225" s="40">
        <f t="shared" si="210"/>
        <v>0.05</v>
      </c>
      <c r="T225" s="40">
        <f t="shared" si="210"/>
        <v>0.0625</v>
      </c>
    </row>
    <row r="226" ht="15.75" customHeight="1">
      <c r="F226" s="23"/>
      <c r="G226" s="19">
        <f>$G$18</f>
        <v>10</v>
      </c>
      <c r="H226" s="20">
        <v>15.0</v>
      </c>
      <c r="I226" s="20">
        <v>7.0</v>
      </c>
      <c r="J226" s="20"/>
      <c r="K226" s="20">
        <v>4.0</v>
      </c>
      <c r="L226" s="20">
        <v>1.0</v>
      </c>
      <c r="N226" s="23"/>
      <c r="O226" s="19">
        <f>$G$18</f>
        <v>10</v>
      </c>
      <c r="P226" s="40">
        <f t="shared" ref="P226:T226" si="211">H226/W$239</f>
        <v>0.06048387097</v>
      </c>
      <c r="Q226" s="40">
        <f t="shared" si="211"/>
        <v>0.06603773585</v>
      </c>
      <c r="R226" s="40">
        <f t="shared" si="211"/>
        <v>0</v>
      </c>
      <c r="S226" s="40">
        <f t="shared" si="211"/>
        <v>0.2</v>
      </c>
      <c r="T226" s="40">
        <f t="shared" si="211"/>
        <v>0.0625</v>
      </c>
    </row>
    <row r="227" ht="15.75" customHeight="1">
      <c r="F227" s="23"/>
      <c r="G227" s="19">
        <f>$G$19</f>
        <v>11</v>
      </c>
      <c r="H227" s="20">
        <v>16.0</v>
      </c>
      <c r="I227" s="20">
        <v>7.0</v>
      </c>
      <c r="J227" s="20"/>
      <c r="K227" s="20">
        <v>1.0</v>
      </c>
      <c r="L227" s="20">
        <v>1.0</v>
      </c>
      <c r="N227" s="23"/>
      <c r="O227" s="19">
        <f>$G$19</f>
        <v>11</v>
      </c>
      <c r="P227" s="40">
        <f t="shared" ref="P227:T227" si="212">H227/W$239</f>
        <v>0.06451612903</v>
      </c>
      <c r="Q227" s="40">
        <f t="shared" si="212"/>
        <v>0.06603773585</v>
      </c>
      <c r="R227" s="40">
        <f t="shared" si="212"/>
        <v>0</v>
      </c>
      <c r="S227" s="40">
        <f t="shared" si="212"/>
        <v>0.05</v>
      </c>
      <c r="T227" s="40">
        <f t="shared" si="212"/>
        <v>0.0625</v>
      </c>
    </row>
    <row r="228" ht="15.75" customHeight="1">
      <c r="F228" s="23"/>
      <c r="G228" s="19">
        <f>$G$20</f>
        <v>12</v>
      </c>
      <c r="H228" s="20">
        <v>11.0</v>
      </c>
      <c r="I228" s="20">
        <v>13.0</v>
      </c>
      <c r="J228" s="20"/>
      <c r="K228" s="20">
        <v>2.0</v>
      </c>
      <c r="L228" s="20">
        <v>1.0</v>
      </c>
      <c r="N228" s="23"/>
      <c r="O228" s="19">
        <f>$G$20</f>
        <v>12</v>
      </c>
      <c r="P228" s="40">
        <f t="shared" ref="P228:T228" si="213">H228/W$239</f>
        <v>0.04435483871</v>
      </c>
      <c r="Q228" s="40">
        <f t="shared" si="213"/>
        <v>0.1226415094</v>
      </c>
      <c r="R228" s="40">
        <f t="shared" si="213"/>
        <v>0</v>
      </c>
      <c r="S228" s="40">
        <f t="shared" si="213"/>
        <v>0.1</v>
      </c>
      <c r="T228" s="40">
        <f t="shared" si="213"/>
        <v>0.0625</v>
      </c>
    </row>
    <row r="229" ht="15.75" customHeight="1">
      <c r="F229" s="23"/>
      <c r="G229" s="19">
        <f>$G$21</f>
        <v>13</v>
      </c>
      <c r="H229" s="20">
        <v>16.0</v>
      </c>
      <c r="I229" s="20">
        <v>9.0</v>
      </c>
      <c r="J229" s="20"/>
      <c r="K229" s="20">
        <v>1.0</v>
      </c>
      <c r="L229" s="20"/>
      <c r="N229" s="23"/>
      <c r="O229" s="19">
        <f>$G$21</f>
        <v>13</v>
      </c>
      <c r="P229" s="40">
        <f t="shared" ref="P229:T229" si="214">H229/W$239</f>
        <v>0.06451612903</v>
      </c>
      <c r="Q229" s="40">
        <f t="shared" si="214"/>
        <v>0.08490566038</v>
      </c>
      <c r="R229" s="40">
        <f t="shared" si="214"/>
        <v>0</v>
      </c>
      <c r="S229" s="40">
        <f t="shared" si="214"/>
        <v>0.05</v>
      </c>
      <c r="T229" s="40">
        <f t="shared" si="214"/>
        <v>0</v>
      </c>
    </row>
    <row r="230" ht="15.75" customHeight="1">
      <c r="F230" s="23"/>
      <c r="G230" s="19">
        <f>$G$22</f>
        <v>14</v>
      </c>
      <c r="H230" s="20">
        <v>12.0</v>
      </c>
      <c r="I230" s="20">
        <v>12.0</v>
      </c>
      <c r="J230" s="20"/>
      <c r="K230" s="20">
        <v>2.0</v>
      </c>
      <c r="L230" s="20">
        <v>2.0</v>
      </c>
      <c r="N230" s="23"/>
      <c r="O230" s="19">
        <f>$G$22</f>
        <v>14</v>
      </c>
      <c r="P230" s="40">
        <f t="shared" ref="P230:T230" si="215">H230/W$239</f>
        <v>0.04838709677</v>
      </c>
      <c r="Q230" s="40">
        <f t="shared" si="215"/>
        <v>0.1132075472</v>
      </c>
      <c r="R230" s="40">
        <f t="shared" si="215"/>
        <v>0</v>
      </c>
      <c r="S230" s="40">
        <f t="shared" si="215"/>
        <v>0.1</v>
      </c>
      <c r="T230" s="40">
        <f t="shared" si="215"/>
        <v>0.125</v>
      </c>
    </row>
    <row r="231" ht="15.75" customHeight="1">
      <c r="F231" s="23"/>
      <c r="G231" s="19">
        <f>$G$23</f>
        <v>15</v>
      </c>
      <c r="H231" s="20">
        <v>14.0</v>
      </c>
      <c r="I231" s="20">
        <v>2.0</v>
      </c>
      <c r="J231" s="20"/>
      <c r="K231" s="20">
        <v>3.0</v>
      </c>
      <c r="L231" s="20">
        <v>1.0</v>
      </c>
      <c r="N231" s="23"/>
      <c r="O231" s="19">
        <f>$G$23</f>
        <v>15</v>
      </c>
      <c r="P231" s="40">
        <f t="shared" ref="P231:T231" si="216">H231/W$239</f>
        <v>0.0564516129</v>
      </c>
      <c r="Q231" s="40">
        <f t="shared" si="216"/>
        <v>0.01886792453</v>
      </c>
      <c r="R231" s="40">
        <f t="shared" si="216"/>
        <v>0</v>
      </c>
      <c r="S231" s="40">
        <f t="shared" si="216"/>
        <v>0.15</v>
      </c>
      <c r="T231" s="40">
        <f t="shared" si="216"/>
        <v>0.0625</v>
      </c>
    </row>
    <row r="232" ht="15.75" customHeight="1">
      <c r="F232" s="23"/>
      <c r="G232" s="19">
        <f>$G$24</f>
        <v>16</v>
      </c>
      <c r="H232" s="20">
        <v>14.0</v>
      </c>
      <c r="I232" s="20">
        <v>4.0</v>
      </c>
      <c r="J232" s="20"/>
      <c r="K232" s="20">
        <v>1.0</v>
      </c>
      <c r="L232" s="20"/>
      <c r="N232" s="23"/>
      <c r="O232" s="19">
        <f>$G$24</f>
        <v>16</v>
      </c>
      <c r="P232" s="40">
        <f t="shared" ref="P232:T232" si="217">H232/W$239</f>
        <v>0.0564516129</v>
      </c>
      <c r="Q232" s="40">
        <f t="shared" si="217"/>
        <v>0.03773584906</v>
      </c>
      <c r="R232" s="40">
        <f t="shared" si="217"/>
        <v>0</v>
      </c>
      <c r="S232" s="40">
        <f t="shared" si="217"/>
        <v>0.05</v>
      </c>
      <c r="T232" s="40">
        <f t="shared" si="217"/>
        <v>0</v>
      </c>
    </row>
    <row r="233" ht="15.75" customHeight="1">
      <c r="F233" s="23"/>
      <c r="G233" s="19">
        <f>$G$25</f>
        <v>17</v>
      </c>
      <c r="H233" s="20">
        <v>29.0</v>
      </c>
      <c r="I233" s="20">
        <v>11.0</v>
      </c>
      <c r="J233" s="20">
        <v>1.0</v>
      </c>
      <c r="K233" s="20"/>
      <c r="L233" s="20">
        <v>1.0</v>
      </c>
      <c r="N233" s="23"/>
      <c r="O233" s="19">
        <f>$G$25</f>
        <v>17</v>
      </c>
      <c r="P233" s="40">
        <f t="shared" ref="P233:T233" si="218">H233/W$239</f>
        <v>0.1169354839</v>
      </c>
      <c r="Q233" s="40">
        <f t="shared" si="218"/>
        <v>0.1037735849</v>
      </c>
      <c r="R233" s="40">
        <f t="shared" si="218"/>
        <v>1</v>
      </c>
      <c r="S233" s="40">
        <f t="shared" si="218"/>
        <v>0</v>
      </c>
      <c r="T233" s="40">
        <f t="shared" si="218"/>
        <v>0.0625</v>
      </c>
    </row>
    <row r="234" ht="15.75" customHeight="1">
      <c r="F234" s="23"/>
      <c r="G234" s="19">
        <f>$G$26</f>
        <v>18</v>
      </c>
      <c r="H234" s="20">
        <v>17.0</v>
      </c>
      <c r="I234" s="20">
        <v>5.0</v>
      </c>
      <c r="J234" s="20"/>
      <c r="K234" s="20">
        <v>3.0</v>
      </c>
      <c r="L234" s="20">
        <v>1.0</v>
      </c>
      <c r="N234" s="23"/>
      <c r="O234" s="19">
        <f>$G$26</f>
        <v>18</v>
      </c>
      <c r="P234" s="40">
        <f t="shared" ref="P234:T234" si="219">H234/W$239</f>
        <v>0.0685483871</v>
      </c>
      <c r="Q234" s="40">
        <f t="shared" si="219"/>
        <v>0.04716981132</v>
      </c>
      <c r="R234" s="40">
        <f t="shared" si="219"/>
        <v>0</v>
      </c>
      <c r="S234" s="40">
        <f t="shared" si="219"/>
        <v>0.15</v>
      </c>
      <c r="T234" s="40">
        <f t="shared" si="219"/>
        <v>0.0625</v>
      </c>
    </row>
    <row r="235" ht="15.75" customHeight="1">
      <c r="F235" s="23"/>
      <c r="G235" s="19">
        <f>$G$27</f>
        <v>19</v>
      </c>
      <c r="H235" s="20">
        <v>12.0</v>
      </c>
      <c r="I235" s="20">
        <v>6.0</v>
      </c>
      <c r="J235" s="20"/>
      <c r="K235" s="20"/>
      <c r="L235" s="20"/>
      <c r="N235" s="23"/>
      <c r="O235" s="19">
        <f>$G$27</f>
        <v>19</v>
      </c>
      <c r="P235" s="40">
        <f t="shared" ref="P235:T235" si="220">H235/W$239</f>
        <v>0.04838709677</v>
      </c>
      <c r="Q235" s="40">
        <f t="shared" si="220"/>
        <v>0.05660377358</v>
      </c>
      <c r="R235" s="40">
        <f t="shared" si="220"/>
        <v>0</v>
      </c>
      <c r="S235" s="40">
        <f t="shared" si="220"/>
        <v>0</v>
      </c>
      <c r="T235" s="40">
        <f t="shared" si="220"/>
        <v>0</v>
      </c>
    </row>
    <row r="236" ht="15.75" customHeight="1">
      <c r="F236" s="23"/>
      <c r="G236" s="19">
        <f>$G$28</f>
        <v>20</v>
      </c>
      <c r="H236" s="20">
        <v>11.0</v>
      </c>
      <c r="I236" s="20">
        <v>2.0</v>
      </c>
      <c r="J236" s="20"/>
      <c r="K236" s="20"/>
      <c r="L236" s="20">
        <v>1.0</v>
      </c>
      <c r="N236" s="23"/>
      <c r="O236" s="19">
        <f>$G$28</f>
        <v>20</v>
      </c>
      <c r="P236" s="40">
        <f t="shared" ref="P236:T236" si="221">H236/W$239</f>
        <v>0.04435483871</v>
      </c>
      <c r="Q236" s="40">
        <f t="shared" si="221"/>
        <v>0.01886792453</v>
      </c>
      <c r="R236" s="40">
        <f t="shared" si="221"/>
        <v>0</v>
      </c>
      <c r="S236" s="40">
        <f t="shared" si="221"/>
        <v>0</v>
      </c>
      <c r="T236" s="40">
        <f t="shared" si="221"/>
        <v>0.0625</v>
      </c>
    </row>
    <row r="237" ht="15.75" customHeight="1">
      <c r="F237" s="23"/>
      <c r="G237" s="19">
        <f>$G$29</f>
        <v>21</v>
      </c>
      <c r="H237" s="20">
        <v>6.0</v>
      </c>
      <c r="I237" s="20">
        <v>1.0</v>
      </c>
      <c r="J237" s="20"/>
      <c r="K237" s="20"/>
      <c r="L237" s="20">
        <v>1.0</v>
      </c>
      <c r="N237" s="23"/>
      <c r="O237" s="19">
        <f>$G$29</f>
        <v>21</v>
      </c>
      <c r="P237" s="40">
        <f t="shared" ref="P237:T237" si="222">H237/W$239</f>
        <v>0.02419354839</v>
      </c>
      <c r="Q237" s="40">
        <f t="shared" si="222"/>
        <v>0.009433962264</v>
      </c>
      <c r="R237" s="40">
        <f t="shared" si="222"/>
        <v>0</v>
      </c>
      <c r="S237" s="40">
        <f t="shared" si="222"/>
        <v>0</v>
      </c>
      <c r="T237" s="40">
        <f t="shared" si="222"/>
        <v>0.0625</v>
      </c>
    </row>
    <row r="238" ht="15.75" customHeight="1">
      <c r="F238" s="23"/>
      <c r="G238" s="19">
        <f>$G$30</f>
        <v>22</v>
      </c>
      <c r="H238" s="20">
        <v>6.0</v>
      </c>
      <c r="I238" s="20"/>
      <c r="J238" s="20"/>
      <c r="K238" s="20"/>
      <c r="L238" s="20">
        <v>1.0</v>
      </c>
      <c r="N238" s="23"/>
      <c r="O238" s="19">
        <f>$G$30</f>
        <v>22</v>
      </c>
      <c r="P238" s="40">
        <f t="shared" ref="P238:T238" si="223">H238/W$239</f>
        <v>0.02419354839</v>
      </c>
      <c r="Q238" s="40">
        <f t="shared" si="223"/>
        <v>0</v>
      </c>
      <c r="R238" s="40">
        <f t="shared" si="223"/>
        <v>0</v>
      </c>
      <c r="S238" s="40">
        <f t="shared" si="223"/>
        <v>0</v>
      </c>
      <c r="T238" s="40">
        <f t="shared" si="223"/>
        <v>0.0625</v>
      </c>
    </row>
    <row r="239" ht="15.75" customHeight="1">
      <c r="F239" s="27"/>
      <c r="G239" s="19">
        <f>$G$31</f>
        <v>23</v>
      </c>
      <c r="H239" s="20">
        <v>7.0</v>
      </c>
      <c r="I239" s="20"/>
      <c r="J239" s="20"/>
      <c r="K239" s="20"/>
      <c r="L239" s="20"/>
      <c r="N239" s="27"/>
      <c r="O239" s="19">
        <f>$G$31</f>
        <v>23</v>
      </c>
      <c r="P239" s="40">
        <f t="shared" ref="P239:T239" si="224">H239/W$239</f>
        <v>0.02822580645</v>
      </c>
      <c r="Q239" s="40">
        <f t="shared" si="224"/>
        <v>0</v>
      </c>
      <c r="R239" s="40">
        <f t="shared" si="224"/>
        <v>0</v>
      </c>
      <c r="S239" s="40">
        <f t="shared" si="224"/>
        <v>0</v>
      </c>
      <c r="T239" s="40">
        <f t="shared" si="224"/>
        <v>0</v>
      </c>
      <c r="V239" s="16"/>
      <c r="W239" s="26">
        <f t="shared" ref="W239:AA239" si="225">SUM(H216:H239)</f>
        <v>248</v>
      </c>
      <c r="X239" s="26">
        <f t="shared" si="225"/>
        <v>106</v>
      </c>
      <c r="Y239" s="26">
        <f t="shared" si="225"/>
        <v>1</v>
      </c>
      <c r="Z239" s="26">
        <f t="shared" si="225"/>
        <v>20</v>
      </c>
      <c r="AA239" s="26">
        <f t="shared" si="225"/>
        <v>16</v>
      </c>
    </row>
    <row r="240" ht="15.75" customHeight="1">
      <c r="F240" s="56">
        <v>45216.0</v>
      </c>
      <c r="G240" s="19">
        <f>$G$8</f>
        <v>0</v>
      </c>
      <c r="H240" s="20">
        <v>2.0</v>
      </c>
      <c r="I240" s="20"/>
      <c r="J240" s="20"/>
      <c r="K240" s="20"/>
      <c r="L240" s="20">
        <v>1.0</v>
      </c>
      <c r="N240" s="56">
        <v>45216.0</v>
      </c>
      <c r="O240" s="19">
        <f>$G$8</f>
        <v>0</v>
      </c>
      <c r="P240" s="40">
        <f t="shared" ref="P240:T240" si="226">H240/V$266</f>
        <v>0.0078125</v>
      </c>
      <c r="Q240" s="40">
        <f t="shared" si="226"/>
        <v>0</v>
      </c>
      <c r="R240" s="40">
        <f t="shared" si="226"/>
        <v>0</v>
      </c>
      <c r="S240" s="40">
        <f t="shared" si="226"/>
        <v>0</v>
      </c>
      <c r="T240" s="40">
        <f t="shared" si="226"/>
        <v>0.02380952381</v>
      </c>
      <c r="V240" s="16"/>
      <c r="W240" s="17">
        <f>$H$7</f>
        <v>31</v>
      </c>
      <c r="X240" s="17">
        <f>$I$7</f>
        <v>32</v>
      </c>
      <c r="Y240" s="17">
        <f>$J$7</f>
        <v>41</v>
      </c>
      <c r="Z240" s="17">
        <f>$K$7</f>
        <v>42</v>
      </c>
      <c r="AA240" s="17">
        <f>$L$7</f>
        <v>5</v>
      </c>
      <c r="AD240" s="16"/>
      <c r="AE240" s="17">
        <f>$H$7</f>
        <v>31</v>
      </c>
      <c r="AF240" s="17">
        <f>$I$7</f>
        <v>32</v>
      </c>
      <c r="AG240" s="17">
        <f>$J$7</f>
        <v>41</v>
      </c>
      <c r="AH240" s="17">
        <f>$K$7</f>
        <v>42</v>
      </c>
      <c r="AI240" s="17">
        <f>$L$7</f>
        <v>5</v>
      </c>
    </row>
    <row r="241" ht="15.75" customHeight="1">
      <c r="F241" s="23"/>
      <c r="G241" s="19">
        <f>$G$9</f>
        <v>1</v>
      </c>
      <c r="H241" s="20">
        <v>1.0</v>
      </c>
      <c r="I241" s="20">
        <v>2.0</v>
      </c>
      <c r="J241" s="20"/>
      <c r="K241" s="20"/>
      <c r="L241" s="20"/>
      <c r="N241" s="23"/>
      <c r="O241" s="19">
        <f>$G$9</f>
        <v>1</v>
      </c>
      <c r="P241" s="40">
        <f t="shared" ref="P241:T241" si="227">H241/V$266</f>
        <v>0.00390625</v>
      </c>
      <c r="Q241" s="40">
        <f t="shared" si="227"/>
        <v>0.01769911504</v>
      </c>
      <c r="R241" s="40">
        <f t="shared" si="227"/>
        <v>0</v>
      </c>
      <c r="S241" s="40">
        <f t="shared" si="227"/>
        <v>0</v>
      </c>
      <c r="T241" s="40">
        <f t="shared" si="227"/>
        <v>0</v>
      </c>
    </row>
    <row r="242" ht="15.75" customHeight="1">
      <c r="F242" s="23"/>
      <c r="G242" s="19">
        <f>$G$10</f>
        <v>2</v>
      </c>
      <c r="H242" s="16"/>
      <c r="I242" s="16">
        <v>1.0</v>
      </c>
      <c r="J242" s="16"/>
      <c r="K242" s="16"/>
      <c r="L242" s="16"/>
      <c r="N242" s="23"/>
      <c r="O242" s="19">
        <f>$G$10</f>
        <v>2</v>
      </c>
      <c r="P242" s="40">
        <f t="shared" ref="P242:T242" si="228">H242/V$266</f>
        <v>0</v>
      </c>
      <c r="Q242" s="40">
        <f t="shared" si="228"/>
        <v>0.008849557522</v>
      </c>
      <c r="R242" s="40">
        <f t="shared" si="228"/>
        <v>0</v>
      </c>
      <c r="S242" s="40">
        <f t="shared" si="228"/>
        <v>0</v>
      </c>
      <c r="T242" s="40">
        <f t="shared" si="228"/>
        <v>0</v>
      </c>
    </row>
    <row r="243" ht="15.75" customHeight="1">
      <c r="F243" s="23"/>
      <c r="G243" s="19">
        <f>$G$11</f>
        <v>3</v>
      </c>
      <c r="H243" s="20"/>
      <c r="I243" s="20"/>
      <c r="J243" s="20"/>
      <c r="K243" s="20">
        <v>1.0</v>
      </c>
      <c r="L243" s="20"/>
      <c r="N243" s="23"/>
      <c r="O243" s="19">
        <f>$G$11</f>
        <v>3</v>
      </c>
      <c r="P243" s="40">
        <f t="shared" ref="P243:T243" si="229">H243/V$266</f>
        <v>0</v>
      </c>
      <c r="Q243" s="40">
        <f t="shared" si="229"/>
        <v>0</v>
      </c>
      <c r="R243" s="40">
        <f t="shared" si="229"/>
        <v>0</v>
      </c>
      <c r="S243" s="40">
        <f t="shared" si="229"/>
        <v>0.07142857143</v>
      </c>
      <c r="T243" s="40">
        <f t="shared" si="229"/>
        <v>0</v>
      </c>
    </row>
    <row r="244" ht="15.75" customHeight="1">
      <c r="F244" s="23"/>
      <c r="G244" s="19">
        <f>$G$12</f>
        <v>4</v>
      </c>
      <c r="H244" s="20">
        <v>3.0</v>
      </c>
      <c r="I244" s="20">
        <v>2.0</v>
      </c>
      <c r="J244" s="20"/>
      <c r="K244" s="20"/>
      <c r="L244" s="20"/>
      <c r="N244" s="23"/>
      <c r="O244" s="19">
        <f>$G$12</f>
        <v>4</v>
      </c>
      <c r="P244" s="40">
        <f t="shared" ref="P244:T244" si="230">H244/V$266</f>
        <v>0.01171875</v>
      </c>
      <c r="Q244" s="40">
        <f t="shared" si="230"/>
        <v>0.01769911504</v>
      </c>
      <c r="R244" s="40">
        <f t="shared" si="230"/>
        <v>0</v>
      </c>
      <c r="S244" s="40">
        <f t="shared" si="230"/>
        <v>0</v>
      </c>
      <c r="T244" s="40">
        <f t="shared" si="230"/>
        <v>0</v>
      </c>
    </row>
    <row r="245" ht="15.75" customHeight="1">
      <c r="F245" s="23"/>
      <c r="G245" s="19">
        <f>$G$13</f>
        <v>5</v>
      </c>
      <c r="H245" s="20">
        <v>3.0</v>
      </c>
      <c r="I245" s="20"/>
      <c r="J245" s="20"/>
      <c r="K245" s="20">
        <v>1.0</v>
      </c>
      <c r="L245" s="20"/>
      <c r="N245" s="23"/>
      <c r="O245" s="19">
        <f>$G$13</f>
        <v>5</v>
      </c>
      <c r="P245" s="40">
        <f t="shared" ref="P245:T245" si="231">H245/V$266</f>
        <v>0.01171875</v>
      </c>
      <c r="Q245" s="40">
        <f t="shared" si="231"/>
        <v>0</v>
      </c>
      <c r="R245" s="40">
        <f t="shared" si="231"/>
        <v>0</v>
      </c>
      <c r="S245" s="40">
        <f t="shared" si="231"/>
        <v>0.07142857143</v>
      </c>
      <c r="T245" s="40">
        <f t="shared" si="231"/>
        <v>0</v>
      </c>
    </row>
    <row r="246" ht="15.75" customHeight="1">
      <c r="F246" s="23"/>
      <c r="G246" s="19">
        <f>$G$14</f>
        <v>6</v>
      </c>
      <c r="H246" s="20">
        <v>5.0</v>
      </c>
      <c r="I246" s="20">
        <v>3.0</v>
      </c>
      <c r="J246" s="20"/>
      <c r="K246" s="20">
        <v>1.0</v>
      </c>
      <c r="L246" s="20"/>
      <c r="N246" s="23"/>
      <c r="O246" s="19">
        <f>$G$14</f>
        <v>6</v>
      </c>
      <c r="P246" s="40">
        <f t="shared" ref="P246:T246" si="232">H246/V$266</f>
        <v>0.01953125</v>
      </c>
      <c r="Q246" s="40">
        <f t="shared" si="232"/>
        <v>0.02654867257</v>
      </c>
      <c r="R246" s="40">
        <f t="shared" si="232"/>
        <v>0</v>
      </c>
      <c r="S246" s="40">
        <f t="shared" si="232"/>
        <v>0.07142857143</v>
      </c>
      <c r="T246" s="40">
        <f t="shared" si="232"/>
        <v>0</v>
      </c>
    </row>
    <row r="247" ht="15.75" customHeight="1">
      <c r="F247" s="23"/>
      <c r="G247" s="19">
        <f>$G$15</f>
        <v>7</v>
      </c>
      <c r="H247" s="20">
        <v>24.0</v>
      </c>
      <c r="I247" s="20">
        <v>4.0</v>
      </c>
      <c r="J247" s="20"/>
      <c r="K247" s="20">
        <v>1.0</v>
      </c>
      <c r="L247" s="20">
        <v>1.0</v>
      </c>
      <c r="N247" s="23"/>
      <c r="O247" s="19">
        <f>$G$15</f>
        <v>7</v>
      </c>
      <c r="P247" s="40">
        <f t="shared" ref="P247:T247" si="233">H247/V$266</f>
        <v>0.09375</v>
      </c>
      <c r="Q247" s="40">
        <f t="shared" si="233"/>
        <v>0.03539823009</v>
      </c>
      <c r="R247" s="40">
        <f t="shared" si="233"/>
        <v>0</v>
      </c>
      <c r="S247" s="40">
        <f t="shared" si="233"/>
        <v>0.07142857143</v>
      </c>
      <c r="T247" s="40">
        <f t="shared" si="233"/>
        <v>0.02380952381</v>
      </c>
    </row>
    <row r="248" ht="15.75" customHeight="1">
      <c r="F248" s="23"/>
      <c r="G248" s="19">
        <f>$G$16</f>
        <v>8</v>
      </c>
      <c r="H248" s="20">
        <v>14.0</v>
      </c>
      <c r="I248" s="20">
        <v>6.0</v>
      </c>
      <c r="J248" s="20"/>
      <c r="K248" s="20">
        <v>1.0</v>
      </c>
      <c r="L248" s="20">
        <v>5.0</v>
      </c>
      <c r="N248" s="23"/>
      <c r="O248" s="19">
        <f>$G$16</f>
        <v>8</v>
      </c>
      <c r="P248" s="40">
        <f t="shared" ref="P248:T248" si="234">H248/V$266</f>
        <v>0.0546875</v>
      </c>
      <c r="Q248" s="40">
        <f t="shared" si="234"/>
        <v>0.05309734513</v>
      </c>
      <c r="R248" s="40">
        <f t="shared" si="234"/>
        <v>0</v>
      </c>
      <c r="S248" s="40">
        <f t="shared" si="234"/>
        <v>0.07142857143</v>
      </c>
      <c r="T248" s="40">
        <f t="shared" si="234"/>
        <v>0.119047619</v>
      </c>
    </row>
    <row r="249" ht="15.75" customHeight="1">
      <c r="F249" s="23"/>
      <c r="G249" s="19">
        <f>$G$17</f>
        <v>9</v>
      </c>
      <c r="H249" s="20">
        <v>13.0</v>
      </c>
      <c r="I249" s="20">
        <v>7.0</v>
      </c>
      <c r="J249" s="20"/>
      <c r="K249" s="20">
        <v>2.0</v>
      </c>
      <c r="L249" s="20">
        <v>6.0</v>
      </c>
      <c r="N249" s="23"/>
      <c r="O249" s="19">
        <f>$G$17</f>
        <v>9</v>
      </c>
      <c r="P249" s="40">
        <f t="shared" ref="P249:T249" si="235">H249/V$266</f>
        <v>0.05078125</v>
      </c>
      <c r="Q249" s="40">
        <f t="shared" si="235"/>
        <v>0.06194690265</v>
      </c>
      <c r="R249" s="40">
        <f t="shared" si="235"/>
        <v>0</v>
      </c>
      <c r="S249" s="40">
        <f t="shared" si="235"/>
        <v>0.1428571429</v>
      </c>
      <c r="T249" s="40">
        <f t="shared" si="235"/>
        <v>0.1428571429</v>
      </c>
    </row>
    <row r="250" ht="15.75" customHeight="1">
      <c r="F250" s="23"/>
      <c r="G250" s="19">
        <f>$G$18</f>
        <v>10</v>
      </c>
      <c r="H250" s="20">
        <v>12.0</v>
      </c>
      <c r="I250" s="20">
        <v>10.0</v>
      </c>
      <c r="J250" s="20"/>
      <c r="K250" s="20"/>
      <c r="L250" s="20">
        <v>5.0</v>
      </c>
      <c r="N250" s="23"/>
      <c r="O250" s="19">
        <f>$G$18</f>
        <v>10</v>
      </c>
      <c r="P250" s="40">
        <f t="shared" ref="P250:T250" si="236">H250/V$266</f>
        <v>0.046875</v>
      </c>
      <c r="Q250" s="40">
        <f t="shared" si="236"/>
        <v>0.08849557522</v>
      </c>
      <c r="R250" s="40">
        <f t="shared" si="236"/>
        <v>0</v>
      </c>
      <c r="S250" s="40">
        <f t="shared" si="236"/>
        <v>0</v>
      </c>
      <c r="T250" s="40">
        <f t="shared" si="236"/>
        <v>0.119047619</v>
      </c>
    </row>
    <row r="251" ht="15.75" customHeight="1">
      <c r="F251" s="23"/>
      <c r="G251" s="19">
        <f>$G$19</f>
        <v>11</v>
      </c>
      <c r="H251" s="20">
        <v>20.0</v>
      </c>
      <c r="I251" s="20">
        <v>8.0</v>
      </c>
      <c r="J251" s="20"/>
      <c r="K251" s="20">
        <v>1.0</v>
      </c>
      <c r="L251" s="20">
        <v>2.0</v>
      </c>
      <c r="N251" s="23"/>
      <c r="O251" s="19">
        <f>$G$19</f>
        <v>11</v>
      </c>
      <c r="P251" s="40">
        <f t="shared" ref="P251:T251" si="237">H251/V$266</f>
        <v>0.078125</v>
      </c>
      <c r="Q251" s="40">
        <f t="shared" si="237"/>
        <v>0.07079646018</v>
      </c>
      <c r="R251" s="40">
        <f t="shared" si="237"/>
        <v>0</v>
      </c>
      <c r="S251" s="40">
        <f t="shared" si="237"/>
        <v>0.07142857143</v>
      </c>
      <c r="T251" s="40">
        <f t="shared" si="237"/>
        <v>0.04761904762</v>
      </c>
    </row>
    <row r="252" ht="15.75" customHeight="1">
      <c r="F252" s="23"/>
      <c r="G252" s="19">
        <f>$G$20</f>
        <v>12</v>
      </c>
      <c r="H252" s="20">
        <v>14.0</v>
      </c>
      <c r="I252" s="20">
        <v>3.0</v>
      </c>
      <c r="J252" s="20">
        <v>1.0</v>
      </c>
      <c r="K252" s="20">
        <v>2.0</v>
      </c>
      <c r="L252" s="20">
        <v>1.0</v>
      </c>
      <c r="N252" s="23"/>
      <c r="O252" s="19">
        <f>$G$20</f>
        <v>12</v>
      </c>
      <c r="P252" s="40">
        <f t="shared" ref="P252:T252" si="238">H252/V$266</f>
        <v>0.0546875</v>
      </c>
      <c r="Q252" s="40">
        <f t="shared" si="238"/>
        <v>0.02654867257</v>
      </c>
      <c r="R252" s="40">
        <f t="shared" si="238"/>
        <v>0.5</v>
      </c>
      <c r="S252" s="40">
        <f t="shared" si="238"/>
        <v>0.1428571429</v>
      </c>
      <c r="T252" s="40">
        <f t="shared" si="238"/>
        <v>0.02380952381</v>
      </c>
    </row>
    <row r="253" ht="15.75" customHeight="1">
      <c r="F253" s="23"/>
      <c r="G253" s="19">
        <f>$G$21</f>
        <v>13</v>
      </c>
      <c r="H253" s="20">
        <v>8.0</v>
      </c>
      <c r="I253" s="20">
        <v>10.0</v>
      </c>
      <c r="J253" s="20"/>
      <c r="K253" s="20">
        <v>1.0</v>
      </c>
      <c r="L253" s="20">
        <v>5.0</v>
      </c>
      <c r="N253" s="23"/>
      <c r="O253" s="19">
        <f>$G$21</f>
        <v>13</v>
      </c>
      <c r="P253" s="40">
        <f t="shared" ref="P253:T253" si="239">H253/V$266</f>
        <v>0.03125</v>
      </c>
      <c r="Q253" s="40">
        <f t="shared" si="239"/>
        <v>0.08849557522</v>
      </c>
      <c r="R253" s="40">
        <f t="shared" si="239"/>
        <v>0</v>
      </c>
      <c r="S253" s="40">
        <f t="shared" si="239"/>
        <v>0.07142857143</v>
      </c>
      <c r="T253" s="40">
        <f t="shared" si="239"/>
        <v>0.119047619</v>
      </c>
    </row>
    <row r="254" ht="15.75" customHeight="1">
      <c r="F254" s="23"/>
      <c r="G254" s="19">
        <f>$G$22</f>
        <v>14</v>
      </c>
      <c r="H254" s="20">
        <v>13.0</v>
      </c>
      <c r="I254" s="20">
        <v>5.0</v>
      </c>
      <c r="J254" s="20"/>
      <c r="K254" s="20"/>
      <c r="L254" s="20">
        <v>6.0</v>
      </c>
      <c r="N254" s="23"/>
      <c r="O254" s="19">
        <f>$G$22</f>
        <v>14</v>
      </c>
      <c r="P254" s="40">
        <f t="shared" ref="P254:T254" si="240">H254/V$266</f>
        <v>0.05078125</v>
      </c>
      <c r="Q254" s="40">
        <f t="shared" si="240"/>
        <v>0.04424778761</v>
      </c>
      <c r="R254" s="40">
        <f t="shared" si="240"/>
        <v>0</v>
      </c>
      <c r="S254" s="40">
        <f t="shared" si="240"/>
        <v>0</v>
      </c>
      <c r="T254" s="40">
        <f t="shared" si="240"/>
        <v>0.1428571429</v>
      </c>
    </row>
    <row r="255" ht="15.75" customHeight="1">
      <c r="F255" s="23"/>
      <c r="G255" s="19">
        <f>$G$23</f>
        <v>15</v>
      </c>
      <c r="H255" s="20">
        <v>10.0</v>
      </c>
      <c r="I255" s="20">
        <v>10.0</v>
      </c>
      <c r="J255" s="20"/>
      <c r="K255" s="20">
        <v>2.0</v>
      </c>
      <c r="L255" s="20">
        <v>4.0</v>
      </c>
      <c r="N255" s="23"/>
      <c r="O255" s="19">
        <f>$G$23</f>
        <v>15</v>
      </c>
      <c r="P255" s="40">
        <f t="shared" ref="P255:T255" si="241">H255/V$266</f>
        <v>0.0390625</v>
      </c>
      <c r="Q255" s="40">
        <f t="shared" si="241"/>
        <v>0.08849557522</v>
      </c>
      <c r="R255" s="40">
        <f t="shared" si="241"/>
        <v>0</v>
      </c>
      <c r="S255" s="40">
        <f t="shared" si="241"/>
        <v>0.1428571429</v>
      </c>
      <c r="T255" s="40">
        <f t="shared" si="241"/>
        <v>0.09523809524</v>
      </c>
    </row>
    <row r="256" ht="15.75" customHeight="1">
      <c r="F256" s="23"/>
      <c r="G256" s="19">
        <f>$G$24</f>
        <v>16</v>
      </c>
      <c r="H256" s="20">
        <v>16.0</v>
      </c>
      <c r="I256" s="20">
        <v>10.0</v>
      </c>
      <c r="J256" s="20"/>
      <c r="K256" s="20">
        <v>1.0</v>
      </c>
      <c r="L256" s="20">
        <v>2.0</v>
      </c>
      <c r="N256" s="23"/>
      <c r="O256" s="19">
        <f>$G$24</f>
        <v>16</v>
      </c>
      <c r="P256" s="40">
        <f t="shared" ref="P256:T256" si="242">H256/V$266</f>
        <v>0.0625</v>
      </c>
      <c r="Q256" s="40">
        <f t="shared" si="242"/>
        <v>0.08849557522</v>
      </c>
      <c r="R256" s="40">
        <f t="shared" si="242"/>
        <v>0</v>
      </c>
      <c r="S256" s="40">
        <f t="shared" si="242"/>
        <v>0.07142857143</v>
      </c>
      <c r="T256" s="40">
        <f t="shared" si="242"/>
        <v>0.04761904762</v>
      </c>
    </row>
    <row r="257" ht="15.75" customHeight="1">
      <c r="F257" s="23"/>
      <c r="G257" s="19">
        <f>$G$25</f>
        <v>17</v>
      </c>
      <c r="H257" s="20">
        <v>25.0</v>
      </c>
      <c r="I257" s="20">
        <v>7.0</v>
      </c>
      <c r="J257" s="20">
        <v>1.0</v>
      </c>
      <c r="K257" s="20"/>
      <c r="L257" s="20">
        <v>1.0</v>
      </c>
      <c r="N257" s="23"/>
      <c r="O257" s="19">
        <f>$G$25</f>
        <v>17</v>
      </c>
      <c r="P257" s="40">
        <f t="shared" ref="P257:T257" si="243">H257/V$266</f>
        <v>0.09765625</v>
      </c>
      <c r="Q257" s="40">
        <f t="shared" si="243"/>
        <v>0.06194690265</v>
      </c>
      <c r="R257" s="40">
        <f t="shared" si="243"/>
        <v>0.5</v>
      </c>
      <c r="S257" s="40">
        <f t="shared" si="243"/>
        <v>0</v>
      </c>
      <c r="T257" s="40">
        <f t="shared" si="243"/>
        <v>0.02380952381</v>
      </c>
    </row>
    <row r="258" ht="15.75" customHeight="1">
      <c r="F258" s="23"/>
      <c r="G258" s="19">
        <f>$G$26</f>
        <v>18</v>
      </c>
      <c r="H258" s="20">
        <v>19.0</v>
      </c>
      <c r="I258" s="20">
        <v>5.0</v>
      </c>
      <c r="J258" s="20"/>
      <c r="K258" s="20"/>
      <c r="L258" s="20"/>
      <c r="N258" s="23"/>
      <c r="O258" s="19">
        <f>$G$26</f>
        <v>18</v>
      </c>
      <c r="P258" s="40">
        <f t="shared" ref="P258:T258" si="244">H258/V$266</f>
        <v>0.07421875</v>
      </c>
      <c r="Q258" s="40">
        <f t="shared" si="244"/>
        <v>0.04424778761</v>
      </c>
      <c r="R258" s="40">
        <f t="shared" si="244"/>
        <v>0</v>
      </c>
      <c r="S258" s="40">
        <f t="shared" si="244"/>
        <v>0</v>
      </c>
      <c r="T258" s="40">
        <f t="shared" si="244"/>
        <v>0</v>
      </c>
    </row>
    <row r="259" ht="15.75" customHeight="1">
      <c r="F259" s="23"/>
      <c r="G259" s="19">
        <f>$G$27</f>
        <v>19</v>
      </c>
      <c r="H259" s="20">
        <v>11.0</v>
      </c>
      <c r="I259" s="20">
        <v>5.0</v>
      </c>
      <c r="J259" s="20"/>
      <c r="K259" s="20"/>
      <c r="L259" s="20">
        <v>1.0</v>
      </c>
      <c r="N259" s="23"/>
      <c r="O259" s="19">
        <f>$G$27</f>
        <v>19</v>
      </c>
      <c r="P259" s="40">
        <f t="shared" ref="P259:T259" si="245">H259/V$266</f>
        <v>0.04296875</v>
      </c>
      <c r="Q259" s="40">
        <f t="shared" si="245"/>
        <v>0.04424778761</v>
      </c>
      <c r="R259" s="40">
        <f t="shared" si="245"/>
        <v>0</v>
      </c>
      <c r="S259" s="40">
        <f t="shared" si="245"/>
        <v>0</v>
      </c>
      <c r="T259" s="40">
        <f t="shared" si="245"/>
        <v>0.02380952381</v>
      </c>
    </row>
    <row r="260" ht="15.75" customHeight="1">
      <c r="F260" s="23"/>
      <c r="G260" s="19">
        <f>$G$28</f>
        <v>20</v>
      </c>
      <c r="H260" s="20">
        <v>13.0</v>
      </c>
      <c r="I260" s="20">
        <v>6.0</v>
      </c>
      <c r="J260" s="20"/>
      <c r="K260" s="20"/>
      <c r="L260" s="20"/>
      <c r="N260" s="23"/>
      <c r="O260" s="19">
        <f>$G$28</f>
        <v>20</v>
      </c>
      <c r="P260" s="40">
        <f t="shared" ref="P260:T260" si="246">H260/V$266</f>
        <v>0.05078125</v>
      </c>
      <c r="Q260" s="40">
        <f t="shared" si="246"/>
        <v>0.05309734513</v>
      </c>
      <c r="R260" s="40">
        <f t="shared" si="246"/>
        <v>0</v>
      </c>
      <c r="S260" s="40">
        <f t="shared" si="246"/>
        <v>0</v>
      </c>
      <c r="T260" s="40">
        <f t="shared" si="246"/>
        <v>0</v>
      </c>
    </row>
    <row r="261" ht="15.75" customHeight="1">
      <c r="F261" s="23"/>
      <c r="G261" s="19">
        <f>$G$29</f>
        <v>21</v>
      </c>
      <c r="H261" s="20">
        <v>16.0</v>
      </c>
      <c r="I261" s="20">
        <v>5.0</v>
      </c>
      <c r="J261" s="20"/>
      <c r="K261" s="20"/>
      <c r="L261" s="20">
        <v>1.0</v>
      </c>
      <c r="N261" s="23"/>
      <c r="O261" s="19">
        <f>$G$29</f>
        <v>21</v>
      </c>
      <c r="P261" s="40">
        <f t="shared" ref="P261:T261" si="247">H261/V$266</f>
        <v>0.0625</v>
      </c>
      <c r="Q261" s="40">
        <f t="shared" si="247"/>
        <v>0.04424778761</v>
      </c>
      <c r="R261" s="40">
        <f t="shared" si="247"/>
        <v>0</v>
      </c>
      <c r="S261" s="40">
        <f t="shared" si="247"/>
        <v>0</v>
      </c>
      <c r="T261" s="40">
        <f t="shared" si="247"/>
        <v>0.02380952381</v>
      </c>
    </row>
    <row r="262" ht="15.75" customHeight="1">
      <c r="F262" s="23"/>
      <c r="G262" s="19">
        <f>$G$30</f>
        <v>22</v>
      </c>
      <c r="H262" s="20">
        <v>10.0</v>
      </c>
      <c r="I262" s="20">
        <v>3.0</v>
      </c>
      <c r="J262" s="20"/>
      <c r="K262" s="20"/>
      <c r="L262" s="20">
        <v>1.0</v>
      </c>
      <c r="N262" s="23"/>
      <c r="O262" s="19">
        <f>$G$30</f>
        <v>22</v>
      </c>
      <c r="P262" s="40">
        <f t="shared" ref="P262:T262" si="248">H262/V$266</f>
        <v>0.0390625</v>
      </c>
      <c r="Q262" s="40">
        <f t="shared" si="248"/>
        <v>0.02654867257</v>
      </c>
      <c r="R262" s="40">
        <f t="shared" si="248"/>
        <v>0</v>
      </c>
      <c r="S262" s="40">
        <f t="shared" si="248"/>
        <v>0</v>
      </c>
      <c r="T262" s="40">
        <f t="shared" si="248"/>
        <v>0.02380952381</v>
      </c>
    </row>
    <row r="263" ht="15.75" customHeight="1">
      <c r="F263" s="27"/>
      <c r="G263" s="19">
        <f>$G$31</f>
        <v>23</v>
      </c>
      <c r="H263" s="20">
        <v>4.0</v>
      </c>
      <c r="I263" s="20">
        <v>1.0</v>
      </c>
      <c r="J263" s="20"/>
      <c r="K263" s="20"/>
      <c r="L263" s="20"/>
      <c r="N263" s="27"/>
      <c r="O263" s="19">
        <f>$G$31</f>
        <v>23</v>
      </c>
      <c r="P263" s="40">
        <f t="shared" ref="P263:T263" si="249">H263/V$266</f>
        <v>0.015625</v>
      </c>
      <c r="Q263" s="40">
        <f t="shared" si="249"/>
        <v>0.008849557522</v>
      </c>
      <c r="R263" s="40">
        <f t="shared" si="249"/>
        <v>0</v>
      </c>
      <c r="S263" s="40">
        <f t="shared" si="249"/>
        <v>0</v>
      </c>
      <c r="T263" s="40">
        <f t="shared" si="249"/>
        <v>0</v>
      </c>
    </row>
    <row r="264" ht="15.75" customHeight="1">
      <c r="F264" s="56">
        <v>45217.0</v>
      </c>
      <c r="G264" s="19">
        <f>$G$8</f>
        <v>0</v>
      </c>
      <c r="H264" s="20">
        <v>3.0</v>
      </c>
      <c r="I264" s="20"/>
      <c r="J264" s="20"/>
      <c r="K264" s="20"/>
      <c r="L264" s="20"/>
      <c r="N264" s="56">
        <v>45217.0</v>
      </c>
      <c r="O264" s="19">
        <f>$G$8</f>
        <v>0</v>
      </c>
      <c r="P264" s="40">
        <f t="shared" ref="P264:T264" si="250">H264/W$292</f>
        <v>0.01158301158</v>
      </c>
      <c r="Q264" s="40">
        <f t="shared" si="250"/>
        <v>0</v>
      </c>
      <c r="R264" s="40">
        <f t="shared" si="250"/>
        <v>0</v>
      </c>
      <c r="S264" s="40">
        <f t="shared" si="250"/>
        <v>0</v>
      </c>
      <c r="T264" s="40">
        <f t="shared" si="250"/>
        <v>0</v>
      </c>
    </row>
    <row r="265" ht="15.75" customHeight="1">
      <c r="F265" s="23"/>
      <c r="G265" s="19">
        <f>$G$9</f>
        <v>1</v>
      </c>
      <c r="H265" s="20">
        <v>1.0</v>
      </c>
      <c r="I265" s="20"/>
      <c r="J265" s="20"/>
      <c r="K265" s="20"/>
      <c r="L265" s="20"/>
      <c r="N265" s="23"/>
      <c r="O265" s="19">
        <f>$G$9</f>
        <v>1</v>
      </c>
      <c r="P265" s="40">
        <f t="shared" ref="P265:T265" si="251">H265/W$292</f>
        <v>0.003861003861</v>
      </c>
      <c r="Q265" s="40">
        <f t="shared" si="251"/>
        <v>0</v>
      </c>
      <c r="R265" s="40">
        <f t="shared" si="251"/>
        <v>0</v>
      </c>
      <c r="S265" s="40">
        <f t="shared" si="251"/>
        <v>0</v>
      </c>
      <c r="T265" s="40">
        <f t="shared" si="251"/>
        <v>0</v>
      </c>
    </row>
    <row r="266" ht="15.75" customHeight="1">
      <c r="F266" s="23"/>
      <c r="G266" s="19">
        <f>$G$10</f>
        <v>2</v>
      </c>
      <c r="H266" s="16">
        <v>3.0</v>
      </c>
      <c r="I266" s="16">
        <v>1.0</v>
      </c>
      <c r="J266" s="16">
        <v>1.0</v>
      </c>
      <c r="K266" s="16"/>
      <c r="L266" s="16"/>
      <c r="N266" s="23"/>
      <c r="O266" s="19">
        <f>$G$10</f>
        <v>2</v>
      </c>
      <c r="P266" s="40">
        <f t="shared" ref="P266:T266" si="252">H266/W$292</f>
        <v>0.01158301158</v>
      </c>
      <c r="Q266" s="40">
        <f t="shared" si="252"/>
        <v>0.01052631579</v>
      </c>
      <c r="R266" s="40">
        <f t="shared" si="252"/>
        <v>0.1666666667</v>
      </c>
      <c r="S266" s="40">
        <f t="shared" si="252"/>
        <v>0</v>
      </c>
      <c r="T266" s="40">
        <f t="shared" si="252"/>
        <v>0</v>
      </c>
      <c r="V266" s="26">
        <f t="shared" ref="V266:Z266" si="253">SUM(H240:H263)</f>
        <v>256</v>
      </c>
      <c r="W266" s="26">
        <f t="shared" si="253"/>
        <v>113</v>
      </c>
      <c r="X266" s="26">
        <f t="shared" si="253"/>
        <v>2</v>
      </c>
      <c r="Y266" s="26">
        <f t="shared" si="253"/>
        <v>14</v>
      </c>
      <c r="Z266" s="26">
        <f t="shared" si="253"/>
        <v>42</v>
      </c>
    </row>
    <row r="267" ht="15.75" customHeight="1">
      <c r="F267" s="23"/>
      <c r="G267" s="19">
        <f>$G$11</f>
        <v>3</v>
      </c>
      <c r="H267" s="20">
        <v>1.0</v>
      </c>
      <c r="I267" s="20"/>
      <c r="J267" s="20"/>
      <c r="K267" s="20"/>
      <c r="L267" s="20"/>
      <c r="N267" s="23"/>
      <c r="O267" s="19">
        <f>$G$11</f>
        <v>3</v>
      </c>
      <c r="P267" s="40">
        <f t="shared" ref="P267:T267" si="254">H267/W$292</f>
        <v>0.003861003861</v>
      </c>
      <c r="Q267" s="40">
        <f t="shared" si="254"/>
        <v>0</v>
      </c>
      <c r="R267" s="40">
        <f t="shared" si="254"/>
        <v>0</v>
      </c>
      <c r="S267" s="40">
        <f t="shared" si="254"/>
        <v>0</v>
      </c>
      <c r="T267" s="40">
        <f t="shared" si="254"/>
        <v>0</v>
      </c>
      <c r="V267" s="17">
        <f>$H$7</f>
        <v>31</v>
      </c>
      <c r="W267" s="17">
        <f>$I$7</f>
        <v>32</v>
      </c>
      <c r="X267" s="17">
        <f>$J$7</f>
        <v>41</v>
      </c>
      <c r="Y267" s="17">
        <f>$K$7</f>
        <v>42</v>
      </c>
      <c r="Z267" s="17">
        <f>$L$7</f>
        <v>5</v>
      </c>
      <c r="AC267" s="16"/>
      <c r="AD267" s="17">
        <f>$H$7</f>
        <v>31</v>
      </c>
      <c r="AE267" s="17">
        <f>$I$7</f>
        <v>32</v>
      </c>
      <c r="AF267" s="17">
        <f>$J$7</f>
        <v>41</v>
      </c>
      <c r="AG267" s="17">
        <f>$K$7</f>
        <v>42</v>
      </c>
      <c r="AH267" s="17">
        <f>$L$7</f>
        <v>5</v>
      </c>
    </row>
    <row r="268" ht="15.75" customHeight="1">
      <c r="F268" s="23"/>
      <c r="G268" s="19">
        <f>$G$12</f>
        <v>4</v>
      </c>
      <c r="H268" s="20">
        <v>2.0</v>
      </c>
      <c r="I268" s="20">
        <v>2.0</v>
      </c>
      <c r="J268" s="20"/>
      <c r="K268" s="20">
        <v>2.0</v>
      </c>
      <c r="L268" s="20"/>
      <c r="N268" s="23"/>
      <c r="O268" s="19">
        <f>$G$12</f>
        <v>4</v>
      </c>
      <c r="P268" s="40">
        <f t="shared" ref="P268:T268" si="255">H268/W$292</f>
        <v>0.007722007722</v>
      </c>
      <c r="Q268" s="40">
        <f t="shared" si="255"/>
        <v>0.02105263158</v>
      </c>
      <c r="R268" s="40">
        <f t="shared" si="255"/>
        <v>0</v>
      </c>
      <c r="S268" s="40">
        <f t="shared" si="255"/>
        <v>0.2</v>
      </c>
      <c r="T268" s="40">
        <f t="shared" si="255"/>
        <v>0</v>
      </c>
    </row>
    <row r="269" ht="15.75" customHeight="1">
      <c r="F269" s="23"/>
      <c r="G269" s="19">
        <f>$G$13</f>
        <v>5</v>
      </c>
      <c r="H269" s="20">
        <v>6.0</v>
      </c>
      <c r="I269" s="20">
        <v>3.0</v>
      </c>
      <c r="J269" s="20"/>
      <c r="K269" s="20"/>
      <c r="L269" s="20"/>
      <c r="N269" s="23"/>
      <c r="O269" s="19">
        <f>$G$13</f>
        <v>5</v>
      </c>
      <c r="P269" s="40">
        <f t="shared" ref="P269:T269" si="256">H269/W$292</f>
        <v>0.02316602317</v>
      </c>
      <c r="Q269" s="40">
        <f t="shared" si="256"/>
        <v>0.03157894737</v>
      </c>
      <c r="R269" s="40">
        <f t="shared" si="256"/>
        <v>0</v>
      </c>
      <c r="S269" s="40">
        <f t="shared" si="256"/>
        <v>0</v>
      </c>
      <c r="T269" s="40">
        <f t="shared" si="256"/>
        <v>0</v>
      </c>
    </row>
    <row r="270" ht="15.75" customHeight="1">
      <c r="F270" s="23"/>
      <c r="G270" s="19">
        <f>$G$14</f>
        <v>6</v>
      </c>
      <c r="H270" s="20">
        <v>3.0</v>
      </c>
      <c r="I270" s="20">
        <v>3.0</v>
      </c>
      <c r="J270" s="20"/>
      <c r="K270" s="20"/>
      <c r="L270" s="20">
        <v>1.0</v>
      </c>
      <c r="N270" s="23"/>
      <c r="O270" s="19">
        <f>$G$14</f>
        <v>6</v>
      </c>
      <c r="P270" s="40">
        <f t="shared" ref="P270:T270" si="257">H270/W$292</f>
        <v>0.01158301158</v>
      </c>
      <c r="Q270" s="40">
        <f t="shared" si="257"/>
        <v>0.03157894737</v>
      </c>
      <c r="R270" s="40">
        <f t="shared" si="257"/>
        <v>0</v>
      </c>
      <c r="S270" s="40">
        <f t="shared" si="257"/>
        <v>0</v>
      </c>
      <c r="T270" s="40">
        <f t="shared" si="257"/>
        <v>0.02702702703</v>
      </c>
    </row>
    <row r="271" ht="15.75" customHeight="1">
      <c r="F271" s="23"/>
      <c r="G271" s="19">
        <f>$G$15</f>
        <v>7</v>
      </c>
      <c r="H271" s="20">
        <v>27.0</v>
      </c>
      <c r="I271" s="20">
        <v>6.0</v>
      </c>
      <c r="J271" s="20"/>
      <c r="K271" s="20">
        <v>1.0</v>
      </c>
      <c r="L271" s="20">
        <v>1.0</v>
      </c>
      <c r="N271" s="23"/>
      <c r="O271" s="19">
        <f>$G$15</f>
        <v>7</v>
      </c>
      <c r="P271" s="40">
        <f t="shared" ref="P271:T271" si="258">H271/W$292</f>
        <v>0.1042471042</v>
      </c>
      <c r="Q271" s="40">
        <f t="shared" si="258"/>
        <v>0.06315789474</v>
      </c>
      <c r="R271" s="40">
        <f t="shared" si="258"/>
        <v>0</v>
      </c>
      <c r="S271" s="40">
        <f t="shared" si="258"/>
        <v>0.1</v>
      </c>
      <c r="T271" s="40">
        <f t="shared" si="258"/>
        <v>0.02702702703</v>
      </c>
    </row>
    <row r="272" ht="15.75" customHeight="1">
      <c r="F272" s="23"/>
      <c r="G272" s="19">
        <f>$G$16</f>
        <v>8</v>
      </c>
      <c r="H272" s="20">
        <v>11.0</v>
      </c>
      <c r="I272" s="20">
        <v>9.0</v>
      </c>
      <c r="J272" s="20"/>
      <c r="K272" s="20">
        <v>2.0</v>
      </c>
      <c r="L272" s="20">
        <v>4.0</v>
      </c>
      <c r="N272" s="23"/>
      <c r="O272" s="19">
        <f>$G$16</f>
        <v>8</v>
      </c>
      <c r="P272" s="40">
        <f t="shared" ref="P272:T272" si="259">H272/W$292</f>
        <v>0.04247104247</v>
      </c>
      <c r="Q272" s="40">
        <f t="shared" si="259"/>
        <v>0.09473684211</v>
      </c>
      <c r="R272" s="40">
        <f t="shared" si="259"/>
        <v>0</v>
      </c>
      <c r="S272" s="40">
        <f t="shared" si="259"/>
        <v>0.2</v>
      </c>
      <c r="T272" s="40">
        <f t="shared" si="259"/>
        <v>0.1081081081</v>
      </c>
    </row>
    <row r="273" ht="15.75" customHeight="1">
      <c r="F273" s="23"/>
      <c r="G273" s="19">
        <f>$G$17</f>
        <v>9</v>
      </c>
      <c r="H273" s="20">
        <v>16.0</v>
      </c>
      <c r="I273" s="20">
        <v>4.0</v>
      </c>
      <c r="J273" s="20"/>
      <c r="K273" s="20"/>
      <c r="L273" s="20">
        <v>3.0</v>
      </c>
      <c r="N273" s="23"/>
      <c r="O273" s="19">
        <f>$G$17</f>
        <v>9</v>
      </c>
      <c r="P273" s="40">
        <f t="shared" ref="P273:T273" si="260">H273/W$292</f>
        <v>0.06177606178</v>
      </c>
      <c r="Q273" s="40">
        <f t="shared" si="260"/>
        <v>0.04210526316</v>
      </c>
      <c r="R273" s="40">
        <f t="shared" si="260"/>
        <v>0</v>
      </c>
      <c r="S273" s="40">
        <f t="shared" si="260"/>
        <v>0</v>
      </c>
      <c r="T273" s="40">
        <f t="shared" si="260"/>
        <v>0.08108108108</v>
      </c>
    </row>
    <row r="274" ht="15.75" customHeight="1">
      <c r="F274" s="23"/>
      <c r="G274" s="19">
        <f>$G$18</f>
        <v>10</v>
      </c>
      <c r="H274" s="20">
        <v>17.0</v>
      </c>
      <c r="I274" s="20">
        <v>12.0</v>
      </c>
      <c r="J274" s="20"/>
      <c r="K274" s="20"/>
      <c r="L274" s="20">
        <v>5.0</v>
      </c>
      <c r="N274" s="23"/>
      <c r="O274" s="19">
        <f>$G$18</f>
        <v>10</v>
      </c>
      <c r="P274" s="40">
        <f t="shared" ref="P274:T274" si="261">H274/W$292</f>
        <v>0.06563706564</v>
      </c>
      <c r="Q274" s="40">
        <f t="shared" si="261"/>
        <v>0.1263157895</v>
      </c>
      <c r="R274" s="40">
        <f t="shared" si="261"/>
        <v>0</v>
      </c>
      <c r="S274" s="40">
        <f t="shared" si="261"/>
        <v>0</v>
      </c>
      <c r="T274" s="40">
        <f t="shared" si="261"/>
        <v>0.1351351351</v>
      </c>
    </row>
    <row r="275" ht="15.75" customHeight="1">
      <c r="F275" s="23"/>
      <c r="G275" s="19">
        <f>$G$19</f>
        <v>11</v>
      </c>
      <c r="H275" s="20">
        <v>8.0</v>
      </c>
      <c r="I275" s="20">
        <v>4.0</v>
      </c>
      <c r="J275" s="20"/>
      <c r="K275" s="20"/>
      <c r="L275" s="20">
        <v>3.0</v>
      </c>
      <c r="N275" s="23"/>
      <c r="O275" s="19">
        <f>$G$19</f>
        <v>11</v>
      </c>
      <c r="P275" s="40">
        <f t="shared" ref="P275:T275" si="262">H275/W$292</f>
        <v>0.03088803089</v>
      </c>
      <c r="Q275" s="40">
        <f t="shared" si="262"/>
        <v>0.04210526316</v>
      </c>
      <c r="R275" s="40">
        <f t="shared" si="262"/>
        <v>0</v>
      </c>
      <c r="S275" s="40">
        <f t="shared" si="262"/>
        <v>0</v>
      </c>
      <c r="T275" s="40">
        <f t="shared" si="262"/>
        <v>0.08108108108</v>
      </c>
    </row>
    <row r="276" ht="15.75" customHeight="1">
      <c r="F276" s="23"/>
      <c r="G276" s="19">
        <f>$G$20</f>
        <v>12</v>
      </c>
      <c r="H276" s="20">
        <v>10.0</v>
      </c>
      <c r="I276" s="20">
        <v>3.0</v>
      </c>
      <c r="J276" s="20">
        <v>4.0</v>
      </c>
      <c r="K276" s="20">
        <v>2.0</v>
      </c>
      <c r="L276" s="20">
        <v>3.0</v>
      </c>
      <c r="N276" s="23"/>
      <c r="O276" s="19">
        <f>$G$20</f>
        <v>12</v>
      </c>
      <c r="P276" s="40">
        <f t="shared" ref="P276:T276" si="263">H276/W$292</f>
        <v>0.03861003861</v>
      </c>
      <c r="Q276" s="40">
        <f t="shared" si="263"/>
        <v>0.03157894737</v>
      </c>
      <c r="R276" s="40">
        <f t="shared" si="263"/>
        <v>0.6666666667</v>
      </c>
      <c r="S276" s="40">
        <f t="shared" si="263"/>
        <v>0.2</v>
      </c>
      <c r="T276" s="40">
        <f t="shared" si="263"/>
        <v>0.08108108108</v>
      </c>
    </row>
    <row r="277" ht="15.75" customHeight="1">
      <c r="F277" s="23"/>
      <c r="G277" s="19">
        <f>$G$21</f>
        <v>13</v>
      </c>
      <c r="H277" s="20">
        <v>13.0</v>
      </c>
      <c r="I277" s="20">
        <v>4.0</v>
      </c>
      <c r="J277" s="20"/>
      <c r="K277" s="20"/>
      <c r="L277" s="20">
        <v>3.0</v>
      </c>
      <c r="N277" s="23"/>
      <c r="O277" s="19">
        <f>$G$21</f>
        <v>13</v>
      </c>
      <c r="P277" s="40">
        <f t="shared" ref="P277:T277" si="264">H277/W$292</f>
        <v>0.05019305019</v>
      </c>
      <c r="Q277" s="40">
        <f t="shared" si="264"/>
        <v>0.04210526316</v>
      </c>
      <c r="R277" s="40">
        <f t="shared" si="264"/>
        <v>0</v>
      </c>
      <c r="S277" s="40">
        <f t="shared" si="264"/>
        <v>0</v>
      </c>
      <c r="T277" s="40">
        <f t="shared" si="264"/>
        <v>0.08108108108</v>
      </c>
    </row>
    <row r="278" ht="15.75" customHeight="1">
      <c r="F278" s="23"/>
      <c r="G278" s="19">
        <f>$G$22</f>
        <v>14</v>
      </c>
      <c r="H278" s="20">
        <v>11.0</v>
      </c>
      <c r="I278" s="20">
        <v>10.0</v>
      </c>
      <c r="J278" s="20"/>
      <c r="K278" s="20">
        <v>1.0</v>
      </c>
      <c r="L278" s="20">
        <v>4.0</v>
      </c>
      <c r="N278" s="23"/>
      <c r="O278" s="19">
        <f>$G$22</f>
        <v>14</v>
      </c>
      <c r="P278" s="40">
        <f t="shared" ref="P278:T278" si="265">H278/W$292</f>
        <v>0.04247104247</v>
      </c>
      <c r="Q278" s="40">
        <f t="shared" si="265"/>
        <v>0.1052631579</v>
      </c>
      <c r="R278" s="40">
        <f t="shared" si="265"/>
        <v>0</v>
      </c>
      <c r="S278" s="40">
        <f t="shared" si="265"/>
        <v>0.1</v>
      </c>
      <c r="T278" s="40">
        <f t="shared" si="265"/>
        <v>0.1081081081</v>
      </c>
    </row>
    <row r="279" ht="15.75" customHeight="1">
      <c r="F279" s="23"/>
      <c r="G279" s="19">
        <f>$G$23</f>
        <v>15</v>
      </c>
      <c r="H279" s="20">
        <v>17.0</v>
      </c>
      <c r="I279" s="20">
        <v>6.0</v>
      </c>
      <c r="J279" s="20"/>
      <c r="K279" s="20">
        <v>1.0</v>
      </c>
      <c r="L279" s="20">
        <v>4.0</v>
      </c>
      <c r="N279" s="23"/>
      <c r="O279" s="19">
        <f>$G$23</f>
        <v>15</v>
      </c>
      <c r="P279" s="40">
        <f t="shared" ref="P279:T279" si="266">H279/W$292</f>
        <v>0.06563706564</v>
      </c>
      <c r="Q279" s="40">
        <f t="shared" si="266"/>
        <v>0.06315789474</v>
      </c>
      <c r="R279" s="40">
        <f t="shared" si="266"/>
        <v>0</v>
      </c>
      <c r="S279" s="40">
        <f t="shared" si="266"/>
        <v>0.1</v>
      </c>
      <c r="T279" s="40">
        <f t="shared" si="266"/>
        <v>0.1081081081</v>
      </c>
    </row>
    <row r="280" ht="15.75" customHeight="1">
      <c r="F280" s="23"/>
      <c r="G280" s="19">
        <f>$G$24</f>
        <v>16</v>
      </c>
      <c r="H280" s="20">
        <v>14.0</v>
      </c>
      <c r="I280" s="20">
        <v>5.0</v>
      </c>
      <c r="J280" s="20"/>
      <c r="K280" s="20">
        <v>1.0</v>
      </c>
      <c r="L280" s="20">
        <v>5.0</v>
      </c>
      <c r="N280" s="23"/>
      <c r="O280" s="19">
        <f>$G$24</f>
        <v>16</v>
      </c>
      <c r="P280" s="40">
        <f t="shared" ref="P280:T280" si="267">H280/W$292</f>
        <v>0.05405405405</v>
      </c>
      <c r="Q280" s="40">
        <f t="shared" si="267"/>
        <v>0.05263157895</v>
      </c>
      <c r="R280" s="40">
        <f t="shared" si="267"/>
        <v>0</v>
      </c>
      <c r="S280" s="40">
        <f t="shared" si="267"/>
        <v>0.1</v>
      </c>
      <c r="T280" s="40">
        <f t="shared" si="267"/>
        <v>0.1351351351</v>
      </c>
    </row>
    <row r="281" ht="15.75" customHeight="1">
      <c r="F281" s="23"/>
      <c r="G281" s="19">
        <f>$G$25</f>
        <v>17</v>
      </c>
      <c r="H281" s="20">
        <v>30.0</v>
      </c>
      <c r="I281" s="20">
        <v>5.0</v>
      </c>
      <c r="J281" s="20">
        <v>1.0</v>
      </c>
      <c r="K281" s="20"/>
      <c r="L281" s="20"/>
      <c r="N281" s="23"/>
      <c r="O281" s="19">
        <f>$G$25</f>
        <v>17</v>
      </c>
      <c r="P281" s="40">
        <f t="shared" ref="P281:T281" si="268">H281/W$292</f>
        <v>0.1158301158</v>
      </c>
      <c r="Q281" s="40">
        <f t="shared" si="268"/>
        <v>0.05263157895</v>
      </c>
      <c r="R281" s="40">
        <f t="shared" si="268"/>
        <v>0.1666666667</v>
      </c>
      <c r="S281" s="40">
        <f t="shared" si="268"/>
        <v>0</v>
      </c>
      <c r="T281" s="40">
        <f t="shared" si="268"/>
        <v>0</v>
      </c>
    </row>
    <row r="282" ht="15.75" customHeight="1">
      <c r="F282" s="23"/>
      <c r="G282" s="19">
        <f>$G$26</f>
        <v>18</v>
      </c>
      <c r="H282" s="20">
        <v>21.0</v>
      </c>
      <c r="I282" s="20">
        <v>3.0</v>
      </c>
      <c r="J282" s="20"/>
      <c r="K282" s="20"/>
      <c r="L282" s="20">
        <v>1.0</v>
      </c>
      <c r="N282" s="23"/>
      <c r="O282" s="19">
        <f>$G$26</f>
        <v>18</v>
      </c>
      <c r="P282" s="40">
        <f t="shared" ref="P282:T282" si="269">H282/W$292</f>
        <v>0.08108108108</v>
      </c>
      <c r="Q282" s="40">
        <f t="shared" si="269"/>
        <v>0.03157894737</v>
      </c>
      <c r="R282" s="40">
        <f t="shared" si="269"/>
        <v>0</v>
      </c>
      <c r="S282" s="40">
        <f t="shared" si="269"/>
        <v>0</v>
      </c>
      <c r="T282" s="40">
        <f t="shared" si="269"/>
        <v>0.02702702703</v>
      </c>
    </row>
    <row r="283" ht="15.75" customHeight="1">
      <c r="F283" s="23"/>
      <c r="G283" s="19">
        <f>$G$27</f>
        <v>19</v>
      </c>
      <c r="H283" s="20">
        <v>11.0</v>
      </c>
      <c r="I283" s="20">
        <v>6.0</v>
      </c>
      <c r="J283" s="20"/>
      <c r="K283" s="20"/>
      <c r="L283" s="20"/>
      <c r="N283" s="23"/>
      <c r="O283" s="19">
        <f>$G$27</f>
        <v>19</v>
      </c>
      <c r="P283" s="40">
        <f t="shared" ref="P283:T283" si="270">H283/W$292</f>
        <v>0.04247104247</v>
      </c>
      <c r="Q283" s="40">
        <f t="shared" si="270"/>
        <v>0.06315789474</v>
      </c>
      <c r="R283" s="40">
        <f t="shared" si="270"/>
        <v>0</v>
      </c>
      <c r="S283" s="40">
        <f t="shared" si="270"/>
        <v>0</v>
      </c>
      <c r="T283" s="40">
        <f t="shared" si="270"/>
        <v>0</v>
      </c>
    </row>
    <row r="284" ht="15.75" customHeight="1">
      <c r="F284" s="23"/>
      <c r="G284" s="19">
        <f>$G$28</f>
        <v>20</v>
      </c>
      <c r="H284" s="20">
        <v>10.0</v>
      </c>
      <c r="I284" s="20">
        <v>4.0</v>
      </c>
      <c r="J284" s="20"/>
      <c r="K284" s="20"/>
      <c r="L284" s="20"/>
      <c r="N284" s="23"/>
      <c r="O284" s="19">
        <f>$G$28</f>
        <v>20</v>
      </c>
      <c r="P284" s="40">
        <f t="shared" ref="P284:T284" si="271">H284/W$292</f>
        <v>0.03861003861</v>
      </c>
      <c r="Q284" s="40">
        <f t="shared" si="271"/>
        <v>0.04210526316</v>
      </c>
      <c r="R284" s="40">
        <f t="shared" si="271"/>
        <v>0</v>
      </c>
      <c r="S284" s="40">
        <f t="shared" si="271"/>
        <v>0</v>
      </c>
      <c r="T284" s="40">
        <f t="shared" si="271"/>
        <v>0</v>
      </c>
    </row>
    <row r="285" ht="15.75" customHeight="1">
      <c r="F285" s="23"/>
      <c r="G285" s="19">
        <f>$G$29</f>
        <v>21</v>
      </c>
      <c r="H285" s="20">
        <v>8.0</v>
      </c>
      <c r="I285" s="20">
        <v>3.0</v>
      </c>
      <c r="J285" s="20"/>
      <c r="K285" s="20"/>
      <c r="L285" s="20"/>
      <c r="N285" s="23"/>
      <c r="O285" s="19">
        <f>$G$29</f>
        <v>21</v>
      </c>
      <c r="P285" s="40">
        <f t="shared" ref="P285:T285" si="272">H285/W$292</f>
        <v>0.03088803089</v>
      </c>
      <c r="Q285" s="40">
        <f t="shared" si="272"/>
        <v>0.03157894737</v>
      </c>
      <c r="R285" s="40">
        <f t="shared" si="272"/>
        <v>0</v>
      </c>
      <c r="S285" s="40">
        <f t="shared" si="272"/>
        <v>0</v>
      </c>
      <c r="T285" s="40">
        <f t="shared" si="272"/>
        <v>0</v>
      </c>
    </row>
    <row r="286" ht="15.75" customHeight="1">
      <c r="F286" s="23"/>
      <c r="G286" s="19">
        <f>$G$30</f>
        <v>22</v>
      </c>
      <c r="H286" s="20">
        <v>8.0</v>
      </c>
      <c r="I286" s="20">
        <v>2.0</v>
      </c>
      <c r="J286" s="20"/>
      <c r="K286" s="20"/>
      <c r="L286" s="20"/>
      <c r="N286" s="23"/>
      <c r="O286" s="19">
        <f>$G$30</f>
        <v>22</v>
      </c>
      <c r="P286" s="40">
        <f t="shared" ref="P286:T286" si="273">H286/W$292</f>
        <v>0.03088803089</v>
      </c>
      <c r="Q286" s="40">
        <f t="shared" si="273"/>
        <v>0.02105263158</v>
      </c>
      <c r="R286" s="40">
        <f t="shared" si="273"/>
        <v>0</v>
      </c>
      <c r="S286" s="40">
        <f t="shared" si="273"/>
        <v>0</v>
      </c>
      <c r="T286" s="40">
        <f t="shared" si="273"/>
        <v>0</v>
      </c>
    </row>
    <row r="287" ht="15.75" customHeight="1">
      <c r="F287" s="27"/>
      <c r="G287" s="19">
        <f>$G$31</f>
        <v>23</v>
      </c>
      <c r="H287" s="20">
        <v>8.0</v>
      </c>
      <c r="I287" s="20"/>
      <c r="J287" s="20"/>
      <c r="K287" s="20"/>
      <c r="L287" s="20"/>
      <c r="N287" s="27"/>
      <c r="O287" s="19">
        <f>$G$31</f>
        <v>23</v>
      </c>
      <c r="P287" s="40">
        <f t="shared" ref="P287:T287" si="274">H287/W$292</f>
        <v>0.03088803089</v>
      </c>
      <c r="Q287" s="40">
        <f t="shared" si="274"/>
        <v>0</v>
      </c>
      <c r="R287" s="40">
        <f t="shared" si="274"/>
        <v>0</v>
      </c>
      <c r="S287" s="40">
        <f t="shared" si="274"/>
        <v>0</v>
      </c>
      <c r="T287" s="40">
        <f t="shared" si="274"/>
        <v>0</v>
      </c>
    </row>
    <row r="288" ht="15.75" customHeight="1">
      <c r="F288" s="56">
        <v>45218.0</v>
      </c>
      <c r="G288" s="19">
        <f>$G$8</f>
        <v>0</v>
      </c>
      <c r="H288" s="19">
        <v>1.0</v>
      </c>
      <c r="I288" s="98"/>
      <c r="J288" s="98"/>
      <c r="K288" s="98"/>
      <c r="L288" s="98"/>
      <c r="N288" s="56">
        <v>45218.0</v>
      </c>
      <c r="O288" s="19">
        <f>$G$8</f>
        <v>0</v>
      </c>
      <c r="P288" s="44">
        <f t="shared" ref="P288:T288" si="275">H288/U$317</f>
        <v>0.003154574132</v>
      </c>
      <c r="Q288" s="44">
        <f t="shared" si="275"/>
        <v>0</v>
      </c>
      <c r="R288" s="44">
        <f t="shared" si="275"/>
        <v>0</v>
      </c>
      <c r="S288" s="44">
        <f t="shared" si="275"/>
        <v>0</v>
      </c>
      <c r="T288" s="44">
        <f t="shared" si="275"/>
        <v>0</v>
      </c>
    </row>
    <row r="289" ht="15.75" customHeight="1">
      <c r="F289" s="23"/>
      <c r="G289" s="19">
        <f>$G$9</f>
        <v>1</v>
      </c>
      <c r="H289" s="45">
        <v>1.0</v>
      </c>
      <c r="I289" s="20"/>
      <c r="J289" s="20"/>
      <c r="K289" s="20"/>
      <c r="L289" s="20"/>
      <c r="N289" s="23"/>
      <c r="O289" s="19">
        <f>$G$9</f>
        <v>1</v>
      </c>
      <c r="P289" s="44">
        <f t="shared" ref="P289:T289" si="276">H289/U$317</f>
        <v>0.003154574132</v>
      </c>
      <c r="Q289" s="44">
        <f t="shared" si="276"/>
        <v>0</v>
      </c>
      <c r="R289" s="44">
        <f t="shared" si="276"/>
        <v>0</v>
      </c>
      <c r="S289" s="44">
        <f t="shared" si="276"/>
        <v>0</v>
      </c>
      <c r="T289" s="44">
        <f t="shared" si="276"/>
        <v>0</v>
      </c>
    </row>
    <row r="290" ht="15.75" customHeight="1">
      <c r="F290" s="23"/>
      <c r="G290" s="19">
        <f>$G$10</f>
        <v>2</v>
      </c>
      <c r="H290" s="45">
        <v>1.0</v>
      </c>
      <c r="I290" s="20"/>
      <c r="J290" s="20"/>
      <c r="K290" s="20"/>
      <c r="L290" s="20"/>
      <c r="N290" s="23"/>
      <c r="O290" s="19">
        <f>$G$10</f>
        <v>2</v>
      </c>
      <c r="P290" s="44">
        <f t="shared" ref="P290:T290" si="277">H290/U$317</f>
        <v>0.003154574132</v>
      </c>
      <c r="Q290" s="44">
        <f t="shared" si="277"/>
        <v>0</v>
      </c>
      <c r="R290" s="44">
        <f t="shared" si="277"/>
        <v>0</v>
      </c>
      <c r="S290" s="44">
        <f t="shared" si="277"/>
        <v>0</v>
      </c>
      <c r="T290" s="44">
        <f t="shared" si="277"/>
        <v>0</v>
      </c>
    </row>
    <row r="291" ht="15.75" customHeight="1">
      <c r="F291" s="23"/>
      <c r="G291" s="19">
        <f>$G$11</f>
        <v>3</v>
      </c>
      <c r="H291" s="45">
        <v>1.0</v>
      </c>
      <c r="I291" s="31">
        <v>1.0</v>
      </c>
      <c r="J291" s="20"/>
      <c r="K291" s="31">
        <v>1.0</v>
      </c>
      <c r="L291" s="20"/>
      <c r="N291" s="23"/>
      <c r="O291" s="19">
        <f>$G$11</f>
        <v>3</v>
      </c>
      <c r="P291" s="44">
        <f t="shared" ref="P291:T291" si="278">H291/U$317</f>
        <v>0.003154574132</v>
      </c>
      <c r="Q291" s="44">
        <f t="shared" si="278"/>
        <v>0.007936507937</v>
      </c>
      <c r="R291" s="44">
        <f t="shared" si="278"/>
        <v>0</v>
      </c>
      <c r="S291" s="44">
        <f t="shared" si="278"/>
        <v>0.02631578947</v>
      </c>
      <c r="T291" s="44">
        <f t="shared" si="278"/>
        <v>0</v>
      </c>
    </row>
    <row r="292" ht="15.75" customHeight="1">
      <c r="F292" s="23"/>
      <c r="G292" s="19">
        <f>$G$12</f>
        <v>4</v>
      </c>
      <c r="H292" s="45">
        <v>3.0</v>
      </c>
      <c r="I292" s="31">
        <v>2.0</v>
      </c>
      <c r="J292" s="20"/>
      <c r="K292" s="31">
        <v>1.0</v>
      </c>
      <c r="L292" s="31">
        <v>1.0</v>
      </c>
      <c r="N292" s="23"/>
      <c r="O292" s="19">
        <f>$G$12</f>
        <v>4</v>
      </c>
      <c r="P292" s="44">
        <f t="shared" ref="P292:T292" si="279">H292/U$317</f>
        <v>0.009463722397</v>
      </c>
      <c r="Q292" s="44">
        <f t="shared" si="279"/>
        <v>0.01587301587</v>
      </c>
      <c r="R292" s="44">
        <f t="shared" si="279"/>
        <v>0</v>
      </c>
      <c r="S292" s="44">
        <f t="shared" si="279"/>
        <v>0.02631578947</v>
      </c>
      <c r="T292" s="44">
        <f t="shared" si="279"/>
        <v>0.01923076923</v>
      </c>
      <c r="U292" s="41"/>
      <c r="V292" s="16"/>
      <c r="W292" s="26">
        <f t="shared" ref="W292:AA292" si="280">SUM(H264:H287)</f>
        <v>259</v>
      </c>
      <c r="X292" s="26">
        <f t="shared" si="280"/>
        <v>95</v>
      </c>
      <c r="Y292" s="26">
        <f t="shared" si="280"/>
        <v>6</v>
      </c>
      <c r="Z292" s="26">
        <f t="shared" si="280"/>
        <v>10</v>
      </c>
      <c r="AA292" s="26">
        <f t="shared" si="280"/>
        <v>37</v>
      </c>
    </row>
    <row r="293" ht="15.75" customHeight="1">
      <c r="F293" s="23"/>
      <c r="G293" s="19">
        <f>$G$13</f>
        <v>5</v>
      </c>
      <c r="H293" s="45">
        <v>3.0</v>
      </c>
      <c r="I293" s="31">
        <v>2.0</v>
      </c>
      <c r="J293" s="20"/>
      <c r="K293" s="31">
        <v>1.0</v>
      </c>
      <c r="L293" s="20"/>
      <c r="N293" s="23"/>
      <c r="O293" s="19">
        <f>$G$13</f>
        <v>5</v>
      </c>
      <c r="P293" s="44">
        <f t="shared" ref="P293:T293" si="281">H293/U$317</f>
        <v>0.009463722397</v>
      </c>
      <c r="Q293" s="44">
        <f t="shared" si="281"/>
        <v>0.01587301587</v>
      </c>
      <c r="R293" s="44">
        <f t="shared" si="281"/>
        <v>0</v>
      </c>
      <c r="S293" s="44">
        <f t="shared" si="281"/>
        <v>0.02631578947</v>
      </c>
      <c r="T293" s="44">
        <f t="shared" si="281"/>
        <v>0</v>
      </c>
      <c r="V293" s="16"/>
      <c r="W293" s="17">
        <f>$H$7</f>
        <v>31</v>
      </c>
      <c r="X293" s="17">
        <f>$I$7</f>
        <v>32</v>
      </c>
      <c r="Y293" s="17">
        <f>$J$7</f>
        <v>41</v>
      </c>
      <c r="Z293" s="17">
        <f>$K$7</f>
        <v>42</v>
      </c>
      <c r="AA293" s="17">
        <f>$L$7</f>
        <v>5</v>
      </c>
      <c r="AD293" s="16"/>
      <c r="AE293" s="17">
        <f>$H$7</f>
        <v>31</v>
      </c>
      <c r="AF293" s="17">
        <f>$I$7</f>
        <v>32</v>
      </c>
      <c r="AG293" s="17">
        <f>$J$7</f>
        <v>41</v>
      </c>
      <c r="AH293" s="17">
        <f>$K$7</f>
        <v>42</v>
      </c>
      <c r="AI293" s="17">
        <f>$L$7</f>
        <v>5</v>
      </c>
    </row>
    <row r="294" ht="15.75" customHeight="1">
      <c r="F294" s="23"/>
      <c r="G294" s="19">
        <f>$G$14</f>
        <v>6</v>
      </c>
      <c r="H294" s="45">
        <v>7.0</v>
      </c>
      <c r="I294" s="31">
        <v>6.0</v>
      </c>
      <c r="J294" s="20"/>
      <c r="K294" s="20"/>
      <c r="L294" s="31">
        <v>2.0</v>
      </c>
      <c r="N294" s="23"/>
      <c r="O294" s="19">
        <f>$G$14</f>
        <v>6</v>
      </c>
      <c r="P294" s="44">
        <f t="shared" ref="P294:T294" si="282">H294/U$317</f>
        <v>0.02208201893</v>
      </c>
      <c r="Q294" s="44">
        <f t="shared" si="282"/>
        <v>0.04761904762</v>
      </c>
      <c r="R294" s="44">
        <f t="shared" si="282"/>
        <v>0</v>
      </c>
      <c r="S294" s="44">
        <f t="shared" si="282"/>
        <v>0</v>
      </c>
      <c r="T294" s="44">
        <f t="shared" si="282"/>
        <v>0.03846153846</v>
      </c>
    </row>
    <row r="295" ht="15.75" customHeight="1">
      <c r="F295" s="23"/>
      <c r="G295" s="19">
        <f>$G$15</f>
        <v>7</v>
      </c>
      <c r="H295" s="45">
        <v>37.0</v>
      </c>
      <c r="I295" s="31">
        <v>6.0</v>
      </c>
      <c r="J295" s="20"/>
      <c r="K295" s="31">
        <v>1.0</v>
      </c>
      <c r="L295" s="31">
        <v>1.0</v>
      </c>
      <c r="N295" s="23"/>
      <c r="O295" s="19">
        <f>$G$15</f>
        <v>7</v>
      </c>
      <c r="P295" s="44">
        <f t="shared" ref="P295:T295" si="283">H295/U$317</f>
        <v>0.1167192429</v>
      </c>
      <c r="Q295" s="44">
        <f t="shared" si="283"/>
        <v>0.04761904762</v>
      </c>
      <c r="R295" s="44">
        <f t="shared" si="283"/>
        <v>0</v>
      </c>
      <c r="S295" s="44">
        <f t="shared" si="283"/>
        <v>0.02631578947</v>
      </c>
      <c r="T295" s="44">
        <f t="shared" si="283"/>
        <v>0.01923076923</v>
      </c>
    </row>
    <row r="296" ht="15.75" customHeight="1">
      <c r="F296" s="23"/>
      <c r="G296" s="19">
        <f>$G$16</f>
        <v>8</v>
      </c>
      <c r="H296" s="45">
        <v>24.0</v>
      </c>
      <c r="I296" s="31">
        <v>11.0</v>
      </c>
      <c r="J296" s="31">
        <v>1.0</v>
      </c>
      <c r="K296" s="20"/>
      <c r="L296" s="31">
        <v>5.0</v>
      </c>
      <c r="N296" s="23"/>
      <c r="O296" s="19">
        <f>$G$16</f>
        <v>8</v>
      </c>
      <c r="P296" s="44">
        <f t="shared" ref="P296:T296" si="284">H296/U$317</f>
        <v>0.07570977918</v>
      </c>
      <c r="Q296" s="44">
        <f t="shared" si="284"/>
        <v>0.0873015873</v>
      </c>
      <c r="R296" s="44">
        <f t="shared" si="284"/>
        <v>0.1</v>
      </c>
      <c r="S296" s="44">
        <f t="shared" si="284"/>
        <v>0</v>
      </c>
      <c r="T296" s="44">
        <f t="shared" si="284"/>
        <v>0.09615384615</v>
      </c>
    </row>
    <row r="297" ht="15.75" customHeight="1">
      <c r="F297" s="23"/>
      <c r="G297" s="19">
        <f>$G$17</f>
        <v>9</v>
      </c>
      <c r="H297" s="45">
        <v>18.0</v>
      </c>
      <c r="I297" s="31">
        <v>9.0</v>
      </c>
      <c r="J297" s="31">
        <v>1.0</v>
      </c>
      <c r="K297" s="31">
        <v>2.0</v>
      </c>
      <c r="L297" s="31">
        <v>5.0</v>
      </c>
      <c r="N297" s="23"/>
      <c r="O297" s="19">
        <f>$G$17</f>
        <v>9</v>
      </c>
      <c r="P297" s="44">
        <f t="shared" ref="P297:T297" si="285">H297/U$317</f>
        <v>0.05678233438</v>
      </c>
      <c r="Q297" s="44">
        <f t="shared" si="285"/>
        <v>0.07142857143</v>
      </c>
      <c r="R297" s="44">
        <f t="shared" si="285"/>
        <v>0.1</v>
      </c>
      <c r="S297" s="44">
        <f t="shared" si="285"/>
        <v>0.05263157895</v>
      </c>
      <c r="T297" s="44">
        <f t="shared" si="285"/>
        <v>0.09615384615</v>
      </c>
    </row>
    <row r="298" ht="15.75" customHeight="1">
      <c r="F298" s="23"/>
      <c r="G298" s="19">
        <f>$G$18</f>
        <v>10</v>
      </c>
      <c r="H298" s="45">
        <v>20.0</v>
      </c>
      <c r="I298" s="31">
        <v>6.0</v>
      </c>
      <c r="J298" s="31">
        <v>1.0</v>
      </c>
      <c r="K298" s="31">
        <v>2.0</v>
      </c>
      <c r="L298" s="31">
        <v>6.0</v>
      </c>
      <c r="N298" s="23"/>
      <c r="O298" s="19">
        <f>$G$18</f>
        <v>10</v>
      </c>
      <c r="P298" s="44">
        <f t="shared" ref="P298:T298" si="286">H298/U$317</f>
        <v>0.06309148265</v>
      </c>
      <c r="Q298" s="44">
        <f t="shared" si="286"/>
        <v>0.04761904762</v>
      </c>
      <c r="R298" s="44">
        <f t="shared" si="286"/>
        <v>0.1</v>
      </c>
      <c r="S298" s="44">
        <f t="shared" si="286"/>
        <v>0.05263157895</v>
      </c>
      <c r="T298" s="44">
        <f t="shared" si="286"/>
        <v>0.1153846154</v>
      </c>
    </row>
    <row r="299" ht="15.75" customHeight="1">
      <c r="F299" s="23"/>
      <c r="G299" s="19">
        <f>$G$19</f>
        <v>11</v>
      </c>
      <c r="H299" s="45">
        <v>20.0</v>
      </c>
      <c r="I299" s="31">
        <v>9.0</v>
      </c>
      <c r="J299" s="31">
        <v>3.0</v>
      </c>
      <c r="K299" s="31">
        <v>4.0</v>
      </c>
      <c r="L299" s="31">
        <v>5.0</v>
      </c>
      <c r="N299" s="23"/>
      <c r="O299" s="19">
        <f>$G$19</f>
        <v>11</v>
      </c>
      <c r="P299" s="44">
        <f t="shared" ref="P299:T299" si="287">H299/U$317</f>
        <v>0.06309148265</v>
      </c>
      <c r="Q299" s="44">
        <f t="shared" si="287"/>
        <v>0.07142857143</v>
      </c>
      <c r="R299" s="44">
        <f t="shared" si="287"/>
        <v>0.3</v>
      </c>
      <c r="S299" s="44">
        <f t="shared" si="287"/>
        <v>0.1052631579</v>
      </c>
      <c r="T299" s="44">
        <f t="shared" si="287"/>
        <v>0.09615384615</v>
      </c>
    </row>
    <row r="300" ht="15.75" customHeight="1">
      <c r="F300" s="23"/>
      <c r="G300" s="19">
        <f>$G$20</f>
        <v>12</v>
      </c>
      <c r="H300" s="45">
        <v>18.0</v>
      </c>
      <c r="I300" s="31">
        <v>11.0</v>
      </c>
      <c r="J300" s="31">
        <v>1.0</v>
      </c>
      <c r="K300" s="31">
        <v>1.0</v>
      </c>
      <c r="L300" s="31">
        <v>4.0</v>
      </c>
      <c r="N300" s="23"/>
      <c r="O300" s="19">
        <f>$G$20</f>
        <v>12</v>
      </c>
      <c r="P300" s="44">
        <f t="shared" ref="P300:T300" si="288">H300/U$317</f>
        <v>0.05678233438</v>
      </c>
      <c r="Q300" s="44">
        <f t="shared" si="288"/>
        <v>0.0873015873</v>
      </c>
      <c r="R300" s="44">
        <f t="shared" si="288"/>
        <v>0.1</v>
      </c>
      <c r="S300" s="44">
        <f t="shared" si="288"/>
        <v>0.02631578947</v>
      </c>
      <c r="T300" s="44">
        <f t="shared" si="288"/>
        <v>0.07692307692</v>
      </c>
    </row>
    <row r="301" ht="15.75" customHeight="1">
      <c r="F301" s="23"/>
      <c r="G301" s="19">
        <f>$G$21</f>
        <v>13</v>
      </c>
      <c r="H301" s="45">
        <v>18.0</v>
      </c>
      <c r="I301" s="31">
        <v>9.0</v>
      </c>
      <c r="J301" s="31">
        <v>1.0</v>
      </c>
      <c r="K301" s="31">
        <v>7.0</v>
      </c>
      <c r="L301" s="31">
        <v>7.0</v>
      </c>
      <c r="N301" s="23"/>
      <c r="O301" s="19">
        <f>$G$21</f>
        <v>13</v>
      </c>
      <c r="P301" s="44">
        <f t="shared" ref="P301:T301" si="289">H301/U$317</f>
        <v>0.05678233438</v>
      </c>
      <c r="Q301" s="44">
        <f t="shared" si="289"/>
        <v>0.07142857143</v>
      </c>
      <c r="R301" s="44">
        <f t="shared" si="289"/>
        <v>0.1</v>
      </c>
      <c r="S301" s="44">
        <f t="shared" si="289"/>
        <v>0.1842105263</v>
      </c>
      <c r="T301" s="44">
        <f t="shared" si="289"/>
        <v>0.1346153846</v>
      </c>
    </row>
    <row r="302" ht="15.75" customHeight="1">
      <c r="F302" s="23"/>
      <c r="G302" s="19">
        <f>$G$22</f>
        <v>14</v>
      </c>
      <c r="H302" s="45">
        <v>21.0</v>
      </c>
      <c r="I302" s="31">
        <v>8.0</v>
      </c>
      <c r="J302" s="20"/>
      <c r="K302" s="31">
        <v>3.0</v>
      </c>
      <c r="L302" s="31">
        <v>2.0</v>
      </c>
      <c r="N302" s="23"/>
      <c r="O302" s="19">
        <f>$G$22</f>
        <v>14</v>
      </c>
      <c r="P302" s="44">
        <f t="shared" ref="P302:T302" si="290">H302/U$317</f>
        <v>0.06624605678</v>
      </c>
      <c r="Q302" s="44">
        <f t="shared" si="290"/>
        <v>0.06349206349</v>
      </c>
      <c r="R302" s="44">
        <f t="shared" si="290"/>
        <v>0</v>
      </c>
      <c r="S302" s="44">
        <f t="shared" si="290"/>
        <v>0.07894736842</v>
      </c>
      <c r="T302" s="44">
        <f t="shared" si="290"/>
        <v>0.03846153846</v>
      </c>
    </row>
    <row r="303" ht="15.75" customHeight="1">
      <c r="F303" s="23"/>
      <c r="G303" s="19">
        <f>$G$23</f>
        <v>15</v>
      </c>
      <c r="H303" s="45">
        <v>18.0</v>
      </c>
      <c r="I303" s="31">
        <v>8.0</v>
      </c>
      <c r="J303" s="20"/>
      <c r="K303" s="31">
        <v>6.0</v>
      </c>
      <c r="L303" s="31">
        <v>5.0</v>
      </c>
      <c r="N303" s="23"/>
      <c r="O303" s="19">
        <f>$G$23</f>
        <v>15</v>
      </c>
      <c r="P303" s="44">
        <f t="shared" ref="P303:T303" si="291">H303/U$317</f>
        <v>0.05678233438</v>
      </c>
      <c r="Q303" s="44">
        <f t="shared" si="291"/>
        <v>0.06349206349</v>
      </c>
      <c r="R303" s="44">
        <f t="shared" si="291"/>
        <v>0</v>
      </c>
      <c r="S303" s="44">
        <f t="shared" si="291"/>
        <v>0.1578947368</v>
      </c>
      <c r="T303" s="44">
        <f t="shared" si="291"/>
        <v>0.09615384615</v>
      </c>
    </row>
    <row r="304" ht="15.75" customHeight="1">
      <c r="F304" s="23"/>
      <c r="G304" s="19">
        <f>$G$24</f>
        <v>16</v>
      </c>
      <c r="H304" s="45">
        <v>20.0</v>
      </c>
      <c r="I304" s="31">
        <v>10.0</v>
      </c>
      <c r="J304" s="20"/>
      <c r="K304" s="31">
        <v>2.0</v>
      </c>
      <c r="L304" s="31">
        <v>6.0</v>
      </c>
      <c r="N304" s="23"/>
      <c r="O304" s="19">
        <f>$G$24</f>
        <v>16</v>
      </c>
      <c r="P304" s="44">
        <f t="shared" ref="P304:T304" si="292">H304/U$317</f>
        <v>0.06309148265</v>
      </c>
      <c r="Q304" s="44">
        <f t="shared" si="292"/>
        <v>0.07936507937</v>
      </c>
      <c r="R304" s="44">
        <f t="shared" si="292"/>
        <v>0</v>
      </c>
      <c r="S304" s="44">
        <f t="shared" si="292"/>
        <v>0.05263157895</v>
      </c>
      <c r="T304" s="44">
        <f t="shared" si="292"/>
        <v>0.1153846154</v>
      </c>
    </row>
    <row r="305" ht="15.75" customHeight="1">
      <c r="F305" s="23"/>
      <c r="G305" s="19">
        <f>$G$25</f>
        <v>17</v>
      </c>
      <c r="H305" s="45">
        <v>23.0</v>
      </c>
      <c r="I305" s="31">
        <v>9.0</v>
      </c>
      <c r="J305" s="31">
        <v>2.0</v>
      </c>
      <c r="K305" s="31">
        <v>3.0</v>
      </c>
      <c r="L305" s="31">
        <v>1.0</v>
      </c>
      <c r="N305" s="23"/>
      <c r="O305" s="19">
        <f>$G$25</f>
        <v>17</v>
      </c>
      <c r="P305" s="44">
        <f t="shared" ref="P305:T305" si="293">H305/U$317</f>
        <v>0.07255520505</v>
      </c>
      <c r="Q305" s="44">
        <f t="shared" si="293"/>
        <v>0.07142857143</v>
      </c>
      <c r="R305" s="44">
        <f t="shared" si="293"/>
        <v>0.2</v>
      </c>
      <c r="S305" s="44">
        <f t="shared" si="293"/>
        <v>0.07894736842</v>
      </c>
      <c r="T305" s="44">
        <f t="shared" si="293"/>
        <v>0.01923076923</v>
      </c>
    </row>
    <row r="306" ht="15.75" customHeight="1">
      <c r="F306" s="23"/>
      <c r="G306" s="19">
        <f>$G$26</f>
        <v>18</v>
      </c>
      <c r="H306" s="45">
        <v>19.0</v>
      </c>
      <c r="I306" s="31">
        <v>7.0</v>
      </c>
      <c r="J306" s="20"/>
      <c r="K306" s="31">
        <v>1.0</v>
      </c>
      <c r="L306" s="31">
        <v>1.0</v>
      </c>
      <c r="N306" s="23"/>
      <c r="O306" s="19">
        <f>$G$26</f>
        <v>18</v>
      </c>
      <c r="P306" s="44">
        <f t="shared" ref="P306:T306" si="294">H306/U$317</f>
        <v>0.05993690852</v>
      </c>
      <c r="Q306" s="44">
        <f t="shared" si="294"/>
        <v>0.05555555556</v>
      </c>
      <c r="R306" s="44">
        <f t="shared" si="294"/>
        <v>0</v>
      </c>
      <c r="S306" s="44">
        <f t="shared" si="294"/>
        <v>0.02631578947</v>
      </c>
      <c r="T306" s="44">
        <f t="shared" si="294"/>
        <v>0.01923076923</v>
      </c>
    </row>
    <row r="307" ht="15.75" customHeight="1">
      <c r="F307" s="23"/>
      <c r="G307" s="19">
        <f>$G$27</f>
        <v>19</v>
      </c>
      <c r="H307" s="45">
        <v>17.0</v>
      </c>
      <c r="I307" s="31">
        <v>5.0</v>
      </c>
      <c r="J307" s="20"/>
      <c r="K307" s="31">
        <v>2.0</v>
      </c>
      <c r="L307" s="31">
        <v>1.0</v>
      </c>
      <c r="N307" s="23"/>
      <c r="O307" s="19">
        <f>$G$27</f>
        <v>19</v>
      </c>
      <c r="P307" s="44">
        <f t="shared" ref="P307:T307" si="295">H307/U$317</f>
        <v>0.05362776025</v>
      </c>
      <c r="Q307" s="44">
        <f t="shared" si="295"/>
        <v>0.03968253968</v>
      </c>
      <c r="R307" s="44">
        <f t="shared" si="295"/>
        <v>0</v>
      </c>
      <c r="S307" s="44">
        <f t="shared" si="295"/>
        <v>0.05263157895</v>
      </c>
      <c r="T307" s="44">
        <f t="shared" si="295"/>
        <v>0.01923076923</v>
      </c>
    </row>
    <row r="308" ht="15.75" customHeight="1">
      <c r="F308" s="23"/>
      <c r="G308" s="19">
        <f>$G$28</f>
        <v>20</v>
      </c>
      <c r="H308" s="45">
        <v>12.0</v>
      </c>
      <c r="I308" s="31">
        <v>6.0</v>
      </c>
      <c r="J308" s="20"/>
      <c r="K308" s="20"/>
      <c r="L308" s="20"/>
      <c r="N308" s="23"/>
      <c r="O308" s="19">
        <f>$G$28</f>
        <v>20</v>
      </c>
      <c r="P308" s="44">
        <f t="shared" ref="P308:T308" si="296">H308/U$317</f>
        <v>0.03785488959</v>
      </c>
      <c r="Q308" s="44">
        <f t="shared" si="296"/>
        <v>0.04761904762</v>
      </c>
      <c r="R308" s="44">
        <f t="shared" si="296"/>
        <v>0</v>
      </c>
      <c r="S308" s="44">
        <f t="shared" si="296"/>
        <v>0</v>
      </c>
      <c r="T308" s="44">
        <f t="shared" si="296"/>
        <v>0</v>
      </c>
    </row>
    <row r="309" ht="15.75" customHeight="1">
      <c r="F309" s="23"/>
      <c r="G309" s="19">
        <f>$G$29</f>
        <v>21</v>
      </c>
      <c r="H309" s="45">
        <v>6.0</v>
      </c>
      <c r="I309" s="20"/>
      <c r="J309" s="20"/>
      <c r="K309" s="20"/>
      <c r="L309" s="20"/>
      <c r="N309" s="23"/>
      <c r="O309" s="19">
        <f>$G$29</f>
        <v>21</v>
      </c>
      <c r="P309" s="44">
        <f t="shared" ref="P309:T309" si="297">H309/U$317</f>
        <v>0.01892744479</v>
      </c>
      <c r="Q309" s="44">
        <f t="shared" si="297"/>
        <v>0</v>
      </c>
      <c r="R309" s="44">
        <f t="shared" si="297"/>
        <v>0</v>
      </c>
      <c r="S309" s="44">
        <f t="shared" si="297"/>
        <v>0</v>
      </c>
      <c r="T309" s="44">
        <f t="shared" si="297"/>
        <v>0</v>
      </c>
    </row>
    <row r="310" ht="15.75" customHeight="1">
      <c r="F310" s="23"/>
      <c r="G310" s="19">
        <f>$G$30</f>
        <v>22</v>
      </c>
      <c r="H310" s="45">
        <v>3.0</v>
      </c>
      <c r="I310" s="31">
        <v>1.0</v>
      </c>
      <c r="J310" s="20"/>
      <c r="K310" s="31">
        <v>1.0</v>
      </c>
      <c r="L310" s="20"/>
      <c r="N310" s="23"/>
      <c r="O310" s="19">
        <f>$G$30</f>
        <v>22</v>
      </c>
      <c r="P310" s="44">
        <f t="shared" ref="P310:T310" si="298">H310/U$317</f>
        <v>0.009463722397</v>
      </c>
      <c r="Q310" s="44">
        <f t="shared" si="298"/>
        <v>0.007936507937</v>
      </c>
      <c r="R310" s="44">
        <f t="shared" si="298"/>
        <v>0</v>
      </c>
      <c r="S310" s="44">
        <f t="shared" si="298"/>
        <v>0.02631578947</v>
      </c>
      <c r="T310" s="44">
        <f t="shared" si="298"/>
        <v>0</v>
      </c>
    </row>
    <row r="311" ht="15.75" customHeight="1">
      <c r="F311" s="27"/>
      <c r="G311" s="19">
        <f>$G$31</f>
        <v>23</v>
      </c>
      <c r="H311" s="46">
        <v>6.0</v>
      </c>
      <c r="I311" s="20"/>
      <c r="J311" s="20"/>
      <c r="K311" s="20"/>
      <c r="L311" s="20"/>
      <c r="N311" s="27"/>
      <c r="O311" s="19">
        <f>$G$31</f>
        <v>23</v>
      </c>
      <c r="P311" s="44">
        <f t="shared" ref="P311:T311" si="299">H311/U$317</f>
        <v>0.01892744479</v>
      </c>
      <c r="Q311" s="44">
        <f t="shared" si="299"/>
        <v>0</v>
      </c>
      <c r="R311" s="44">
        <f t="shared" si="299"/>
        <v>0</v>
      </c>
      <c r="S311" s="44">
        <f t="shared" si="299"/>
        <v>0</v>
      </c>
      <c r="T311" s="44">
        <f t="shared" si="299"/>
        <v>0</v>
      </c>
    </row>
    <row r="312" ht="15.75" customHeight="1">
      <c r="F312" s="56">
        <v>45219.0</v>
      </c>
      <c r="G312" s="19">
        <f>$G$8</f>
        <v>0</v>
      </c>
      <c r="H312" s="20">
        <v>4.0</v>
      </c>
      <c r="I312" s="20"/>
      <c r="J312" s="20"/>
      <c r="K312" s="20"/>
      <c r="L312" s="20"/>
      <c r="N312" s="56">
        <v>45219.0</v>
      </c>
      <c r="O312" s="19">
        <f>$G$8</f>
        <v>0</v>
      </c>
      <c r="P312" s="40">
        <f t="shared" ref="P312:T312" si="300">H312/U$342</f>
        <v>0.01454545455</v>
      </c>
      <c r="Q312" s="40">
        <f t="shared" si="300"/>
        <v>0</v>
      </c>
      <c r="R312" s="40">
        <f t="shared" si="300"/>
        <v>0</v>
      </c>
      <c r="S312" s="40">
        <f t="shared" si="300"/>
        <v>0</v>
      </c>
      <c r="T312" s="40">
        <f t="shared" si="300"/>
        <v>0</v>
      </c>
    </row>
    <row r="313" ht="15.75" customHeight="1">
      <c r="F313" s="23"/>
      <c r="G313" s="19">
        <f>$G$9</f>
        <v>1</v>
      </c>
      <c r="H313" s="20"/>
      <c r="I313" s="20">
        <v>1.0</v>
      </c>
      <c r="J313" s="20"/>
      <c r="K313" s="20"/>
      <c r="L313" s="20"/>
      <c r="N313" s="23"/>
      <c r="O313" s="19">
        <f>$G$9</f>
        <v>1</v>
      </c>
      <c r="P313" s="40">
        <f t="shared" ref="P313:T313" si="301">H313/U$342</f>
        <v>0</v>
      </c>
      <c r="Q313" s="40">
        <f t="shared" si="301"/>
        <v>0.009433962264</v>
      </c>
      <c r="R313" s="40">
        <f t="shared" si="301"/>
        <v>0</v>
      </c>
      <c r="S313" s="40">
        <f t="shared" si="301"/>
        <v>0</v>
      </c>
      <c r="T313" s="40">
        <f t="shared" si="301"/>
        <v>0</v>
      </c>
    </row>
    <row r="314" ht="15.75" customHeight="1">
      <c r="F314" s="23"/>
      <c r="G314" s="19">
        <f>$G$10</f>
        <v>2</v>
      </c>
      <c r="H314" s="16">
        <v>2.0</v>
      </c>
      <c r="I314" s="16">
        <v>1.0</v>
      </c>
      <c r="J314" s="16"/>
      <c r="K314" s="16"/>
      <c r="L314" s="16"/>
      <c r="N314" s="23"/>
      <c r="O314" s="19">
        <f>$G$10</f>
        <v>2</v>
      </c>
      <c r="P314" s="40">
        <f t="shared" ref="P314:T314" si="302">H314/U$342</f>
        <v>0.007272727273</v>
      </c>
      <c r="Q314" s="40">
        <f t="shared" si="302"/>
        <v>0.009433962264</v>
      </c>
      <c r="R314" s="40">
        <f t="shared" si="302"/>
        <v>0</v>
      </c>
      <c r="S314" s="40">
        <f t="shared" si="302"/>
        <v>0</v>
      </c>
      <c r="T314" s="40">
        <f t="shared" si="302"/>
        <v>0</v>
      </c>
    </row>
    <row r="315" ht="15.75" customHeight="1">
      <c r="F315" s="23"/>
      <c r="G315" s="19">
        <f>$G$11</f>
        <v>3</v>
      </c>
      <c r="H315" s="20"/>
      <c r="I315" s="20"/>
      <c r="J315" s="20"/>
      <c r="K315" s="20"/>
      <c r="L315" s="20"/>
      <c r="N315" s="23"/>
      <c r="O315" s="19">
        <f>$G$11</f>
        <v>3</v>
      </c>
      <c r="P315" s="40">
        <f t="shared" ref="P315:T315" si="303">H315/U$342</f>
        <v>0</v>
      </c>
      <c r="Q315" s="40">
        <f t="shared" si="303"/>
        <v>0</v>
      </c>
      <c r="R315" s="40">
        <f t="shared" si="303"/>
        <v>0</v>
      </c>
      <c r="S315" s="40">
        <f t="shared" si="303"/>
        <v>0</v>
      </c>
      <c r="T315" s="40">
        <f t="shared" si="303"/>
        <v>0</v>
      </c>
    </row>
    <row r="316" ht="15.75" customHeight="1">
      <c r="F316" s="23"/>
      <c r="G316" s="19">
        <f>$G$12</f>
        <v>4</v>
      </c>
      <c r="H316" s="20">
        <v>2.0</v>
      </c>
      <c r="I316" s="20">
        <v>4.0</v>
      </c>
      <c r="J316" s="20"/>
      <c r="K316" s="20">
        <v>2.0</v>
      </c>
      <c r="L316" s="20"/>
      <c r="N316" s="23"/>
      <c r="O316" s="19">
        <f>$G$12</f>
        <v>4</v>
      </c>
      <c r="P316" s="40">
        <f t="shared" ref="P316:T316" si="304">H316/U$342</f>
        <v>0.007272727273</v>
      </c>
      <c r="Q316" s="40">
        <f t="shared" si="304"/>
        <v>0.03773584906</v>
      </c>
      <c r="R316" s="40">
        <f t="shared" si="304"/>
        <v>0</v>
      </c>
      <c r="S316" s="40">
        <f t="shared" si="304"/>
        <v>0.1052631579</v>
      </c>
      <c r="T316" s="40">
        <f t="shared" si="304"/>
        <v>0</v>
      </c>
    </row>
    <row r="317" ht="15.75" customHeight="1">
      <c r="F317" s="23"/>
      <c r="G317" s="19">
        <f>$G$13</f>
        <v>5</v>
      </c>
      <c r="H317" s="20">
        <v>7.0</v>
      </c>
      <c r="I317" s="20">
        <v>2.0</v>
      </c>
      <c r="J317" s="20"/>
      <c r="K317" s="20"/>
      <c r="L317" s="20"/>
      <c r="N317" s="23"/>
      <c r="O317" s="19">
        <f>$G$13</f>
        <v>5</v>
      </c>
      <c r="P317" s="40">
        <f t="shared" ref="P317:T317" si="305">H317/U$342</f>
        <v>0.02545454545</v>
      </c>
      <c r="Q317" s="40">
        <f t="shared" si="305"/>
        <v>0.01886792453</v>
      </c>
      <c r="R317" s="40">
        <f t="shared" si="305"/>
        <v>0</v>
      </c>
      <c r="S317" s="40">
        <f t="shared" si="305"/>
        <v>0</v>
      </c>
      <c r="T317" s="40">
        <f t="shared" si="305"/>
        <v>0</v>
      </c>
      <c r="U317" s="26">
        <f t="shared" ref="U317:Y317" si="306">SUM(H288:H311)</f>
        <v>317</v>
      </c>
      <c r="V317" s="26">
        <f t="shared" si="306"/>
        <v>126</v>
      </c>
      <c r="W317" s="26">
        <f t="shared" si="306"/>
        <v>10</v>
      </c>
      <c r="X317" s="26">
        <f t="shared" si="306"/>
        <v>38</v>
      </c>
      <c r="Y317" s="26">
        <f t="shared" si="306"/>
        <v>52</v>
      </c>
    </row>
    <row r="318" ht="15.75" customHeight="1">
      <c r="F318" s="23"/>
      <c r="G318" s="19">
        <f>$G$14</f>
        <v>6</v>
      </c>
      <c r="H318" s="20">
        <v>6.0</v>
      </c>
      <c r="I318" s="20">
        <v>3.0</v>
      </c>
      <c r="J318" s="20"/>
      <c r="K318" s="20"/>
      <c r="L318" s="20">
        <v>1.0</v>
      </c>
      <c r="N318" s="23"/>
      <c r="O318" s="19">
        <f>$G$14</f>
        <v>6</v>
      </c>
      <c r="P318" s="40">
        <f t="shared" ref="P318:T318" si="307">H318/U$342</f>
        <v>0.02181818182</v>
      </c>
      <c r="Q318" s="40">
        <f t="shared" si="307"/>
        <v>0.02830188679</v>
      </c>
      <c r="R318" s="40">
        <f t="shared" si="307"/>
        <v>0</v>
      </c>
      <c r="S318" s="40">
        <f t="shared" si="307"/>
        <v>0</v>
      </c>
      <c r="T318" s="40">
        <f t="shared" si="307"/>
        <v>0.02564102564</v>
      </c>
      <c r="U318" s="17">
        <f>$H$7</f>
        <v>31</v>
      </c>
      <c r="V318" s="17">
        <f>$I$7</f>
        <v>32</v>
      </c>
      <c r="W318" s="17">
        <f>$J$7</f>
        <v>41</v>
      </c>
      <c r="X318" s="17">
        <f>$K$7</f>
        <v>42</v>
      </c>
      <c r="Y318" s="17">
        <f>$L$7</f>
        <v>5</v>
      </c>
      <c r="AB318" s="16"/>
      <c r="AC318" s="17">
        <f>$H$7</f>
        <v>31</v>
      </c>
      <c r="AD318" s="17">
        <f>$I$7</f>
        <v>32</v>
      </c>
      <c r="AE318" s="17">
        <f>$J$7</f>
        <v>41</v>
      </c>
      <c r="AF318" s="17">
        <f>$K$7</f>
        <v>42</v>
      </c>
      <c r="AG318" s="17">
        <f>$L$7</f>
        <v>5</v>
      </c>
    </row>
    <row r="319" ht="15.75" customHeight="1">
      <c r="F319" s="23"/>
      <c r="G319" s="19">
        <f>$G$15</f>
        <v>7</v>
      </c>
      <c r="H319" s="20">
        <v>19.0</v>
      </c>
      <c r="I319" s="20">
        <v>8.0</v>
      </c>
      <c r="J319" s="20"/>
      <c r="K319" s="20"/>
      <c r="L319" s="20">
        <v>2.0</v>
      </c>
      <c r="N319" s="23"/>
      <c r="O319" s="19">
        <f>$G$15</f>
        <v>7</v>
      </c>
      <c r="P319" s="40">
        <f t="shared" ref="P319:T319" si="308">H319/U$342</f>
        <v>0.06909090909</v>
      </c>
      <c r="Q319" s="40">
        <f t="shared" si="308"/>
        <v>0.07547169811</v>
      </c>
      <c r="R319" s="40">
        <f t="shared" si="308"/>
        <v>0</v>
      </c>
      <c r="S319" s="40">
        <f t="shared" si="308"/>
        <v>0</v>
      </c>
      <c r="T319" s="40">
        <f t="shared" si="308"/>
        <v>0.05128205128</v>
      </c>
    </row>
    <row r="320" ht="15.75" customHeight="1">
      <c r="F320" s="23"/>
      <c r="G320" s="19">
        <f>$G$16</f>
        <v>8</v>
      </c>
      <c r="H320" s="20">
        <v>17.0</v>
      </c>
      <c r="I320" s="20">
        <v>9.0</v>
      </c>
      <c r="J320" s="20"/>
      <c r="K320" s="20"/>
      <c r="L320" s="20">
        <v>4.0</v>
      </c>
      <c r="N320" s="23"/>
      <c r="O320" s="19">
        <f>$G$16</f>
        <v>8</v>
      </c>
      <c r="P320" s="40">
        <f t="shared" ref="P320:T320" si="309">H320/U$342</f>
        <v>0.06181818182</v>
      </c>
      <c r="Q320" s="40">
        <f t="shared" si="309"/>
        <v>0.08490566038</v>
      </c>
      <c r="R320" s="40">
        <f t="shared" si="309"/>
        <v>0</v>
      </c>
      <c r="S320" s="40">
        <f t="shared" si="309"/>
        <v>0</v>
      </c>
      <c r="T320" s="40">
        <f t="shared" si="309"/>
        <v>0.1025641026</v>
      </c>
    </row>
    <row r="321" ht="15.75" customHeight="1">
      <c r="F321" s="23"/>
      <c r="G321" s="19">
        <f>$G$17</f>
        <v>9</v>
      </c>
      <c r="H321" s="20">
        <v>16.0</v>
      </c>
      <c r="I321" s="20">
        <v>6.0</v>
      </c>
      <c r="J321" s="20"/>
      <c r="K321" s="20">
        <v>1.0</v>
      </c>
      <c r="L321" s="20">
        <v>4.0</v>
      </c>
      <c r="N321" s="23"/>
      <c r="O321" s="19">
        <f>$G$17</f>
        <v>9</v>
      </c>
      <c r="P321" s="40">
        <f t="shared" ref="P321:T321" si="310">H321/U$342</f>
        <v>0.05818181818</v>
      </c>
      <c r="Q321" s="40">
        <f t="shared" si="310"/>
        <v>0.05660377358</v>
      </c>
      <c r="R321" s="40">
        <f t="shared" si="310"/>
        <v>0</v>
      </c>
      <c r="S321" s="40">
        <f t="shared" si="310"/>
        <v>0.05263157895</v>
      </c>
      <c r="T321" s="40">
        <f t="shared" si="310"/>
        <v>0.1025641026</v>
      </c>
    </row>
    <row r="322" ht="15.75" customHeight="1">
      <c r="F322" s="23"/>
      <c r="G322" s="19">
        <f>$G$18</f>
        <v>10</v>
      </c>
      <c r="H322" s="20">
        <v>15.0</v>
      </c>
      <c r="I322" s="20">
        <v>11.0</v>
      </c>
      <c r="J322" s="20"/>
      <c r="K322" s="20">
        <v>2.0</v>
      </c>
      <c r="L322" s="20">
        <v>4.0</v>
      </c>
      <c r="N322" s="23"/>
      <c r="O322" s="19">
        <f>$G$18</f>
        <v>10</v>
      </c>
      <c r="P322" s="40">
        <f t="shared" ref="P322:T322" si="311">H322/U$342</f>
        <v>0.05454545455</v>
      </c>
      <c r="Q322" s="40">
        <f t="shared" si="311"/>
        <v>0.1037735849</v>
      </c>
      <c r="R322" s="40">
        <f t="shared" si="311"/>
        <v>0</v>
      </c>
      <c r="S322" s="40">
        <f t="shared" si="311"/>
        <v>0.1052631579</v>
      </c>
      <c r="T322" s="40">
        <f t="shared" si="311"/>
        <v>0.1025641026</v>
      </c>
    </row>
    <row r="323" ht="15.75" customHeight="1">
      <c r="F323" s="23"/>
      <c r="G323" s="19">
        <f>$G$19</f>
        <v>11</v>
      </c>
      <c r="H323" s="20">
        <v>4.0</v>
      </c>
      <c r="I323" s="20">
        <v>7.0</v>
      </c>
      <c r="J323" s="20">
        <v>1.0</v>
      </c>
      <c r="K323" s="20">
        <v>5.0</v>
      </c>
      <c r="L323" s="20">
        <v>3.0</v>
      </c>
      <c r="N323" s="23"/>
      <c r="O323" s="19">
        <f>$G$19</f>
        <v>11</v>
      </c>
      <c r="P323" s="40">
        <f t="shared" ref="P323:T323" si="312">H323/U$342</f>
        <v>0.01454545455</v>
      </c>
      <c r="Q323" s="40">
        <f t="shared" si="312"/>
        <v>0.06603773585</v>
      </c>
      <c r="R323" s="40">
        <f t="shared" si="312"/>
        <v>0.3333333333</v>
      </c>
      <c r="S323" s="40">
        <f t="shared" si="312"/>
        <v>0.2631578947</v>
      </c>
      <c r="T323" s="40">
        <f t="shared" si="312"/>
        <v>0.07692307692</v>
      </c>
    </row>
    <row r="324" ht="15.75" customHeight="1">
      <c r="F324" s="23"/>
      <c r="G324" s="19">
        <f>$G$20</f>
        <v>12</v>
      </c>
      <c r="H324" s="20">
        <v>11.0</v>
      </c>
      <c r="I324" s="20">
        <v>4.0</v>
      </c>
      <c r="J324" s="20"/>
      <c r="K324" s="20">
        <v>1.0</v>
      </c>
      <c r="L324" s="20">
        <v>2.0</v>
      </c>
      <c r="N324" s="23"/>
      <c r="O324" s="19">
        <f>$G$20</f>
        <v>12</v>
      </c>
      <c r="P324" s="40">
        <f t="shared" ref="P324:T324" si="313">H324/U$342</f>
        <v>0.04</v>
      </c>
      <c r="Q324" s="40">
        <f t="shared" si="313"/>
        <v>0.03773584906</v>
      </c>
      <c r="R324" s="40">
        <f t="shared" si="313"/>
        <v>0</v>
      </c>
      <c r="S324" s="40">
        <f t="shared" si="313"/>
        <v>0.05263157895</v>
      </c>
      <c r="T324" s="40">
        <f t="shared" si="313"/>
        <v>0.05128205128</v>
      </c>
    </row>
    <row r="325" ht="15.75" customHeight="1">
      <c r="F325" s="23"/>
      <c r="G325" s="19">
        <f>$G$21</f>
        <v>13</v>
      </c>
      <c r="H325" s="20">
        <v>9.0</v>
      </c>
      <c r="I325" s="20">
        <v>4.0</v>
      </c>
      <c r="J325" s="20"/>
      <c r="K325" s="20">
        <v>1.0</v>
      </c>
      <c r="L325" s="20">
        <v>6.0</v>
      </c>
      <c r="N325" s="23"/>
      <c r="O325" s="19">
        <f>$G$21</f>
        <v>13</v>
      </c>
      <c r="P325" s="40">
        <f t="shared" ref="P325:T325" si="314">H325/U$342</f>
        <v>0.03272727273</v>
      </c>
      <c r="Q325" s="40">
        <f t="shared" si="314"/>
        <v>0.03773584906</v>
      </c>
      <c r="R325" s="40">
        <f t="shared" si="314"/>
        <v>0</v>
      </c>
      <c r="S325" s="40">
        <f t="shared" si="314"/>
        <v>0.05263157895</v>
      </c>
      <c r="T325" s="40">
        <f t="shared" si="314"/>
        <v>0.1538461538</v>
      </c>
    </row>
    <row r="326" ht="15.75" customHeight="1">
      <c r="F326" s="23"/>
      <c r="G326" s="19">
        <f>$G$22</f>
        <v>14</v>
      </c>
      <c r="H326" s="20">
        <v>20.0</v>
      </c>
      <c r="I326" s="20">
        <v>5.0</v>
      </c>
      <c r="J326" s="20"/>
      <c r="K326" s="20">
        <v>2.0</v>
      </c>
      <c r="L326" s="20">
        <v>4.0</v>
      </c>
      <c r="N326" s="23"/>
      <c r="O326" s="19">
        <f>$G$22</f>
        <v>14</v>
      </c>
      <c r="P326" s="40">
        <f t="shared" ref="P326:T326" si="315">H326/U$342</f>
        <v>0.07272727273</v>
      </c>
      <c r="Q326" s="40">
        <f t="shared" si="315"/>
        <v>0.04716981132</v>
      </c>
      <c r="R326" s="40">
        <f t="shared" si="315"/>
        <v>0</v>
      </c>
      <c r="S326" s="40">
        <f t="shared" si="315"/>
        <v>0.1052631579</v>
      </c>
      <c r="T326" s="40">
        <f t="shared" si="315"/>
        <v>0.1025641026</v>
      </c>
    </row>
    <row r="327" ht="15.75" customHeight="1">
      <c r="F327" s="23"/>
      <c r="G327" s="19">
        <f>$G$23</f>
        <v>15</v>
      </c>
      <c r="H327" s="20">
        <v>19.0</v>
      </c>
      <c r="I327" s="20">
        <v>8.0</v>
      </c>
      <c r="J327" s="20">
        <v>1.0</v>
      </c>
      <c r="K327" s="20">
        <v>1.0</v>
      </c>
      <c r="L327" s="20">
        <v>4.0</v>
      </c>
      <c r="N327" s="23"/>
      <c r="O327" s="19">
        <f>$G$23</f>
        <v>15</v>
      </c>
      <c r="P327" s="40">
        <f t="shared" ref="P327:T327" si="316">H327/U$342</f>
        <v>0.06909090909</v>
      </c>
      <c r="Q327" s="40">
        <f t="shared" si="316"/>
        <v>0.07547169811</v>
      </c>
      <c r="R327" s="40">
        <f t="shared" si="316"/>
        <v>0.3333333333</v>
      </c>
      <c r="S327" s="40">
        <f t="shared" si="316"/>
        <v>0.05263157895</v>
      </c>
      <c r="T327" s="40">
        <f t="shared" si="316"/>
        <v>0.1025641026</v>
      </c>
    </row>
    <row r="328" ht="15.75" customHeight="1">
      <c r="F328" s="23"/>
      <c r="G328" s="19">
        <f>$G$24</f>
        <v>16</v>
      </c>
      <c r="H328" s="20">
        <v>18.0</v>
      </c>
      <c r="I328" s="20">
        <v>5.0</v>
      </c>
      <c r="J328" s="20"/>
      <c r="K328" s="20">
        <v>2.0</v>
      </c>
      <c r="L328" s="20">
        <v>4.0</v>
      </c>
      <c r="N328" s="23"/>
      <c r="O328" s="19">
        <f>$G$24</f>
        <v>16</v>
      </c>
      <c r="P328" s="40">
        <f t="shared" ref="P328:T328" si="317">H328/U$342</f>
        <v>0.06545454545</v>
      </c>
      <c r="Q328" s="40">
        <f t="shared" si="317"/>
        <v>0.04716981132</v>
      </c>
      <c r="R328" s="40">
        <f t="shared" si="317"/>
        <v>0</v>
      </c>
      <c r="S328" s="40">
        <f t="shared" si="317"/>
        <v>0.1052631579</v>
      </c>
      <c r="T328" s="40">
        <f t="shared" si="317"/>
        <v>0.1025641026</v>
      </c>
    </row>
    <row r="329" ht="15.75" customHeight="1">
      <c r="F329" s="23"/>
      <c r="G329" s="19">
        <f>$G$25</f>
        <v>17</v>
      </c>
      <c r="H329" s="20">
        <v>30.0</v>
      </c>
      <c r="I329" s="20">
        <v>9.0</v>
      </c>
      <c r="J329" s="20">
        <v>1.0</v>
      </c>
      <c r="K329" s="20">
        <v>1.0</v>
      </c>
      <c r="L329" s="20">
        <v>1.0</v>
      </c>
      <c r="N329" s="23"/>
      <c r="O329" s="19">
        <f>$G$25</f>
        <v>17</v>
      </c>
      <c r="P329" s="40">
        <f t="shared" ref="P329:T329" si="318">H329/U$342</f>
        <v>0.1090909091</v>
      </c>
      <c r="Q329" s="40">
        <f t="shared" si="318"/>
        <v>0.08490566038</v>
      </c>
      <c r="R329" s="40">
        <f t="shared" si="318"/>
        <v>0.3333333333</v>
      </c>
      <c r="S329" s="40">
        <f t="shared" si="318"/>
        <v>0.05263157895</v>
      </c>
      <c r="T329" s="40">
        <f t="shared" si="318"/>
        <v>0.02564102564</v>
      </c>
    </row>
    <row r="330" ht="15.75" customHeight="1">
      <c r="F330" s="23"/>
      <c r="G330" s="19">
        <f>$G$26</f>
        <v>18</v>
      </c>
      <c r="H330" s="20">
        <v>27.0</v>
      </c>
      <c r="I330" s="20">
        <v>8.0</v>
      </c>
      <c r="J330" s="20"/>
      <c r="K330" s="20">
        <v>1.0</v>
      </c>
      <c r="L330" s="20"/>
      <c r="N330" s="23"/>
      <c r="O330" s="19">
        <f>$G$26</f>
        <v>18</v>
      </c>
      <c r="P330" s="40">
        <f t="shared" ref="P330:T330" si="319">H330/U$342</f>
        <v>0.09818181818</v>
      </c>
      <c r="Q330" s="40">
        <f t="shared" si="319"/>
        <v>0.07547169811</v>
      </c>
      <c r="R330" s="40">
        <f t="shared" si="319"/>
        <v>0</v>
      </c>
      <c r="S330" s="40">
        <f t="shared" si="319"/>
        <v>0.05263157895</v>
      </c>
      <c r="T330" s="40">
        <f t="shared" si="319"/>
        <v>0</v>
      </c>
    </row>
    <row r="331" ht="15.75" customHeight="1">
      <c r="F331" s="23"/>
      <c r="G331" s="19">
        <f>$G$27</f>
        <v>19</v>
      </c>
      <c r="H331" s="20">
        <v>16.0</v>
      </c>
      <c r="I331" s="20">
        <v>5.0</v>
      </c>
      <c r="J331" s="20"/>
      <c r="K331" s="20"/>
      <c r="L331" s="20"/>
      <c r="N331" s="23"/>
      <c r="O331" s="19">
        <f>$G$27</f>
        <v>19</v>
      </c>
      <c r="P331" s="40">
        <f t="shared" ref="P331:T331" si="320">H331/U$342</f>
        <v>0.05818181818</v>
      </c>
      <c r="Q331" s="40">
        <f t="shared" si="320"/>
        <v>0.04716981132</v>
      </c>
      <c r="R331" s="40">
        <f t="shared" si="320"/>
        <v>0</v>
      </c>
      <c r="S331" s="40">
        <f t="shared" si="320"/>
        <v>0</v>
      </c>
      <c r="T331" s="40">
        <f t="shared" si="320"/>
        <v>0</v>
      </c>
    </row>
    <row r="332" ht="15.75" customHeight="1">
      <c r="F332" s="23"/>
      <c r="G332" s="19">
        <f>$G$28</f>
        <v>20</v>
      </c>
      <c r="H332" s="20">
        <v>17.0</v>
      </c>
      <c r="I332" s="20">
        <v>2.0</v>
      </c>
      <c r="J332" s="20"/>
      <c r="K332" s="20"/>
      <c r="L332" s="20"/>
      <c r="N332" s="23"/>
      <c r="O332" s="19">
        <f>$G$28</f>
        <v>20</v>
      </c>
      <c r="P332" s="40">
        <f t="shared" ref="P332:T332" si="321">H332/U$342</f>
        <v>0.06181818182</v>
      </c>
      <c r="Q332" s="40">
        <f t="shared" si="321"/>
        <v>0.01886792453</v>
      </c>
      <c r="R332" s="40">
        <f t="shared" si="321"/>
        <v>0</v>
      </c>
      <c r="S332" s="40">
        <f t="shared" si="321"/>
        <v>0</v>
      </c>
      <c r="T332" s="40">
        <f t="shared" si="321"/>
        <v>0</v>
      </c>
    </row>
    <row r="333" ht="15.75" customHeight="1">
      <c r="F333" s="23"/>
      <c r="G333" s="19">
        <f>$G$29</f>
        <v>21</v>
      </c>
      <c r="H333" s="20">
        <v>6.0</v>
      </c>
      <c r="I333" s="20">
        <v>2.0</v>
      </c>
      <c r="J333" s="20"/>
      <c r="K333" s="20"/>
      <c r="L333" s="20"/>
      <c r="N333" s="23"/>
      <c r="O333" s="19">
        <f>$G$29</f>
        <v>21</v>
      </c>
      <c r="P333" s="40">
        <f t="shared" ref="P333:T333" si="322">H333/U$342</f>
        <v>0.02181818182</v>
      </c>
      <c r="Q333" s="40">
        <f t="shared" si="322"/>
        <v>0.01886792453</v>
      </c>
      <c r="R333" s="40">
        <f t="shared" si="322"/>
        <v>0</v>
      </c>
      <c r="S333" s="40">
        <f t="shared" si="322"/>
        <v>0</v>
      </c>
      <c r="T333" s="40">
        <f t="shared" si="322"/>
        <v>0</v>
      </c>
    </row>
    <row r="334" ht="15.75" customHeight="1">
      <c r="F334" s="23"/>
      <c r="G334" s="19">
        <f>$G$30</f>
        <v>22</v>
      </c>
      <c r="H334" s="20">
        <v>2.0</v>
      </c>
      <c r="I334" s="20">
        <v>1.0</v>
      </c>
      <c r="J334" s="20"/>
      <c r="K334" s="20"/>
      <c r="L334" s="20"/>
      <c r="N334" s="23"/>
      <c r="O334" s="19">
        <f>$G$30</f>
        <v>22</v>
      </c>
      <c r="P334" s="40">
        <f t="shared" ref="P334:T334" si="323">H334/U$342</f>
        <v>0.007272727273</v>
      </c>
      <c r="Q334" s="40">
        <f t="shared" si="323"/>
        <v>0.009433962264</v>
      </c>
      <c r="R334" s="40">
        <f t="shared" si="323"/>
        <v>0</v>
      </c>
      <c r="S334" s="40">
        <f t="shared" si="323"/>
        <v>0</v>
      </c>
      <c r="T334" s="40">
        <f t="shared" si="323"/>
        <v>0</v>
      </c>
    </row>
    <row r="335" ht="15.75" customHeight="1">
      <c r="F335" s="27"/>
      <c r="G335" s="19">
        <f>$G$31</f>
        <v>23</v>
      </c>
      <c r="H335" s="20">
        <v>8.0</v>
      </c>
      <c r="I335" s="20">
        <v>1.0</v>
      </c>
      <c r="J335" s="20"/>
      <c r="K335" s="20"/>
      <c r="L335" s="20"/>
      <c r="N335" s="27"/>
      <c r="O335" s="19">
        <f>$G$31</f>
        <v>23</v>
      </c>
      <c r="P335" s="40">
        <f t="shared" ref="P335:T335" si="324">H335/U$342</f>
        <v>0.02909090909</v>
      </c>
      <c r="Q335" s="40">
        <f t="shared" si="324"/>
        <v>0.009433962264</v>
      </c>
      <c r="R335" s="40">
        <f t="shared" si="324"/>
        <v>0</v>
      </c>
      <c r="S335" s="40">
        <f t="shared" si="324"/>
        <v>0</v>
      </c>
      <c r="T335" s="40">
        <f t="shared" si="324"/>
        <v>0</v>
      </c>
    </row>
    <row r="336" ht="15.75" customHeight="1">
      <c r="F336" s="56">
        <v>45220.0</v>
      </c>
      <c r="G336" s="19">
        <f>$G$8</f>
        <v>0</v>
      </c>
      <c r="H336" s="20">
        <v>8.0</v>
      </c>
      <c r="I336" s="20"/>
      <c r="J336" s="20"/>
      <c r="K336" s="20"/>
      <c r="L336" s="20"/>
      <c r="N336" s="56">
        <v>45220.0</v>
      </c>
      <c r="O336" s="19">
        <f>$G$8</f>
        <v>0</v>
      </c>
      <c r="P336" s="40">
        <f t="shared" ref="P336:T336" si="325">H336/U$367</f>
        <v>0.02597402597</v>
      </c>
      <c r="Q336" s="40">
        <f t="shared" si="325"/>
        <v>0</v>
      </c>
      <c r="R336" s="40">
        <f t="shared" si="325"/>
        <v>0</v>
      </c>
      <c r="S336" s="40">
        <f t="shared" si="325"/>
        <v>0</v>
      </c>
      <c r="T336" s="40">
        <f t="shared" si="325"/>
        <v>0</v>
      </c>
    </row>
    <row r="337" ht="15.75" customHeight="1">
      <c r="F337" s="23"/>
      <c r="G337" s="19">
        <f>$G$9</f>
        <v>1</v>
      </c>
      <c r="H337" s="20">
        <v>5.0</v>
      </c>
      <c r="I337" s="20"/>
      <c r="J337" s="20"/>
      <c r="K337" s="20">
        <v>1.0</v>
      </c>
      <c r="L337" s="20"/>
      <c r="N337" s="23"/>
      <c r="O337" s="19">
        <f>$G$9</f>
        <v>1</v>
      </c>
      <c r="P337" s="40">
        <f t="shared" ref="P337:T337" si="326">H337/U$367</f>
        <v>0.01623376623</v>
      </c>
      <c r="Q337" s="40">
        <f t="shared" si="326"/>
        <v>0</v>
      </c>
      <c r="R337" s="40">
        <f t="shared" si="326"/>
        <v>0</v>
      </c>
      <c r="S337" s="40">
        <f t="shared" si="326"/>
        <v>0.09090909091</v>
      </c>
      <c r="T337" s="40">
        <f t="shared" si="326"/>
        <v>0</v>
      </c>
    </row>
    <row r="338" ht="15.75" customHeight="1">
      <c r="F338" s="23"/>
      <c r="G338" s="19">
        <f>$G$10</f>
        <v>2</v>
      </c>
      <c r="H338" s="16">
        <v>1.0</v>
      </c>
      <c r="I338" s="16"/>
      <c r="J338" s="16"/>
      <c r="K338" s="16"/>
      <c r="L338" s="16"/>
      <c r="N338" s="23"/>
      <c r="O338" s="19">
        <f>$G$10</f>
        <v>2</v>
      </c>
      <c r="P338" s="40">
        <f t="shared" ref="P338:T338" si="327">H338/U$367</f>
        <v>0.003246753247</v>
      </c>
      <c r="Q338" s="40">
        <f t="shared" si="327"/>
        <v>0</v>
      </c>
      <c r="R338" s="40">
        <f t="shared" si="327"/>
        <v>0</v>
      </c>
      <c r="S338" s="40">
        <f t="shared" si="327"/>
        <v>0</v>
      </c>
      <c r="T338" s="40">
        <f t="shared" si="327"/>
        <v>0</v>
      </c>
    </row>
    <row r="339" ht="15.75" customHeight="1">
      <c r="F339" s="23"/>
      <c r="G339" s="19">
        <f>$G$11</f>
        <v>3</v>
      </c>
      <c r="H339" s="20">
        <v>2.0</v>
      </c>
      <c r="I339" s="20">
        <v>2.0</v>
      </c>
      <c r="J339" s="20"/>
      <c r="K339" s="20"/>
      <c r="L339" s="20"/>
      <c r="N339" s="23"/>
      <c r="O339" s="19">
        <f>$G$11</f>
        <v>3</v>
      </c>
      <c r="P339" s="40">
        <f t="shared" ref="P339:T339" si="328">H339/U$367</f>
        <v>0.006493506494</v>
      </c>
      <c r="Q339" s="40">
        <f t="shared" si="328"/>
        <v>0.01724137931</v>
      </c>
      <c r="R339" s="40">
        <f t="shared" si="328"/>
        <v>0</v>
      </c>
      <c r="S339" s="40">
        <f t="shared" si="328"/>
        <v>0</v>
      </c>
      <c r="T339" s="40">
        <f t="shared" si="328"/>
        <v>0</v>
      </c>
    </row>
    <row r="340" ht="15.75" customHeight="1">
      <c r="F340" s="23"/>
      <c r="G340" s="19">
        <f>$G$12</f>
        <v>4</v>
      </c>
      <c r="H340" s="20">
        <v>2.0</v>
      </c>
      <c r="I340" s="20">
        <v>2.0</v>
      </c>
      <c r="J340" s="20"/>
      <c r="K340" s="20">
        <v>2.0</v>
      </c>
      <c r="L340" s="20"/>
      <c r="N340" s="23"/>
      <c r="O340" s="19">
        <f>$G$12</f>
        <v>4</v>
      </c>
      <c r="P340" s="40">
        <f t="shared" ref="P340:T340" si="329">H340/U$367</f>
        <v>0.006493506494</v>
      </c>
      <c r="Q340" s="40">
        <f t="shared" si="329"/>
        <v>0.01724137931</v>
      </c>
      <c r="R340" s="40">
        <f t="shared" si="329"/>
        <v>0</v>
      </c>
      <c r="S340" s="40">
        <f t="shared" si="329"/>
        <v>0.1818181818</v>
      </c>
      <c r="T340" s="40">
        <f t="shared" si="329"/>
        <v>0</v>
      </c>
    </row>
    <row r="341" ht="15.75" customHeight="1">
      <c r="F341" s="23"/>
      <c r="G341" s="19">
        <f>$G$13</f>
        <v>5</v>
      </c>
      <c r="H341" s="20">
        <v>3.0</v>
      </c>
      <c r="I341" s="20">
        <v>2.0</v>
      </c>
      <c r="J341" s="20"/>
      <c r="K341" s="20"/>
      <c r="L341" s="20">
        <v>1.0</v>
      </c>
      <c r="N341" s="23"/>
      <c r="O341" s="19">
        <f>$G$13</f>
        <v>5</v>
      </c>
      <c r="P341" s="40">
        <f t="shared" ref="P341:T341" si="330">H341/U$367</f>
        <v>0.00974025974</v>
      </c>
      <c r="Q341" s="40">
        <f t="shared" si="330"/>
        <v>0.01724137931</v>
      </c>
      <c r="R341" s="40">
        <f t="shared" si="330"/>
        <v>0</v>
      </c>
      <c r="S341" s="40">
        <f t="shared" si="330"/>
        <v>0</v>
      </c>
      <c r="T341" s="40">
        <f t="shared" si="330"/>
        <v>0.04347826087</v>
      </c>
    </row>
    <row r="342" ht="15.75" customHeight="1">
      <c r="F342" s="23"/>
      <c r="G342" s="19">
        <f>$G$14</f>
        <v>6</v>
      </c>
      <c r="H342" s="20">
        <v>11.0</v>
      </c>
      <c r="I342" s="20">
        <v>7.0</v>
      </c>
      <c r="J342" s="20"/>
      <c r="K342" s="20"/>
      <c r="L342" s="20">
        <v>2.0</v>
      </c>
      <c r="N342" s="23"/>
      <c r="O342" s="19">
        <f>$G$14</f>
        <v>6</v>
      </c>
      <c r="P342" s="40">
        <f t="shared" ref="P342:T342" si="331">H342/U$367</f>
        <v>0.03571428571</v>
      </c>
      <c r="Q342" s="40">
        <f t="shared" si="331"/>
        <v>0.06034482759</v>
      </c>
      <c r="R342" s="40">
        <f t="shared" si="331"/>
        <v>0</v>
      </c>
      <c r="S342" s="40">
        <f t="shared" si="331"/>
        <v>0</v>
      </c>
      <c r="T342" s="40">
        <f t="shared" si="331"/>
        <v>0.08695652174</v>
      </c>
      <c r="U342" s="26">
        <f t="shared" ref="U342:Y342" si="332">SUM(H312:H335)</f>
        <v>275</v>
      </c>
      <c r="V342" s="26">
        <f t="shared" si="332"/>
        <v>106</v>
      </c>
      <c r="W342" s="26">
        <f t="shared" si="332"/>
        <v>3</v>
      </c>
      <c r="X342" s="26">
        <f t="shared" si="332"/>
        <v>19</v>
      </c>
      <c r="Y342" s="26">
        <f t="shared" si="332"/>
        <v>39</v>
      </c>
    </row>
    <row r="343" ht="15.75" customHeight="1">
      <c r="F343" s="23"/>
      <c r="G343" s="19">
        <f>$G$15</f>
        <v>7</v>
      </c>
      <c r="H343" s="20">
        <v>7.0</v>
      </c>
      <c r="I343" s="20">
        <v>2.0</v>
      </c>
      <c r="J343" s="20"/>
      <c r="K343" s="20">
        <v>1.0</v>
      </c>
      <c r="L343" s="20">
        <v>2.0</v>
      </c>
      <c r="N343" s="23"/>
      <c r="O343" s="19">
        <f>$G$15</f>
        <v>7</v>
      </c>
      <c r="P343" s="40">
        <f t="shared" ref="P343:T343" si="333">H343/U$367</f>
        <v>0.02272727273</v>
      </c>
      <c r="Q343" s="40">
        <f t="shared" si="333"/>
        <v>0.01724137931</v>
      </c>
      <c r="R343" s="40">
        <f t="shared" si="333"/>
        <v>0</v>
      </c>
      <c r="S343" s="40">
        <f t="shared" si="333"/>
        <v>0.09090909091</v>
      </c>
      <c r="T343" s="40">
        <f t="shared" si="333"/>
        <v>0.08695652174</v>
      </c>
      <c r="U343" s="17">
        <f>$H$7</f>
        <v>31</v>
      </c>
      <c r="V343" s="17">
        <f>$I$7</f>
        <v>32</v>
      </c>
      <c r="W343" s="17">
        <f>$J$7</f>
        <v>41</v>
      </c>
      <c r="X343" s="17">
        <f>$K$7</f>
        <v>42</v>
      </c>
      <c r="Y343" s="17">
        <f>$L$7</f>
        <v>5</v>
      </c>
      <c r="AB343" s="16"/>
      <c r="AC343" s="17">
        <f>$H$7</f>
        <v>31</v>
      </c>
      <c r="AD343" s="17">
        <f>$I$7</f>
        <v>32</v>
      </c>
      <c r="AE343" s="17">
        <f>$J$7</f>
        <v>41</v>
      </c>
      <c r="AF343" s="17">
        <f>$K$7</f>
        <v>42</v>
      </c>
      <c r="AG343" s="17">
        <f>$L$7</f>
        <v>5</v>
      </c>
    </row>
    <row r="344" ht="15.75" customHeight="1">
      <c r="F344" s="23"/>
      <c r="G344" s="19">
        <f>$G$16</f>
        <v>8</v>
      </c>
      <c r="H344" s="20">
        <v>17.0</v>
      </c>
      <c r="I344" s="20">
        <v>8.0</v>
      </c>
      <c r="J344" s="20"/>
      <c r="K344" s="20"/>
      <c r="L344" s="20">
        <v>2.0</v>
      </c>
      <c r="N344" s="23"/>
      <c r="O344" s="19">
        <f>$G$16</f>
        <v>8</v>
      </c>
      <c r="P344" s="40">
        <f t="shared" ref="P344:T344" si="334">H344/U$367</f>
        <v>0.05519480519</v>
      </c>
      <c r="Q344" s="40">
        <f t="shared" si="334"/>
        <v>0.06896551724</v>
      </c>
      <c r="R344" s="40">
        <f t="shared" si="334"/>
        <v>0</v>
      </c>
      <c r="S344" s="40">
        <f t="shared" si="334"/>
        <v>0</v>
      </c>
      <c r="T344" s="40">
        <f t="shared" si="334"/>
        <v>0.08695652174</v>
      </c>
    </row>
    <row r="345" ht="15.75" customHeight="1">
      <c r="F345" s="23"/>
      <c r="G345" s="19">
        <f>$G$17</f>
        <v>9</v>
      </c>
      <c r="H345" s="20">
        <v>17.0</v>
      </c>
      <c r="I345" s="20">
        <v>8.0</v>
      </c>
      <c r="J345" s="20">
        <v>3.0</v>
      </c>
      <c r="K345" s="20">
        <v>1.0</v>
      </c>
      <c r="L345" s="20">
        <v>2.0</v>
      </c>
      <c r="N345" s="23"/>
      <c r="O345" s="19">
        <f>$G$17</f>
        <v>9</v>
      </c>
      <c r="P345" s="40">
        <f t="shared" ref="P345:T345" si="335">H345/U$367</f>
        <v>0.05519480519</v>
      </c>
      <c r="Q345" s="40">
        <f t="shared" si="335"/>
        <v>0.06896551724</v>
      </c>
      <c r="R345" s="40">
        <f t="shared" si="335"/>
        <v>0.6</v>
      </c>
      <c r="S345" s="40">
        <f t="shared" si="335"/>
        <v>0.09090909091</v>
      </c>
      <c r="T345" s="40">
        <f t="shared" si="335"/>
        <v>0.08695652174</v>
      </c>
    </row>
    <row r="346" ht="15.75" customHeight="1">
      <c r="F346" s="23"/>
      <c r="G346" s="19">
        <f>$G$18</f>
        <v>10</v>
      </c>
      <c r="H346" s="20">
        <v>13.0</v>
      </c>
      <c r="I346" s="20">
        <v>7.0</v>
      </c>
      <c r="J346" s="20"/>
      <c r="K346" s="20">
        <v>1.0</v>
      </c>
      <c r="L346" s="20">
        <v>4.0</v>
      </c>
      <c r="N346" s="23"/>
      <c r="O346" s="19">
        <f>$G$18</f>
        <v>10</v>
      </c>
      <c r="P346" s="40">
        <f t="shared" ref="P346:T346" si="336">H346/U$367</f>
        <v>0.04220779221</v>
      </c>
      <c r="Q346" s="40">
        <f t="shared" si="336"/>
        <v>0.06034482759</v>
      </c>
      <c r="R346" s="40">
        <f t="shared" si="336"/>
        <v>0</v>
      </c>
      <c r="S346" s="40">
        <f t="shared" si="336"/>
        <v>0.09090909091</v>
      </c>
      <c r="T346" s="40">
        <f t="shared" si="336"/>
        <v>0.1739130435</v>
      </c>
    </row>
    <row r="347" ht="15.75" customHeight="1">
      <c r="F347" s="23"/>
      <c r="G347" s="19">
        <f>$G$19</f>
        <v>11</v>
      </c>
      <c r="H347" s="20">
        <v>27.0</v>
      </c>
      <c r="I347" s="20">
        <v>11.0</v>
      </c>
      <c r="J347" s="20">
        <v>1.0</v>
      </c>
      <c r="K347" s="20">
        <v>1.0</v>
      </c>
      <c r="L347" s="20">
        <v>3.0</v>
      </c>
      <c r="N347" s="23"/>
      <c r="O347" s="19">
        <f>$G$19</f>
        <v>11</v>
      </c>
      <c r="P347" s="40">
        <f t="shared" ref="P347:T347" si="337">H347/U$367</f>
        <v>0.08766233766</v>
      </c>
      <c r="Q347" s="40">
        <f t="shared" si="337"/>
        <v>0.09482758621</v>
      </c>
      <c r="R347" s="40">
        <f t="shared" si="337"/>
        <v>0.2</v>
      </c>
      <c r="S347" s="40">
        <f t="shared" si="337"/>
        <v>0.09090909091</v>
      </c>
      <c r="T347" s="40">
        <f t="shared" si="337"/>
        <v>0.1304347826</v>
      </c>
    </row>
    <row r="348" ht="15.75" customHeight="1">
      <c r="F348" s="23"/>
      <c r="G348" s="19">
        <f>$G$20</f>
        <v>12</v>
      </c>
      <c r="H348" s="20">
        <v>21.0</v>
      </c>
      <c r="I348" s="20">
        <v>3.0</v>
      </c>
      <c r="J348" s="20"/>
      <c r="K348" s="20">
        <v>1.0</v>
      </c>
      <c r="L348" s="20">
        <v>1.0</v>
      </c>
      <c r="N348" s="23"/>
      <c r="O348" s="19">
        <f>$G$20</f>
        <v>12</v>
      </c>
      <c r="P348" s="40">
        <f t="shared" ref="P348:T348" si="338">H348/U$367</f>
        <v>0.06818181818</v>
      </c>
      <c r="Q348" s="40">
        <f t="shared" si="338"/>
        <v>0.02586206897</v>
      </c>
      <c r="R348" s="40">
        <f t="shared" si="338"/>
        <v>0</v>
      </c>
      <c r="S348" s="40">
        <f t="shared" si="338"/>
        <v>0.09090909091</v>
      </c>
      <c r="T348" s="40">
        <f t="shared" si="338"/>
        <v>0.04347826087</v>
      </c>
    </row>
    <row r="349" ht="15.75" customHeight="1">
      <c r="F349" s="23"/>
      <c r="G349" s="19">
        <f>$G$21</f>
        <v>13</v>
      </c>
      <c r="H349" s="20">
        <v>16.0</v>
      </c>
      <c r="I349" s="20">
        <v>6.0</v>
      </c>
      <c r="J349" s="20"/>
      <c r="K349" s="20">
        <v>1.0</v>
      </c>
      <c r="L349" s="20">
        <v>3.0</v>
      </c>
      <c r="N349" s="23"/>
      <c r="O349" s="19">
        <f>$G$21</f>
        <v>13</v>
      </c>
      <c r="P349" s="40">
        <f t="shared" ref="P349:T349" si="339">H349/U$367</f>
        <v>0.05194805195</v>
      </c>
      <c r="Q349" s="40">
        <f t="shared" si="339"/>
        <v>0.05172413793</v>
      </c>
      <c r="R349" s="40">
        <f t="shared" si="339"/>
        <v>0</v>
      </c>
      <c r="S349" s="40">
        <f t="shared" si="339"/>
        <v>0.09090909091</v>
      </c>
      <c r="T349" s="40">
        <f t="shared" si="339"/>
        <v>0.1304347826</v>
      </c>
    </row>
    <row r="350" ht="15.75" customHeight="1">
      <c r="F350" s="23"/>
      <c r="G350" s="19">
        <f>$G$22</f>
        <v>14</v>
      </c>
      <c r="H350" s="20">
        <v>21.0</v>
      </c>
      <c r="I350" s="20">
        <v>7.0</v>
      </c>
      <c r="J350" s="20"/>
      <c r="K350" s="20"/>
      <c r="L350" s="20">
        <v>3.0</v>
      </c>
      <c r="N350" s="23"/>
      <c r="O350" s="19">
        <f>$G$22</f>
        <v>14</v>
      </c>
      <c r="P350" s="40">
        <f t="shared" ref="P350:T350" si="340">H350/U$367</f>
        <v>0.06818181818</v>
      </c>
      <c r="Q350" s="40">
        <f t="shared" si="340"/>
        <v>0.06034482759</v>
      </c>
      <c r="R350" s="40">
        <f t="shared" si="340"/>
        <v>0</v>
      </c>
      <c r="S350" s="40">
        <f t="shared" si="340"/>
        <v>0</v>
      </c>
      <c r="T350" s="40">
        <f t="shared" si="340"/>
        <v>0.1304347826</v>
      </c>
    </row>
    <row r="351" ht="15.75" customHeight="1">
      <c r="F351" s="23"/>
      <c r="G351" s="19">
        <f>$G$23</f>
        <v>15</v>
      </c>
      <c r="H351" s="20">
        <v>27.0</v>
      </c>
      <c r="I351" s="20">
        <v>11.0</v>
      </c>
      <c r="J351" s="20">
        <v>1.0</v>
      </c>
      <c r="K351" s="20">
        <v>2.0</v>
      </c>
      <c r="L351" s="20"/>
      <c r="N351" s="23"/>
      <c r="O351" s="19">
        <f>$G$23</f>
        <v>15</v>
      </c>
      <c r="P351" s="40">
        <f t="shared" ref="P351:T351" si="341">H351/U$367</f>
        <v>0.08766233766</v>
      </c>
      <c r="Q351" s="40">
        <f t="shared" si="341"/>
        <v>0.09482758621</v>
      </c>
      <c r="R351" s="40">
        <f t="shared" si="341"/>
        <v>0.2</v>
      </c>
      <c r="S351" s="40">
        <f t="shared" si="341"/>
        <v>0.1818181818</v>
      </c>
      <c r="T351" s="40">
        <f t="shared" si="341"/>
        <v>0</v>
      </c>
    </row>
    <row r="352" ht="15.75" customHeight="1">
      <c r="F352" s="23"/>
      <c r="G352" s="19">
        <f>$G$24</f>
        <v>16</v>
      </c>
      <c r="H352" s="20">
        <v>37.0</v>
      </c>
      <c r="I352" s="20">
        <v>11.0</v>
      </c>
      <c r="J352" s="20"/>
      <c r="K352" s="20"/>
      <c r="L352" s="20"/>
      <c r="N352" s="23"/>
      <c r="O352" s="19">
        <f>$G$24</f>
        <v>16</v>
      </c>
      <c r="P352" s="40">
        <f t="shared" ref="P352:T352" si="342">H352/U$367</f>
        <v>0.1201298701</v>
      </c>
      <c r="Q352" s="40">
        <f t="shared" si="342"/>
        <v>0.09482758621</v>
      </c>
      <c r="R352" s="40">
        <f t="shared" si="342"/>
        <v>0</v>
      </c>
      <c r="S352" s="40">
        <f t="shared" si="342"/>
        <v>0</v>
      </c>
      <c r="T352" s="40">
        <f t="shared" si="342"/>
        <v>0</v>
      </c>
    </row>
    <row r="353" ht="15.75" customHeight="1">
      <c r="F353" s="23"/>
      <c r="G353" s="19">
        <f>$G$25</f>
        <v>17</v>
      </c>
      <c r="H353" s="20">
        <v>17.0</v>
      </c>
      <c r="I353" s="20">
        <v>10.0</v>
      </c>
      <c r="J353" s="20"/>
      <c r="K353" s="20"/>
      <c r="L353" s="20"/>
      <c r="N353" s="23"/>
      <c r="O353" s="19">
        <f>$G$25</f>
        <v>17</v>
      </c>
      <c r="P353" s="40">
        <f t="shared" ref="P353:T353" si="343">H353/U$367</f>
        <v>0.05519480519</v>
      </c>
      <c r="Q353" s="40">
        <f t="shared" si="343"/>
        <v>0.08620689655</v>
      </c>
      <c r="R353" s="40">
        <f t="shared" si="343"/>
        <v>0</v>
      </c>
      <c r="S353" s="40">
        <f t="shared" si="343"/>
        <v>0</v>
      </c>
      <c r="T353" s="40">
        <f t="shared" si="343"/>
        <v>0</v>
      </c>
    </row>
    <row r="354" ht="15.75" customHeight="1">
      <c r="F354" s="23"/>
      <c r="G354" s="19">
        <f>$G$26</f>
        <v>18</v>
      </c>
      <c r="H354" s="20">
        <v>20.0</v>
      </c>
      <c r="I354" s="20">
        <v>10.0</v>
      </c>
      <c r="J354" s="20"/>
      <c r="K354" s="20"/>
      <c r="L354" s="20"/>
      <c r="N354" s="23"/>
      <c r="O354" s="19">
        <f>$G$26</f>
        <v>18</v>
      </c>
      <c r="P354" s="40">
        <f t="shared" ref="P354:T354" si="344">H354/U$367</f>
        <v>0.06493506494</v>
      </c>
      <c r="Q354" s="40">
        <f t="shared" si="344"/>
        <v>0.08620689655</v>
      </c>
      <c r="R354" s="40">
        <f t="shared" si="344"/>
        <v>0</v>
      </c>
      <c r="S354" s="40">
        <f t="shared" si="344"/>
        <v>0</v>
      </c>
      <c r="T354" s="40">
        <f t="shared" si="344"/>
        <v>0</v>
      </c>
    </row>
    <row r="355" ht="15.75" customHeight="1">
      <c r="F355" s="23"/>
      <c r="G355" s="19">
        <f>$G$27</f>
        <v>19</v>
      </c>
      <c r="H355" s="20">
        <v>17.0</v>
      </c>
      <c r="I355" s="20">
        <v>4.0</v>
      </c>
      <c r="J355" s="20"/>
      <c r="K355" s="20"/>
      <c r="L355" s="20"/>
      <c r="N355" s="23"/>
      <c r="O355" s="19">
        <f>$G$27</f>
        <v>19</v>
      </c>
      <c r="P355" s="40">
        <f t="shared" ref="P355:T355" si="345">H355/U$367</f>
        <v>0.05519480519</v>
      </c>
      <c r="Q355" s="40">
        <f t="shared" si="345"/>
        <v>0.03448275862</v>
      </c>
      <c r="R355" s="40">
        <f t="shared" si="345"/>
        <v>0</v>
      </c>
      <c r="S355" s="40">
        <f t="shared" si="345"/>
        <v>0</v>
      </c>
      <c r="T355" s="40">
        <f t="shared" si="345"/>
        <v>0</v>
      </c>
    </row>
    <row r="356" ht="15.75" customHeight="1">
      <c r="F356" s="23"/>
      <c r="G356" s="19">
        <f>$G$28</f>
        <v>20</v>
      </c>
      <c r="H356" s="20">
        <v>5.0</v>
      </c>
      <c r="I356" s="20">
        <v>3.0</v>
      </c>
      <c r="J356" s="20"/>
      <c r="K356" s="20"/>
      <c r="L356" s="20"/>
      <c r="N356" s="23"/>
      <c r="O356" s="19">
        <f>$G$28</f>
        <v>20</v>
      </c>
      <c r="P356" s="40">
        <f t="shared" ref="P356:T356" si="346">H356/U$367</f>
        <v>0.01623376623</v>
      </c>
      <c r="Q356" s="40">
        <f t="shared" si="346"/>
        <v>0.02586206897</v>
      </c>
      <c r="R356" s="40">
        <f t="shared" si="346"/>
        <v>0</v>
      </c>
      <c r="S356" s="40">
        <f t="shared" si="346"/>
        <v>0</v>
      </c>
      <c r="T356" s="40">
        <f t="shared" si="346"/>
        <v>0</v>
      </c>
    </row>
    <row r="357" ht="15.75" customHeight="1">
      <c r="F357" s="23"/>
      <c r="G357" s="19">
        <f>$G$29</f>
        <v>21</v>
      </c>
      <c r="H357" s="20">
        <v>7.0</v>
      </c>
      <c r="I357" s="20">
        <v>2.0</v>
      </c>
      <c r="J357" s="20"/>
      <c r="K357" s="20"/>
      <c r="L357" s="20"/>
      <c r="N357" s="23"/>
      <c r="O357" s="19">
        <f>$G$29</f>
        <v>21</v>
      </c>
      <c r="P357" s="40">
        <f t="shared" ref="P357:T357" si="347">H357/U$367</f>
        <v>0.02272727273</v>
      </c>
      <c r="Q357" s="40">
        <f t="shared" si="347"/>
        <v>0.01724137931</v>
      </c>
      <c r="R357" s="40">
        <f t="shared" si="347"/>
        <v>0</v>
      </c>
      <c r="S357" s="40">
        <f t="shared" si="347"/>
        <v>0</v>
      </c>
      <c r="T357" s="40">
        <f t="shared" si="347"/>
        <v>0</v>
      </c>
    </row>
    <row r="358" ht="15.75" customHeight="1">
      <c r="F358" s="23"/>
      <c r="G358" s="19">
        <f>$G$30</f>
        <v>22</v>
      </c>
      <c r="H358" s="20">
        <v>4.0</v>
      </c>
      <c r="I358" s="20"/>
      <c r="J358" s="20"/>
      <c r="K358" s="20"/>
      <c r="L358" s="20"/>
      <c r="N358" s="23"/>
      <c r="O358" s="19">
        <f>$G$30</f>
        <v>22</v>
      </c>
      <c r="P358" s="40">
        <f t="shared" ref="P358:T358" si="348">H358/U$367</f>
        <v>0.01298701299</v>
      </c>
      <c r="Q358" s="40">
        <f t="shared" si="348"/>
        <v>0</v>
      </c>
      <c r="R358" s="40">
        <f t="shared" si="348"/>
        <v>0</v>
      </c>
      <c r="S358" s="40">
        <f t="shared" si="348"/>
        <v>0</v>
      </c>
      <c r="T358" s="40">
        <f t="shared" si="348"/>
        <v>0</v>
      </c>
    </row>
    <row r="359" ht="15.75" customHeight="1">
      <c r="F359" s="27"/>
      <c r="G359" s="19">
        <f>$G$31</f>
        <v>23</v>
      </c>
      <c r="H359" s="20">
        <v>3.0</v>
      </c>
      <c r="I359" s="20"/>
      <c r="J359" s="20"/>
      <c r="K359" s="20"/>
      <c r="L359" s="20"/>
      <c r="N359" s="27"/>
      <c r="O359" s="19">
        <f>$G$31</f>
        <v>23</v>
      </c>
      <c r="P359" s="40">
        <f t="shared" ref="P359:T359" si="349">H359/U$367</f>
        <v>0.00974025974</v>
      </c>
      <c r="Q359" s="40">
        <f t="shared" si="349"/>
        <v>0</v>
      </c>
      <c r="R359" s="40">
        <f t="shared" si="349"/>
        <v>0</v>
      </c>
      <c r="S359" s="40">
        <f t="shared" si="349"/>
        <v>0</v>
      </c>
      <c r="T359" s="40">
        <f t="shared" si="349"/>
        <v>0</v>
      </c>
    </row>
    <row r="360" ht="15.75" customHeight="1">
      <c r="F360" s="56">
        <v>45221.0</v>
      </c>
      <c r="G360" s="19">
        <f>$G$8</f>
        <v>0</v>
      </c>
      <c r="H360" s="20">
        <v>3.0</v>
      </c>
      <c r="I360" s="20">
        <v>1.0</v>
      </c>
      <c r="J360" s="20"/>
      <c r="K360" s="20"/>
      <c r="L360" s="20"/>
      <c r="N360" s="56">
        <v>45221.0</v>
      </c>
      <c r="O360" s="19">
        <f>$G$8</f>
        <v>0</v>
      </c>
      <c r="P360" s="40">
        <f t="shared" ref="P360:T360" si="350">H360/H$396</f>
        <v>0.00974025974</v>
      </c>
      <c r="Q360" s="40">
        <f t="shared" si="350"/>
        <v>0.01086956522</v>
      </c>
      <c r="R360" s="40">
        <f t="shared" si="350"/>
        <v>0</v>
      </c>
      <c r="S360" s="40">
        <f t="shared" si="350"/>
        <v>0</v>
      </c>
      <c r="T360" s="40">
        <f t="shared" si="350"/>
        <v>0</v>
      </c>
    </row>
    <row r="361" ht="15.75" customHeight="1">
      <c r="F361" s="23"/>
      <c r="G361" s="19">
        <f>$G$9</f>
        <v>1</v>
      </c>
      <c r="H361" s="20">
        <v>9.0</v>
      </c>
      <c r="I361" s="20"/>
      <c r="J361" s="20"/>
      <c r="K361" s="20">
        <v>1.0</v>
      </c>
      <c r="L361" s="20"/>
      <c r="N361" s="23"/>
      <c r="O361" s="19">
        <f>$G$9</f>
        <v>1</v>
      </c>
      <c r="P361" s="40">
        <f t="shared" ref="P361:T361" si="351">H361/H$396</f>
        <v>0.02922077922</v>
      </c>
      <c r="Q361" s="40">
        <f t="shared" si="351"/>
        <v>0</v>
      </c>
      <c r="R361" s="40">
        <f t="shared" si="351"/>
        <v>0</v>
      </c>
      <c r="S361" s="40">
        <f t="shared" si="351"/>
        <v>0.3333333333</v>
      </c>
      <c r="T361" s="40">
        <f t="shared" si="351"/>
        <v>0</v>
      </c>
    </row>
    <row r="362" ht="15.75" customHeight="1">
      <c r="F362" s="23"/>
      <c r="G362" s="19">
        <f>$G$10</f>
        <v>2</v>
      </c>
      <c r="H362" s="16">
        <v>1.0</v>
      </c>
      <c r="I362" s="16"/>
      <c r="J362" s="16"/>
      <c r="K362" s="16"/>
      <c r="L362" s="16"/>
      <c r="N362" s="23"/>
      <c r="O362" s="19">
        <f>$G$10</f>
        <v>2</v>
      </c>
      <c r="P362" s="40">
        <f t="shared" ref="P362:T362" si="352">H362/H$396</f>
        <v>0.003246753247</v>
      </c>
      <c r="Q362" s="40">
        <f t="shared" si="352"/>
        <v>0</v>
      </c>
      <c r="R362" s="40">
        <f t="shared" si="352"/>
        <v>0</v>
      </c>
      <c r="S362" s="40">
        <f t="shared" si="352"/>
        <v>0</v>
      </c>
      <c r="T362" s="40">
        <f t="shared" si="352"/>
        <v>0</v>
      </c>
    </row>
    <row r="363" ht="15.75" customHeight="1">
      <c r="F363" s="23"/>
      <c r="G363" s="19">
        <f>$G$11</f>
        <v>3</v>
      </c>
      <c r="H363" s="20">
        <v>1.0</v>
      </c>
      <c r="I363" s="20"/>
      <c r="J363" s="20"/>
      <c r="K363" s="20"/>
      <c r="L363" s="20"/>
      <c r="N363" s="23"/>
      <c r="O363" s="19">
        <f>$G$11</f>
        <v>3</v>
      </c>
      <c r="P363" s="40">
        <f t="shared" ref="P363:T363" si="353">H363/H$396</f>
        <v>0.003246753247</v>
      </c>
      <c r="Q363" s="40">
        <f t="shared" si="353"/>
        <v>0</v>
      </c>
      <c r="R363" s="40">
        <f t="shared" si="353"/>
        <v>0</v>
      </c>
      <c r="S363" s="40">
        <f t="shared" si="353"/>
        <v>0</v>
      </c>
      <c r="T363" s="40">
        <f t="shared" si="353"/>
        <v>0</v>
      </c>
    </row>
    <row r="364" ht="15.75" customHeight="1">
      <c r="F364" s="23"/>
      <c r="G364" s="19">
        <f>$G$12</f>
        <v>4</v>
      </c>
      <c r="H364" s="20">
        <v>3.0</v>
      </c>
      <c r="I364" s="20">
        <v>2.0</v>
      </c>
      <c r="J364" s="20"/>
      <c r="K364" s="20"/>
      <c r="L364" s="20"/>
      <c r="N364" s="23"/>
      <c r="O364" s="19">
        <f>$G$12</f>
        <v>4</v>
      </c>
      <c r="P364" s="40">
        <f t="shared" ref="P364:T364" si="354">H364/H$396</f>
        <v>0.00974025974</v>
      </c>
      <c r="Q364" s="40">
        <f t="shared" si="354"/>
        <v>0.02173913043</v>
      </c>
      <c r="R364" s="40">
        <f t="shared" si="354"/>
        <v>0</v>
      </c>
      <c r="S364" s="40">
        <f t="shared" si="354"/>
        <v>0</v>
      </c>
      <c r="T364" s="40">
        <f t="shared" si="354"/>
        <v>0</v>
      </c>
    </row>
    <row r="365" ht="15.75" customHeight="1">
      <c r="F365" s="23"/>
      <c r="G365" s="19">
        <f>$G$13</f>
        <v>5</v>
      </c>
      <c r="H365" s="20">
        <v>6.0</v>
      </c>
      <c r="I365" s="20">
        <v>3.0</v>
      </c>
      <c r="J365" s="20"/>
      <c r="K365" s="20"/>
      <c r="L365" s="20">
        <v>1.0</v>
      </c>
      <c r="N365" s="23"/>
      <c r="O365" s="19">
        <f>$G$13</f>
        <v>5</v>
      </c>
      <c r="P365" s="40">
        <f t="shared" ref="P365:T365" si="355">H365/H$396</f>
        <v>0.01948051948</v>
      </c>
      <c r="Q365" s="40">
        <f t="shared" si="355"/>
        <v>0.03260869565</v>
      </c>
      <c r="R365" s="40">
        <f t="shared" si="355"/>
        <v>0</v>
      </c>
      <c r="S365" s="40">
        <f t="shared" si="355"/>
        <v>0</v>
      </c>
      <c r="T365" s="40">
        <f t="shared" si="355"/>
        <v>0.5</v>
      </c>
    </row>
    <row r="366" ht="15.75" customHeight="1">
      <c r="F366" s="23"/>
      <c r="G366" s="19">
        <f>$G$14</f>
        <v>6</v>
      </c>
      <c r="H366" s="20">
        <v>8.0</v>
      </c>
      <c r="I366" s="20">
        <v>1.0</v>
      </c>
      <c r="J366" s="20"/>
      <c r="K366" s="20"/>
      <c r="L366" s="20"/>
      <c r="N366" s="23"/>
      <c r="O366" s="19">
        <f>$G$14</f>
        <v>6</v>
      </c>
      <c r="P366" s="40">
        <f t="shared" ref="P366:T366" si="356">H366/H$396</f>
        <v>0.02597402597</v>
      </c>
      <c r="Q366" s="40">
        <f t="shared" si="356"/>
        <v>0.01086956522</v>
      </c>
      <c r="R366" s="40">
        <f t="shared" si="356"/>
        <v>0</v>
      </c>
      <c r="S366" s="40">
        <f t="shared" si="356"/>
        <v>0</v>
      </c>
      <c r="T366" s="40">
        <f t="shared" si="356"/>
        <v>0</v>
      </c>
    </row>
    <row r="367" ht="15.75" customHeight="1">
      <c r="F367" s="23"/>
      <c r="G367" s="19">
        <f>$G$15</f>
        <v>7</v>
      </c>
      <c r="H367" s="20">
        <v>7.0</v>
      </c>
      <c r="I367" s="20">
        <v>7.0</v>
      </c>
      <c r="J367" s="20"/>
      <c r="K367" s="20"/>
      <c r="L367" s="20"/>
      <c r="N367" s="23"/>
      <c r="O367" s="19">
        <f>$G$15</f>
        <v>7</v>
      </c>
      <c r="P367" s="40">
        <f t="shared" ref="P367:T367" si="357">H367/H$396</f>
        <v>0.02272727273</v>
      </c>
      <c r="Q367" s="40">
        <f t="shared" si="357"/>
        <v>0.07608695652</v>
      </c>
      <c r="R367" s="40">
        <f t="shared" si="357"/>
        <v>0</v>
      </c>
      <c r="S367" s="40">
        <f t="shared" si="357"/>
        <v>0</v>
      </c>
      <c r="T367" s="40">
        <f t="shared" si="357"/>
        <v>0</v>
      </c>
      <c r="U367" s="26">
        <f t="shared" ref="U367:Y367" si="358">SUM(H336:H359)</f>
        <v>308</v>
      </c>
      <c r="V367" s="26">
        <f t="shared" si="358"/>
        <v>116</v>
      </c>
      <c r="W367" s="26">
        <f t="shared" si="358"/>
        <v>5</v>
      </c>
      <c r="X367" s="26">
        <f t="shared" si="358"/>
        <v>11</v>
      </c>
      <c r="Y367" s="26">
        <f t="shared" si="358"/>
        <v>23</v>
      </c>
    </row>
    <row r="368" ht="15.75" customHeight="1">
      <c r="F368" s="23"/>
      <c r="G368" s="19">
        <f>$G$16</f>
        <v>8</v>
      </c>
      <c r="H368" s="20">
        <v>13.0</v>
      </c>
      <c r="I368" s="20">
        <v>1.0</v>
      </c>
      <c r="J368" s="20"/>
      <c r="K368" s="20">
        <v>1.0</v>
      </c>
      <c r="L368" s="20">
        <v>1.0</v>
      </c>
      <c r="N368" s="23"/>
      <c r="O368" s="19">
        <f>$G$16</f>
        <v>8</v>
      </c>
      <c r="P368" s="40">
        <f t="shared" ref="P368:T368" si="359">H368/H$396</f>
        <v>0.04220779221</v>
      </c>
      <c r="Q368" s="40">
        <f t="shared" si="359"/>
        <v>0.01086956522</v>
      </c>
      <c r="R368" s="40">
        <f t="shared" si="359"/>
        <v>0</v>
      </c>
      <c r="S368" s="40">
        <f t="shared" si="359"/>
        <v>0.3333333333</v>
      </c>
      <c r="T368" s="40">
        <f t="shared" si="359"/>
        <v>0.5</v>
      </c>
      <c r="U368" s="17">
        <f>$H$7</f>
        <v>31</v>
      </c>
      <c r="V368" s="17">
        <f>$I$7</f>
        <v>32</v>
      </c>
      <c r="W368" s="17">
        <f>$J$7</f>
        <v>41</v>
      </c>
      <c r="X368" s="17">
        <f>$K$7</f>
        <v>42</v>
      </c>
      <c r="Y368" s="17">
        <f>$L$7</f>
        <v>5</v>
      </c>
      <c r="AB368" s="16"/>
      <c r="AC368" s="17">
        <f>$H$7</f>
        <v>31</v>
      </c>
      <c r="AD368" s="17">
        <f>$I$7</f>
        <v>32</v>
      </c>
      <c r="AE368" s="17">
        <f>$J$7</f>
        <v>41</v>
      </c>
      <c r="AF368" s="17">
        <f>$K$7</f>
        <v>42</v>
      </c>
      <c r="AG368" s="17">
        <f>$L$7</f>
        <v>5</v>
      </c>
    </row>
    <row r="369" ht="15.75" customHeight="1">
      <c r="F369" s="23"/>
      <c r="G369" s="19">
        <f>$G$17</f>
        <v>9</v>
      </c>
      <c r="H369" s="20">
        <v>16.0</v>
      </c>
      <c r="I369" s="20">
        <v>8.0</v>
      </c>
      <c r="J369" s="20"/>
      <c r="K369" s="20"/>
      <c r="L369" s="20"/>
      <c r="N369" s="23"/>
      <c r="O369" s="19">
        <f>$G$17</f>
        <v>9</v>
      </c>
      <c r="P369" s="40">
        <f t="shared" ref="P369:T369" si="360">H369/H$396</f>
        <v>0.05194805195</v>
      </c>
      <c r="Q369" s="40">
        <f t="shared" si="360"/>
        <v>0.08695652174</v>
      </c>
      <c r="R369" s="40">
        <f t="shared" si="360"/>
        <v>0</v>
      </c>
      <c r="S369" s="40">
        <f t="shared" si="360"/>
        <v>0</v>
      </c>
      <c r="T369" s="40">
        <f t="shared" si="360"/>
        <v>0</v>
      </c>
    </row>
    <row r="370" ht="15.75" customHeight="1">
      <c r="F370" s="23"/>
      <c r="G370" s="19">
        <f>$G$18</f>
        <v>10</v>
      </c>
      <c r="H370" s="20">
        <v>25.0</v>
      </c>
      <c r="I370" s="20">
        <v>6.0</v>
      </c>
      <c r="J370" s="20"/>
      <c r="K370" s="20"/>
      <c r="L370" s="20"/>
      <c r="N370" s="23"/>
      <c r="O370" s="19">
        <f>$G$18</f>
        <v>10</v>
      </c>
      <c r="P370" s="40">
        <f t="shared" ref="P370:T370" si="361">H370/H$396</f>
        <v>0.08116883117</v>
      </c>
      <c r="Q370" s="40">
        <f t="shared" si="361"/>
        <v>0.0652173913</v>
      </c>
      <c r="R370" s="40">
        <f t="shared" si="361"/>
        <v>0</v>
      </c>
      <c r="S370" s="40">
        <f t="shared" si="361"/>
        <v>0</v>
      </c>
      <c r="T370" s="40">
        <f t="shared" si="361"/>
        <v>0</v>
      </c>
    </row>
    <row r="371" ht="15.75" customHeight="1">
      <c r="F371" s="23"/>
      <c r="G371" s="19">
        <f>$G$19</f>
        <v>11</v>
      </c>
      <c r="H371" s="20">
        <v>15.0</v>
      </c>
      <c r="I371" s="20">
        <v>5.0</v>
      </c>
      <c r="J371" s="20">
        <v>1.0</v>
      </c>
      <c r="K371" s="20">
        <v>1.0</v>
      </c>
      <c r="L371" s="20"/>
      <c r="N371" s="23"/>
      <c r="O371" s="19">
        <f>$G$19</f>
        <v>11</v>
      </c>
      <c r="P371" s="40">
        <f t="shared" ref="P371:T371" si="362">H371/H$396</f>
        <v>0.0487012987</v>
      </c>
      <c r="Q371" s="40">
        <f t="shared" si="362"/>
        <v>0.05434782609</v>
      </c>
      <c r="R371" s="40">
        <f t="shared" si="362"/>
        <v>1</v>
      </c>
      <c r="S371" s="40">
        <f t="shared" si="362"/>
        <v>0.3333333333</v>
      </c>
      <c r="T371" s="40">
        <f t="shared" si="362"/>
        <v>0</v>
      </c>
    </row>
    <row r="372" ht="15.75" customHeight="1">
      <c r="F372" s="23"/>
      <c r="G372" s="19">
        <f>$G$20</f>
        <v>12</v>
      </c>
      <c r="H372" s="20">
        <v>17.0</v>
      </c>
      <c r="I372" s="20">
        <v>8.0</v>
      </c>
      <c r="J372" s="20"/>
      <c r="K372" s="20"/>
      <c r="L372" s="20"/>
      <c r="N372" s="23"/>
      <c r="O372" s="19">
        <f>$G$20</f>
        <v>12</v>
      </c>
      <c r="P372" s="40">
        <f t="shared" ref="P372:T372" si="363">H372/H$396</f>
        <v>0.05519480519</v>
      </c>
      <c r="Q372" s="40">
        <f t="shared" si="363"/>
        <v>0.08695652174</v>
      </c>
      <c r="R372" s="40">
        <f t="shared" si="363"/>
        <v>0</v>
      </c>
      <c r="S372" s="40">
        <f t="shared" si="363"/>
        <v>0</v>
      </c>
      <c r="T372" s="40">
        <f t="shared" si="363"/>
        <v>0</v>
      </c>
    </row>
    <row r="373" ht="15.75" customHeight="1">
      <c r="F373" s="23"/>
      <c r="G373" s="19">
        <f>$G$21</f>
        <v>13</v>
      </c>
      <c r="H373" s="20">
        <v>17.0</v>
      </c>
      <c r="I373" s="20">
        <v>5.0</v>
      </c>
      <c r="J373" s="20"/>
      <c r="K373" s="20"/>
      <c r="L373" s="20"/>
      <c r="N373" s="23"/>
      <c r="O373" s="19">
        <f>$G$21</f>
        <v>13</v>
      </c>
      <c r="P373" s="40">
        <f t="shared" ref="P373:T373" si="364">H373/H$396</f>
        <v>0.05519480519</v>
      </c>
      <c r="Q373" s="40">
        <f t="shared" si="364"/>
        <v>0.05434782609</v>
      </c>
      <c r="R373" s="40">
        <f t="shared" si="364"/>
        <v>0</v>
      </c>
      <c r="S373" s="40">
        <f t="shared" si="364"/>
        <v>0</v>
      </c>
      <c r="T373" s="40">
        <f t="shared" si="364"/>
        <v>0</v>
      </c>
    </row>
    <row r="374" ht="15.75" customHeight="1">
      <c r="F374" s="23"/>
      <c r="G374" s="19">
        <f>$G$22</f>
        <v>14</v>
      </c>
      <c r="H374" s="20">
        <v>25.0</v>
      </c>
      <c r="I374" s="20">
        <v>5.0</v>
      </c>
      <c r="J374" s="20"/>
      <c r="K374" s="20"/>
      <c r="L374" s="20"/>
      <c r="N374" s="23"/>
      <c r="O374" s="19">
        <f>$G$22</f>
        <v>14</v>
      </c>
      <c r="P374" s="40">
        <f t="shared" ref="P374:T374" si="365">H374/H$396</f>
        <v>0.08116883117</v>
      </c>
      <c r="Q374" s="40">
        <f t="shared" si="365"/>
        <v>0.05434782609</v>
      </c>
      <c r="R374" s="40">
        <f t="shared" si="365"/>
        <v>0</v>
      </c>
      <c r="S374" s="40">
        <f t="shared" si="365"/>
        <v>0</v>
      </c>
      <c r="T374" s="40">
        <f t="shared" si="365"/>
        <v>0</v>
      </c>
    </row>
    <row r="375" ht="15.75" customHeight="1">
      <c r="F375" s="23"/>
      <c r="G375" s="19">
        <f>$G$23</f>
        <v>15</v>
      </c>
      <c r="H375" s="20">
        <v>30.0</v>
      </c>
      <c r="I375" s="20">
        <v>5.0</v>
      </c>
      <c r="J375" s="20"/>
      <c r="K375" s="20"/>
      <c r="L375" s="20"/>
      <c r="N375" s="23"/>
      <c r="O375" s="19">
        <f>$G$23</f>
        <v>15</v>
      </c>
      <c r="P375" s="40">
        <f t="shared" ref="P375:T375" si="366">H375/H$396</f>
        <v>0.0974025974</v>
      </c>
      <c r="Q375" s="40">
        <f t="shared" si="366"/>
        <v>0.05434782609</v>
      </c>
      <c r="R375" s="40">
        <f t="shared" si="366"/>
        <v>0</v>
      </c>
      <c r="S375" s="40">
        <f t="shared" si="366"/>
        <v>0</v>
      </c>
      <c r="T375" s="40">
        <f t="shared" si="366"/>
        <v>0</v>
      </c>
    </row>
    <row r="376" ht="15.75" customHeight="1">
      <c r="F376" s="23"/>
      <c r="G376" s="19">
        <f>$G$24</f>
        <v>16</v>
      </c>
      <c r="H376" s="20">
        <v>34.0</v>
      </c>
      <c r="I376" s="20">
        <v>11.0</v>
      </c>
      <c r="J376" s="20"/>
      <c r="K376" s="20"/>
      <c r="L376" s="20"/>
      <c r="N376" s="23"/>
      <c r="O376" s="19">
        <f>$G$24</f>
        <v>16</v>
      </c>
      <c r="P376" s="40">
        <f t="shared" ref="P376:T376" si="367">H376/H$396</f>
        <v>0.1103896104</v>
      </c>
      <c r="Q376" s="40">
        <f t="shared" si="367"/>
        <v>0.1195652174</v>
      </c>
      <c r="R376" s="40">
        <f t="shared" si="367"/>
        <v>0</v>
      </c>
      <c r="S376" s="40">
        <f t="shared" si="367"/>
        <v>0</v>
      </c>
      <c r="T376" s="40">
        <f t="shared" si="367"/>
        <v>0</v>
      </c>
    </row>
    <row r="377" ht="15.75" customHeight="1">
      <c r="F377" s="23"/>
      <c r="G377" s="19">
        <f>$G$25</f>
        <v>17</v>
      </c>
      <c r="H377" s="20">
        <v>28.0</v>
      </c>
      <c r="I377" s="20">
        <v>9.0</v>
      </c>
      <c r="J377" s="20"/>
      <c r="K377" s="20"/>
      <c r="L377" s="20"/>
      <c r="N377" s="23"/>
      <c r="O377" s="19">
        <f>$G$25</f>
        <v>17</v>
      </c>
      <c r="P377" s="40">
        <f t="shared" ref="P377:T377" si="368">H377/H$396</f>
        <v>0.09090909091</v>
      </c>
      <c r="Q377" s="40">
        <f t="shared" si="368"/>
        <v>0.09782608696</v>
      </c>
      <c r="R377" s="40">
        <f t="shared" si="368"/>
        <v>0</v>
      </c>
      <c r="S377" s="40">
        <f t="shared" si="368"/>
        <v>0</v>
      </c>
      <c r="T377" s="40">
        <f t="shared" si="368"/>
        <v>0</v>
      </c>
    </row>
    <row r="378" ht="15.75" customHeight="1">
      <c r="F378" s="23"/>
      <c r="G378" s="19">
        <f>$G$26</f>
        <v>18</v>
      </c>
      <c r="H378" s="20">
        <v>11.0</v>
      </c>
      <c r="I378" s="20">
        <v>3.0</v>
      </c>
      <c r="J378" s="20"/>
      <c r="K378" s="20"/>
      <c r="L378" s="20"/>
      <c r="N378" s="23"/>
      <c r="O378" s="19">
        <f>$G$26</f>
        <v>18</v>
      </c>
      <c r="P378" s="40">
        <f t="shared" ref="P378:T378" si="369">H378/H$396</f>
        <v>0.03571428571</v>
      </c>
      <c r="Q378" s="40">
        <f t="shared" si="369"/>
        <v>0.03260869565</v>
      </c>
      <c r="R378" s="40">
        <f t="shared" si="369"/>
        <v>0</v>
      </c>
      <c r="S378" s="40">
        <f t="shared" si="369"/>
        <v>0</v>
      </c>
      <c r="T378" s="40">
        <f t="shared" si="369"/>
        <v>0</v>
      </c>
    </row>
    <row r="379" ht="15.75" customHeight="1">
      <c r="F379" s="23"/>
      <c r="G379" s="19">
        <f>$G$27</f>
        <v>19</v>
      </c>
      <c r="H379" s="20">
        <v>6.0</v>
      </c>
      <c r="I379" s="20">
        <v>2.0</v>
      </c>
      <c r="J379" s="20"/>
      <c r="K379" s="20"/>
      <c r="L379" s="20"/>
      <c r="N379" s="23"/>
      <c r="O379" s="19">
        <f>$G$27</f>
        <v>19</v>
      </c>
      <c r="P379" s="40">
        <f t="shared" ref="P379:T379" si="370">H379/H$396</f>
        <v>0.01948051948</v>
      </c>
      <c r="Q379" s="40">
        <f t="shared" si="370"/>
        <v>0.02173913043</v>
      </c>
      <c r="R379" s="40">
        <f t="shared" si="370"/>
        <v>0</v>
      </c>
      <c r="S379" s="40">
        <f t="shared" si="370"/>
        <v>0</v>
      </c>
      <c r="T379" s="40">
        <f t="shared" si="370"/>
        <v>0</v>
      </c>
    </row>
    <row r="380" ht="15.75" customHeight="1">
      <c r="F380" s="23"/>
      <c r="G380" s="19">
        <f>$G$28</f>
        <v>20</v>
      </c>
      <c r="H380" s="20">
        <v>9.0</v>
      </c>
      <c r="I380" s="20">
        <v>2.0</v>
      </c>
      <c r="J380" s="20"/>
      <c r="K380" s="20"/>
      <c r="L380" s="20"/>
      <c r="N380" s="23"/>
      <c r="O380" s="19">
        <f>$G$28</f>
        <v>20</v>
      </c>
      <c r="P380" s="40">
        <f t="shared" ref="P380:T380" si="371">H380/H$396</f>
        <v>0.02922077922</v>
      </c>
      <c r="Q380" s="40">
        <f t="shared" si="371"/>
        <v>0.02173913043</v>
      </c>
      <c r="R380" s="40">
        <f t="shared" si="371"/>
        <v>0</v>
      </c>
      <c r="S380" s="40">
        <f t="shared" si="371"/>
        <v>0</v>
      </c>
      <c r="T380" s="40">
        <f t="shared" si="371"/>
        <v>0</v>
      </c>
    </row>
    <row r="381" ht="15.75" customHeight="1">
      <c r="F381" s="23"/>
      <c r="G381" s="19">
        <f>$G$29</f>
        <v>21</v>
      </c>
      <c r="H381" s="20">
        <v>14.0</v>
      </c>
      <c r="I381" s="20">
        <v>5.0</v>
      </c>
      <c r="J381" s="20"/>
      <c r="K381" s="20"/>
      <c r="L381" s="20"/>
      <c r="N381" s="23"/>
      <c r="O381" s="19">
        <f>$G$29</f>
        <v>21</v>
      </c>
      <c r="P381" s="40">
        <f t="shared" ref="P381:T381" si="372">H381/H$396</f>
        <v>0.04545454545</v>
      </c>
      <c r="Q381" s="40">
        <f t="shared" si="372"/>
        <v>0.05434782609</v>
      </c>
      <c r="R381" s="40">
        <f t="shared" si="372"/>
        <v>0</v>
      </c>
      <c r="S381" s="40">
        <f t="shared" si="372"/>
        <v>0</v>
      </c>
      <c r="T381" s="40">
        <f t="shared" si="372"/>
        <v>0</v>
      </c>
    </row>
    <row r="382" ht="15.75" customHeight="1">
      <c r="F382" s="23"/>
      <c r="G382" s="19">
        <f>$G$30</f>
        <v>22</v>
      </c>
      <c r="H382" s="20">
        <v>6.0</v>
      </c>
      <c r="I382" s="20">
        <v>3.0</v>
      </c>
      <c r="J382" s="20"/>
      <c r="K382" s="20"/>
      <c r="L382" s="20"/>
      <c r="N382" s="23"/>
      <c r="O382" s="19">
        <f>$G$30</f>
        <v>22</v>
      </c>
      <c r="P382" s="40">
        <f t="shared" ref="P382:T382" si="373">H382/H$396</f>
        <v>0.01948051948</v>
      </c>
      <c r="Q382" s="40">
        <f t="shared" si="373"/>
        <v>0.03260869565</v>
      </c>
      <c r="R382" s="40">
        <f t="shared" si="373"/>
        <v>0</v>
      </c>
      <c r="S382" s="40">
        <f t="shared" si="373"/>
        <v>0</v>
      </c>
      <c r="T382" s="40">
        <f t="shared" si="373"/>
        <v>0</v>
      </c>
    </row>
    <row r="383" ht="15.75" customHeight="1">
      <c r="F383" s="27"/>
      <c r="G383" s="19">
        <f>$G$31</f>
        <v>23</v>
      </c>
      <c r="H383" s="20">
        <v>4.0</v>
      </c>
      <c r="I383" s="20"/>
      <c r="J383" s="20"/>
      <c r="K383" s="20"/>
      <c r="L383" s="20"/>
      <c r="N383" s="27"/>
      <c r="O383" s="19">
        <f>$G$31</f>
        <v>23</v>
      </c>
      <c r="P383" s="40">
        <f t="shared" ref="P383:T383" si="374">H383/H$396</f>
        <v>0.01298701299</v>
      </c>
      <c r="Q383" s="40">
        <f t="shared" si="374"/>
        <v>0</v>
      </c>
      <c r="R383" s="40">
        <f t="shared" si="374"/>
        <v>0</v>
      </c>
      <c r="S383" s="40">
        <f t="shared" si="374"/>
        <v>0</v>
      </c>
      <c r="T383" s="40">
        <f t="shared" si="374"/>
        <v>0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>
      <c r="F396" s="41"/>
      <c r="G396" s="16"/>
      <c r="H396" s="26">
        <f t="shared" ref="H396:L396" si="375">SUM(H360:H383)</f>
        <v>308</v>
      </c>
      <c r="I396" s="26">
        <f t="shared" si="375"/>
        <v>92</v>
      </c>
      <c r="J396" s="26">
        <f t="shared" si="375"/>
        <v>1</v>
      </c>
      <c r="K396" s="26">
        <f t="shared" si="375"/>
        <v>3</v>
      </c>
      <c r="L396" s="26">
        <f t="shared" si="375"/>
        <v>2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5">
    <mergeCell ref="B3:C3"/>
    <mergeCell ref="D3:E3"/>
    <mergeCell ref="H3:L3"/>
    <mergeCell ref="H4:L4"/>
    <mergeCell ref="H6:L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9" width="8.63"/>
  </cols>
  <sheetData>
    <row r="1" ht="15.75" customHeight="1">
      <c r="A1" s="62"/>
      <c r="B1" s="62"/>
      <c r="C1" s="62"/>
      <c r="D1" s="62"/>
      <c r="E1" s="62"/>
      <c r="F1" s="63"/>
      <c r="G1" s="63"/>
      <c r="H1" s="2" t="s">
        <v>0</v>
      </c>
      <c r="I1" s="3">
        <v>1.10021106E8</v>
      </c>
      <c r="J1" s="2"/>
      <c r="K1" s="2"/>
      <c r="L1" s="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</row>
    <row r="2" ht="15.75" customHeight="1">
      <c r="A2" s="62"/>
      <c r="B2" s="62"/>
      <c r="C2" s="62"/>
      <c r="D2" s="62"/>
      <c r="E2" s="62"/>
      <c r="F2" s="63"/>
      <c r="G2" s="63"/>
      <c r="H2" s="2" t="s">
        <v>1</v>
      </c>
      <c r="I2" s="2" t="s">
        <v>2</v>
      </c>
      <c r="J2" s="2"/>
      <c r="K2" s="2"/>
      <c r="L2" s="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</row>
    <row r="3" ht="15.75" customHeight="1">
      <c r="A3" s="62"/>
      <c r="B3" s="64" t="s">
        <v>3</v>
      </c>
      <c r="C3" s="5"/>
      <c r="D3" s="64" t="s">
        <v>4</v>
      </c>
      <c r="E3" s="5"/>
      <c r="F3" s="63"/>
      <c r="G3" s="63"/>
      <c r="H3" s="6" t="s">
        <v>176</v>
      </c>
      <c r="I3" s="7"/>
      <c r="J3" s="7"/>
      <c r="K3" s="7"/>
      <c r="L3" s="8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</row>
    <row r="4" ht="15.75" customHeight="1">
      <c r="A4" s="65" t="s">
        <v>6</v>
      </c>
      <c r="B4" s="99" t="s">
        <v>7</v>
      </c>
      <c r="C4" s="100" t="s">
        <v>8</v>
      </c>
      <c r="D4" s="99" t="s">
        <v>7</v>
      </c>
      <c r="E4" s="100" t="s">
        <v>8</v>
      </c>
      <c r="F4" s="63"/>
      <c r="G4" s="63"/>
      <c r="H4" s="6" t="s">
        <v>177</v>
      </c>
      <c r="I4" s="7"/>
      <c r="J4" s="7"/>
      <c r="K4" s="7"/>
      <c r="L4" s="8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</row>
    <row r="5" ht="15.75" customHeight="1">
      <c r="A5" s="68" t="s">
        <v>10</v>
      </c>
      <c r="B5" s="69" t="s">
        <v>11</v>
      </c>
      <c r="C5" s="101" t="s">
        <v>12</v>
      </c>
      <c r="D5" s="101" t="s">
        <v>13</v>
      </c>
      <c r="E5" s="102" t="s">
        <v>14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</row>
    <row r="6" ht="15.75" customHeight="1">
      <c r="A6" s="63"/>
      <c r="B6" s="63"/>
      <c r="C6" s="63"/>
      <c r="D6" s="63"/>
      <c r="E6" s="103"/>
      <c r="F6" s="63"/>
      <c r="G6" s="63"/>
      <c r="H6" s="15" t="s">
        <v>15</v>
      </c>
      <c r="I6" s="7"/>
      <c r="J6" s="7"/>
      <c r="K6" s="7"/>
      <c r="L6" s="8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</row>
    <row r="7" ht="15.75" customHeight="1">
      <c r="A7" s="63"/>
      <c r="B7" s="63"/>
      <c r="C7" s="63"/>
      <c r="D7" s="63"/>
      <c r="E7" s="63"/>
      <c r="F7" s="63"/>
      <c r="G7" s="16"/>
      <c r="H7" s="19">
        <v>31.0</v>
      </c>
      <c r="I7" s="19">
        <v>32.0</v>
      </c>
      <c r="J7" s="19">
        <v>41.0</v>
      </c>
      <c r="K7" s="19">
        <v>42.0</v>
      </c>
      <c r="L7" s="19">
        <v>5.0</v>
      </c>
      <c r="M7" s="63"/>
      <c r="N7" s="63"/>
      <c r="O7" s="16"/>
      <c r="P7" s="19">
        <v>31.0</v>
      </c>
      <c r="Q7" s="19">
        <v>32.0</v>
      </c>
      <c r="R7" s="19">
        <v>41.0</v>
      </c>
      <c r="S7" s="19">
        <v>42.0</v>
      </c>
      <c r="T7" s="19">
        <v>5.0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</row>
    <row r="8" ht="15.75" customHeight="1">
      <c r="A8" s="63"/>
      <c r="B8" s="63"/>
      <c r="C8" s="63"/>
      <c r="D8" s="63"/>
      <c r="E8" s="63"/>
      <c r="F8" s="21">
        <v>45194.0</v>
      </c>
      <c r="G8" s="19">
        <v>0.0</v>
      </c>
      <c r="H8" s="20">
        <v>69.0</v>
      </c>
      <c r="I8" s="20">
        <v>19.0</v>
      </c>
      <c r="J8" s="20">
        <v>1.0</v>
      </c>
      <c r="K8" s="20">
        <v>6.0</v>
      </c>
      <c r="L8" s="20">
        <v>8.0</v>
      </c>
      <c r="M8" s="63"/>
      <c r="N8" s="18">
        <v>45194.0</v>
      </c>
      <c r="O8" s="19">
        <v>0.0</v>
      </c>
      <c r="P8" s="104">
        <v>0.009261744966442952</v>
      </c>
      <c r="Q8" s="104">
        <v>0.0064037748567576675</v>
      </c>
      <c r="R8" s="104">
        <v>0.0</v>
      </c>
      <c r="S8" s="104">
        <v>0.011928429423459244</v>
      </c>
      <c r="T8" s="104">
        <v>0.013445378151260505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</row>
    <row r="9" ht="15.75" customHeight="1">
      <c r="A9" s="63"/>
      <c r="B9" s="63"/>
      <c r="C9" s="63"/>
      <c r="D9" s="63"/>
      <c r="E9" s="63"/>
      <c r="F9" s="24"/>
      <c r="G9" s="19">
        <v>1.0</v>
      </c>
      <c r="H9" s="20">
        <v>47.0</v>
      </c>
      <c r="I9" s="20">
        <v>13.0</v>
      </c>
      <c r="J9" s="20">
        <v>0.0</v>
      </c>
      <c r="K9" s="20">
        <v>4.0</v>
      </c>
      <c r="L9" s="20">
        <v>3.0</v>
      </c>
      <c r="M9" s="63"/>
      <c r="N9" s="23"/>
      <c r="O9" s="19">
        <v>1.0</v>
      </c>
      <c r="P9" s="104">
        <v>0.006308724832214765</v>
      </c>
      <c r="Q9" s="104">
        <v>0.004381530165149983</v>
      </c>
      <c r="R9" s="104">
        <v>0.0</v>
      </c>
      <c r="S9" s="104">
        <v>0.007952286282306162</v>
      </c>
      <c r="T9" s="104">
        <v>0.005042016806722689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</row>
    <row r="10" ht="15.75" customHeight="1">
      <c r="A10" s="63"/>
      <c r="B10" s="63"/>
      <c r="C10" s="63"/>
      <c r="D10" s="63"/>
      <c r="E10" s="63"/>
      <c r="F10" s="24"/>
      <c r="G10" s="19">
        <v>2.0</v>
      </c>
      <c r="H10" s="20">
        <v>33.0</v>
      </c>
      <c r="I10" s="20">
        <v>16.0</v>
      </c>
      <c r="J10" s="20">
        <v>1.0</v>
      </c>
      <c r="K10" s="20">
        <v>10.0</v>
      </c>
      <c r="L10" s="20">
        <v>6.0</v>
      </c>
      <c r="M10" s="63"/>
      <c r="N10" s="23"/>
      <c r="O10" s="19">
        <v>2.0</v>
      </c>
      <c r="P10" s="104">
        <v>0.0044295302013422815</v>
      </c>
      <c r="Q10" s="104">
        <v>0.005392652510953826</v>
      </c>
      <c r="R10" s="104">
        <v>0.0</v>
      </c>
      <c r="S10" s="104">
        <v>0.019880715705765408</v>
      </c>
      <c r="T10" s="104">
        <v>0.010084033613445379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</row>
    <row r="11" ht="15.75" customHeight="1">
      <c r="A11" s="63"/>
      <c r="B11" s="63"/>
      <c r="C11" s="63"/>
      <c r="D11" s="63"/>
      <c r="E11" s="63"/>
      <c r="F11" s="24"/>
      <c r="G11" s="19">
        <v>3.0</v>
      </c>
      <c r="H11" s="20">
        <v>35.0</v>
      </c>
      <c r="I11" s="20">
        <v>17.0</v>
      </c>
      <c r="J11" s="20">
        <v>1.0</v>
      </c>
      <c r="K11" s="20">
        <v>10.0</v>
      </c>
      <c r="L11" s="20">
        <v>5.0</v>
      </c>
      <c r="M11" s="63"/>
      <c r="N11" s="23"/>
      <c r="O11" s="19">
        <v>3.0</v>
      </c>
      <c r="P11" s="104">
        <v>0.004697986577181208</v>
      </c>
      <c r="Q11" s="104">
        <v>0.005729693292888439</v>
      </c>
      <c r="R11" s="104">
        <v>0.0</v>
      </c>
      <c r="S11" s="104">
        <v>0.019880715705765408</v>
      </c>
      <c r="T11" s="104">
        <v>0.008403361344537815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</row>
    <row r="12" ht="15.75" customHeight="1">
      <c r="A12" s="63"/>
      <c r="B12" s="63"/>
      <c r="C12" s="63"/>
      <c r="D12" s="63"/>
      <c r="E12" s="63"/>
      <c r="F12" s="24"/>
      <c r="G12" s="19">
        <v>4.0</v>
      </c>
      <c r="H12" s="20">
        <v>80.0</v>
      </c>
      <c r="I12" s="20">
        <v>30.0</v>
      </c>
      <c r="J12" s="20">
        <v>1.0</v>
      </c>
      <c r="K12" s="20">
        <v>9.0</v>
      </c>
      <c r="L12" s="20">
        <v>18.0</v>
      </c>
      <c r="M12" s="63"/>
      <c r="N12" s="23"/>
      <c r="O12" s="19">
        <v>4.0</v>
      </c>
      <c r="P12" s="104">
        <v>0.010738255033557046</v>
      </c>
      <c r="Q12" s="104">
        <v>0.010111223458038422</v>
      </c>
      <c r="R12" s="104">
        <v>0.0</v>
      </c>
      <c r="S12" s="104">
        <v>0.017892644135188866</v>
      </c>
      <c r="T12" s="104">
        <v>0.030252100840336135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</row>
    <row r="13" ht="15.75" customHeight="1">
      <c r="A13" s="63"/>
      <c r="B13" s="63"/>
      <c r="C13" s="63"/>
      <c r="D13" s="63"/>
      <c r="E13" s="63"/>
      <c r="F13" s="24"/>
      <c r="G13" s="19">
        <v>5.0</v>
      </c>
      <c r="H13" s="20">
        <v>165.0</v>
      </c>
      <c r="I13" s="20">
        <v>76.0</v>
      </c>
      <c r="J13" s="20">
        <v>10.0</v>
      </c>
      <c r="K13" s="20">
        <v>20.0</v>
      </c>
      <c r="L13" s="20">
        <v>23.0</v>
      </c>
      <c r="M13" s="63"/>
      <c r="N13" s="23"/>
      <c r="O13" s="19">
        <v>5.0</v>
      </c>
      <c r="P13" s="104">
        <v>0.02214765100671141</v>
      </c>
      <c r="Q13" s="104">
        <v>0.02561509942703067</v>
      </c>
      <c r="R13" s="104">
        <v>0.0</v>
      </c>
      <c r="S13" s="104">
        <v>0.039761431411530816</v>
      </c>
      <c r="T13" s="104">
        <v>0.03865546218487395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</row>
    <row r="14" ht="15.75" customHeight="1">
      <c r="A14" s="63"/>
      <c r="B14" s="63"/>
      <c r="C14" s="63"/>
      <c r="D14" s="63"/>
      <c r="E14" s="63"/>
      <c r="F14" s="24"/>
      <c r="G14" s="19">
        <v>6.0</v>
      </c>
      <c r="H14" s="20">
        <v>423.0</v>
      </c>
      <c r="I14" s="20">
        <v>142.0</v>
      </c>
      <c r="J14" s="20">
        <v>12.0</v>
      </c>
      <c r="K14" s="20">
        <v>26.0</v>
      </c>
      <c r="L14" s="20">
        <v>40.0</v>
      </c>
      <c r="M14" s="63"/>
      <c r="N14" s="23"/>
      <c r="O14" s="19">
        <v>6.0</v>
      </c>
      <c r="P14" s="104">
        <v>0.05677852348993288</v>
      </c>
      <c r="Q14" s="104">
        <v>0.0478597910347152</v>
      </c>
      <c r="R14" s="104">
        <v>0.0</v>
      </c>
      <c r="S14" s="104">
        <v>0.05168986083499006</v>
      </c>
      <c r="T14" s="104">
        <v>0.06722689075630252</v>
      </c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</row>
    <row r="15" ht="15.75" customHeight="1">
      <c r="A15" s="63"/>
      <c r="B15" s="63"/>
      <c r="C15" s="63"/>
      <c r="D15" s="63"/>
      <c r="E15" s="63"/>
      <c r="F15" s="24"/>
      <c r="G15" s="19">
        <v>7.0</v>
      </c>
      <c r="H15" s="20">
        <v>649.0</v>
      </c>
      <c r="I15" s="20">
        <v>227.0</v>
      </c>
      <c r="J15" s="20">
        <v>31.0</v>
      </c>
      <c r="K15" s="20">
        <v>39.0</v>
      </c>
      <c r="L15" s="20">
        <v>42.0</v>
      </c>
      <c r="M15" s="63"/>
      <c r="N15" s="23"/>
      <c r="O15" s="19">
        <v>7.0</v>
      </c>
      <c r="P15" s="104">
        <v>0.08711409395973155</v>
      </c>
      <c r="Q15" s="104">
        <v>0.07650825749915739</v>
      </c>
      <c r="R15" s="104">
        <v>0.0</v>
      </c>
      <c r="S15" s="104">
        <v>0.0775347912524851</v>
      </c>
      <c r="T15" s="104">
        <v>0.07058823529411765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</row>
    <row r="16" ht="15.75" customHeight="1">
      <c r="A16" s="63"/>
      <c r="B16" s="63"/>
      <c r="C16" s="63"/>
      <c r="D16" s="63"/>
      <c r="E16" s="63"/>
      <c r="F16" s="24"/>
      <c r="G16" s="19">
        <v>8.0</v>
      </c>
      <c r="H16" s="20">
        <v>564.0</v>
      </c>
      <c r="I16" s="20">
        <v>311.0</v>
      </c>
      <c r="J16" s="20">
        <v>11.0</v>
      </c>
      <c r="K16" s="20">
        <v>44.0</v>
      </c>
      <c r="L16" s="20">
        <v>36.0</v>
      </c>
      <c r="M16" s="63"/>
      <c r="N16" s="23"/>
      <c r="O16" s="19">
        <v>8.0</v>
      </c>
      <c r="P16" s="104">
        <v>0.07570469798657718</v>
      </c>
      <c r="Q16" s="104">
        <v>0.10481968318166499</v>
      </c>
      <c r="R16" s="104">
        <v>0.0</v>
      </c>
      <c r="S16" s="104">
        <v>0.0874751491053678</v>
      </c>
      <c r="T16" s="104">
        <v>0.06050420168067227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</row>
    <row r="17" ht="15.75" customHeight="1">
      <c r="A17" s="63"/>
      <c r="B17" s="63"/>
      <c r="C17" s="63"/>
      <c r="D17" s="63"/>
      <c r="E17" s="63"/>
      <c r="F17" s="24"/>
      <c r="G17" s="19">
        <v>9.0</v>
      </c>
      <c r="H17" s="20">
        <v>686.0</v>
      </c>
      <c r="I17" s="20">
        <v>311.0</v>
      </c>
      <c r="J17" s="20">
        <v>14.0</v>
      </c>
      <c r="K17" s="20">
        <v>34.0</v>
      </c>
      <c r="L17" s="20">
        <v>59.0</v>
      </c>
      <c r="M17" s="63"/>
      <c r="N17" s="23"/>
      <c r="O17" s="19">
        <v>9.0</v>
      </c>
      <c r="P17" s="104">
        <v>0.09208053691275168</v>
      </c>
      <c r="Q17" s="104">
        <v>0.10481968318166499</v>
      </c>
      <c r="R17" s="104">
        <v>0.0</v>
      </c>
      <c r="S17" s="104">
        <v>0.06759443339960239</v>
      </c>
      <c r="T17" s="104">
        <v>0.09915966386554621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</row>
    <row r="18" ht="15.75" customHeight="1">
      <c r="A18" s="63"/>
      <c r="B18" s="63"/>
      <c r="C18" s="63"/>
      <c r="D18" s="63"/>
      <c r="E18" s="63"/>
      <c r="F18" s="24"/>
      <c r="G18" s="19">
        <v>10.0</v>
      </c>
      <c r="H18" s="20">
        <v>619.0</v>
      </c>
      <c r="I18" s="20">
        <v>228.0</v>
      </c>
      <c r="J18" s="20">
        <v>2.0</v>
      </c>
      <c r="K18" s="20">
        <v>46.0</v>
      </c>
      <c r="L18" s="20">
        <v>37.0</v>
      </c>
      <c r="M18" s="63"/>
      <c r="N18" s="23"/>
      <c r="O18" s="19">
        <v>10.0</v>
      </c>
      <c r="P18" s="104">
        <v>0.08308724832214764</v>
      </c>
      <c r="Q18" s="104">
        <v>0.07684529828109202</v>
      </c>
      <c r="R18" s="104">
        <v>0.0</v>
      </c>
      <c r="S18" s="104">
        <v>0.09145129224652088</v>
      </c>
      <c r="T18" s="104">
        <v>0.06218487394957983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</row>
    <row r="19" ht="15.75" customHeight="1">
      <c r="A19" s="63"/>
      <c r="B19" s="63"/>
      <c r="C19" s="63"/>
      <c r="D19" s="63"/>
      <c r="E19" s="63"/>
      <c r="F19" s="24"/>
      <c r="G19" s="19">
        <v>11.0</v>
      </c>
      <c r="H19" s="20">
        <v>482.0</v>
      </c>
      <c r="I19" s="20">
        <v>178.0</v>
      </c>
      <c r="J19" s="20">
        <v>2.0</v>
      </c>
      <c r="K19" s="20">
        <v>32.0</v>
      </c>
      <c r="L19" s="20">
        <v>58.0</v>
      </c>
      <c r="M19" s="63"/>
      <c r="N19" s="23"/>
      <c r="O19" s="19">
        <v>11.0</v>
      </c>
      <c r="P19" s="104">
        <v>0.0646979865771812</v>
      </c>
      <c r="Q19" s="104">
        <v>0.05999325918436131</v>
      </c>
      <c r="R19" s="104">
        <v>0.0</v>
      </c>
      <c r="S19" s="104">
        <v>0.0636182902584493</v>
      </c>
      <c r="T19" s="104">
        <v>0.09747899159663866</v>
      </c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</row>
    <row r="20" ht="15.75" customHeight="1">
      <c r="A20" s="63"/>
      <c r="B20" s="63"/>
      <c r="C20" s="63"/>
      <c r="D20" s="63"/>
      <c r="E20" s="63"/>
      <c r="F20" s="24"/>
      <c r="G20" s="19">
        <v>12.0</v>
      </c>
      <c r="H20" s="20">
        <v>371.0</v>
      </c>
      <c r="I20" s="20">
        <v>162.0</v>
      </c>
      <c r="J20" s="20">
        <v>2.0</v>
      </c>
      <c r="K20" s="20">
        <v>27.0</v>
      </c>
      <c r="L20" s="20">
        <v>37.0</v>
      </c>
      <c r="M20" s="63"/>
      <c r="N20" s="23"/>
      <c r="O20" s="19">
        <v>12.0</v>
      </c>
      <c r="P20" s="104">
        <v>0.0497986577181208</v>
      </c>
      <c r="Q20" s="104">
        <v>0.054600606673407485</v>
      </c>
      <c r="R20" s="104">
        <v>0.0</v>
      </c>
      <c r="S20" s="104">
        <v>0.0536779324055666</v>
      </c>
      <c r="T20" s="104">
        <v>0.06218487394957983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</row>
    <row r="21" ht="15.75" customHeight="1">
      <c r="A21" s="63"/>
      <c r="B21" s="63"/>
      <c r="C21" s="63"/>
      <c r="D21" s="63"/>
      <c r="E21" s="63"/>
      <c r="F21" s="24"/>
      <c r="G21" s="19">
        <v>13.0</v>
      </c>
      <c r="H21" s="20">
        <v>441.0</v>
      </c>
      <c r="I21" s="20">
        <v>167.0</v>
      </c>
      <c r="J21" s="20">
        <v>10.0</v>
      </c>
      <c r="K21" s="20">
        <v>33.0</v>
      </c>
      <c r="L21" s="20">
        <v>43.0</v>
      </c>
      <c r="M21" s="63"/>
      <c r="N21" s="23"/>
      <c r="O21" s="19">
        <v>13.0</v>
      </c>
      <c r="P21" s="104">
        <v>0.05919463087248322</v>
      </c>
      <c r="Q21" s="104">
        <v>0.056285810583080555</v>
      </c>
      <c r="R21" s="104">
        <v>0.0</v>
      </c>
      <c r="S21" s="104">
        <v>0.06560636182902585</v>
      </c>
      <c r="T21" s="104">
        <v>0.07226890756302522</v>
      </c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</row>
    <row r="22" ht="15.75" customHeight="1">
      <c r="A22" s="63"/>
      <c r="B22" s="63"/>
      <c r="C22" s="63"/>
      <c r="D22" s="63"/>
      <c r="E22" s="63"/>
      <c r="F22" s="24"/>
      <c r="G22" s="19">
        <v>14.0</v>
      </c>
      <c r="H22" s="20">
        <v>408.0</v>
      </c>
      <c r="I22" s="20">
        <v>160.0</v>
      </c>
      <c r="J22" s="20">
        <v>11.0</v>
      </c>
      <c r="K22" s="20">
        <v>28.0</v>
      </c>
      <c r="L22" s="20">
        <v>45.0</v>
      </c>
      <c r="M22" s="63"/>
      <c r="N22" s="23"/>
      <c r="O22" s="19">
        <v>14.0</v>
      </c>
      <c r="P22" s="104">
        <v>0.05476510067114094</v>
      </c>
      <c r="Q22" s="104">
        <v>0.053926525109538256</v>
      </c>
      <c r="R22" s="104">
        <v>0.0</v>
      </c>
      <c r="S22" s="104">
        <v>0.055666003976143144</v>
      </c>
      <c r="T22" s="104">
        <v>0.07563025210084033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</row>
    <row r="23" ht="15.75" customHeight="1">
      <c r="A23" s="63"/>
      <c r="B23" s="63"/>
      <c r="C23" s="63"/>
      <c r="D23" s="63"/>
      <c r="E23" s="63"/>
      <c r="F23" s="24"/>
      <c r="G23" s="19">
        <v>15.0</v>
      </c>
      <c r="H23" s="20">
        <v>357.0</v>
      </c>
      <c r="I23" s="20">
        <v>161.0</v>
      </c>
      <c r="J23" s="20">
        <v>9.0</v>
      </c>
      <c r="K23" s="20">
        <v>32.0</v>
      </c>
      <c r="L23" s="20">
        <v>28.0</v>
      </c>
      <c r="M23" s="63"/>
      <c r="N23" s="23"/>
      <c r="O23" s="19">
        <v>15.0</v>
      </c>
      <c r="P23" s="104">
        <v>0.04791946308724832</v>
      </c>
      <c r="Q23" s="104">
        <v>0.05426356589147287</v>
      </c>
      <c r="R23" s="104">
        <v>0.0</v>
      </c>
      <c r="S23" s="104">
        <v>0.0636182902584493</v>
      </c>
      <c r="T23" s="104">
        <v>0.047058823529411764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</row>
    <row r="24" ht="15.75" customHeight="1">
      <c r="A24" s="63"/>
      <c r="B24" s="63"/>
      <c r="C24" s="63"/>
      <c r="D24" s="63"/>
      <c r="E24" s="63"/>
      <c r="F24" s="24"/>
      <c r="G24" s="19">
        <v>16.0</v>
      </c>
      <c r="H24" s="20">
        <v>395.0</v>
      </c>
      <c r="I24" s="20">
        <v>173.0</v>
      </c>
      <c r="J24" s="20">
        <v>4.0</v>
      </c>
      <c r="K24" s="20">
        <v>22.0</v>
      </c>
      <c r="L24" s="20">
        <v>26.0</v>
      </c>
      <c r="M24" s="63"/>
      <c r="N24" s="23"/>
      <c r="O24" s="19">
        <v>16.0</v>
      </c>
      <c r="P24" s="104">
        <v>0.053020134228187916</v>
      </c>
      <c r="Q24" s="104">
        <v>0.058308055274688235</v>
      </c>
      <c r="R24" s="104">
        <v>0.0</v>
      </c>
      <c r="S24" s="104">
        <v>0.0437375745526839</v>
      </c>
      <c r="T24" s="104">
        <v>0.043697478991596636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</row>
    <row r="25" ht="15.75" customHeight="1">
      <c r="A25" s="63"/>
      <c r="B25" s="63"/>
      <c r="C25" s="63"/>
      <c r="D25" s="63"/>
      <c r="E25" s="63"/>
      <c r="F25" s="24"/>
      <c r="G25" s="19">
        <v>17.0</v>
      </c>
      <c r="H25" s="20">
        <v>453.0</v>
      </c>
      <c r="I25" s="20">
        <v>206.0</v>
      </c>
      <c r="J25" s="20">
        <v>1.0</v>
      </c>
      <c r="K25" s="20">
        <v>22.0</v>
      </c>
      <c r="L25" s="20">
        <v>20.0</v>
      </c>
      <c r="M25" s="63"/>
      <c r="N25" s="23"/>
      <c r="O25" s="19">
        <v>17.0</v>
      </c>
      <c r="P25" s="104">
        <v>0.06080536912751678</v>
      </c>
      <c r="Q25" s="104">
        <v>0.0694304010785305</v>
      </c>
      <c r="R25" s="104">
        <v>0.0</v>
      </c>
      <c r="S25" s="104">
        <v>0.0437375745526839</v>
      </c>
      <c r="T25" s="104">
        <v>0.03361344537815126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</row>
    <row r="26" ht="15.75" customHeight="1">
      <c r="A26" s="63"/>
      <c r="B26" s="63"/>
      <c r="C26" s="63"/>
      <c r="D26" s="63"/>
      <c r="E26" s="63"/>
      <c r="F26" s="24"/>
      <c r="G26" s="19">
        <v>18.0</v>
      </c>
      <c r="H26" s="20">
        <v>297.0</v>
      </c>
      <c r="I26" s="20">
        <v>113.0</v>
      </c>
      <c r="J26" s="20">
        <v>3.0</v>
      </c>
      <c r="K26" s="20">
        <v>15.0</v>
      </c>
      <c r="L26" s="20">
        <v>16.0</v>
      </c>
      <c r="M26" s="63"/>
      <c r="N26" s="23"/>
      <c r="O26" s="19">
        <v>18.0</v>
      </c>
      <c r="P26" s="104">
        <v>0.039865771812080536</v>
      </c>
      <c r="Q26" s="104">
        <v>0.03808560835861139</v>
      </c>
      <c r="R26" s="104">
        <v>0.0</v>
      </c>
      <c r="S26" s="104">
        <v>0.02982107355864811</v>
      </c>
      <c r="T26" s="104">
        <v>0.02689075630252101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</row>
    <row r="27" ht="15.75" customHeight="1">
      <c r="A27" s="63"/>
      <c r="B27" s="63"/>
      <c r="C27" s="63"/>
      <c r="D27" s="63"/>
      <c r="E27" s="63"/>
      <c r="F27" s="24"/>
      <c r="G27" s="19">
        <v>19.0</v>
      </c>
      <c r="H27" s="20">
        <v>258.0</v>
      </c>
      <c r="I27" s="20">
        <v>73.0</v>
      </c>
      <c r="J27" s="20">
        <v>4.0</v>
      </c>
      <c r="K27" s="20">
        <v>16.0</v>
      </c>
      <c r="L27" s="20">
        <v>8.0</v>
      </c>
      <c r="M27" s="63"/>
      <c r="N27" s="23"/>
      <c r="O27" s="19">
        <v>19.0</v>
      </c>
      <c r="P27" s="104">
        <v>0.03463087248322148</v>
      </c>
      <c r="Q27" s="104">
        <v>0.02460397708122683</v>
      </c>
      <c r="R27" s="104">
        <v>0.0</v>
      </c>
      <c r="S27" s="104">
        <v>0.03180914512922465</v>
      </c>
      <c r="T27" s="104">
        <v>0.013445378151260505</v>
      </c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</row>
    <row r="28" ht="15.75" customHeight="1">
      <c r="A28" s="63"/>
      <c r="B28" s="63"/>
      <c r="C28" s="63"/>
      <c r="D28" s="63"/>
      <c r="E28" s="63"/>
      <c r="F28" s="24"/>
      <c r="G28" s="19">
        <v>20.0</v>
      </c>
      <c r="H28" s="20">
        <v>201.0</v>
      </c>
      <c r="I28" s="20">
        <v>69.0</v>
      </c>
      <c r="J28" s="20">
        <v>2.0</v>
      </c>
      <c r="K28" s="20">
        <v>5.0</v>
      </c>
      <c r="L28" s="20">
        <v>11.0</v>
      </c>
      <c r="M28" s="63"/>
      <c r="N28" s="23"/>
      <c r="O28" s="19">
        <v>20.0</v>
      </c>
      <c r="P28" s="104">
        <v>0.02697986577181208</v>
      </c>
      <c r="Q28" s="104">
        <v>0.023255813953488372</v>
      </c>
      <c r="R28" s="104">
        <v>0.0</v>
      </c>
      <c r="S28" s="104">
        <v>0.009940357852882704</v>
      </c>
      <c r="T28" s="104">
        <v>0.018487394957983194</v>
      </c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</row>
    <row r="29" ht="15.75" customHeight="1">
      <c r="A29" s="63"/>
      <c r="B29" s="63"/>
      <c r="C29" s="63"/>
      <c r="D29" s="63"/>
      <c r="E29" s="63"/>
      <c r="F29" s="24"/>
      <c r="G29" s="19">
        <v>21.0</v>
      </c>
      <c r="H29" s="20">
        <v>184.0</v>
      </c>
      <c r="I29" s="20">
        <v>56.0</v>
      </c>
      <c r="J29" s="20">
        <v>0.0</v>
      </c>
      <c r="K29" s="20">
        <v>8.0</v>
      </c>
      <c r="L29" s="20">
        <v>6.0</v>
      </c>
      <c r="M29" s="63"/>
      <c r="N29" s="23"/>
      <c r="O29" s="19">
        <v>21.0</v>
      </c>
      <c r="P29" s="104">
        <v>0.024697986577181207</v>
      </c>
      <c r="Q29" s="104">
        <v>0.01887428378833839</v>
      </c>
      <c r="R29" s="104">
        <v>0.0</v>
      </c>
      <c r="S29" s="104">
        <v>0.015904572564612324</v>
      </c>
      <c r="T29" s="104">
        <v>0.010084033613445379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 ht="15.75" customHeight="1">
      <c r="A30" s="63"/>
      <c r="B30" s="63"/>
      <c r="C30" s="63"/>
      <c r="D30" s="63"/>
      <c r="E30" s="63"/>
      <c r="F30" s="24"/>
      <c r="G30" s="19">
        <v>22.0</v>
      </c>
      <c r="H30" s="20">
        <v>148.0</v>
      </c>
      <c r="I30" s="20">
        <v>41.0</v>
      </c>
      <c r="J30" s="20">
        <v>0.0</v>
      </c>
      <c r="K30" s="20">
        <v>5.0</v>
      </c>
      <c r="L30" s="20">
        <v>10.0</v>
      </c>
      <c r="M30" s="63"/>
      <c r="N30" s="23"/>
      <c r="O30" s="19">
        <v>22.0</v>
      </c>
      <c r="P30" s="104">
        <v>0.019865771812080536</v>
      </c>
      <c r="Q30" s="104">
        <v>0.013818672059319177</v>
      </c>
      <c r="R30" s="104">
        <v>0.0</v>
      </c>
      <c r="S30" s="104">
        <v>0.009940357852882704</v>
      </c>
      <c r="T30" s="104">
        <v>0.01680672268907563</v>
      </c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 ht="15.75" customHeight="1">
      <c r="A31" s="63"/>
      <c r="B31" s="63"/>
      <c r="C31" s="63"/>
      <c r="D31" s="63"/>
      <c r="E31" s="63"/>
      <c r="F31" s="28"/>
      <c r="G31" s="19">
        <v>23.0</v>
      </c>
      <c r="H31" s="20">
        <v>85.0</v>
      </c>
      <c r="I31" s="20">
        <v>18.0</v>
      </c>
      <c r="J31" s="20">
        <v>1.0</v>
      </c>
      <c r="K31" s="20">
        <v>10.0</v>
      </c>
      <c r="L31" s="20">
        <v>10.0</v>
      </c>
      <c r="M31" s="63"/>
      <c r="N31" s="27"/>
      <c r="O31" s="19">
        <v>23.0</v>
      </c>
      <c r="P31" s="20">
        <v>0.011409395973154362</v>
      </c>
      <c r="Q31" s="20">
        <v>0.006066734074823054</v>
      </c>
      <c r="R31" s="20">
        <v>0.0</v>
      </c>
      <c r="S31" s="20">
        <v>0.019880715705765408</v>
      </c>
      <c r="T31" s="20">
        <v>0.01680672268907563</v>
      </c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 ht="15.75" customHeight="1">
      <c r="A32" s="63"/>
      <c r="B32" s="63"/>
      <c r="C32" s="63"/>
      <c r="D32" s="63"/>
      <c r="E32" s="63"/>
      <c r="F32" s="21">
        <v>45195.0</v>
      </c>
      <c r="G32" s="19">
        <v>0.0</v>
      </c>
      <c r="H32" s="20">
        <v>53.0</v>
      </c>
      <c r="I32" s="20">
        <v>26.0</v>
      </c>
      <c r="J32" s="20">
        <v>0.0</v>
      </c>
      <c r="K32" s="20">
        <v>10.0</v>
      </c>
      <c r="L32" s="20">
        <v>14.0</v>
      </c>
      <c r="M32" s="63"/>
      <c r="N32" s="18">
        <v>45195.0</v>
      </c>
      <c r="O32" s="19">
        <v>0.0</v>
      </c>
      <c r="P32" s="40">
        <v>0.007440685104590762</v>
      </c>
      <c r="Q32" s="40">
        <v>0.00889801505817933</v>
      </c>
      <c r="R32" s="40">
        <v>0.0</v>
      </c>
      <c r="S32" s="40">
        <v>0.017064846416382253</v>
      </c>
      <c r="T32" s="40">
        <v>0.0219435736677116</v>
      </c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</row>
    <row r="33" ht="15.75" customHeight="1">
      <c r="A33" s="63"/>
      <c r="B33" s="63"/>
      <c r="C33" s="63"/>
      <c r="D33" s="63"/>
      <c r="E33" s="63"/>
      <c r="F33" s="24"/>
      <c r="G33" s="19">
        <v>1.0</v>
      </c>
      <c r="H33" s="20">
        <v>30.0</v>
      </c>
      <c r="I33" s="20">
        <v>12.0</v>
      </c>
      <c r="J33" s="20">
        <v>0.0</v>
      </c>
      <c r="K33" s="20">
        <v>9.0</v>
      </c>
      <c r="L33" s="20">
        <v>4.0</v>
      </c>
      <c r="M33" s="63"/>
      <c r="N33" s="23"/>
      <c r="O33" s="19">
        <v>1.0</v>
      </c>
      <c r="P33" s="40">
        <v>0.004211708549768356</v>
      </c>
      <c r="Q33" s="40">
        <v>0.004106776180698152</v>
      </c>
      <c r="R33" s="40">
        <v>0.0</v>
      </c>
      <c r="S33" s="40">
        <v>0.015358361774744027</v>
      </c>
      <c r="T33" s="40">
        <v>0.006269592476489028</v>
      </c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</row>
    <row r="34" ht="15.75" customHeight="1">
      <c r="A34" s="63"/>
      <c r="B34" s="63"/>
      <c r="C34" s="63"/>
      <c r="D34" s="63"/>
      <c r="E34" s="63"/>
      <c r="F34" s="24"/>
      <c r="G34" s="19">
        <v>2.0</v>
      </c>
      <c r="H34" s="16">
        <v>44.0</v>
      </c>
      <c r="I34" s="16">
        <v>16.0</v>
      </c>
      <c r="J34" s="16">
        <v>0.0</v>
      </c>
      <c r="K34" s="16">
        <v>9.0</v>
      </c>
      <c r="L34" s="16">
        <v>14.0</v>
      </c>
      <c r="M34" s="63"/>
      <c r="N34" s="23"/>
      <c r="O34" s="19">
        <v>2.0</v>
      </c>
      <c r="P34" s="40">
        <v>0.006177172539660256</v>
      </c>
      <c r="Q34" s="40">
        <v>0.0054757015742642025</v>
      </c>
      <c r="R34" s="40">
        <v>0.0</v>
      </c>
      <c r="S34" s="40">
        <v>0.015358361774744027</v>
      </c>
      <c r="T34" s="40">
        <v>0.0219435736677116</v>
      </c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 ht="15.75" customHeight="1">
      <c r="A35" s="63"/>
      <c r="B35" s="63"/>
      <c r="C35" s="63"/>
      <c r="D35" s="63"/>
      <c r="E35" s="63"/>
      <c r="F35" s="24"/>
      <c r="G35" s="19">
        <v>3.0</v>
      </c>
      <c r="H35" s="20">
        <v>42.0</v>
      </c>
      <c r="I35" s="20">
        <v>15.0</v>
      </c>
      <c r="J35" s="20">
        <v>3.0</v>
      </c>
      <c r="K35" s="20">
        <v>16.0</v>
      </c>
      <c r="L35" s="20">
        <v>14.0</v>
      </c>
      <c r="M35" s="63"/>
      <c r="N35" s="23"/>
      <c r="O35" s="19">
        <v>3.0</v>
      </c>
      <c r="P35" s="40">
        <v>0.005896391969675698</v>
      </c>
      <c r="Q35" s="40">
        <v>0.00513347022587269</v>
      </c>
      <c r="R35" s="40">
        <v>0.028037383177570093</v>
      </c>
      <c r="S35" s="40">
        <v>0.027303754266211604</v>
      </c>
      <c r="T35" s="40">
        <v>0.0219435736677116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 ht="15.75" customHeight="1">
      <c r="A36" s="63"/>
      <c r="B36" s="63"/>
      <c r="C36" s="63"/>
      <c r="D36" s="63"/>
      <c r="E36" s="63"/>
      <c r="F36" s="24"/>
      <c r="G36" s="19">
        <v>4.0</v>
      </c>
      <c r="H36" s="20">
        <v>70.0</v>
      </c>
      <c r="I36" s="20">
        <v>47.0</v>
      </c>
      <c r="J36" s="20">
        <v>2.0</v>
      </c>
      <c r="K36" s="20">
        <v>15.0</v>
      </c>
      <c r="L36" s="20">
        <v>25.0</v>
      </c>
      <c r="M36" s="63"/>
      <c r="N36" s="23"/>
      <c r="O36" s="19">
        <v>4.0</v>
      </c>
      <c r="P36" s="40">
        <v>0.009827319949459498</v>
      </c>
      <c r="Q36" s="40">
        <v>0.016084873374401096</v>
      </c>
      <c r="R36" s="40">
        <v>0.018691588785046728</v>
      </c>
      <c r="S36" s="40">
        <v>0.025597269624573378</v>
      </c>
      <c r="T36" s="40">
        <v>0.03918495297805643</v>
      </c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 ht="15.75" customHeight="1">
      <c r="A37" s="63"/>
      <c r="B37" s="63"/>
      <c r="C37" s="63"/>
      <c r="D37" s="63"/>
      <c r="E37" s="63"/>
      <c r="F37" s="24"/>
      <c r="G37" s="19">
        <v>5.0</v>
      </c>
      <c r="H37" s="20">
        <v>155.0</v>
      </c>
      <c r="I37" s="20">
        <v>70.0</v>
      </c>
      <c r="J37" s="20">
        <v>8.0</v>
      </c>
      <c r="K37" s="20">
        <v>30.0</v>
      </c>
      <c r="L37" s="20">
        <v>24.0</v>
      </c>
      <c r="M37" s="63"/>
      <c r="N37" s="23"/>
      <c r="O37" s="19">
        <v>5.0</v>
      </c>
      <c r="P37" s="40">
        <v>0.02176049417380317</v>
      </c>
      <c r="Q37" s="40">
        <v>0.023956194387405885</v>
      </c>
      <c r="R37" s="40">
        <v>0.07476635514018691</v>
      </c>
      <c r="S37" s="40">
        <v>0.051194539249146756</v>
      </c>
      <c r="T37" s="40">
        <v>0.03761755485893417</v>
      </c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</row>
    <row r="38" ht="15.75" customHeight="1">
      <c r="A38" s="63"/>
      <c r="B38" s="63"/>
      <c r="C38" s="63"/>
      <c r="D38" s="63"/>
      <c r="E38" s="63"/>
      <c r="F38" s="24"/>
      <c r="G38" s="19">
        <v>6.0</v>
      </c>
      <c r="H38" s="20">
        <v>330.0</v>
      </c>
      <c r="I38" s="20">
        <v>124.0</v>
      </c>
      <c r="J38" s="20">
        <v>16.0</v>
      </c>
      <c r="K38" s="20">
        <v>40.0</v>
      </c>
      <c r="L38" s="20">
        <v>51.0</v>
      </c>
      <c r="M38" s="63"/>
      <c r="N38" s="23"/>
      <c r="O38" s="19">
        <v>6.0</v>
      </c>
      <c r="P38" s="40">
        <v>0.04632879404745192</v>
      </c>
      <c r="Q38" s="40">
        <v>0.04243668720054757</v>
      </c>
      <c r="R38" s="40">
        <v>0.14953271028037382</v>
      </c>
      <c r="S38" s="40">
        <v>0.06825938566552901</v>
      </c>
      <c r="T38" s="40">
        <v>0.07993730407523511</v>
      </c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</row>
    <row r="39" ht="15.75" customHeight="1">
      <c r="A39" s="63"/>
      <c r="B39" s="63"/>
      <c r="C39" s="63"/>
      <c r="D39" s="63"/>
      <c r="E39" s="63"/>
      <c r="F39" s="24"/>
      <c r="G39" s="19">
        <v>7.0</v>
      </c>
      <c r="H39" s="20">
        <v>601.0</v>
      </c>
      <c r="I39" s="20">
        <v>213.0</v>
      </c>
      <c r="J39" s="20">
        <v>20.0</v>
      </c>
      <c r="K39" s="20">
        <v>49.0</v>
      </c>
      <c r="L39" s="20">
        <v>39.0</v>
      </c>
      <c r="M39" s="63"/>
      <c r="N39" s="23"/>
      <c r="O39" s="19">
        <v>7.0</v>
      </c>
      <c r="P39" s="40">
        <v>0.0843745612803594</v>
      </c>
      <c r="Q39" s="40">
        <v>0.0728952772073922</v>
      </c>
      <c r="R39" s="40">
        <v>0.18691588785046728</v>
      </c>
      <c r="S39" s="40">
        <v>0.08361774744027303</v>
      </c>
      <c r="T39" s="40">
        <v>0.061128526645768025</v>
      </c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 ht="15.75" customHeight="1">
      <c r="A40" s="63"/>
      <c r="B40" s="63"/>
      <c r="C40" s="63"/>
      <c r="D40" s="63"/>
      <c r="E40" s="63"/>
      <c r="F40" s="24"/>
      <c r="G40" s="19">
        <v>8.0</v>
      </c>
      <c r="H40" s="20">
        <v>542.0</v>
      </c>
      <c r="I40" s="20">
        <v>313.0</v>
      </c>
      <c r="J40" s="20">
        <v>22.0</v>
      </c>
      <c r="K40" s="20">
        <v>55.0</v>
      </c>
      <c r="L40" s="20">
        <v>33.0</v>
      </c>
      <c r="M40" s="63"/>
      <c r="N40" s="23"/>
      <c r="O40" s="19">
        <v>8.0</v>
      </c>
      <c r="P40" s="40">
        <v>0.07609153446581497</v>
      </c>
      <c r="Q40" s="40">
        <v>0.10711841204654346</v>
      </c>
      <c r="R40" s="40">
        <v>0.205607476635514</v>
      </c>
      <c r="S40" s="40">
        <v>0.09385665529010238</v>
      </c>
      <c r="T40" s="40">
        <v>0.05172413793103448</v>
      </c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 ht="15.75" customHeight="1">
      <c r="A41" s="63"/>
      <c r="B41" s="63"/>
      <c r="C41" s="63"/>
      <c r="D41" s="63"/>
      <c r="E41" s="63"/>
      <c r="F41" s="24"/>
      <c r="G41" s="19">
        <v>9.0</v>
      </c>
      <c r="H41" s="20">
        <v>621.0</v>
      </c>
      <c r="I41" s="20">
        <v>280.0</v>
      </c>
      <c r="J41" s="20">
        <v>6.0</v>
      </c>
      <c r="K41" s="20">
        <v>44.0</v>
      </c>
      <c r="L41" s="20">
        <v>60.0</v>
      </c>
      <c r="M41" s="63"/>
      <c r="N41" s="23"/>
      <c r="O41" s="19">
        <v>9.0</v>
      </c>
      <c r="P41" s="40">
        <v>0.08718236698020497</v>
      </c>
      <c r="Q41" s="40">
        <v>0.09582477754962354</v>
      </c>
      <c r="R41" s="40">
        <v>0.056074766355140186</v>
      </c>
      <c r="S41" s="40">
        <v>0.07508532423208192</v>
      </c>
      <c r="T41" s="40">
        <v>0.09404388714733543</v>
      </c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</row>
    <row r="42" ht="15.75" customHeight="1">
      <c r="A42" s="63"/>
      <c r="B42" s="63"/>
      <c r="C42" s="63"/>
      <c r="D42" s="63"/>
      <c r="E42" s="63"/>
      <c r="F42" s="24"/>
      <c r="G42" s="19">
        <v>10.0</v>
      </c>
      <c r="H42" s="20">
        <v>517.0</v>
      </c>
      <c r="I42" s="20">
        <v>234.0</v>
      </c>
      <c r="J42" s="20">
        <v>2.0</v>
      </c>
      <c r="K42" s="20">
        <v>41.0</v>
      </c>
      <c r="L42" s="20">
        <v>36.0</v>
      </c>
      <c r="M42" s="63"/>
      <c r="N42" s="23"/>
      <c r="O42" s="19">
        <v>10.0</v>
      </c>
      <c r="P42" s="40">
        <v>0.072581777341008</v>
      </c>
      <c r="Q42" s="40">
        <v>0.08008213552361396</v>
      </c>
      <c r="R42" s="40">
        <v>0.018691588785046728</v>
      </c>
      <c r="S42" s="40">
        <v>0.06996587030716724</v>
      </c>
      <c r="T42" s="40">
        <v>0.05642633228840126</v>
      </c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</row>
    <row r="43" ht="15.75" customHeight="1">
      <c r="A43" s="63"/>
      <c r="B43" s="63"/>
      <c r="C43" s="63"/>
      <c r="D43" s="63"/>
      <c r="E43" s="63"/>
      <c r="F43" s="24"/>
      <c r="G43" s="19">
        <v>11.0</v>
      </c>
      <c r="H43" s="20">
        <v>466.0</v>
      </c>
      <c r="I43" s="20">
        <v>175.0</v>
      </c>
      <c r="J43" s="20">
        <v>4.0</v>
      </c>
      <c r="K43" s="20">
        <v>21.0</v>
      </c>
      <c r="L43" s="20">
        <v>48.0</v>
      </c>
      <c r="M43" s="63"/>
      <c r="N43" s="23"/>
      <c r="O43" s="19">
        <v>11.0</v>
      </c>
      <c r="P43" s="40">
        <v>0.0654218728064018</v>
      </c>
      <c r="Q43" s="40">
        <v>0.05989048596851471</v>
      </c>
      <c r="R43" s="40">
        <v>0.037383177570093455</v>
      </c>
      <c r="S43" s="40">
        <v>0.03583617747440273</v>
      </c>
      <c r="T43" s="40">
        <v>0.07523510971786834</v>
      </c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 ht="15.75" customHeight="1">
      <c r="A44" s="63"/>
      <c r="B44" s="63"/>
      <c r="C44" s="63"/>
      <c r="D44" s="63"/>
      <c r="E44" s="63"/>
      <c r="F44" s="24"/>
      <c r="G44" s="19">
        <v>12.0</v>
      </c>
      <c r="H44" s="20">
        <v>429.0</v>
      </c>
      <c r="I44" s="20">
        <v>152.0</v>
      </c>
      <c r="J44" s="20">
        <v>2.0</v>
      </c>
      <c r="K44" s="20">
        <v>26.0</v>
      </c>
      <c r="L44" s="20">
        <v>54.0</v>
      </c>
      <c r="M44" s="63"/>
      <c r="N44" s="23"/>
      <c r="O44" s="19">
        <v>12.0</v>
      </c>
      <c r="P44" s="40">
        <v>0.06022743226168749</v>
      </c>
      <c r="Q44" s="40">
        <v>0.05201916495550993</v>
      </c>
      <c r="R44" s="40">
        <v>0.018691588785046728</v>
      </c>
      <c r="S44" s="40">
        <v>0.04436860068259386</v>
      </c>
      <c r="T44" s="40">
        <v>0.08463949843260188</v>
      </c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</row>
    <row r="45" ht="15.75" customHeight="1">
      <c r="A45" s="63"/>
      <c r="B45" s="63"/>
      <c r="C45" s="63"/>
      <c r="D45" s="63"/>
      <c r="E45" s="63"/>
      <c r="F45" s="24"/>
      <c r="G45" s="19">
        <v>13.0</v>
      </c>
      <c r="H45" s="20">
        <v>411.0</v>
      </c>
      <c r="I45" s="20">
        <v>163.0</v>
      </c>
      <c r="J45" s="20">
        <v>3.0</v>
      </c>
      <c r="K45" s="20">
        <v>30.0</v>
      </c>
      <c r="L45" s="20">
        <v>49.0</v>
      </c>
      <c r="M45" s="63"/>
      <c r="N45" s="23"/>
      <c r="O45" s="19">
        <v>13.0</v>
      </c>
      <c r="P45" s="40">
        <v>0.057700407131826476</v>
      </c>
      <c r="Q45" s="40">
        <v>0.05578370978781656</v>
      </c>
      <c r="R45" s="40">
        <v>0.028037383177570093</v>
      </c>
      <c r="S45" s="40">
        <v>0.051194539249146756</v>
      </c>
      <c r="T45" s="40">
        <v>0.0768025078369906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</row>
    <row r="46" ht="15.75" customHeight="1">
      <c r="A46" s="63"/>
      <c r="B46" s="63"/>
      <c r="C46" s="63"/>
      <c r="D46" s="63"/>
      <c r="E46" s="63"/>
      <c r="F46" s="24"/>
      <c r="G46" s="19">
        <v>14.0</v>
      </c>
      <c r="H46" s="20">
        <v>388.0</v>
      </c>
      <c r="I46" s="20">
        <v>150.0</v>
      </c>
      <c r="J46" s="20">
        <v>2.0</v>
      </c>
      <c r="K46" s="20">
        <v>28.0</v>
      </c>
      <c r="L46" s="20">
        <v>36.0</v>
      </c>
      <c r="M46" s="63"/>
      <c r="N46" s="23"/>
      <c r="O46" s="19">
        <v>14.0</v>
      </c>
      <c r="P46" s="40">
        <v>0.05447143057700407</v>
      </c>
      <c r="Q46" s="40">
        <v>0.0513347022587269</v>
      </c>
      <c r="R46" s="40">
        <v>0.018691588785046728</v>
      </c>
      <c r="S46" s="40">
        <v>0.04778156996587031</v>
      </c>
      <c r="T46" s="40">
        <v>0.05642633228840126</v>
      </c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</row>
    <row r="47" ht="15.75" customHeight="1">
      <c r="A47" s="63"/>
      <c r="B47" s="63"/>
      <c r="C47" s="63"/>
      <c r="D47" s="63"/>
      <c r="E47" s="63"/>
      <c r="F47" s="24"/>
      <c r="G47" s="19">
        <v>15.0</v>
      </c>
      <c r="H47" s="20">
        <v>410.0</v>
      </c>
      <c r="I47" s="20">
        <v>147.0</v>
      </c>
      <c r="J47" s="20">
        <v>8.0</v>
      </c>
      <c r="K47" s="20">
        <v>34.0</v>
      </c>
      <c r="L47" s="20">
        <v>28.0</v>
      </c>
      <c r="M47" s="63"/>
      <c r="N47" s="23"/>
      <c r="O47" s="19">
        <v>15.0</v>
      </c>
      <c r="P47" s="40">
        <v>0.0575600168468342</v>
      </c>
      <c r="Q47" s="40">
        <v>0.050308008213552365</v>
      </c>
      <c r="R47" s="40">
        <v>0.07476635514018691</v>
      </c>
      <c r="S47" s="40">
        <v>0.05802047781569966</v>
      </c>
      <c r="T47" s="40">
        <v>0.0438871473354232</v>
      </c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 ht="15.75" customHeight="1">
      <c r="A48" s="63"/>
      <c r="B48" s="63"/>
      <c r="C48" s="63"/>
      <c r="D48" s="63"/>
      <c r="E48" s="63"/>
      <c r="F48" s="24"/>
      <c r="G48" s="19">
        <v>16.0</v>
      </c>
      <c r="H48" s="20">
        <v>354.0</v>
      </c>
      <c r="I48" s="20">
        <v>197.0</v>
      </c>
      <c r="J48" s="20">
        <v>1.0</v>
      </c>
      <c r="K48" s="20">
        <v>31.0</v>
      </c>
      <c r="L48" s="20">
        <v>24.0</v>
      </c>
      <c r="M48" s="63"/>
      <c r="N48" s="23"/>
      <c r="O48" s="19">
        <v>16.0</v>
      </c>
      <c r="P48" s="40">
        <v>0.0496981608872666</v>
      </c>
      <c r="Q48" s="40">
        <v>0.06741957563312799</v>
      </c>
      <c r="R48" s="40">
        <v>0.009345794392523364</v>
      </c>
      <c r="S48" s="40">
        <v>0.052901023890784986</v>
      </c>
      <c r="T48" s="40">
        <v>0.03761755485893417</v>
      </c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</row>
    <row r="49" ht="15.75" customHeight="1">
      <c r="A49" s="63"/>
      <c r="B49" s="63"/>
      <c r="C49" s="63"/>
      <c r="D49" s="63"/>
      <c r="E49" s="63"/>
      <c r="F49" s="24"/>
      <c r="G49" s="19">
        <v>17.0</v>
      </c>
      <c r="H49" s="20">
        <v>414.0</v>
      </c>
      <c r="I49" s="20">
        <v>192.0</v>
      </c>
      <c r="J49" s="20">
        <v>0.0</v>
      </c>
      <c r="K49" s="20">
        <v>22.0</v>
      </c>
      <c r="L49" s="20">
        <v>13.0</v>
      </c>
      <c r="M49" s="63"/>
      <c r="N49" s="23"/>
      <c r="O49" s="19">
        <v>17.0</v>
      </c>
      <c r="P49" s="40">
        <v>0.05812157798680331</v>
      </c>
      <c r="Q49" s="40">
        <v>0.06570841889117043</v>
      </c>
      <c r="R49" s="40">
        <v>0.0</v>
      </c>
      <c r="S49" s="40">
        <v>0.03754266211604096</v>
      </c>
      <c r="T49" s="40">
        <v>0.02037617554858934</v>
      </c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 ht="15.75" customHeight="1">
      <c r="A50" s="63"/>
      <c r="B50" s="63"/>
      <c r="C50" s="63"/>
      <c r="D50" s="63"/>
      <c r="E50" s="63"/>
      <c r="F50" s="24"/>
      <c r="G50" s="19">
        <v>18.0</v>
      </c>
      <c r="H50" s="20">
        <v>344.0</v>
      </c>
      <c r="I50" s="20">
        <v>127.0</v>
      </c>
      <c r="J50" s="20">
        <v>2.0</v>
      </c>
      <c r="K50" s="20">
        <v>13.0</v>
      </c>
      <c r="L50" s="20">
        <v>16.0</v>
      </c>
      <c r="M50" s="63"/>
      <c r="N50" s="23"/>
      <c r="O50" s="19">
        <v>18.0</v>
      </c>
      <c r="P50" s="40">
        <v>0.048294258037343815</v>
      </c>
      <c r="Q50" s="40">
        <v>0.043463381245722105</v>
      </c>
      <c r="R50" s="40">
        <v>0.018691588785046728</v>
      </c>
      <c r="S50" s="40">
        <v>0.02218430034129693</v>
      </c>
      <c r="T50" s="40">
        <v>0.025078369905956112</v>
      </c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 ht="15.75" customHeight="1">
      <c r="A51" s="63"/>
      <c r="B51" s="63"/>
      <c r="C51" s="63"/>
      <c r="D51" s="63"/>
      <c r="E51" s="63"/>
      <c r="F51" s="24"/>
      <c r="G51" s="19">
        <v>19.0</v>
      </c>
      <c r="H51" s="20">
        <v>252.0</v>
      </c>
      <c r="I51" s="20">
        <v>77.0</v>
      </c>
      <c r="J51" s="20">
        <v>1.0</v>
      </c>
      <c r="K51" s="20">
        <v>15.0</v>
      </c>
      <c r="L51" s="20">
        <v>11.0</v>
      </c>
      <c r="M51" s="63"/>
      <c r="N51" s="23"/>
      <c r="O51" s="19">
        <v>19.0</v>
      </c>
      <c r="P51" s="40">
        <v>0.03537835181805419</v>
      </c>
      <c r="Q51" s="40">
        <v>0.026351813826146476</v>
      </c>
      <c r="R51" s="40">
        <v>0.009345794392523364</v>
      </c>
      <c r="S51" s="40">
        <v>0.025597269624573378</v>
      </c>
      <c r="T51" s="40">
        <v>0.017241379310344827</v>
      </c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 ht="15.75" customHeight="1">
      <c r="A52" s="63"/>
      <c r="B52" s="63"/>
      <c r="C52" s="63"/>
      <c r="D52" s="63"/>
      <c r="E52" s="63"/>
      <c r="F52" s="24"/>
      <c r="G52" s="19">
        <v>20.0</v>
      </c>
      <c r="H52" s="20">
        <v>213.0</v>
      </c>
      <c r="I52" s="20">
        <v>60.0</v>
      </c>
      <c r="J52" s="20">
        <v>2.0</v>
      </c>
      <c r="K52" s="20">
        <v>10.0</v>
      </c>
      <c r="L52" s="20">
        <v>14.0</v>
      </c>
      <c r="M52" s="63"/>
      <c r="N52" s="23"/>
      <c r="O52" s="19">
        <v>20.0</v>
      </c>
      <c r="P52" s="40">
        <v>0.02990313070335533</v>
      </c>
      <c r="Q52" s="40">
        <v>0.02053388090349076</v>
      </c>
      <c r="R52" s="40">
        <v>0.018691588785046728</v>
      </c>
      <c r="S52" s="40">
        <v>0.017064846416382253</v>
      </c>
      <c r="T52" s="40">
        <v>0.0219435736677116</v>
      </c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 ht="15.75" customHeight="1">
      <c r="A53" s="63"/>
      <c r="B53" s="63"/>
      <c r="C53" s="63"/>
      <c r="D53" s="63"/>
      <c r="E53" s="63"/>
      <c r="F53" s="24"/>
      <c r="G53" s="19">
        <v>21.0</v>
      </c>
      <c r="H53" s="20">
        <v>184.0</v>
      </c>
      <c r="I53" s="20">
        <v>52.0</v>
      </c>
      <c r="J53" s="20">
        <v>0.0</v>
      </c>
      <c r="K53" s="20">
        <v>6.0</v>
      </c>
      <c r="L53" s="20">
        <v>12.0</v>
      </c>
      <c r="M53" s="63"/>
      <c r="N53" s="23"/>
      <c r="O53" s="19">
        <v>21.0</v>
      </c>
      <c r="P53" s="40">
        <v>0.025831812438579252</v>
      </c>
      <c r="Q53" s="40">
        <v>0.01779603011635866</v>
      </c>
      <c r="R53" s="40">
        <v>0.0</v>
      </c>
      <c r="S53" s="40">
        <v>0.010238907849829351</v>
      </c>
      <c r="T53" s="40">
        <v>0.018808777429467086</v>
      </c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 ht="15.75" customHeight="1">
      <c r="A54" s="63"/>
      <c r="B54" s="63"/>
      <c r="C54" s="63"/>
      <c r="D54" s="63"/>
      <c r="E54" s="63"/>
      <c r="F54" s="24"/>
      <c r="G54" s="19">
        <v>22.0</v>
      </c>
      <c r="H54" s="20">
        <v>153.0</v>
      </c>
      <c r="I54" s="20">
        <v>56.0</v>
      </c>
      <c r="J54" s="20">
        <v>2.0</v>
      </c>
      <c r="K54" s="20">
        <v>14.0</v>
      </c>
      <c r="L54" s="20">
        <v>9.0</v>
      </c>
      <c r="M54" s="63"/>
      <c r="N54" s="23"/>
      <c r="O54" s="19">
        <v>22.0</v>
      </c>
      <c r="P54" s="40">
        <v>0.021479713603818614</v>
      </c>
      <c r="Q54" s="40">
        <v>0.019164955509924708</v>
      </c>
      <c r="R54" s="40">
        <v>0.018691588785046728</v>
      </c>
      <c r="S54" s="40">
        <v>0.023890784982935155</v>
      </c>
      <c r="T54" s="40">
        <v>0.014106583072100314</v>
      </c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 ht="15.75" customHeight="1">
      <c r="A55" s="63"/>
      <c r="B55" s="63"/>
      <c r="C55" s="63"/>
      <c r="D55" s="63"/>
      <c r="E55" s="63"/>
      <c r="F55" s="28"/>
      <c r="G55" s="19">
        <v>23.0</v>
      </c>
      <c r="H55" s="20">
        <v>100.0</v>
      </c>
      <c r="I55" s="20">
        <v>24.0</v>
      </c>
      <c r="J55" s="20">
        <v>1.0</v>
      </c>
      <c r="K55" s="20">
        <v>18.0</v>
      </c>
      <c r="L55" s="20">
        <v>10.0</v>
      </c>
      <c r="M55" s="63"/>
      <c r="N55" s="27"/>
      <c r="O55" s="19">
        <v>23.0</v>
      </c>
      <c r="P55" s="40">
        <v>0.014039028499227854</v>
      </c>
      <c r="Q55" s="40">
        <v>0.008213552361396304</v>
      </c>
      <c r="R55" s="40">
        <v>0.009345794392523364</v>
      </c>
      <c r="S55" s="40">
        <v>0.030716723549488054</v>
      </c>
      <c r="T55" s="40">
        <v>0.01567398119122257</v>
      </c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 ht="15.75" customHeight="1">
      <c r="A56" s="63"/>
      <c r="B56" s="63"/>
      <c r="C56" s="63"/>
      <c r="D56" s="63"/>
      <c r="E56" s="63"/>
      <c r="F56" s="21">
        <v>45196.0</v>
      </c>
      <c r="G56" s="19">
        <v>0.0</v>
      </c>
      <c r="H56" s="20">
        <v>62.0</v>
      </c>
      <c r="I56" s="20">
        <v>21.0</v>
      </c>
      <c r="J56" s="20">
        <v>1.0</v>
      </c>
      <c r="K56" s="20">
        <v>7.0</v>
      </c>
      <c r="L56" s="20">
        <v>12.0</v>
      </c>
      <c r="M56" s="63"/>
      <c r="N56" s="18">
        <v>45196.0</v>
      </c>
      <c r="O56" s="19">
        <v>0.0</v>
      </c>
      <c r="P56" s="40">
        <v>0.008550544752447937</v>
      </c>
      <c r="Q56" s="40">
        <v>0.007004669779853236</v>
      </c>
      <c r="R56" s="40">
        <v>0.008928571428571428</v>
      </c>
      <c r="S56" s="40">
        <v>0.011824324324324325</v>
      </c>
      <c r="T56" s="40">
        <v>0.017069701280227598</v>
      </c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 ht="15.75" customHeight="1">
      <c r="A57" s="63"/>
      <c r="B57" s="63"/>
      <c r="C57" s="63"/>
      <c r="D57" s="63"/>
      <c r="E57" s="63"/>
      <c r="F57" s="24"/>
      <c r="G57" s="19">
        <v>1.0</v>
      </c>
      <c r="H57" s="20">
        <v>55.0</v>
      </c>
      <c r="I57" s="20">
        <v>21.0</v>
      </c>
      <c r="J57" s="20">
        <v>0.0</v>
      </c>
      <c r="K57" s="20">
        <v>15.0</v>
      </c>
      <c r="L57" s="20">
        <v>4.0</v>
      </c>
      <c r="M57" s="63"/>
      <c r="N57" s="23"/>
      <c r="O57" s="19">
        <v>1.0</v>
      </c>
      <c r="P57" s="40">
        <v>0.007585160667494139</v>
      </c>
      <c r="Q57" s="40">
        <v>0.007004669779853236</v>
      </c>
      <c r="R57" s="40">
        <v>0.0</v>
      </c>
      <c r="S57" s="40">
        <v>0.02533783783783784</v>
      </c>
      <c r="T57" s="40">
        <v>0.005689900426742532</v>
      </c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 ht="15.75" customHeight="1">
      <c r="A58" s="63"/>
      <c r="B58" s="63"/>
      <c r="C58" s="63"/>
      <c r="D58" s="63"/>
      <c r="E58" s="63"/>
      <c r="F58" s="24"/>
      <c r="G58" s="19">
        <v>2.0</v>
      </c>
      <c r="H58" s="16">
        <v>33.0</v>
      </c>
      <c r="I58" s="16">
        <v>12.0</v>
      </c>
      <c r="J58" s="16">
        <v>0.0</v>
      </c>
      <c r="K58" s="16">
        <v>14.0</v>
      </c>
      <c r="L58" s="16">
        <v>11.0</v>
      </c>
      <c r="M58" s="63"/>
      <c r="N58" s="23"/>
      <c r="O58" s="19">
        <v>2.0</v>
      </c>
      <c r="P58" s="40">
        <v>0.004551096400496483</v>
      </c>
      <c r="Q58" s="40">
        <v>0.004002668445630421</v>
      </c>
      <c r="R58" s="40">
        <v>0.0</v>
      </c>
      <c r="S58" s="40">
        <v>0.02364864864864865</v>
      </c>
      <c r="T58" s="40">
        <v>0.015647226173541962</v>
      </c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 ht="15.75" customHeight="1">
      <c r="A59" s="63"/>
      <c r="B59" s="63"/>
      <c r="C59" s="63"/>
      <c r="D59" s="63"/>
      <c r="E59" s="63"/>
      <c r="F59" s="24"/>
      <c r="G59" s="19">
        <v>3.0</v>
      </c>
      <c r="H59" s="20">
        <v>37.0</v>
      </c>
      <c r="I59" s="20">
        <v>22.0</v>
      </c>
      <c r="J59" s="20">
        <v>0.0</v>
      </c>
      <c r="K59" s="20">
        <v>17.0</v>
      </c>
      <c r="L59" s="20">
        <v>9.0</v>
      </c>
      <c r="M59" s="63"/>
      <c r="N59" s="23"/>
      <c r="O59" s="19">
        <v>3.0</v>
      </c>
      <c r="P59" s="40">
        <v>0.005102744449041512</v>
      </c>
      <c r="Q59" s="40">
        <v>0.00733822548365577</v>
      </c>
      <c r="R59" s="40">
        <v>0.0</v>
      </c>
      <c r="S59" s="40">
        <v>0.028716216216216218</v>
      </c>
      <c r="T59" s="40">
        <v>0.012802275960170697</v>
      </c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 ht="15.75" customHeight="1">
      <c r="A60" s="63"/>
      <c r="B60" s="63"/>
      <c r="C60" s="63"/>
      <c r="D60" s="63"/>
      <c r="E60" s="63"/>
      <c r="F60" s="24"/>
      <c r="G60" s="19">
        <v>4.0</v>
      </c>
      <c r="H60" s="20">
        <v>64.0</v>
      </c>
      <c r="I60" s="20">
        <v>38.0</v>
      </c>
      <c r="J60" s="20">
        <v>1.0</v>
      </c>
      <c r="K60" s="20">
        <v>23.0</v>
      </c>
      <c r="L60" s="20">
        <v>18.0</v>
      </c>
      <c r="M60" s="63"/>
      <c r="N60" s="23"/>
      <c r="O60" s="19">
        <v>4.0</v>
      </c>
      <c r="P60" s="40">
        <v>0.008826368776720453</v>
      </c>
      <c r="Q60" s="40">
        <v>0.012675116744496331</v>
      </c>
      <c r="R60" s="40">
        <v>0.008928571428571428</v>
      </c>
      <c r="S60" s="40">
        <v>0.03885135135135135</v>
      </c>
      <c r="T60" s="40">
        <v>0.025604551920341393</v>
      </c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 ht="15.75" customHeight="1">
      <c r="A61" s="63"/>
      <c r="B61" s="63"/>
      <c r="C61" s="63"/>
      <c r="D61" s="63"/>
      <c r="E61" s="63"/>
      <c r="F61" s="24"/>
      <c r="G61" s="19">
        <v>5.0</v>
      </c>
      <c r="H61" s="20">
        <v>110.0</v>
      </c>
      <c r="I61" s="20">
        <v>82.0</v>
      </c>
      <c r="J61" s="20">
        <v>3.0</v>
      </c>
      <c r="K61" s="20">
        <v>17.0</v>
      </c>
      <c r="L61" s="20">
        <v>26.0</v>
      </c>
      <c r="M61" s="63"/>
      <c r="N61" s="23"/>
      <c r="O61" s="19">
        <v>5.0</v>
      </c>
      <c r="P61" s="40">
        <v>0.015170321334988277</v>
      </c>
      <c r="Q61" s="40">
        <v>0.027351567711807873</v>
      </c>
      <c r="R61" s="40">
        <v>0.026785714285714284</v>
      </c>
      <c r="S61" s="40">
        <v>0.028716216216216218</v>
      </c>
      <c r="T61" s="40">
        <v>0.03698435277382646</v>
      </c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 ht="15.75" customHeight="1">
      <c r="A62" s="63"/>
      <c r="B62" s="63"/>
      <c r="C62" s="63"/>
      <c r="D62" s="63"/>
      <c r="E62" s="63"/>
      <c r="F62" s="24"/>
      <c r="G62" s="19">
        <v>6.0</v>
      </c>
      <c r="H62" s="20">
        <v>281.0</v>
      </c>
      <c r="I62" s="20">
        <v>122.0</v>
      </c>
      <c r="J62" s="20">
        <v>13.0</v>
      </c>
      <c r="K62" s="20">
        <v>40.0</v>
      </c>
      <c r="L62" s="20">
        <v>38.0</v>
      </c>
      <c r="M62" s="63"/>
      <c r="N62" s="23"/>
      <c r="O62" s="19">
        <v>6.0</v>
      </c>
      <c r="P62" s="40">
        <v>0.03875327541028824</v>
      </c>
      <c r="Q62" s="40">
        <v>0.040693795863909275</v>
      </c>
      <c r="R62" s="40">
        <v>0.11607142857142858</v>
      </c>
      <c r="S62" s="40">
        <v>0.06756756756756757</v>
      </c>
      <c r="T62" s="40">
        <v>0.05405405405405406</v>
      </c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 ht="15.75" customHeight="1">
      <c r="A63" s="63"/>
      <c r="B63" s="63"/>
      <c r="C63" s="63"/>
      <c r="D63" s="63"/>
      <c r="E63" s="63"/>
      <c r="F63" s="24"/>
      <c r="G63" s="19">
        <v>7.0</v>
      </c>
      <c r="H63" s="20">
        <v>592.0</v>
      </c>
      <c r="I63" s="20">
        <v>200.0</v>
      </c>
      <c r="J63" s="20">
        <v>16.0</v>
      </c>
      <c r="K63" s="20">
        <v>47.0</v>
      </c>
      <c r="L63" s="20">
        <v>52.0</v>
      </c>
      <c r="M63" s="63"/>
      <c r="N63" s="23"/>
      <c r="O63" s="19">
        <v>7.0</v>
      </c>
      <c r="P63" s="40">
        <v>0.08164391118466419</v>
      </c>
      <c r="Q63" s="40">
        <v>0.066711140760507</v>
      </c>
      <c r="R63" s="40">
        <v>0.14285714285714285</v>
      </c>
      <c r="S63" s="40">
        <v>0.07939189189189189</v>
      </c>
      <c r="T63" s="40">
        <v>0.07396870554765292</v>
      </c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 ht="15.75" customHeight="1">
      <c r="A64" s="63"/>
      <c r="B64" s="63"/>
      <c r="C64" s="63"/>
      <c r="D64" s="63"/>
      <c r="E64" s="63"/>
      <c r="F64" s="24"/>
      <c r="G64" s="19">
        <v>8.0</v>
      </c>
      <c r="H64" s="20">
        <v>542.0</v>
      </c>
      <c r="I64" s="20">
        <v>280.0</v>
      </c>
      <c r="J64" s="20">
        <v>11.0</v>
      </c>
      <c r="K64" s="20">
        <v>45.0</v>
      </c>
      <c r="L64" s="20">
        <v>45.0</v>
      </c>
      <c r="M64" s="63"/>
      <c r="N64" s="23"/>
      <c r="O64" s="19">
        <v>8.0</v>
      </c>
      <c r="P64" s="40">
        <v>0.07474831057785133</v>
      </c>
      <c r="Q64" s="40">
        <v>0.0933955970647098</v>
      </c>
      <c r="R64" s="40">
        <v>0.09821428571428571</v>
      </c>
      <c r="S64" s="40">
        <v>0.07601351351351351</v>
      </c>
      <c r="T64" s="40">
        <v>0.06401137980085349</v>
      </c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 ht="15.75" customHeight="1">
      <c r="A65" s="63"/>
      <c r="B65" s="63"/>
      <c r="C65" s="63"/>
      <c r="D65" s="63"/>
      <c r="E65" s="63"/>
      <c r="F65" s="24"/>
      <c r="G65" s="19">
        <v>9.0</v>
      </c>
      <c r="H65" s="20">
        <v>513.0</v>
      </c>
      <c r="I65" s="20">
        <v>273.0</v>
      </c>
      <c r="J65" s="20">
        <v>10.0</v>
      </c>
      <c r="K65" s="20">
        <v>45.0</v>
      </c>
      <c r="L65" s="20">
        <v>58.0</v>
      </c>
      <c r="M65" s="63"/>
      <c r="N65" s="23"/>
      <c r="O65" s="19">
        <v>9.0</v>
      </c>
      <c r="P65" s="40">
        <v>0.07074886222589988</v>
      </c>
      <c r="Q65" s="40">
        <v>0.09106070713809206</v>
      </c>
      <c r="R65" s="40">
        <v>0.08928571428571429</v>
      </c>
      <c r="S65" s="40">
        <v>0.07601351351351351</v>
      </c>
      <c r="T65" s="40">
        <v>0.08250355618776671</v>
      </c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 ht="15.75" customHeight="1">
      <c r="A66" s="63"/>
      <c r="B66" s="63"/>
      <c r="C66" s="63"/>
      <c r="D66" s="63"/>
      <c r="E66" s="63"/>
      <c r="F66" s="24"/>
      <c r="G66" s="19">
        <v>10.0</v>
      </c>
      <c r="H66" s="20">
        <v>526.0</v>
      </c>
      <c r="I66" s="20">
        <v>235.0</v>
      </c>
      <c r="J66" s="20">
        <v>18.0</v>
      </c>
      <c r="K66" s="20">
        <v>38.0</v>
      </c>
      <c r="L66" s="20">
        <v>67.0</v>
      </c>
      <c r="M66" s="63"/>
      <c r="N66" s="23"/>
      <c r="O66" s="19">
        <v>10.0</v>
      </c>
      <c r="P66" s="40">
        <v>0.07254171838367121</v>
      </c>
      <c r="Q66" s="40">
        <v>0.07838559039359573</v>
      </c>
      <c r="R66" s="40">
        <v>0.16071428571428573</v>
      </c>
      <c r="S66" s="40">
        <v>0.06418918918918919</v>
      </c>
      <c r="T66" s="40">
        <v>0.0953058321479374</v>
      </c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 ht="15.75" customHeight="1">
      <c r="A67" s="63"/>
      <c r="B67" s="63"/>
      <c r="C67" s="63"/>
      <c r="D67" s="63"/>
      <c r="E67" s="63"/>
      <c r="F67" s="24"/>
      <c r="G67" s="19">
        <v>11.0</v>
      </c>
      <c r="H67" s="20">
        <v>452.0</v>
      </c>
      <c r="I67" s="20">
        <v>175.0</v>
      </c>
      <c r="J67" s="20">
        <v>7.0</v>
      </c>
      <c r="K67" s="20">
        <v>41.0</v>
      </c>
      <c r="L67" s="20">
        <v>55.0</v>
      </c>
      <c r="M67" s="63"/>
      <c r="N67" s="23"/>
      <c r="O67" s="19">
        <v>11.0</v>
      </c>
      <c r="P67" s="40">
        <v>0.062336229485588195</v>
      </c>
      <c r="Q67" s="40">
        <v>0.058372248165443626</v>
      </c>
      <c r="R67" s="40">
        <v>0.0625</v>
      </c>
      <c r="S67" s="40">
        <v>0.06925675675675676</v>
      </c>
      <c r="T67" s="40">
        <v>0.07823613086770982</v>
      </c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 ht="15.75" customHeight="1">
      <c r="A68" s="63"/>
      <c r="B68" s="63"/>
      <c r="C68" s="63"/>
      <c r="D68" s="63"/>
      <c r="E68" s="63"/>
      <c r="F68" s="24"/>
      <c r="G68" s="19">
        <v>12.0</v>
      </c>
      <c r="H68" s="20">
        <v>406.0</v>
      </c>
      <c r="I68" s="20">
        <v>162.0</v>
      </c>
      <c r="J68" s="20">
        <v>7.0</v>
      </c>
      <c r="K68" s="20">
        <v>17.0</v>
      </c>
      <c r="L68" s="20">
        <v>65.0</v>
      </c>
      <c r="M68" s="63"/>
      <c r="N68" s="23"/>
      <c r="O68" s="19">
        <v>12.0</v>
      </c>
      <c r="P68" s="40">
        <v>0.05599227692732037</v>
      </c>
      <c r="Q68" s="40">
        <v>0.054036024016010674</v>
      </c>
      <c r="R68" s="40">
        <v>0.0625</v>
      </c>
      <c r="S68" s="40">
        <v>0.028716216216216218</v>
      </c>
      <c r="T68" s="40">
        <v>0.09246088193456614</v>
      </c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 ht="15.75" customHeight="1">
      <c r="A69" s="63"/>
      <c r="B69" s="63"/>
      <c r="C69" s="63"/>
      <c r="D69" s="63"/>
      <c r="E69" s="63"/>
      <c r="F69" s="24"/>
      <c r="G69" s="19">
        <v>13.0</v>
      </c>
      <c r="H69" s="20">
        <v>434.0</v>
      </c>
      <c r="I69" s="20">
        <v>189.0</v>
      </c>
      <c r="J69" s="20">
        <v>3.0</v>
      </c>
      <c r="K69" s="20">
        <v>34.0</v>
      </c>
      <c r="L69" s="20">
        <v>55.0</v>
      </c>
      <c r="M69" s="63"/>
      <c r="N69" s="23"/>
      <c r="O69" s="19">
        <v>13.0</v>
      </c>
      <c r="P69" s="40">
        <v>0.05985381326713557</v>
      </c>
      <c r="Q69" s="40">
        <v>0.06304202801867911</v>
      </c>
      <c r="R69" s="40">
        <v>0.026785714285714284</v>
      </c>
      <c r="S69" s="40">
        <v>0.057432432432432436</v>
      </c>
      <c r="T69" s="40">
        <v>0.07823613086770982</v>
      </c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 ht="15.75" customHeight="1">
      <c r="A70" s="63"/>
      <c r="B70" s="63"/>
      <c r="C70" s="63"/>
      <c r="D70" s="63"/>
      <c r="E70" s="63"/>
      <c r="F70" s="24"/>
      <c r="G70" s="19">
        <v>14.0</v>
      </c>
      <c r="H70" s="20">
        <v>434.0</v>
      </c>
      <c r="I70" s="20">
        <v>174.0</v>
      </c>
      <c r="J70" s="20">
        <v>6.0</v>
      </c>
      <c r="K70" s="20">
        <v>27.0</v>
      </c>
      <c r="L70" s="20">
        <v>49.0</v>
      </c>
      <c r="M70" s="63"/>
      <c r="N70" s="23"/>
      <c r="O70" s="19">
        <v>14.0</v>
      </c>
      <c r="P70" s="40">
        <v>0.05985381326713557</v>
      </c>
      <c r="Q70" s="40">
        <v>0.058038692461641096</v>
      </c>
      <c r="R70" s="40">
        <v>0.05357142857142857</v>
      </c>
      <c r="S70" s="40">
        <v>0.04560810810810811</v>
      </c>
      <c r="T70" s="40">
        <v>0.06970128022759602</v>
      </c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 ht="15.75" customHeight="1">
      <c r="A71" s="63"/>
      <c r="B71" s="63"/>
      <c r="C71" s="63"/>
      <c r="D71" s="63"/>
      <c r="E71" s="63"/>
      <c r="F71" s="24"/>
      <c r="G71" s="19">
        <v>15.0</v>
      </c>
      <c r="H71" s="20">
        <v>408.0</v>
      </c>
      <c r="I71" s="20">
        <v>170.0</v>
      </c>
      <c r="J71" s="20">
        <v>7.0</v>
      </c>
      <c r="K71" s="20">
        <v>32.0</v>
      </c>
      <c r="L71" s="20">
        <v>32.0</v>
      </c>
      <c r="M71" s="63"/>
      <c r="N71" s="23"/>
      <c r="O71" s="19">
        <v>15.0</v>
      </c>
      <c r="P71" s="40">
        <v>0.05626810095159288</v>
      </c>
      <c r="Q71" s="40">
        <v>0.05670446964643095</v>
      </c>
      <c r="R71" s="40">
        <v>0.0625</v>
      </c>
      <c r="S71" s="40">
        <v>0.05405405405405406</v>
      </c>
      <c r="T71" s="40">
        <v>0.04551920341394026</v>
      </c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 ht="15.75" customHeight="1">
      <c r="A72" s="63"/>
      <c r="B72" s="63"/>
      <c r="C72" s="63"/>
      <c r="D72" s="63"/>
      <c r="E72" s="63"/>
      <c r="F72" s="24"/>
      <c r="G72" s="19">
        <v>16.0</v>
      </c>
      <c r="H72" s="20">
        <v>425.0</v>
      </c>
      <c r="I72" s="20">
        <v>200.0</v>
      </c>
      <c r="J72" s="20">
        <v>2.0</v>
      </c>
      <c r="K72" s="20">
        <v>22.0</v>
      </c>
      <c r="L72" s="20">
        <v>28.0</v>
      </c>
      <c r="M72" s="63"/>
      <c r="N72" s="23"/>
      <c r="O72" s="19">
        <v>16.0</v>
      </c>
      <c r="P72" s="40">
        <v>0.05861260515790925</v>
      </c>
      <c r="Q72" s="40">
        <v>0.066711140760507</v>
      </c>
      <c r="R72" s="40">
        <v>0.017857142857142856</v>
      </c>
      <c r="S72" s="40">
        <v>0.037162162162162164</v>
      </c>
      <c r="T72" s="40">
        <v>0.03982930298719772</v>
      </c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 ht="15.75" customHeight="1">
      <c r="A73" s="63"/>
      <c r="B73" s="63"/>
      <c r="C73" s="63"/>
      <c r="D73" s="63"/>
      <c r="E73" s="63"/>
      <c r="F73" s="24"/>
      <c r="G73" s="19">
        <v>17.0</v>
      </c>
      <c r="H73" s="20">
        <v>437.0</v>
      </c>
      <c r="I73" s="20">
        <v>202.0</v>
      </c>
      <c r="J73" s="20">
        <v>3.0</v>
      </c>
      <c r="K73" s="20">
        <v>16.0</v>
      </c>
      <c r="L73" s="20">
        <v>22.0</v>
      </c>
      <c r="M73" s="63"/>
      <c r="N73" s="23"/>
      <c r="O73" s="19">
        <v>17.0</v>
      </c>
      <c r="P73" s="40">
        <v>0.06026754930354434</v>
      </c>
      <c r="Q73" s="40">
        <v>0.06737825216811208</v>
      </c>
      <c r="R73" s="40">
        <v>0.026785714285714284</v>
      </c>
      <c r="S73" s="40">
        <v>0.02702702702702703</v>
      </c>
      <c r="T73" s="40">
        <v>0.031294452347083924</v>
      </c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 ht="15.75" customHeight="1">
      <c r="A74" s="63"/>
      <c r="B74" s="63"/>
      <c r="C74" s="63"/>
      <c r="D74" s="63"/>
      <c r="E74" s="63"/>
      <c r="F74" s="24"/>
      <c r="G74" s="19">
        <v>18.0</v>
      </c>
      <c r="H74" s="20">
        <v>340.0</v>
      </c>
      <c r="I74" s="20">
        <v>121.0</v>
      </c>
      <c r="J74" s="20">
        <v>0.0</v>
      </c>
      <c r="K74" s="20">
        <v>26.0</v>
      </c>
      <c r="L74" s="20">
        <v>18.0</v>
      </c>
      <c r="M74" s="63"/>
      <c r="N74" s="23"/>
      <c r="O74" s="19">
        <v>18.0</v>
      </c>
      <c r="P74" s="40">
        <v>0.046890084126327405</v>
      </c>
      <c r="Q74" s="40">
        <v>0.04036024016010674</v>
      </c>
      <c r="R74" s="40">
        <v>0.0</v>
      </c>
      <c r="S74" s="40">
        <v>0.04391891891891892</v>
      </c>
      <c r="T74" s="40">
        <v>0.025604551920341393</v>
      </c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 ht="15.75" customHeight="1">
      <c r="A75" s="63"/>
      <c r="B75" s="63"/>
      <c r="C75" s="63"/>
      <c r="D75" s="63"/>
      <c r="E75" s="63"/>
      <c r="F75" s="24"/>
      <c r="G75" s="19">
        <v>19.0</v>
      </c>
      <c r="H75" s="20">
        <v>300.0</v>
      </c>
      <c r="I75" s="20">
        <v>100.0</v>
      </c>
      <c r="J75" s="20">
        <v>1.0</v>
      </c>
      <c r="K75" s="20">
        <v>25.0</v>
      </c>
      <c r="L75" s="20">
        <v>8.0</v>
      </c>
      <c r="M75" s="63"/>
      <c r="N75" s="23"/>
      <c r="O75" s="19">
        <v>19.0</v>
      </c>
      <c r="P75" s="40">
        <v>0.04137360364087712</v>
      </c>
      <c r="Q75" s="40">
        <v>0.0333555703802535</v>
      </c>
      <c r="R75" s="40">
        <v>0.008928571428571428</v>
      </c>
      <c r="S75" s="40">
        <v>0.04222972972972973</v>
      </c>
      <c r="T75" s="40">
        <v>0.011379800853485065</v>
      </c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 ht="15.75" customHeight="1">
      <c r="A76" s="63"/>
      <c r="B76" s="63"/>
      <c r="C76" s="63"/>
      <c r="D76" s="63"/>
      <c r="E76" s="63"/>
      <c r="F76" s="24"/>
      <c r="G76" s="19">
        <v>20.0</v>
      </c>
      <c r="H76" s="20">
        <v>292.0</v>
      </c>
      <c r="I76" s="20">
        <v>78.0</v>
      </c>
      <c r="J76" s="20">
        <v>0.0</v>
      </c>
      <c r="K76" s="20">
        <v>9.0</v>
      </c>
      <c r="L76" s="20">
        <v>11.0</v>
      </c>
      <c r="M76" s="63"/>
      <c r="N76" s="23"/>
      <c r="O76" s="19">
        <v>20.0</v>
      </c>
      <c r="P76" s="40">
        <v>0.04027030754378706</v>
      </c>
      <c r="Q76" s="40">
        <v>0.02601734489659773</v>
      </c>
      <c r="R76" s="40">
        <v>0.0</v>
      </c>
      <c r="S76" s="40">
        <v>0.015202702702702704</v>
      </c>
      <c r="T76" s="40">
        <v>0.015647226173541962</v>
      </c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 ht="15.75" customHeight="1">
      <c r="A77" s="63"/>
      <c r="B77" s="63"/>
      <c r="C77" s="63"/>
      <c r="D77" s="63"/>
      <c r="E77" s="63"/>
      <c r="F77" s="24"/>
      <c r="G77" s="19">
        <v>21.0</v>
      </c>
      <c r="H77" s="20">
        <v>222.0</v>
      </c>
      <c r="I77" s="20">
        <v>48.0</v>
      </c>
      <c r="J77" s="20">
        <v>0.0</v>
      </c>
      <c r="K77" s="20">
        <v>13.0</v>
      </c>
      <c r="L77" s="20">
        <v>5.0</v>
      </c>
      <c r="M77" s="63"/>
      <c r="N77" s="23"/>
      <c r="O77" s="19">
        <v>21.0</v>
      </c>
      <c r="P77" s="40">
        <v>0.03061646669424907</v>
      </c>
      <c r="Q77" s="40">
        <v>0.016010673782521682</v>
      </c>
      <c r="R77" s="40">
        <v>0.0</v>
      </c>
      <c r="S77" s="40">
        <v>0.02195945945945946</v>
      </c>
      <c r="T77" s="40">
        <v>0.007112375533428165</v>
      </c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</row>
    <row r="78" ht="15.75" customHeight="1">
      <c r="A78" s="63"/>
      <c r="B78" s="63"/>
      <c r="C78" s="63"/>
      <c r="D78" s="63"/>
      <c r="E78" s="63"/>
      <c r="F78" s="24"/>
      <c r="G78" s="19">
        <v>22.0</v>
      </c>
      <c r="H78" s="20">
        <v>188.0</v>
      </c>
      <c r="I78" s="20">
        <v>44.0</v>
      </c>
      <c r="J78" s="20">
        <v>1.0</v>
      </c>
      <c r="K78" s="20">
        <v>16.0</v>
      </c>
      <c r="L78" s="20">
        <v>7.0</v>
      </c>
      <c r="M78" s="63"/>
      <c r="N78" s="23"/>
      <c r="O78" s="19">
        <v>22.0</v>
      </c>
      <c r="P78" s="40">
        <v>0.025927458281616328</v>
      </c>
      <c r="Q78" s="40">
        <v>0.01467645096731154</v>
      </c>
      <c r="R78" s="40">
        <v>0.008928571428571428</v>
      </c>
      <c r="S78" s="40">
        <v>0.02702702702702703</v>
      </c>
      <c r="T78" s="40">
        <v>0.00995732574679943</v>
      </c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 ht="15.75" customHeight="1">
      <c r="A79" s="63"/>
      <c r="B79" s="63"/>
      <c r="C79" s="63"/>
      <c r="D79" s="63"/>
      <c r="E79" s="63"/>
      <c r="F79" s="28"/>
      <c r="G79" s="19">
        <v>23.0</v>
      </c>
      <c r="H79" s="20">
        <v>98.0</v>
      </c>
      <c r="I79" s="20">
        <v>29.0</v>
      </c>
      <c r="J79" s="20">
        <v>2.0</v>
      </c>
      <c r="K79" s="20">
        <v>6.0</v>
      </c>
      <c r="L79" s="20">
        <v>8.0</v>
      </c>
      <c r="M79" s="63"/>
      <c r="N79" s="27"/>
      <c r="O79" s="19">
        <v>23.0</v>
      </c>
      <c r="P79" s="40">
        <v>0.013515377189353193</v>
      </c>
      <c r="Q79" s="40">
        <v>0.009673115410273516</v>
      </c>
      <c r="R79" s="40">
        <v>0.017857142857142856</v>
      </c>
      <c r="S79" s="40">
        <v>0.010135135135135136</v>
      </c>
      <c r="T79" s="40">
        <v>0.011379800853485065</v>
      </c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 ht="15.75" customHeight="1">
      <c r="A80" s="63"/>
      <c r="B80" s="63"/>
      <c r="C80" s="63"/>
      <c r="D80" s="63"/>
      <c r="E80" s="63"/>
      <c r="F80" s="21">
        <v>45197.0</v>
      </c>
      <c r="G80" s="19">
        <v>0.0</v>
      </c>
      <c r="H80" s="20">
        <v>79.0</v>
      </c>
      <c r="I80" s="20">
        <v>24.0</v>
      </c>
      <c r="J80" s="20">
        <v>0.0</v>
      </c>
      <c r="K80" s="20">
        <v>13.0</v>
      </c>
      <c r="L80" s="20">
        <v>11.0</v>
      </c>
      <c r="M80" s="63"/>
      <c r="N80" s="18">
        <v>45197.0</v>
      </c>
      <c r="O80" s="19">
        <v>0.0</v>
      </c>
      <c r="P80" s="40">
        <v>0.006722260040844112</v>
      </c>
      <c r="Q80" s="40">
        <v>0.00591861898890259</v>
      </c>
      <c r="R80" s="40">
        <v>0.0</v>
      </c>
      <c r="S80" s="40">
        <v>0.02490421455938697</v>
      </c>
      <c r="T80" s="40">
        <v>0.01929824561403509</v>
      </c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 ht="15.75" customHeight="1">
      <c r="A81" s="63"/>
      <c r="B81" s="63"/>
      <c r="C81" s="63"/>
      <c r="D81" s="63"/>
      <c r="E81" s="63"/>
      <c r="F81" s="24"/>
      <c r="G81" s="19">
        <v>1.0</v>
      </c>
      <c r="H81" s="20">
        <v>62.0</v>
      </c>
      <c r="I81" s="20">
        <v>21.0</v>
      </c>
      <c r="J81" s="20">
        <v>0.0</v>
      </c>
      <c r="K81" s="20">
        <v>6.0</v>
      </c>
      <c r="L81" s="20">
        <v>7.0</v>
      </c>
      <c r="M81" s="63"/>
      <c r="N81" s="23"/>
      <c r="O81" s="19">
        <v>1.0</v>
      </c>
      <c r="P81" s="40">
        <v>0.00527569775357386</v>
      </c>
      <c r="Q81" s="40">
        <v>0.005178791615289766</v>
      </c>
      <c r="R81" s="40">
        <v>0.0</v>
      </c>
      <c r="S81" s="40">
        <v>0.011494252873563218</v>
      </c>
      <c r="T81" s="40">
        <v>0.012280701754385965</v>
      </c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 ht="15.75" customHeight="1">
      <c r="A82" s="63"/>
      <c r="B82" s="63"/>
      <c r="C82" s="63"/>
      <c r="D82" s="63"/>
      <c r="E82" s="63"/>
      <c r="F82" s="24"/>
      <c r="G82" s="19">
        <v>2.0</v>
      </c>
      <c r="H82" s="16">
        <v>46.0</v>
      </c>
      <c r="I82" s="16">
        <v>17.0</v>
      </c>
      <c r="J82" s="16">
        <v>0.0</v>
      </c>
      <c r="K82" s="16">
        <v>8.0</v>
      </c>
      <c r="L82" s="16">
        <v>10.0</v>
      </c>
      <c r="M82" s="63"/>
      <c r="N82" s="23"/>
      <c r="O82" s="19">
        <v>2.0</v>
      </c>
      <c r="P82" s="40">
        <v>0.003914227365554799</v>
      </c>
      <c r="Q82" s="40">
        <v>0.004192355117139334</v>
      </c>
      <c r="R82" s="40">
        <v>0.0</v>
      </c>
      <c r="S82" s="40">
        <v>0.01532567049808429</v>
      </c>
      <c r="T82" s="40">
        <v>0.017543859649122806</v>
      </c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 ht="15.75" customHeight="1">
      <c r="A83" s="63"/>
      <c r="B83" s="63"/>
      <c r="C83" s="63"/>
      <c r="D83" s="63"/>
      <c r="E83" s="63"/>
      <c r="F83" s="24"/>
      <c r="G83" s="19">
        <v>3.0</v>
      </c>
      <c r="H83" s="20">
        <v>59.0</v>
      </c>
      <c r="I83" s="20">
        <v>27.0</v>
      </c>
      <c r="J83" s="20">
        <v>0.0</v>
      </c>
      <c r="K83" s="20">
        <v>18.0</v>
      </c>
      <c r="L83" s="20">
        <v>9.0</v>
      </c>
      <c r="M83" s="63"/>
      <c r="N83" s="23"/>
      <c r="O83" s="19">
        <v>3.0</v>
      </c>
      <c r="P83" s="40">
        <v>0.005020422055820286</v>
      </c>
      <c r="Q83" s="40">
        <v>0.006658446362515413</v>
      </c>
      <c r="R83" s="40">
        <v>0.0</v>
      </c>
      <c r="S83" s="40">
        <v>0.034482758620689655</v>
      </c>
      <c r="T83" s="40">
        <v>0.015789473684210527</v>
      </c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 ht="15.75" customHeight="1">
      <c r="A84" s="63"/>
      <c r="B84" s="63"/>
      <c r="C84" s="63"/>
      <c r="D84" s="63"/>
      <c r="E84" s="63"/>
      <c r="F84" s="24"/>
      <c r="G84" s="19">
        <v>4.0</v>
      </c>
      <c r="H84" s="20">
        <v>97.0</v>
      </c>
      <c r="I84" s="20">
        <v>62.0</v>
      </c>
      <c r="J84" s="20">
        <v>1.0</v>
      </c>
      <c r="K84" s="20">
        <v>22.0</v>
      </c>
      <c r="L84" s="20">
        <v>24.0</v>
      </c>
      <c r="M84" s="63"/>
      <c r="N84" s="23"/>
      <c r="O84" s="19">
        <v>4.0</v>
      </c>
      <c r="P84" s="40">
        <v>0.008253914227365555</v>
      </c>
      <c r="Q84" s="40">
        <v>0.015289765721331689</v>
      </c>
      <c r="R84" s="40">
        <v>0.007194244604316547</v>
      </c>
      <c r="S84" s="40">
        <v>0.0421455938697318</v>
      </c>
      <c r="T84" s="40">
        <v>0.042105263157894736</v>
      </c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 ht="15.75" customHeight="1">
      <c r="A85" s="63"/>
      <c r="B85" s="63"/>
      <c r="C85" s="63"/>
      <c r="D85" s="63"/>
      <c r="E85" s="63"/>
      <c r="F85" s="24"/>
      <c r="G85" s="19">
        <v>5.0</v>
      </c>
      <c r="H85" s="20">
        <v>191.0</v>
      </c>
      <c r="I85" s="20">
        <v>103.0</v>
      </c>
      <c r="J85" s="20">
        <v>5.0</v>
      </c>
      <c r="K85" s="20">
        <v>23.0</v>
      </c>
      <c r="L85" s="20">
        <v>28.0</v>
      </c>
      <c r="M85" s="63"/>
      <c r="N85" s="23"/>
      <c r="O85" s="19">
        <v>5.0</v>
      </c>
      <c r="P85" s="40">
        <v>0.016252552756977536</v>
      </c>
      <c r="Q85" s="40">
        <v>0.025400739827373613</v>
      </c>
      <c r="R85" s="40">
        <v>0.03597122302158273</v>
      </c>
      <c r="S85" s="40">
        <v>0.044061302681992334</v>
      </c>
      <c r="T85" s="40">
        <v>0.04912280701754386</v>
      </c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 ht="15.75" customHeight="1">
      <c r="A86" s="63"/>
      <c r="B86" s="63"/>
      <c r="C86" s="63"/>
      <c r="D86" s="63"/>
      <c r="E86" s="63"/>
      <c r="F86" s="24"/>
      <c r="G86" s="19">
        <v>6.0</v>
      </c>
      <c r="H86" s="20">
        <v>385.0</v>
      </c>
      <c r="I86" s="20">
        <v>142.0</v>
      </c>
      <c r="J86" s="20">
        <v>12.0</v>
      </c>
      <c r="K86" s="20">
        <v>27.0</v>
      </c>
      <c r="L86" s="20">
        <v>31.0</v>
      </c>
      <c r="M86" s="63"/>
      <c r="N86" s="23"/>
      <c r="O86" s="19">
        <v>6.0</v>
      </c>
      <c r="P86" s="40">
        <v>0.03276038121170865</v>
      </c>
      <c r="Q86" s="40">
        <v>0.03501849568434032</v>
      </c>
      <c r="R86" s="40">
        <v>0.08633093525179857</v>
      </c>
      <c r="S86" s="40">
        <v>0.05172413793103448</v>
      </c>
      <c r="T86" s="40">
        <v>0.054385964912280704</v>
      </c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</row>
    <row r="87" ht="15.75" customHeight="1">
      <c r="A87" s="63"/>
      <c r="B87" s="63"/>
      <c r="C87" s="63"/>
      <c r="D87" s="63"/>
      <c r="E87" s="63"/>
      <c r="F87" s="24"/>
      <c r="G87" s="19">
        <v>7.0</v>
      </c>
      <c r="H87" s="20">
        <v>612.0</v>
      </c>
      <c r="I87" s="20">
        <v>207.0</v>
      </c>
      <c r="J87" s="20">
        <v>17.0</v>
      </c>
      <c r="K87" s="20">
        <v>39.0</v>
      </c>
      <c r="L87" s="20">
        <v>45.0</v>
      </c>
      <c r="M87" s="63"/>
      <c r="N87" s="23"/>
      <c r="O87" s="19">
        <v>7.0</v>
      </c>
      <c r="P87" s="40">
        <v>0.05207624234172907</v>
      </c>
      <c r="Q87" s="40">
        <v>0.051048088779284836</v>
      </c>
      <c r="R87" s="40">
        <v>0.1223021582733813</v>
      </c>
      <c r="S87" s="40">
        <v>0.07471264367816093</v>
      </c>
      <c r="T87" s="40">
        <v>0.07894736842105263</v>
      </c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</row>
    <row r="88" ht="15.75" customHeight="1">
      <c r="A88" s="63"/>
      <c r="B88" s="63"/>
      <c r="C88" s="63"/>
      <c r="D88" s="63"/>
      <c r="E88" s="63"/>
      <c r="F88" s="24"/>
      <c r="G88" s="19">
        <v>8.0</v>
      </c>
      <c r="H88" s="20">
        <v>649.0</v>
      </c>
      <c r="I88" s="20">
        <v>274.0</v>
      </c>
      <c r="J88" s="20">
        <v>16.0</v>
      </c>
      <c r="K88" s="20">
        <v>54.0</v>
      </c>
      <c r="L88" s="20">
        <v>32.0</v>
      </c>
      <c r="M88" s="63"/>
      <c r="N88" s="23"/>
      <c r="O88" s="19">
        <v>8.0</v>
      </c>
      <c r="P88" s="40">
        <v>0.05522464261402314</v>
      </c>
      <c r="Q88" s="40">
        <v>0.06757090012330456</v>
      </c>
      <c r="R88" s="40">
        <v>0.11510791366906475</v>
      </c>
      <c r="S88" s="40">
        <v>0.10344827586206896</v>
      </c>
      <c r="T88" s="40">
        <v>0.056140350877192984</v>
      </c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</row>
    <row r="89" ht="15.75" customHeight="1">
      <c r="A89" s="63"/>
      <c r="B89" s="63"/>
      <c r="C89" s="63"/>
      <c r="D89" s="63"/>
      <c r="E89" s="63"/>
      <c r="F89" s="24"/>
      <c r="G89" s="19">
        <v>9.0</v>
      </c>
      <c r="H89" s="20">
        <v>691.0</v>
      </c>
      <c r="I89" s="20">
        <v>309.0</v>
      </c>
      <c r="J89" s="20">
        <v>19.0</v>
      </c>
      <c r="K89" s="20">
        <v>41.0</v>
      </c>
      <c r="L89" s="20">
        <v>59.0</v>
      </c>
      <c r="M89" s="63"/>
      <c r="N89" s="23"/>
      <c r="O89" s="19">
        <v>9.0</v>
      </c>
      <c r="P89" s="40">
        <v>0.05879850238257318</v>
      </c>
      <c r="Q89" s="40">
        <v>0.07620221948212084</v>
      </c>
      <c r="R89" s="40">
        <v>0.1366906474820144</v>
      </c>
      <c r="S89" s="40">
        <v>0.07854406130268199</v>
      </c>
      <c r="T89" s="40">
        <v>0.10350877192982456</v>
      </c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 ht="15.75" customHeight="1">
      <c r="A90" s="63"/>
      <c r="B90" s="63"/>
      <c r="C90" s="63"/>
      <c r="D90" s="63"/>
      <c r="E90" s="63"/>
      <c r="F90" s="24"/>
      <c r="G90" s="19">
        <v>10.0</v>
      </c>
      <c r="H90" s="20">
        <v>628.0</v>
      </c>
      <c r="I90" s="20">
        <v>243.0</v>
      </c>
      <c r="J90" s="20">
        <v>9.0</v>
      </c>
      <c r="K90" s="20">
        <v>30.0</v>
      </c>
      <c r="L90" s="20">
        <v>46.0</v>
      </c>
      <c r="M90" s="63"/>
      <c r="N90" s="23"/>
      <c r="O90" s="19">
        <v>10.0</v>
      </c>
      <c r="P90" s="40">
        <v>0.05343771272974813</v>
      </c>
      <c r="Q90" s="40">
        <v>0.059926017262638714</v>
      </c>
      <c r="R90" s="40">
        <v>0.06474820143884892</v>
      </c>
      <c r="S90" s="40">
        <v>0.05747126436781609</v>
      </c>
      <c r="T90" s="40">
        <v>0.08070175438596491</v>
      </c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 ht="15.75" customHeight="1">
      <c r="A91" s="63"/>
      <c r="B91" s="63"/>
      <c r="C91" s="63"/>
      <c r="D91" s="63"/>
      <c r="E91" s="63"/>
      <c r="F91" s="24"/>
      <c r="G91" s="19">
        <v>11.0</v>
      </c>
      <c r="H91" s="20">
        <v>562.0</v>
      </c>
      <c r="I91" s="20">
        <v>219.0</v>
      </c>
      <c r="J91" s="20">
        <v>5.0</v>
      </c>
      <c r="K91" s="20">
        <v>31.0</v>
      </c>
      <c r="L91" s="20">
        <v>40.0</v>
      </c>
      <c r="M91" s="63"/>
      <c r="N91" s="23"/>
      <c r="O91" s="19">
        <v>11.0</v>
      </c>
      <c r="P91" s="40">
        <v>0.0478216473791695</v>
      </c>
      <c r="Q91" s="40">
        <v>0.05400739827373613</v>
      </c>
      <c r="R91" s="40">
        <v>0.03597122302158273</v>
      </c>
      <c r="S91" s="40">
        <v>0.05938697318007663</v>
      </c>
      <c r="T91" s="40">
        <v>0.07017543859649122</v>
      </c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 ht="15.75" customHeight="1">
      <c r="A92" s="63"/>
      <c r="B92" s="63"/>
      <c r="C92" s="63"/>
      <c r="D92" s="63"/>
      <c r="E92" s="63"/>
      <c r="F92" s="24"/>
      <c r="G92" s="19">
        <v>12.0</v>
      </c>
      <c r="H92" s="20">
        <v>544.0</v>
      </c>
      <c r="I92" s="20">
        <v>224.0</v>
      </c>
      <c r="J92" s="20">
        <v>9.0</v>
      </c>
      <c r="K92" s="20">
        <v>30.0</v>
      </c>
      <c r="L92" s="20">
        <v>45.0</v>
      </c>
      <c r="M92" s="63"/>
      <c r="N92" s="23"/>
      <c r="O92" s="19">
        <v>12.0</v>
      </c>
      <c r="P92" s="40">
        <v>0.04628999319264806</v>
      </c>
      <c r="Q92" s="40">
        <v>0.055240443896424164</v>
      </c>
      <c r="R92" s="40">
        <v>0.06474820143884892</v>
      </c>
      <c r="S92" s="40">
        <v>0.05747126436781609</v>
      </c>
      <c r="T92" s="40">
        <v>0.07894736842105263</v>
      </c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 ht="15.75" customHeight="1">
      <c r="A93" s="63"/>
      <c r="B93" s="63"/>
      <c r="C93" s="63"/>
      <c r="D93" s="63"/>
      <c r="E93" s="63"/>
      <c r="F93" s="24"/>
      <c r="G93" s="19">
        <v>13.0</v>
      </c>
      <c r="H93" s="20">
        <v>611.0</v>
      </c>
      <c r="I93" s="20">
        <v>178.0</v>
      </c>
      <c r="J93" s="20">
        <v>2.0</v>
      </c>
      <c r="K93" s="20">
        <v>23.0</v>
      </c>
      <c r="L93" s="20">
        <v>39.0</v>
      </c>
      <c r="M93" s="63"/>
      <c r="N93" s="23"/>
      <c r="O93" s="19">
        <v>13.0</v>
      </c>
      <c r="P93" s="40">
        <v>0.051991150442477874</v>
      </c>
      <c r="Q93" s="40">
        <v>0.0438964241676942</v>
      </c>
      <c r="R93" s="40">
        <v>0.014388489208633094</v>
      </c>
      <c r="S93" s="40">
        <v>0.044061302681992334</v>
      </c>
      <c r="T93" s="40">
        <v>0.06842105263157895</v>
      </c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 ht="15.75" customHeight="1">
      <c r="A94" s="63"/>
      <c r="B94" s="63"/>
      <c r="C94" s="63"/>
      <c r="D94" s="63"/>
      <c r="E94" s="63"/>
      <c r="F94" s="24"/>
      <c r="G94" s="19">
        <v>14.0</v>
      </c>
      <c r="H94" s="20">
        <v>660.0</v>
      </c>
      <c r="I94" s="20">
        <v>208.0</v>
      </c>
      <c r="J94" s="20">
        <v>13.0</v>
      </c>
      <c r="K94" s="20">
        <v>27.0</v>
      </c>
      <c r="L94" s="20">
        <v>33.0</v>
      </c>
      <c r="M94" s="63"/>
      <c r="N94" s="23"/>
      <c r="O94" s="19">
        <v>14.0</v>
      </c>
      <c r="P94" s="40">
        <v>0.05616065350578625</v>
      </c>
      <c r="Q94" s="40">
        <v>0.05129469790382244</v>
      </c>
      <c r="R94" s="40">
        <v>0.09352517985611511</v>
      </c>
      <c r="S94" s="40">
        <v>0.05172413793103448</v>
      </c>
      <c r="T94" s="40">
        <v>0.05789473684210526</v>
      </c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 ht="15.75" customHeight="1">
      <c r="A95" s="63"/>
      <c r="B95" s="63"/>
      <c r="C95" s="63"/>
      <c r="D95" s="63"/>
      <c r="E95" s="63"/>
      <c r="F95" s="24"/>
      <c r="G95" s="19">
        <v>15.0</v>
      </c>
      <c r="H95" s="20">
        <v>614.0</v>
      </c>
      <c r="I95" s="20">
        <v>203.0</v>
      </c>
      <c r="J95" s="20">
        <v>3.0</v>
      </c>
      <c r="K95" s="20">
        <v>18.0</v>
      </c>
      <c r="L95" s="20">
        <v>24.0</v>
      </c>
      <c r="M95" s="63"/>
      <c r="N95" s="23"/>
      <c r="O95" s="19">
        <v>15.0</v>
      </c>
      <c r="P95" s="40">
        <v>0.05224642614023145</v>
      </c>
      <c r="Q95" s="40">
        <v>0.0500616522811344</v>
      </c>
      <c r="R95" s="40">
        <v>0.02158273381294964</v>
      </c>
      <c r="S95" s="40">
        <v>0.034482758620689655</v>
      </c>
      <c r="T95" s="40">
        <v>0.042105263157894736</v>
      </c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 ht="15.75" customHeight="1">
      <c r="A96" s="63"/>
      <c r="B96" s="63"/>
      <c r="C96" s="63"/>
      <c r="D96" s="63"/>
      <c r="E96" s="63"/>
      <c r="F96" s="24"/>
      <c r="G96" s="19">
        <v>16.0</v>
      </c>
      <c r="H96" s="20">
        <v>617.0</v>
      </c>
      <c r="I96" s="20">
        <v>224.0</v>
      </c>
      <c r="J96" s="20">
        <v>7.0</v>
      </c>
      <c r="K96" s="20">
        <v>28.0</v>
      </c>
      <c r="L96" s="20">
        <v>27.0</v>
      </c>
      <c r="M96" s="63"/>
      <c r="N96" s="23"/>
      <c r="O96" s="19">
        <v>16.0</v>
      </c>
      <c r="P96" s="40">
        <v>0.052501701837985026</v>
      </c>
      <c r="Q96" s="40">
        <v>0.055240443896424164</v>
      </c>
      <c r="R96" s="40">
        <v>0.050359712230215826</v>
      </c>
      <c r="S96" s="40">
        <v>0.05363984674329502</v>
      </c>
      <c r="T96" s="40">
        <v>0.04736842105263158</v>
      </c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 ht="15.75" customHeight="1">
      <c r="A97" s="63"/>
      <c r="B97" s="63"/>
      <c r="C97" s="63"/>
      <c r="D97" s="63"/>
      <c r="E97" s="63"/>
      <c r="F97" s="24"/>
      <c r="G97" s="19">
        <v>17.0</v>
      </c>
      <c r="H97" s="20">
        <v>680.0</v>
      </c>
      <c r="I97" s="20">
        <v>251.0</v>
      </c>
      <c r="J97" s="20">
        <v>2.0</v>
      </c>
      <c r="K97" s="20">
        <v>12.0</v>
      </c>
      <c r="L97" s="20">
        <v>13.0</v>
      </c>
      <c r="M97" s="63"/>
      <c r="N97" s="23"/>
      <c r="O97" s="19">
        <v>17.0</v>
      </c>
      <c r="P97" s="40">
        <v>0.057862491490810075</v>
      </c>
      <c r="Q97" s="40">
        <v>0.06189889025893958</v>
      </c>
      <c r="R97" s="40">
        <v>0.014388489208633094</v>
      </c>
      <c r="S97" s="40">
        <v>0.022988505747126436</v>
      </c>
      <c r="T97" s="40">
        <v>0.02280701754385965</v>
      </c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 ht="15.75" customHeight="1">
      <c r="A98" s="63"/>
      <c r="B98" s="63"/>
      <c r="C98" s="63"/>
      <c r="D98" s="63"/>
      <c r="E98" s="63"/>
      <c r="F98" s="24"/>
      <c r="G98" s="19">
        <v>18.0</v>
      </c>
      <c r="H98" s="20">
        <v>620.0</v>
      </c>
      <c r="I98" s="20">
        <v>221.0</v>
      </c>
      <c r="J98" s="20">
        <v>8.0</v>
      </c>
      <c r="K98" s="20">
        <v>13.0</v>
      </c>
      <c r="L98" s="20">
        <v>9.0</v>
      </c>
      <c r="M98" s="63"/>
      <c r="N98" s="23"/>
      <c r="O98" s="19">
        <v>18.0</v>
      </c>
      <c r="P98" s="40">
        <v>0.052756977535738596</v>
      </c>
      <c r="Q98" s="40">
        <v>0.054500616522811345</v>
      </c>
      <c r="R98" s="40">
        <v>0.05755395683453238</v>
      </c>
      <c r="S98" s="40">
        <v>0.02490421455938697</v>
      </c>
      <c r="T98" s="40">
        <v>0.015789473684210527</v>
      </c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 ht="15.75" customHeight="1">
      <c r="A99" s="63"/>
      <c r="B99" s="63"/>
      <c r="C99" s="63"/>
      <c r="D99" s="63"/>
      <c r="E99" s="63"/>
      <c r="F99" s="24"/>
      <c r="G99" s="19">
        <v>19.0</v>
      </c>
      <c r="H99" s="20">
        <v>853.0</v>
      </c>
      <c r="I99" s="20">
        <v>222.0</v>
      </c>
      <c r="J99" s="20">
        <v>3.0</v>
      </c>
      <c r="K99" s="20">
        <v>25.0</v>
      </c>
      <c r="L99" s="20">
        <v>12.0</v>
      </c>
      <c r="M99" s="63"/>
      <c r="N99" s="23"/>
      <c r="O99" s="19">
        <v>19.0</v>
      </c>
      <c r="P99" s="40">
        <v>0.07258339006126617</v>
      </c>
      <c r="Q99" s="40">
        <v>0.05474722564734895</v>
      </c>
      <c r="R99" s="40">
        <v>0.02158273381294964</v>
      </c>
      <c r="S99" s="40">
        <v>0.04789272030651341</v>
      </c>
      <c r="T99" s="40">
        <v>0.021052631578947368</v>
      </c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</row>
    <row r="100" ht="15.75" customHeight="1">
      <c r="A100" s="63"/>
      <c r="B100" s="63"/>
      <c r="C100" s="63"/>
      <c r="D100" s="63"/>
      <c r="E100" s="63"/>
      <c r="F100" s="24"/>
      <c r="G100" s="19">
        <v>20.0</v>
      </c>
      <c r="H100" s="20">
        <v>774.0</v>
      </c>
      <c r="I100" s="20">
        <v>206.0</v>
      </c>
      <c r="J100" s="20">
        <v>4.0</v>
      </c>
      <c r="K100" s="20">
        <v>13.0</v>
      </c>
      <c r="L100" s="20">
        <v>10.0</v>
      </c>
      <c r="M100" s="63"/>
      <c r="N100" s="23"/>
      <c r="O100" s="19">
        <v>20.0</v>
      </c>
      <c r="P100" s="40">
        <v>0.06586113002042206</v>
      </c>
      <c r="Q100" s="40">
        <v>0.050801479654747225</v>
      </c>
      <c r="R100" s="40">
        <v>0.02877697841726619</v>
      </c>
      <c r="S100" s="40">
        <v>0.02490421455938697</v>
      </c>
      <c r="T100" s="40">
        <v>0.017543859649122806</v>
      </c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 ht="15.75" customHeight="1">
      <c r="A101" s="63"/>
      <c r="B101" s="63"/>
      <c r="C101" s="63"/>
      <c r="D101" s="63"/>
      <c r="E101" s="63"/>
      <c r="F101" s="24"/>
      <c r="G101" s="19">
        <v>21.0</v>
      </c>
      <c r="H101" s="20">
        <v>720.0</v>
      </c>
      <c r="I101" s="20">
        <v>180.0</v>
      </c>
      <c r="J101" s="20">
        <v>1.0</v>
      </c>
      <c r="K101" s="20">
        <v>7.0</v>
      </c>
      <c r="L101" s="20">
        <v>4.0</v>
      </c>
      <c r="M101" s="63"/>
      <c r="N101" s="23"/>
      <c r="O101" s="19">
        <v>21.0</v>
      </c>
      <c r="P101" s="40">
        <v>0.06126616746085772</v>
      </c>
      <c r="Q101" s="40">
        <v>0.04438964241676942</v>
      </c>
      <c r="R101" s="40">
        <v>0.007194244604316547</v>
      </c>
      <c r="S101" s="40">
        <v>0.013409961685823755</v>
      </c>
      <c r="T101" s="40">
        <v>0.007017543859649123</v>
      </c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 ht="15.75" customHeight="1">
      <c r="A102" s="63"/>
      <c r="B102" s="63"/>
      <c r="C102" s="63"/>
      <c r="D102" s="63"/>
      <c r="E102" s="63"/>
      <c r="F102" s="24"/>
      <c r="G102" s="19">
        <v>22.0</v>
      </c>
      <c r="H102" s="20">
        <v>590.0</v>
      </c>
      <c r="I102" s="20">
        <v>177.0</v>
      </c>
      <c r="J102" s="20">
        <v>1.0</v>
      </c>
      <c r="K102" s="20">
        <v>8.0</v>
      </c>
      <c r="L102" s="20">
        <v>3.0</v>
      </c>
      <c r="M102" s="63"/>
      <c r="N102" s="23"/>
      <c r="O102" s="19">
        <v>22.0</v>
      </c>
      <c r="P102" s="40">
        <v>0.05020422055820286</v>
      </c>
      <c r="Q102" s="40">
        <v>0.0436498150431566</v>
      </c>
      <c r="R102" s="40">
        <v>0.007194244604316547</v>
      </c>
      <c r="S102" s="40">
        <v>0.01532567049808429</v>
      </c>
      <c r="T102" s="40">
        <v>0.005263157894736842</v>
      </c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 ht="15.75" customHeight="1">
      <c r="A103" s="63"/>
      <c r="B103" s="63"/>
      <c r="C103" s="63"/>
      <c r="D103" s="63"/>
      <c r="E103" s="63"/>
      <c r="F103" s="28"/>
      <c r="G103" s="19">
        <v>23.0</v>
      </c>
      <c r="H103" s="20">
        <v>408.0</v>
      </c>
      <c r="I103" s="20">
        <v>113.0</v>
      </c>
      <c r="J103" s="20">
        <v>2.0</v>
      </c>
      <c r="K103" s="20">
        <v>6.0</v>
      </c>
      <c r="L103" s="20">
        <v>9.0</v>
      </c>
      <c r="M103" s="63"/>
      <c r="N103" s="27"/>
      <c r="O103" s="19">
        <v>23.0</v>
      </c>
      <c r="P103" s="40">
        <v>0.03471749489448604</v>
      </c>
      <c r="Q103" s="40">
        <v>0.027866831072749693</v>
      </c>
      <c r="R103" s="40">
        <v>0.014388489208633094</v>
      </c>
      <c r="S103" s="40">
        <v>0.011494252873563218</v>
      </c>
      <c r="T103" s="40">
        <v>0.015789473684210527</v>
      </c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 ht="15.75" customHeight="1">
      <c r="A104" s="63"/>
      <c r="B104" s="63"/>
      <c r="C104" s="63"/>
      <c r="D104" s="63"/>
      <c r="E104" s="63"/>
      <c r="F104" s="56">
        <v>45198.0</v>
      </c>
      <c r="G104" s="19">
        <v>0.0</v>
      </c>
      <c r="H104" s="16">
        <v>442.0</v>
      </c>
      <c r="I104" s="16">
        <v>99.0</v>
      </c>
      <c r="J104" s="16">
        <v>7.0</v>
      </c>
      <c r="K104" s="16">
        <v>3.0</v>
      </c>
      <c r="L104" s="16">
        <v>9.0</v>
      </c>
      <c r="M104" s="63"/>
      <c r="N104" s="56">
        <v>45198.0</v>
      </c>
      <c r="O104" s="19">
        <v>0.0</v>
      </c>
      <c r="P104" s="40">
        <v>0.025546179632412437</v>
      </c>
      <c r="Q104" s="40">
        <v>0.022073578595317726</v>
      </c>
      <c r="R104" s="40">
        <v>0.06542056074766354</v>
      </c>
      <c r="S104" s="40">
        <v>0.01276595744680851</v>
      </c>
      <c r="T104" s="40">
        <v>0.05732484076433121</v>
      </c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ht="15.75" customHeight="1">
      <c r="A105" s="63"/>
      <c r="B105" s="63"/>
      <c r="C105" s="63"/>
      <c r="D105" s="63"/>
      <c r="E105" s="63"/>
      <c r="F105" s="24"/>
      <c r="G105" s="19">
        <v>1.0</v>
      </c>
      <c r="H105" s="16">
        <v>279.0</v>
      </c>
      <c r="I105" s="16">
        <v>77.0</v>
      </c>
      <c r="J105" s="16">
        <v>6.0</v>
      </c>
      <c r="K105" s="16">
        <v>5.0</v>
      </c>
      <c r="L105" s="16">
        <v>7.0</v>
      </c>
      <c r="M105" s="63"/>
      <c r="N105" s="23"/>
      <c r="O105" s="19">
        <v>1.0</v>
      </c>
      <c r="P105" s="40">
        <v>0.016125303433129116</v>
      </c>
      <c r="Q105" s="40">
        <v>0.01716833890746934</v>
      </c>
      <c r="R105" s="40">
        <v>0.056074766355140186</v>
      </c>
      <c r="S105" s="40">
        <v>0.02127659574468085</v>
      </c>
      <c r="T105" s="40">
        <v>0.044585987261146494</v>
      </c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 ht="15.75" customHeight="1">
      <c r="A106" s="63"/>
      <c r="B106" s="63"/>
      <c r="C106" s="63"/>
      <c r="D106" s="63"/>
      <c r="E106" s="63"/>
      <c r="F106" s="24"/>
      <c r="G106" s="19">
        <v>2.0</v>
      </c>
      <c r="H106" s="16">
        <v>252.0</v>
      </c>
      <c r="I106" s="16">
        <v>72.0</v>
      </c>
      <c r="J106" s="16">
        <v>2.0</v>
      </c>
      <c r="K106" s="16">
        <v>5.0</v>
      </c>
      <c r="L106" s="16">
        <v>6.0</v>
      </c>
      <c r="M106" s="63"/>
      <c r="N106" s="23"/>
      <c r="O106" s="19">
        <v>2.0</v>
      </c>
      <c r="P106" s="40">
        <v>0.01456479019766501</v>
      </c>
      <c r="Q106" s="40">
        <v>0.016053511705685617</v>
      </c>
      <c r="R106" s="40">
        <v>0.018691588785046728</v>
      </c>
      <c r="S106" s="40">
        <v>0.02127659574468085</v>
      </c>
      <c r="T106" s="40">
        <v>0.03821656050955414</v>
      </c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ht="15.75" customHeight="1">
      <c r="A107" s="63"/>
      <c r="B107" s="63"/>
      <c r="C107" s="63"/>
      <c r="D107" s="63"/>
      <c r="E107" s="63"/>
      <c r="F107" s="24"/>
      <c r="G107" s="19">
        <v>3.0</v>
      </c>
      <c r="H107" s="20">
        <v>303.0</v>
      </c>
      <c r="I107" s="20">
        <v>103.0</v>
      </c>
      <c r="J107" s="20">
        <v>4.0</v>
      </c>
      <c r="K107" s="20">
        <v>8.0</v>
      </c>
      <c r="L107" s="20">
        <v>8.0</v>
      </c>
      <c r="M107" s="63"/>
      <c r="N107" s="23"/>
      <c r="O107" s="19">
        <v>3.0</v>
      </c>
      <c r="P107" s="40">
        <v>0.017512426309097214</v>
      </c>
      <c r="Q107" s="40">
        <v>0.022965440356744703</v>
      </c>
      <c r="R107" s="40">
        <v>0.037383177570093455</v>
      </c>
      <c r="S107" s="40">
        <v>0.03404255319148936</v>
      </c>
      <c r="T107" s="40">
        <v>0.050955414012738856</v>
      </c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 ht="15.75" customHeight="1">
      <c r="A108" s="63"/>
      <c r="B108" s="63"/>
      <c r="C108" s="63"/>
      <c r="D108" s="63"/>
      <c r="E108" s="63"/>
      <c r="F108" s="24"/>
      <c r="G108" s="19">
        <v>4.0</v>
      </c>
      <c r="H108" s="20">
        <v>512.0</v>
      </c>
      <c r="I108" s="20">
        <v>139.0</v>
      </c>
      <c r="J108" s="20">
        <v>2.0</v>
      </c>
      <c r="K108" s="20">
        <v>9.0</v>
      </c>
      <c r="L108" s="20">
        <v>8.0</v>
      </c>
      <c r="M108" s="63"/>
      <c r="N108" s="23"/>
      <c r="O108" s="19">
        <v>4.0</v>
      </c>
      <c r="P108" s="40">
        <v>0.029591954687319386</v>
      </c>
      <c r="Q108" s="40">
        <v>0.030992196209587514</v>
      </c>
      <c r="R108" s="40">
        <v>0.018691588785046728</v>
      </c>
      <c r="S108" s="40">
        <v>0.03829787234042553</v>
      </c>
      <c r="T108" s="40">
        <v>0.050955414012738856</v>
      </c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 ht="15.75" customHeight="1">
      <c r="A109" s="63"/>
      <c r="B109" s="63"/>
      <c r="C109" s="63"/>
      <c r="D109" s="63"/>
      <c r="E109" s="63"/>
      <c r="F109" s="24"/>
      <c r="G109" s="19">
        <v>5.0</v>
      </c>
      <c r="H109" s="20">
        <v>782.0</v>
      </c>
      <c r="I109" s="20">
        <v>271.0</v>
      </c>
      <c r="J109" s="20">
        <v>6.0</v>
      </c>
      <c r="K109" s="20">
        <v>18.0</v>
      </c>
      <c r="L109" s="20">
        <v>15.0</v>
      </c>
      <c r="M109" s="63"/>
      <c r="N109" s="23"/>
      <c r="O109" s="19">
        <v>5.0</v>
      </c>
      <c r="P109" s="40">
        <v>0.04519708704196047</v>
      </c>
      <c r="Q109" s="40">
        <v>0.060423634336677814</v>
      </c>
      <c r="R109" s="40">
        <v>0.056074766355140186</v>
      </c>
      <c r="S109" s="40">
        <v>0.07659574468085106</v>
      </c>
      <c r="T109" s="40">
        <v>0.09554140127388536</v>
      </c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 ht="15.75" customHeight="1">
      <c r="A110" s="63"/>
      <c r="B110" s="63"/>
      <c r="C110" s="63"/>
      <c r="D110" s="63"/>
      <c r="E110" s="63"/>
      <c r="F110" s="24"/>
      <c r="G110" s="19">
        <v>6.0</v>
      </c>
      <c r="H110" s="20">
        <v>1009.0</v>
      </c>
      <c r="I110" s="20">
        <v>307.0</v>
      </c>
      <c r="J110" s="20">
        <v>11.0</v>
      </c>
      <c r="K110" s="20">
        <v>20.0</v>
      </c>
      <c r="L110" s="20">
        <v>15.0</v>
      </c>
      <c r="M110" s="63"/>
      <c r="N110" s="23"/>
      <c r="O110" s="19">
        <v>6.0</v>
      </c>
      <c r="P110" s="40">
        <v>0.05831695757715871</v>
      </c>
      <c r="Q110" s="40">
        <v>0.06845039018952062</v>
      </c>
      <c r="R110" s="40">
        <v>0.102803738317757</v>
      </c>
      <c r="S110" s="40">
        <v>0.0851063829787234</v>
      </c>
      <c r="T110" s="40">
        <v>0.09554140127388536</v>
      </c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ht="15.75" customHeight="1">
      <c r="A111" s="63"/>
      <c r="B111" s="63"/>
      <c r="C111" s="63"/>
      <c r="D111" s="63"/>
      <c r="E111" s="63"/>
      <c r="F111" s="24"/>
      <c r="G111" s="19">
        <v>7.0</v>
      </c>
      <c r="H111" s="20">
        <v>1228.0</v>
      </c>
      <c r="I111" s="20">
        <v>346.0</v>
      </c>
      <c r="J111" s="20">
        <v>18.0</v>
      </c>
      <c r="K111" s="20">
        <v>25.0</v>
      </c>
      <c r="L111" s="20">
        <v>7.0</v>
      </c>
      <c r="M111" s="63"/>
      <c r="N111" s="23"/>
      <c r="O111" s="19">
        <v>7.0</v>
      </c>
      <c r="P111" s="40">
        <v>0.07097445382036759</v>
      </c>
      <c r="Q111" s="40">
        <v>0.07714604236343367</v>
      </c>
      <c r="R111" s="40">
        <v>0.16822429906542055</v>
      </c>
      <c r="S111" s="40">
        <v>0.10638297872340426</v>
      </c>
      <c r="T111" s="40">
        <v>0.044585987261146494</v>
      </c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ht="15.75" customHeight="1">
      <c r="A112" s="63"/>
      <c r="B112" s="63"/>
      <c r="C112" s="63"/>
      <c r="D112" s="63"/>
      <c r="E112" s="63"/>
      <c r="F112" s="24"/>
      <c r="G112" s="19">
        <v>8.0</v>
      </c>
      <c r="H112" s="20">
        <v>1404.0</v>
      </c>
      <c r="I112" s="20">
        <v>396.0</v>
      </c>
      <c r="J112" s="20">
        <v>8.0</v>
      </c>
      <c r="K112" s="20">
        <v>17.0</v>
      </c>
      <c r="L112" s="20">
        <v>8.0</v>
      </c>
      <c r="M112" s="63"/>
      <c r="N112" s="23"/>
      <c r="O112" s="19">
        <v>8.0</v>
      </c>
      <c r="P112" s="40">
        <v>0.08114668824413362</v>
      </c>
      <c r="Q112" s="40">
        <v>0.0882943143812709</v>
      </c>
      <c r="R112" s="40">
        <v>0.07476635514018691</v>
      </c>
      <c r="S112" s="40">
        <v>0.07234042553191489</v>
      </c>
      <c r="T112" s="40">
        <v>0.050955414012738856</v>
      </c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ht="15.75" customHeight="1">
      <c r="A113" s="63"/>
      <c r="B113" s="63"/>
      <c r="C113" s="63"/>
      <c r="D113" s="63"/>
      <c r="E113" s="63"/>
      <c r="F113" s="24"/>
      <c r="G113" s="19">
        <v>9.0</v>
      </c>
      <c r="H113" s="20">
        <v>1245.0</v>
      </c>
      <c r="I113" s="20">
        <v>305.0</v>
      </c>
      <c r="J113" s="20">
        <v>7.0</v>
      </c>
      <c r="K113" s="20">
        <v>17.0</v>
      </c>
      <c r="L113" s="20">
        <v>12.0</v>
      </c>
      <c r="M113" s="63"/>
      <c r="N113" s="23"/>
      <c r="O113" s="19">
        <v>9.0</v>
      </c>
      <c r="P113" s="40">
        <v>0.07195699919084499</v>
      </c>
      <c r="Q113" s="40">
        <v>0.06800445930880714</v>
      </c>
      <c r="R113" s="40">
        <v>0.06542056074766354</v>
      </c>
      <c r="S113" s="40">
        <v>0.07234042553191489</v>
      </c>
      <c r="T113" s="40">
        <v>0.07643312101910828</v>
      </c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ht="15.75" customHeight="1">
      <c r="A114" s="63"/>
      <c r="B114" s="63"/>
      <c r="C114" s="63"/>
      <c r="D114" s="63"/>
      <c r="E114" s="63"/>
      <c r="F114" s="24"/>
      <c r="G114" s="19">
        <v>10.0</v>
      </c>
      <c r="H114" s="20">
        <v>1456.0</v>
      </c>
      <c r="I114" s="20">
        <v>335.0</v>
      </c>
      <c r="J114" s="20">
        <v>3.0</v>
      </c>
      <c r="K114" s="20">
        <v>4.0</v>
      </c>
      <c r="L114" s="20">
        <v>13.0</v>
      </c>
      <c r="M114" s="63"/>
      <c r="N114" s="23"/>
      <c r="O114" s="19">
        <v>10.0</v>
      </c>
      <c r="P114" s="40">
        <v>0.0841521211420645</v>
      </c>
      <c r="Q114" s="40">
        <v>0.07469342251950947</v>
      </c>
      <c r="R114" s="40">
        <v>0.028037383177570093</v>
      </c>
      <c r="S114" s="40">
        <v>0.01702127659574468</v>
      </c>
      <c r="T114" s="40">
        <v>0.08280254777070063</v>
      </c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ht="15.75" customHeight="1">
      <c r="A115" s="63"/>
      <c r="B115" s="63"/>
      <c r="C115" s="63"/>
      <c r="D115" s="63"/>
      <c r="E115" s="63"/>
      <c r="F115" s="24"/>
      <c r="G115" s="19">
        <v>11.0</v>
      </c>
      <c r="H115" s="20">
        <v>1262.0</v>
      </c>
      <c r="I115" s="20">
        <v>262.0</v>
      </c>
      <c r="J115" s="20">
        <v>2.0</v>
      </c>
      <c r="K115" s="20">
        <v>14.0</v>
      </c>
      <c r="L115" s="20">
        <v>0.0</v>
      </c>
      <c r="M115" s="63"/>
      <c r="N115" s="23"/>
      <c r="O115" s="19">
        <v>11.0</v>
      </c>
      <c r="P115" s="40">
        <v>0.07293954456132239</v>
      </c>
      <c r="Q115" s="40">
        <v>0.05841694537346711</v>
      </c>
      <c r="R115" s="40">
        <v>0.018691588785046728</v>
      </c>
      <c r="S115" s="40">
        <v>0.059574468085106386</v>
      </c>
      <c r="T115" s="40">
        <v>0.0</v>
      </c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ht="15.75" customHeight="1">
      <c r="A116" s="63"/>
      <c r="B116" s="63"/>
      <c r="C116" s="63"/>
      <c r="D116" s="63"/>
      <c r="E116" s="63"/>
      <c r="F116" s="24"/>
      <c r="G116" s="19">
        <v>12.0</v>
      </c>
      <c r="H116" s="20">
        <v>1065.0</v>
      </c>
      <c r="I116" s="20">
        <v>237.0</v>
      </c>
      <c r="J116" s="20">
        <v>6.0</v>
      </c>
      <c r="K116" s="20">
        <v>12.0</v>
      </c>
      <c r="L116" s="20">
        <v>11.0</v>
      </c>
      <c r="M116" s="63"/>
      <c r="N116" s="23"/>
      <c r="O116" s="19">
        <v>12.0</v>
      </c>
      <c r="P116" s="40">
        <v>0.061553577621084266</v>
      </c>
      <c r="Q116" s="40">
        <v>0.05284280936454849</v>
      </c>
      <c r="R116" s="40">
        <v>0.056074766355140186</v>
      </c>
      <c r="S116" s="40">
        <v>0.05106382978723404</v>
      </c>
      <c r="T116" s="40">
        <v>0.07006369426751592</v>
      </c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ht="15.75" customHeight="1">
      <c r="A117" s="63"/>
      <c r="B117" s="63"/>
      <c r="C117" s="63"/>
      <c r="D117" s="63"/>
      <c r="E117" s="63"/>
      <c r="F117" s="24"/>
      <c r="G117" s="19">
        <v>13.0</v>
      </c>
      <c r="H117" s="20">
        <v>1057.0</v>
      </c>
      <c r="I117" s="20">
        <v>243.0</v>
      </c>
      <c r="J117" s="20">
        <v>4.0</v>
      </c>
      <c r="K117" s="20">
        <v>6.0</v>
      </c>
      <c r="L117" s="20">
        <v>4.0</v>
      </c>
      <c r="M117" s="63"/>
      <c r="N117" s="23"/>
      <c r="O117" s="19">
        <v>13.0</v>
      </c>
      <c r="P117" s="40">
        <v>0.0610912033290949</v>
      </c>
      <c r="Q117" s="40">
        <v>0.05418060200668896</v>
      </c>
      <c r="R117" s="40">
        <v>0.037383177570093455</v>
      </c>
      <c r="S117" s="40">
        <v>0.02553191489361702</v>
      </c>
      <c r="T117" s="40">
        <v>0.025477707006369428</v>
      </c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ht="15.75" customHeight="1">
      <c r="A118" s="63"/>
      <c r="B118" s="63"/>
      <c r="C118" s="63"/>
      <c r="D118" s="63"/>
      <c r="E118" s="63"/>
      <c r="F118" s="24"/>
      <c r="G118" s="19">
        <v>14.0</v>
      </c>
      <c r="H118" s="20">
        <v>901.0</v>
      </c>
      <c r="I118" s="20">
        <v>235.0</v>
      </c>
      <c r="J118" s="20">
        <v>5.0</v>
      </c>
      <c r="K118" s="20">
        <v>10.0</v>
      </c>
      <c r="L118" s="20">
        <v>8.0</v>
      </c>
      <c r="M118" s="63"/>
      <c r="N118" s="23"/>
      <c r="O118" s="19">
        <v>14.0</v>
      </c>
      <c r="P118" s="40">
        <v>0.052074904635302274</v>
      </c>
      <c r="Q118" s="40">
        <v>0.05239687848383501</v>
      </c>
      <c r="R118" s="40">
        <v>0.04672897196261682</v>
      </c>
      <c r="S118" s="40">
        <v>0.0425531914893617</v>
      </c>
      <c r="T118" s="40">
        <v>0.050955414012738856</v>
      </c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ht="15.75" customHeight="1">
      <c r="A119" s="63"/>
      <c r="B119" s="63"/>
      <c r="C119" s="63"/>
      <c r="D119" s="63"/>
      <c r="E119" s="63"/>
      <c r="F119" s="24"/>
      <c r="G119" s="19">
        <v>15.0</v>
      </c>
      <c r="H119" s="20">
        <v>895.0</v>
      </c>
      <c r="I119" s="20">
        <v>198.0</v>
      </c>
      <c r="J119" s="20">
        <v>6.0</v>
      </c>
      <c r="K119" s="20">
        <v>8.0</v>
      </c>
      <c r="L119" s="20">
        <v>6.0</v>
      </c>
      <c r="M119" s="63"/>
      <c r="N119" s="23"/>
      <c r="O119" s="19">
        <v>15.0</v>
      </c>
      <c r="P119" s="40">
        <v>0.05172812391631025</v>
      </c>
      <c r="Q119" s="40">
        <v>0.04414715719063545</v>
      </c>
      <c r="R119" s="40">
        <v>0.056074766355140186</v>
      </c>
      <c r="S119" s="40">
        <v>0.03404255319148936</v>
      </c>
      <c r="T119" s="40">
        <v>0.03821656050955414</v>
      </c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ht="15.75" customHeight="1">
      <c r="A120" s="63"/>
      <c r="B120" s="63"/>
      <c r="C120" s="63"/>
      <c r="D120" s="63"/>
      <c r="E120" s="63"/>
      <c r="F120" s="24"/>
      <c r="G120" s="19">
        <v>16.0</v>
      </c>
      <c r="H120" s="20">
        <v>728.0</v>
      </c>
      <c r="I120" s="20">
        <v>206.0</v>
      </c>
      <c r="J120" s="20">
        <v>3.0</v>
      </c>
      <c r="K120" s="20">
        <v>10.0</v>
      </c>
      <c r="L120" s="20">
        <v>2.0</v>
      </c>
      <c r="M120" s="63"/>
      <c r="N120" s="23"/>
      <c r="O120" s="19">
        <v>16.0</v>
      </c>
      <c r="P120" s="40">
        <v>0.04207606057103225</v>
      </c>
      <c r="Q120" s="40">
        <v>0.04593088071348941</v>
      </c>
      <c r="R120" s="40">
        <v>0.028037383177570093</v>
      </c>
      <c r="S120" s="40">
        <v>0.0425531914893617</v>
      </c>
      <c r="T120" s="40">
        <v>0.012738853503184714</v>
      </c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 ht="15.75" customHeight="1">
      <c r="A121" s="63"/>
      <c r="B121" s="63"/>
      <c r="C121" s="63"/>
      <c r="D121" s="63"/>
      <c r="E121" s="63"/>
      <c r="F121" s="24"/>
      <c r="G121" s="19">
        <v>17.0</v>
      </c>
      <c r="H121" s="20">
        <v>650.0</v>
      </c>
      <c r="I121" s="20">
        <v>195.0</v>
      </c>
      <c r="J121" s="20">
        <v>1.0</v>
      </c>
      <c r="K121" s="20">
        <v>5.0</v>
      </c>
      <c r="L121" s="20">
        <v>1.0</v>
      </c>
      <c r="M121" s="63"/>
      <c r="N121" s="23"/>
      <c r="O121" s="19">
        <v>17.0</v>
      </c>
      <c r="P121" s="40">
        <v>0.03756791122413594</v>
      </c>
      <c r="Q121" s="40">
        <v>0.043478260869565216</v>
      </c>
      <c r="R121" s="40">
        <v>0.009345794392523364</v>
      </c>
      <c r="S121" s="40">
        <v>0.02127659574468085</v>
      </c>
      <c r="T121" s="40">
        <v>0.006369426751592357</v>
      </c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 ht="15.75" customHeight="1">
      <c r="A122" s="63"/>
      <c r="B122" s="63"/>
      <c r="C122" s="63"/>
      <c r="D122" s="63"/>
      <c r="E122" s="63"/>
      <c r="F122" s="24"/>
      <c r="G122" s="19">
        <v>18.0</v>
      </c>
      <c r="H122" s="20">
        <v>493.0</v>
      </c>
      <c r="I122" s="20">
        <v>132.0</v>
      </c>
      <c r="J122" s="20">
        <v>1.0</v>
      </c>
      <c r="K122" s="20">
        <v>7.0</v>
      </c>
      <c r="L122" s="20">
        <v>2.0</v>
      </c>
      <c r="M122" s="63"/>
      <c r="N122" s="23"/>
      <c r="O122" s="19">
        <v>18.0</v>
      </c>
      <c r="P122" s="40">
        <v>0.02849381574384464</v>
      </c>
      <c r="Q122" s="40">
        <v>0.0294314381270903</v>
      </c>
      <c r="R122" s="40">
        <v>0.009345794392523364</v>
      </c>
      <c r="S122" s="40">
        <v>0.029787234042553193</v>
      </c>
      <c r="T122" s="40">
        <v>0.012738853503184714</v>
      </c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ht="15.75" customHeight="1">
      <c r="A123" s="63"/>
      <c r="B123" s="63"/>
      <c r="C123" s="63"/>
      <c r="D123" s="63"/>
      <c r="E123" s="63"/>
      <c r="F123" s="24"/>
      <c r="G123" s="19">
        <v>19.0</v>
      </c>
      <c r="H123" s="20">
        <v>394.0</v>
      </c>
      <c r="I123" s="20">
        <v>90.0</v>
      </c>
      <c r="J123" s="20">
        <v>2.0</v>
      </c>
      <c r="K123" s="20">
        <v>13.0</v>
      </c>
      <c r="L123" s="20">
        <v>0.0</v>
      </c>
      <c r="M123" s="63"/>
      <c r="N123" s="23"/>
      <c r="O123" s="19">
        <v>19.0</v>
      </c>
      <c r="P123" s="40">
        <v>0.022771933880476245</v>
      </c>
      <c r="Q123" s="40">
        <v>0.020066889632107024</v>
      </c>
      <c r="R123" s="40">
        <v>0.018691588785046728</v>
      </c>
      <c r="S123" s="40">
        <v>0.05531914893617021</v>
      </c>
      <c r="T123" s="40">
        <v>0.0</v>
      </c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ht="15.75" customHeight="1">
      <c r="A124" s="63"/>
      <c r="B124" s="63"/>
      <c r="C124" s="63"/>
      <c r="D124" s="63"/>
      <c r="E124" s="63"/>
      <c r="F124" s="24"/>
      <c r="G124" s="19">
        <v>20.0</v>
      </c>
      <c r="H124" s="20">
        <v>286.0</v>
      </c>
      <c r="I124" s="20">
        <v>73.0</v>
      </c>
      <c r="J124" s="20">
        <v>0.0</v>
      </c>
      <c r="K124" s="20">
        <v>5.0</v>
      </c>
      <c r="L124" s="20">
        <v>5.0</v>
      </c>
      <c r="M124" s="63"/>
      <c r="N124" s="23"/>
      <c r="O124" s="19">
        <v>20.0</v>
      </c>
      <c r="P124" s="40">
        <v>0.016529880938619814</v>
      </c>
      <c r="Q124" s="40">
        <v>0.016276477146042363</v>
      </c>
      <c r="R124" s="40">
        <v>0.0</v>
      </c>
      <c r="S124" s="40">
        <v>0.02127659574468085</v>
      </c>
      <c r="T124" s="40">
        <v>0.03184713375796178</v>
      </c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 ht="15.75" customHeight="1">
      <c r="A125" s="63"/>
      <c r="B125" s="63"/>
      <c r="C125" s="63"/>
      <c r="D125" s="63"/>
      <c r="E125" s="63"/>
      <c r="F125" s="24"/>
      <c r="G125" s="19">
        <v>21.0</v>
      </c>
      <c r="H125" s="20">
        <v>265.0</v>
      </c>
      <c r="I125" s="20">
        <v>61.0</v>
      </c>
      <c r="J125" s="20">
        <v>0.0</v>
      </c>
      <c r="K125" s="20">
        <v>3.0</v>
      </c>
      <c r="L125" s="20">
        <v>2.0</v>
      </c>
      <c r="M125" s="63"/>
      <c r="N125" s="23"/>
      <c r="O125" s="19">
        <v>21.0</v>
      </c>
      <c r="P125" s="40">
        <v>0.015316148422147728</v>
      </c>
      <c r="Q125" s="40">
        <v>0.013600891861761426</v>
      </c>
      <c r="R125" s="40">
        <v>0.0</v>
      </c>
      <c r="S125" s="40">
        <v>0.01276595744680851</v>
      </c>
      <c r="T125" s="40">
        <v>0.012738853503184714</v>
      </c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 ht="15.75" customHeight="1">
      <c r="A126" s="63"/>
      <c r="B126" s="63"/>
      <c r="C126" s="63"/>
      <c r="D126" s="63"/>
      <c r="E126" s="63"/>
      <c r="F126" s="24"/>
      <c r="G126" s="19">
        <v>22.0</v>
      </c>
      <c r="H126" s="20">
        <v>240.0</v>
      </c>
      <c r="I126" s="20">
        <v>64.0</v>
      </c>
      <c r="J126" s="20">
        <v>2.0</v>
      </c>
      <c r="K126" s="20">
        <v>6.0</v>
      </c>
      <c r="L126" s="20">
        <v>2.0</v>
      </c>
      <c r="M126" s="63"/>
      <c r="N126" s="23"/>
      <c r="O126" s="19">
        <v>22.0</v>
      </c>
      <c r="P126" s="40">
        <v>0.013871228759680962</v>
      </c>
      <c r="Q126" s="40">
        <v>0.014269788182831662</v>
      </c>
      <c r="R126" s="40">
        <v>0.018691588785046728</v>
      </c>
      <c r="S126" s="40">
        <v>0.02553191489361702</v>
      </c>
      <c r="T126" s="40">
        <v>0.012738853503184714</v>
      </c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 ht="15.75" customHeight="1">
      <c r="A127" s="63"/>
      <c r="B127" s="63"/>
      <c r="C127" s="63"/>
      <c r="D127" s="63"/>
      <c r="E127" s="63"/>
      <c r="F127" s="28"/>
      <c r="G127" s="19">
        <v>23.0</v>
      </c>
      <c r="H127" s="20">
        <v>154.0</v>
      </c>
      <c r="I127" s="20">
        <v>39.0</v>
      </c>
      <c r="J127" s="20">
        <v>1.0</v>
      </c>
      <c r="K127" s="20">
        <v>5.0</v>
      </c>
      <c r="L127" s="20">
        <v>6.0</v>
      </c>
      <c r="M127" s="63"/>
      <c r="N127" s="27"/>
      <c r="O127" s="19">
        <v>23.0</v>
      </c>
      <c r="P127" s="40">
        <v>0.008900705120795284</v>
      </c>
      <c r="Q127" s="40">
        <v>0.008695652173913044</v>
      </c>
      <c r="R127" s="40">
        <v>0.009345794392523364</v>
      </c>
      <c r="S127" s="40">
        <v>0.02127659574468085</v>
      </c>
      <c r="T127" s="40">
        <v>0.03821656050955414</v>
      </c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 ht="15.75" customHeight="1">
      <c r="A128" s="63"/>
      <c r="B128" s="63"/>
      <c r="C128" s="63"/>
      <c r="D128" s="63"/>
      <c r="E128" s="63"/>
      <c r="F128" s="56">
        <v>45199.0</v>
      </c>
      <c r="G128" s="19">
        <v>0.0</v>
      </c>
      <c r="H128" s="20">
        <v>152.0</v>
      </c>
      <c r="I128" s="20">
        <v>22.0</v>
      </c>
      <c r="J128" s="20">
        <v>1.0</v>
      </c>
      <c r="K128" s="20">
        <v>3.0</v>
      </c>
      <c r="L128" s="20">
        <v>2.0</v>
      </c>
      <c r="M128" s="63"/>
      <c r="N128" s="56">
        <v>45199.0</v>
      </c>
      <c r="O128" s="19">
        <v>0.0</v>
      </c>
      <c r="P128" s="40">
        <v>0.013038256990907531</v>
      </c>
      <c r="Q128" s="40">
        <v>0.007236842105263158</v>
      </c>
      <c r="R128" s="40">
        <v>0.010869565217391304</v>
      </c>
      <c r="S128" s="40">
        <v>0.016666666666666666</v>
      </c>
      <c r="T128" s="40">
        <v>0.02666666666666667</v>
      </c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 ht="15.75" customHeight="1">
      <c r="A129" s="63"/>
      <c r="B129" s="63"/>
      <c r="C129" s="63"/>
      <c r="D129" s="63"/>
      <c r="E129" s="63"/>
      <c r="F129" s="24"/>
      <c r="G129" s="19">
        <v>1.0</v>
      </c>
      <c r="H129" s="20">
        <v>102.0</v>
      </c>
      <c r="I129" s="20">
        <v>21.0</v>
      </c>
      <c r="J129" s="20">
        <v>2.0</v>
      </c>
      <c r="K129" s="20">
        <v>6.0</v>
      </c>
      <c r="L129" s="20">
        <v>0.0</v>
      </c>
      <c r="M129" s="63"/>
      <c r="N129" s="23"/>
      <c r="O129" s="19">
        <v>1.0</v>
      </c>
      <c r="P129" s="40">
        <v>0.008749356664951106</v>
      </c>
      <c r="Q129" s="40">
        <v>0.006907894736842105</v>
      </c>
      <c r="R129" s="40">
        <v>0.021739130434782608</v>
      </c>
      <c r="S129" s="40">
        <v>0.03333333333333333</v>
      </c>
      <c r="T129" s="40">
        <v>0.0</v>
      </c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 ht="15.75" customHeight="1">
      <c r="A130" s="63"/>
      <c r="B130" s="63"/>
      <c r="C130" s="63"/>
      <c r="D130" s="63"/>
      <c r="E130" s="63"/>
      <c r="F130" s="24"/>
      <c r="G130" s="19">
        <v>2.0</v>
      </c>
      <c r="H130" s="16">
        <v>76.0</v>
      </c>
      <c r="I130" s="16">
        <v>15.0</v>
      </c>
      <c r="J130" s="16">
        <v>2.0</v>
      </c>
      <c r="K130" s="16">
        <v>2.0</v>
      </c>
      <c r="L130" s="16">
        <v>0.0</v>
      </c>
      <c r="M130" s="63"/>
      <c r="N130" s="23"/>
      <c r="O130" s="19">
        <v>2.0</v>
      </c>
      <c r="P130" s="40">
        <v>0.006519128495453766</v>
      </c>
      <c r="Q130" s="40">
        <v>0.004934210526315789</v>
      </c>
      <c r="R130" s="40">
        <v>0.021739130434782608</v>
      </c>
      <c r="S130" s="40">
        <v>0.011111111111111112</v>
      </c>
      <c r="T130" s="40">
        <v>0.0</v>
      </c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 ht="15.75" customHeight="1">
      <c r="A131" s="63"/>
      <c r="B131" s="63"/>
      <c r="C131" s="63"/>
      <c r="D131" s="63"/>
      <c r="E131" s="63"/>
      <c r="F131" s="24"/>
      <c r="G131" s="19">
        <v>3.0</v>
      </c>
      <c r="H131" s="20">
        <v>105.0</v>
      </c>
      <c r="I131" s="20">
        <v>43.0</v>
      </c>
      <c r="J131" s="20">
        <v>1.0</v>
      </c>
      <c r="K131" s="20">
        <v>1.0</v>
      </c>
      <c r="L131" s="20">
        <v>4.0</v>
      </c>
      <c r="M131" s="63"/>
      <c r="N131" s="23"/>
      <c r="O131" s="19">
        <v>3.0</v>
      </c>
      <c r="P131" s="40">
        <v>0.009006690684508493</v>
      </c>
      <c r="Q131" s="40">
        <v>0.014144736842105264</v>
      </c>
      <c r="R131" s="40">
        <v>0.010869565217391304</v>
      </c>
      <c r="S131" s="40">
        <v>0.005555555555555556</v>
      </c>
      <c r="T131" s="40">
        <v>0.05333333333333334</v>
      </c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 ht="15.75" customHeight="1">
      <c r="A132" s="63"/>
      <c r="B132" s="63"/>
      <c r="C132" s="63"/>
      <c r="D132" s="63"/>
      <c r="E132" s="63"/>
      <c r="F132" s="24"/>
      <c r="G132" s="19">
        <v>4.0</v>
      </c>
      <c r="H132" s="20">
        <v>139.0</v>
      </c>
      <c r="I132" s="20">
        <v>38.0</v>
      </c>
      <c r="J132" s="20">
        <v>4.0</v>
      </c>
      <c r="K132" s="20">
        <v>6.0</v>
      </c>
      <c r="L132" s="20">
        <v>3.0</v>
      </c>
      <c r="M132" s="63"/>
      <c r="N132" s="23"/>
      <c r="O132" s="19">
        <v>4.0</v>
      </c>
      <c r="P132" s="40">
        <v>0.011923142906158861</v>
      </c>
      <c r="Q132" s="40">
        <v>0.0125</v>
      </c>
      <c r="R132" s="40">
        <v>0.043478260869565216</v>
      </c>
      <c r="S132" s="40">
        <v>0.03333333333333333</v>
      </c>
      <c r="T132" s="40">
        <v>0.04</v>
      </c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 ht="15.75" customHeight="1">
      <c r="A133" s="63"/>
      <c r="B133" s="63"/>
      <c r="C133" s="63"/>
      <c r="D133" s="63"/>
      <c r="E133" s="63"/>
      <c r="F133" s="24"/>
      <c r="G133" s="19">
        <v>5.0</v>
      </c>
      <c r="H133" s="20">
        <v>260.0</v>
      </c>
      <c r="I133" s="20">
        <v>102.0</v>
      </c>
      <c r="J133" s="20">
        <v>6.0</v>
      </c>
      <c r="K133" s="20">
        <v>12.0</v>
      </c>
      <c r="L133" s="20">
        <v>7.0</v>
      </c>
      <c r="M133" s="63"/>
      <c r="N133" s="23"/>
      <c r="O133" s="19">
        <v>5.0</v>
      </c>
      <c r="P133" s="40">
        <v>0.02230228169497341</v>
      </c>
      <c r="Q133" s="40">
        <v>0.03355263157894737</v>
      </c>
      <c r="R133" s="40">
        <v>0.06521739130434782</v>
      </c>
      <c r="S133" s="40">
        <v>0.06666666666666667</v>
      </c>
      <c r="T133" s="40">
        <v>0.09333333333333334</v>
      </c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 ht="15.75" customHeight="1">
      <c r="A134" s="63"/>
      <c r="B134" s="63"/>
      <c r="C134" s="63"/>
      <c r="D134" s="63"/>
      <c r="E134" s="63"/>
      <c r="F134" s="24"/>
      <c r="G134" s="19">
        <v>6.0</v>
      </c>
      <c r="H134" s="20">
        <v>424.0</v>
      </c>
      <c r="I134" s="20">
        <v>131.0</v>
      </c>
      <c r="J134" s="20">
        <v>12.0</v>
      </c>
      <c r="K134" s="20">
        <v>8.0</v>
      </c>
      <c r="L134" s="20">
        <v>12.0</v>
      </c>
      <c r="M134" s="63"/>
      <c r="N134" s="23"/>
      <c r="O134" s="19">
        <v>6.0</v>
      </c>
      <c r="P134" s="40">
        <v>0.03636987476411048</v>
      </c>
      <c r="Q134" s="40">
        <v>0.0430921052631579</v>
      </c>
      <c r="R134" s="40">
        <v>0.13043478260869565</v>
      </c>
      <c r="S134" s="40">
        <v>0.044444444444444446</v>
      </c>
      <c r="T134" s="40">
        <v>0.16</v>
      </c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 ht="15.75" customHeight="1">
      <c r="A135" s="63"/>
      <c r="B135" s="63"/>
      <c r="C135" s="63"/>
      <c r="D135" s="63"/>
      <c r="E135" s="63"/>
      <c r="F135" s="24"/>
      <c r="G135" s="19">
        <v>7.0</v>
      </c>
      <c r="H135" s="20">
        <v>680.0</v>
      </c>
      <c r="I135" s="20">
        <v>218.0</v>
      </c>
      <c r="J135" s="20">
        <v>14.0</v>
      </c>
      <c r="K135" s="20">
        <v>18.0</v>
      </c>
      <c r="L135" s="20">
        <v>6.0</v>
      </c>
      <c r="M135" s="63"/>
      <c r="N135" s="23"/>
      <c r="O135" s="19">
        <v>7.0</v>
      </c>
      <c r="P135" s="40">
        <v>0.058329044433007377</v>
      </c>
      <c r="Q135" s="40">
        <v>0.07171052631578947</v>
      </c>
      <c r="R135" s="40">
        <v>0.15217391304347827</v>
      </c>
      <c r="S135" s="40">
        <v>0.1</v>
      </c>
      <c r="T135" s="40">
        <v>0.08</v>
      </c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 ht="15.75" customHeight="1">
      <c r="A136" s="63"/>
      <c r="B136" s="63"/>
      <c r="C136" s="63"/>
      <c r="D136" s="63"/>
      <c r="E136" s="63"/>
      <c r="F136" s="24"/>
      <c r="G136" s="19">
        <v>8.0</v>
      </c>
      <c r="H136" s="20">
        <v>847.0</v>
      </c>
      <c r="I136" s="20">
        <v>247.0</v>
      </c>
      <c r="J136" s="20">
        <v>6.0</v>
      </c>
      <c r="K136" s="20">
        <v>15.0</v>
      </c>
      <c r="L136" s="20">
        <v>6.0</v>
      </c>
      <c r="M136" s="63"/>
      <c r="N136" s="23"/>
      <c r="O136" s="19">
        <v>8.0</v>
      </c>
      <c r="P136" s="40">
        <v>0.07265397152170183</v>
      </c>
      <c r="Q136" s="40">
        <v>0.08125</v>
      </c>
      <c r="R136" s="40">
        <v>0.06521739130434782</v>
      </c>
      <c r="S136" s="40">
        <v>0.08333333333333333</v>
      </c>
      <c r="T136" s="40">
        <v>0.08</v>
      </c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 ht="15.75" customHeight="1">
      <c r="A137" s="63"/>
      <c r="B137" s="63"/>
      <c r="C137" s="63"/>
      <c r="D137" s="63"/>
      <c r="E137" s="63"/>
      <c r="F137" s="24"/>
      <c r="G137" s="19">
        <v>9.0</v>
      </c>
      <c r="H137" s="20">
        <v>1121.0</v>
      </c>
      <c r="I137" s="20">
        <v>274.0</v>
      </c>
      <c r="J137" s="20">
        <v>9.0</v>
      </c>
      <c r="K137" s="20">
        <v>10.0</v>
      </c>
      <c r="L137" s="20">
        <v>3.0</v>
      </c>
      <c r="M137" s="63"/>
      <c r="N137" s="23"/>
      <c r="O137" s="19">
        <v>9.0</v>
      </c>
      <c r="P137" s="40">
        <v>0.09615714530794305</v>
      </c>
      <c r="Q137" s="40">
        <v>0.09013157894736842</v>
      </c>
      <c r="R137" s="40">
        <v>0.09782608695652174</v>
      </c>
      <c r="S137" s="40">
        <v>0.05555555555555555</v>
      </c>
      <c r="T137" s="40">
        <v>0.04</v>
      </c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 ht="15.75" customHeight="1">
      <c r="A138" s="63"/>
      <c r="B138" s="63"/>
      <c r="C138" s="63"/>
      <c r="D138" s="63"/>
      <c r="E138" s="63"/>
      <c r="F138" s="24"/>
      <c r="G138" s="19">
        <v>10.0</v>
      </c>
      <c r="H138" s="20">
        <v>1070.0</v>
      </c>
      <c r="I138" s="20">
        <v>288.0</v>
      </c>
      <c r="J138" s="20">
        <v>5.0</v>
      </c>
      <c r="K138" s="20">
        <v>9.0</v>
      </c>
      <c r="L138" s="20">
        <v>10.0</v>
      </c>
      <c r="M138" s="63"/>
      <c r="N138" s="23"/>
      <c r="O138" s="19">
        <v>10.0</v>
      </c>
      <c r="P138" s="40">
        <v>0.09178246697546749</v>
      </c>
      <c r="Q138" s="40">
        <v>0.09473684210526316</v>
      </c>
      <c r="R138" s="40">
        <v>0.05434782608695652</v>
      </c>
      <c r="S138" s="40">
        <v>0.05</v>
      </c>
      <c r="T138" s="40">
        <v>0.13333333333333333</v>
      </c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 ht="15.75" customHeight="1">
      <c r="A139" s="63"/>
      <c r="B139" s="63"/>
      <c r="C139" s="63"/>
      <c r="D139" s="63"/>
      <c r="E139" s="63"/>
      <c r="F139" s="24"/>
      <c r="G139" s="19">
        <v>11.0</v>
      </c>
      <c r="H139" s="20">
        <v>921.0</v>
      </c>
      <c r="I139" s="20">
        <v>232.0</v>
      </c>
      <c r="J139" s="20">
        <v>2.0</v>
      </c>
      <c r="K139" s="20">
        <v>8.0</v>
      </c>
      <c r="L139" s="20">
        <v>4.0</v>
      </c>
      <c r="M139" s="63"/>
      <c r="N139" s="23"/>
      <c r="O139" s="19">
        <v>11.0</v>
      </c>
      <c r="P139" s="40">
        <v>0.07900154400411734</v>
      </c>
      <c r="Q139" s="40">
        <v>0.07631578947368421</v>
      </c>
      <c r="R139" s="40">
        <v>0.021739130434782608</v>
      </c>
      <c r="S139" s="40">
        <v>0.044444444444444446</v>
      </c>
      <c r="T139" s="40">
        <v>0.05333333333333334</v>
      </c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 ht="15.75" customHeight="1">
      <c r="A140" s="63"/>
      <c r="B140" s="63"/>
      <c r="C140" s="63"/>
      <c r="D140" s="63"/>
      <c r="E140" s="63"/>
      <c r="F140" s="24"/>
      <c r="G140" s="19">
        <v>12.0</v>
      </c>
      <c r="H140" s="20">
        <v>797.0</v>
      </c>
      <c r="I140" s="20">
        <v>204.0</v>
      </c>
      <c r="J140" s="20">
        <v>3.0</v>
      </c>
      <c r="K140" s="20">
        <v>12.0</v>
      </c>
      <c r="L140" s="20">
        <v>2.0</v>
      </c>
      <c r="M140" s="63"/>
      <c r="N140" s="23"/>
      <c r="O140" s="19">
        <v>12.0</v>
      </c>
      <c r="P140" s="40">
        <v>0.0683650711957454</v>
      </c>
      <c r="Q140" s="40">
        <v>0.06710526315789474</v>
      </c>
      <c r="R140" s="40">
        <v>0.03260869565217391</v>
      </c>
      <c r="S140" s="40">
        <v>0.06666666666666667</v>
      </c>
      <c r="T140" s="40">
        <v>0.02666666666666667</v>
      </c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 ht="15.75" customHeight="1">
      <c r="A141" s="63"/>
      <c r="B141" s="63"/>
      <c r="C141" s="63"/>
      <c r="D141" s="63"/>
      <c r="E141" s="63"/>
      <c r="F141" s="24"/>
      <c r="G141" s="19">
        <v>13.0</v>
      </c>
      <c r="H141" s="20">
        <v>755.0</v>
      </c>
      <c r="I141" s="20">
        <v>170.0</v>
      </c>
      <c r="J141" s="20">
        <v>3.0</v>
      </c>
      <c r="K141" s="20">
        <v>6.0</v>
      </c>
      <c r="L141" s="20">
        <v>2.0</v>
      </c>
      <c r="M141" s="63"/>
      <c r="N141" s="23"/>
      <c r="O141" s="19">
        <v>13.0</v>
      </c>
      <c r="P141" s="40">
        <v>0.06476239492194201</v>
      </c>
      <c r="Q141" s="40">
        <v>0.05592105263157895</v>
      </c>
      <c r="R141" s="40">
        <v>0.03260869565217391</v>
      </c>
      <c r="S141" s="40">
        <v>0.03333333333333333</v>
      </c>
      <c r="T141" s="40">
        <v>0.02666666666666667</v>
      </c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 ht="15.75" customHeight="1">
      <c r="A142" s="63"/>
      <c r="B142" s="63"/>
      <c r="C142" s="63"/>
      <c r="D142" s="63"/>
      <c r="E142" s="63"/>
      <c r="F142" s="24"/>
      <c r="G142" s="19">
        <v>14.0</v>
      </c>
      <c r="H142" s="20">
        <v>809.0</v>
      </c>
      <c r="I142" s="20">
        <v>180.0</v>
      </c>
      <c r="J142" s="20">
        <v>4.0</v>
      </c>
      <c r="K142" s="20">
        <v>12.0</v>
      </c>
      <c r="L142" s="20">
        <v>6.0</v>
      </c>
      <c r="M142" s="63"/>
      <c r="N142" s="23"/>
      <c r="O142" s="19">
        <v>14.0</v>
      </c>
      <c r="P142" s="40">
        <v>0.06939440727397496</v>
      </c>
      <c r="Q142" s="40">
        <v>0.05921052631578947</v>
      </c>
      <c r="R142" s="40">
        <v>0.043478260869565216</v>
      </c>
      <c r="S142" s="40">
        <v>0.06666666666666667</v>
      </c>
      <c r="T142" s="40">
        <v>0.08</v>
      </c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 ht="15.75" customHeight="1">
      <c r="A143" s="63"/>
      <c r="B143" s="63"/>
      <c r="C143" s="63"/>
      <c r="D143" s="63"/>
      <c r="E143" s="63"/>
      <c r="F143" s="24"/>
      <c r="G143" s="19">
        <v>15.0</v>
      </c>
      <c r="H143" s="20">
        <v>700.0</v>
      </c>
      <c r="I143" s="20">
        <v>168.0</v>
      </c>
      <c r="J143" s="20">
        <v>4.0</v>
      </c>
      <c r="K143" s="20">
        <v>8.0</v>
      </c>
      <c r="L143" s="20">
        <v>3.0</v>
      </c>
      <c r="M143" s="63"/>
      <c r="N143" s="23"/>
      <c r="O143" s="19">
        <v>15.0</v>
      </c>
      <c r="P143" s="40">
        <v>0.06004460456338995</v>
      </c>
      <c r="Q143" s="40">
        <v>0.05526315789473684</v>
      </c>
      <c r="R143" s="40">
        <v>0.043478260869565216</v>
      </c>
      <c r="S143" s="40">
        <v>0.044444444444444446</v>
      </c>
      <c r="T143" s="40">
        <v>0.04</v>
      </c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 ht="15.75" customHeight="1">
      <c r="A144" s="63"/>
      <c r="B144" s="63"/>
      <c r="C144" s="63"/>
      <c r="D144" s="63"/>
      <c r="E144" s="63"/>
      <c r="F144" s="24"/>
      <c r="G144" s="19">
        <v>16.0</v>
      </c>
      <c r="H144" s="20">
        <v>598.0</v>
      </c>
      <c r="I144" s="20">
        <v>148.0</v>
      </c>
      <c r="J144" s="20">
        <v>6.0</v>
      </c>
      <c r="K144" s="20">
        <v>11.0</v>
      </c>
      <c r="L144" s="20">
        <v>1.0</v>
      </c>
      <c r="M144" s="63"/>
      <c r="N144" s="23"/>
      <c r="O144" s="19">
        <v>16.0</v>
      </c>
      <c r="P144" s="40">
        <v>0.05129524789843884</v>
      </c>
      <c r="Q144" s="40">
        <v>0.04868421052631579</v>
      </c>
      <c r="R144" s="40">
        <v>0.06521739130434782</v>
      </c>
      <c r="S144" s="40">
        <v>0.06111111111111111</v>
      </c>
      <c r="T144" s="40">
        <v>0.013333333333333334</v>
      </c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 ht="15.75" customHeight="1">
      <c r="A145" s="63"/>
      <c r="B145" s="63"/>
      <c r="C145" s="63"/>
      <c r="D145" s="63"/>
      <c r="E145" s="63"/>
      <c r="F145" s="24"/>
      <c r="G145" s="19">
        <v>17.0</v>
      </c>
      <c r="H145" s="20">
        <v>530.0</v>
      </c>
      <c r="I145" s="20">
        <v>140.0</v>
      </c>
      <c r="J145" s="20">
        <v>3.0</v>
      </c>
      <c r="K145" s="20">
        <v>4.0</v>
      </c>
      <c r="L145" s="20">
        <v>1.0</v>
      </c>
      <c r="M145" s="63"/>
      <c r="N145" s="23"/>
      <c r="O145" s="19">
        <v>17.0</v>
      </c>
      <c r="P145" s="40">
        <v>0.0454623434551381</v>
      </c>
      <c r="Q145" s="40">
        <v>0.046052631578947366</v>
      </c>
      <c r="R145" s="40">
        <v>0.03260869565217391</v>
      </c>
      <c r="S145" s="40">
        <v>0.022222222222222223</v>
      </c>
      <c r="T145" s="40">
        <v>0.013333333333333334</v>
      </c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 ht="15.75" customHeight="1">
      <c r="A146" s="63"/>
      <c r="B146" s="63"/>
      <c r="C146" s="63"/>
      <c r="D146" s="63"/>
      <c r="E146" s="63"/>
      <c r="F146" s="24"/>
      <c r="G146" s="19">
        <v>18.0</v>
      </c>
      <c r="H146" s="20">
        <v>404.0</v>
      </c>
      <c r="I146" s="20">
        <v>98.0</v>
      </c>
      <c r="J146" s="20">
        <v>0.0</v>
      </c>
      <c r="K146" s="20">
        <v>2.0</v>
      </c>
      <c r="L146" s="20">
        <v>1.0</v>
      </c>
      <c r="M146" s="63"/>
      <c r="N146" s="23"/>
      <c r="O146" s="19">
        <v>18.0</v>
      </c>
      <c r="P146" s="40">
        <v>0.03465431463372791</v>
      </c>
      <c r="Q146" s="40">
        <v>0.03223684210526316</v>
      </c>
      <c r="R146" s="40">
        <v>0.0</v>
      </c>
      <c r="S146" s="40">
        <v>0.011111111111111112</v>
      </c>
      <c r="T146" s="40">
        <v>0.013333333333333334</v>
      </c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 ht="15.75" customHeight="1">
      <c r="A147" s="63"/>
      <c r="B147" s="63"/>
      <c r="C147" s="63"/>
      <c r="D147" s="63"/>
      <c r="E147" s="63"/>
      <c r="F147" s="24"/>
      <c r="G147" s="19">
        <v>19.0</v>
      </c>
      <c r="H147" s="20">
        <v>324.0</v>
      </c>
      <c r="I147" s="20">
        <v>87.0</v>
      </c>
      <c r="J147" s="20">
        <v>1.0</v>
      </c>
      <c r="K147" s="20">
        <v>17.0</v>
      </c>
      <c r="L147" s="20">
        <v>0.0</v>
      </c>
      <c r="M147" s="63"/>
      <c r="N147" s="23"/>
      <c r="O147" s="19">
        <v>19.0</v>
      </c>
      <c r="P147" s="40">
        <v>0.027792074112197633</v>
      </c>
      <c r="Q147" s="40">
        <v>0.028618421052631578</v>
      </c>
      <c r="R147" s="40">
        <v>0.010869565217391304</v>
      </c>
      <c r="S147" s="40">
        <v>0.09444444444444444</v>
      </c>
      <c r="T147" s="40">
        <v>0.0</v>
      </c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 ht="15.75" customHeight="1">
      <c r="A148" s="63"/>
      <c r="B148" s="63"/>
      <c r="C148" s="63"/>
      <c r="D148" s="63"/>
      <c r="E148" s="63"/>
      <c r="F148" s="24"/>
      <c r="G148" s="19">
        <v>20.0</v>
      </c>
      <c r="H148" s="20">
        <v>235.0</v>
      </c>
      <c r="I148" s="20">
        <v>59.0</v>
      </c>
      <c r="J148" s="20">
        <v>0.0</v>
      </c>
      <c r="K148" s="20">
        <v>4.0</v>
      </c>
      <c r="L148" s="20">
        <v>0.0</v>
      </c>
      <c r="M148" s="63"/>
      <c r="N148" s="23"/>
      <c r="O148" s="19">
        <v>20.0</v>
      </c>
      <c r="P148" s="40">
        <v>0.020157831531995195</v>
      </c>
      <c r="Q148" s="40">
        <v>0.019407894736842107</v>
      </c>
      <c r="R148" s="40">
        <v>0.0</v>
      </c>
      <c r="S148" s="40">
        <v>0.022222222222222223</v>
      </c>
      <c r="T148" s="40">
        <v>0.0</v>
      </c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 ht="15.75" customHeight="1">
      <c r="A149" s="63"/>
      <c r="B149" s="63"/>
      <c r="C149" s="63"/>
      <c r="D149" s="63"/>
      <c r="E149" s="63"/>
      <c r="F149" s="24"/>
      <c r="G149" s="19">
        <v>21.0</v>
      </c>
      <c r="H149" s="20">
        <v>264.0</v>
      </c>
      <c r="I149" s="20">
        <v>74.0</v>
      </c>
      <c r="J149" s="20">
        <v>0.0</v>
      </c>
      <c r="K149" s="20">
        <v>1.0</v>
      </c>
      <c r="L149" s="20">
        <v>0.0</v>
      </c>
      <c r="M149" s="63"/>
      <c r="N149" s="23"/>
      <c r="O149" s="19">
        <v>21.0</v>
      </c>
      <c r="P149" s="40">
        <v>0.022645393721049924</v>
      </c>
      <c r="Q149" s="40">
        <v>0.024342105263157894</v>
      </c>
      <c r="R149" s="40">
        <v>0.0</v>
      </c>
      <c r="S149" s="40">
        <v>0.005555555555555556</v>
      </c>
      <c r="T149" s="40">
        <v>0.0</v>
      </c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 ht="15.75" customHeight="1">
      <c r="A150" s="63"/>
      <c r="B150" s="63"/>
      <c r="C150" s="63"/>
      <c r="D150" s="63"/>
      <c r="E150" s="63"/>
      <c r="F150" s="24"/>
      <c r="G150" s="19">
        <v>22.0</v>
      </c>
      <c r="H150" s="20">
        <v>196.0</v>
      </c>
      <c r="I150" s="20">
        <v>51.0</v>
      </c>
      <c r="J150" s="20">
        <v>2.0</v>
      </c>
      <c r="K150" s="20">
        <v>2.0</v>
      </c>
      <c r="L150" s="20">
        <v>0.0</v>
      </c>
      <c r="M150" s="63"/>
      <c r="N150" s="23"/>
      <c r="O150" s="19">
        <v>22.0</v>
      </c>
      <c r="P150" s="40">
        <v>0.016812489277749185</v>
      </c>
      <c r="Q150" s="40">
        <v>0.016776315789473684</v>
      </c>
      <c r="R150" s="40">
        <v>0.021739130434782608</v>
      </c>
      <c r="S150" s="40">
        <v>0.011111111111111112</v>
      </c>
      <c r="T150" s="40">
        <v>0.0</v>
      </c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 ht="15.75" customHeight="1">
      <c r="A151" s="63"/>
      <c r="B151" s="63"/>
      <c r="C151" s="63"/>
      <c r="D151" s="63"/>
      <c r="E151" s="63"/>
      <c r="F151" s="28"/>
      <c r="G151" s="19">
        <v>23.0</v>
      </c>
      <c r="H151" s="20">
        <v>149.0</v>
      </c>
      <c r="I151" s="20">
        <v>30.0</v>
      </c>
      <c r="J151" s="20">
        <v>2.0</v>
      </c>
      <c r="K151" s="20">
        <v>3.0</v>
      </c>
      <c r="L151" s="20">
        <v>2.0</v>
      </c>
      <c r="M151" s="63"/>
      <c r="N151" s="27"/>
      <c r="O151" s="19">
        <v>23.0</v>
      </c>
      <c r="P151" s="40">
        <v>0.012780922971350146</v>
      </c>
      <c r="Q151" s="40">
        <v>0.009868421052631578</v>
      </c>
      <c r="R151" s="40">
        <v>0.021739130434782608</v>
      </c>
      <c r="S151" s="40">
        <v>0.016666666666666666</v>
      </c>
      <c r="T151" s="40">
        <v>0.02666666666666667</v>
      </c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 ht="15.75" customHeight="1">
      <c r="A152" s="63"/>
      <c r="B152" s="63"/>
      <c r="C152" s="63"/>
      <c r="D152" s="63"/>
      <c r="E152" s="63"/>
      <c r="F152" s="21">
        <v>45200.0</v>
      </c>
      <c r="G152" s="19">
        <v>0.0</v>
      </c>
      <c r="H152" s="20">
        <v>126.0</v>
      </c>
      <c r="I152" s="20">
        <v>31.0</v>
      </c>
      <c r="J152" s="20">
        <v>2.0</v>
      </c>
      <c r="K152" s="20">
        <v>1.0</v>
      </c>
      <c r="L152" s="20">
        <v>2.0</v>
      </c>
      <c r="M152" s="63"/>
      <c r="N152" s="18">
        <v>45200.0</v>
      </c>
      <c r="O152" s="19">
        <v>0.0</v>
      </c>
      <c r="P152" s="40">
        <v>0.0121727369336296</v>
      </c>
      <c r="Q152" s="40">
        <v>0.01126453488372093</v>
      </c>
      <c r="R152" s="40">
        <v>0.010869565217391304</v>
      </c>
      <c r="S152" s="40">
        <v>0.00684931506849315</v>
      </c>
      <c r="T152" s="40">
        <v>0.025974025974025976</v>
      </c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 ht="15.75" customHeight="1">
      <c r="A153" s="63"/>
      <c r="B153" s="63"/>
      <c r="C153" s="63"/>
      <c r="D153" s="63"/>
      <c r="E153" s="63"/>
      <c r="F153" s="24"/>
      <c r="G153" s="19">
        <v>1.0</v>
      </c>
      <c r="H153" s="20">
        <v>90.0</v>
      </c>
      <c r="I153" s="20">
        <v>11.0</v>
      </c>
      <c r="J153" s="20">
        <v>4.0</v>
      </c>
      <c r="K153" s="20">
        <v>3.0</v>
      </c>
      <c r="L153" s="20">
        <v>1.0</v>
      </c>
      <c r="M153" s="63"/>
      <c r="N153" s="23"/>
      <c r="O153" s="19">
        <v>1.0</v>
      </c>
      <c r="P153" s="40">
        <v>0.008694812095449716</v>
      </c>
      <c r="Q153" s="40">
        <v>0.003997093023255814</v>
      </c>
      <c r="R153" s="40">
        <v>0.021739130434782608</v>
      </c>
      <c r="S153" s="40">
        <v>0.02054794520547945</v>
      </c>
      <c r="T153" s="40">
        <v>0.012987012987012988</v>
      </c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 ht="15.75" customHeight="1">
      <c r="A154" s="63"/>
      <c r="B154" s="63"/>
      <c r="C154" s="63"/>
      <c r="D154" s="63"/>
      <c r="E154" s="63"/>
      <c r="F154" s="24"/>
      <c r="G154" s="19">
        <v>2.0</v>
      </c>
      <c r="H154" s="16">
        <v>70.0</v>
      </c>
      <c r="I154" s="16">
        <v>11.0</v>
      </c>
      <c r="J154" s="16">
        <v>1.0</v>
      </c>
      <c r="K154" s="16">
        <v>6.0</v>
      </c>
      <c r="L154" s="16">
        <v>0.0</v>
      </c>
      <c r="M154" s="63"/>
      <c r="N154" s="23"/>
      <c r="O154" s="19">
        <v>2.0</v>
      </c>
      <c r="P154" s="40">
        <v>0.006762631629794223</v>
      </c>
      <c r="Q154" s="40">
        <v>0.003997093023255814</v>
      </c>
      <c r="R154" s="40">
        <v>0.005434782608695652</v>
      </c>
      <c r="S154" s="40">
        <v>0.0410958904109589</v>
      </c>
      <c r="T154" s="40">
        <v>0.0</v>
      </c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 ht="15.75" customHeight="1">
      <c r="A155" s="63"/>
      <c r="B155" s="63"/>
      <c r="C155" s="63"/>
      <c r="D155" s="63"/>
      <c r="E155" s="63"/>
      <c r="F155" s="24"/>
      <c r="G155" s="19">
        <v>3.0</v>
      </c>
      <c r="H155" s="20">
        <v>59.0</v>
      </c>
      <c r="I155" s="20">
        <v>18.0</v>
      </c>
      <c r="J155" s="20">
        <v>1.0</v>
      </c>
      <c r="K155" s="20">
        <v>0.0</v>
      </c>
      <c r="L155" s="20">
        <v>2.0</v>
      </c>
      <c r="M155" s="63"/>
      <c r="N155" s="23"/>
      <c r="O155" s="19">
        <v>3.0</v>
      </c>
      <c r="P155" s="40">
        <v>0.0056999323736837025</v>
      </c>
      <c r="Q155" s="40">
        <v>0.006540697674418605</v>
      </c>
      <c r="R155" s="40">
        <v>0.005434782608695652</v>
      </c>
      <c r="S155" s="40">
        <v>0.0</v>
      </c>
      <c r="T155" s="40">
        <v>0.025974025974025976</v>
      </c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 ht="15.75" customHeight="1">
      <c r="A156" s="63"/>
      <c r="B156" s="63"/>
      <c r="C156" s="63"/>
      <c r="D156" s="63"/>
      <c r="E156" s="63"/>
      <c r="F156" s="24"/>
      <c r="G156" s="19">
        <v>4.0</v>
      </c>
      <c r="H156" s="20">
        <v>100.0</v>
      </c>
      <c r="I156" s="20">
        <v>24.0</v>
      </c>
      <c r="J156" s="20">
        <v>4.0</v>
      </c>
      <c r="K156" s="20">
        <v>1.0</v>
      </c>
      <c r="L156" s="20">
        <v>1.0</v>
      </c>
      <c r="M156" s="63"/>
      <c r="N156" s="23"/>
      <c r="O156" s="19">
        <v>4.0</v>
      </c>
      <c r="P156" s="40">
        <v>0.009660902328277461</v>
      </c>
      <c r="Q156" s="40">
        <v>0.00872093023255814</v>
      </c>
      <c r="R156" s="40">
        <v>0.021739130434782608</v>
      </c>
      <c r="S156" s="40">
        <v>0.00684931506849315</v>
      </c>
      <c r="T156" s="40">
        <v>0.012987012987012988</v>
      </c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 ht="15.75" customHeight="1">
      <c r="A157" s="63"/>
      <c r="B157" s="63"/>
      <c r="C157" s="63"/>
      <c r="D157" s="63"/>
      <c r="E157" s="63"/>
      <c r="F157" s="24"/>
      <c r="G157" s="19">
        <v>5.0</v>
      </c>
      <c r="H157" s="20">
        <v>156.0</v>
      </c>
      <c r="I157" s="20">
        <v>61.0</v>
      </c>
      <c r="J157" s="20">
        <v>11.0</v>
      </c>
      <c r="K157" s="20">
        <v>9.0</v>
      </c>
      <c r="L157" s="20">
        <v>4.0</v>
      </c>
      <c r="M157" s="63"/>
      <c r="N157" s="23"/>
      <c r="O157" s="19">
        <v>5.0</v>
      </c>
      <c r="P157" s="40">
        <v>0.015071007632112839</v>
      </c>
      <c r="Q157" s="40">
        <v>0.022165697674418606</v>
      </c>
      <c r="R157" s="40">
        <v>0.059782608695652176</v>
      </c>
      <c r="S157" s="40">
        <v>0.06164383561643835</v>
      </c>
      <c r="T157" s="40">
        <v>0.05194805194805195</v>
      </c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 ht="15.75" customHeight="1">
      <c r="A158" s="63"/>
      <c r="B158" s="63"/>
      <c r="C158" s="63"/>
      <c r="D158" s="63"/>
      <c r="E158" s="63"/>
      <c r="F158" s="24"/>
      <c r="G158" s="19">
        <v>6.0</v>
      </c>
      <c r="H158" s="20">
        <v>250.0</v>
      </c>
      <c r="I158" s="20">
        <v>113.0</v>
      </c>
      <c r="J158" s="20">
        <v>17.0</v>
      </c>
      <c r="K158" s="20">
        <v>7.0</v>
      </c>
      <c r="L158" s="20">
        <v>7.0</v>
      </c>
      <c r="M158" s="63"/>
      <c r="N158" s="23"/>
      <c r="O158" s="19">
        <v>6.0</v>
      </c>
      <c r="P158" s="40">
        <v>0.024152255820693653</v>
      </c>
      <c r="Q158" s="40">
        <v>0.041061046511627904</v>
      </c>
      <c r="R158" s="40">
        <v>0.09239130434782608</v>
      </c>
      <c r="S158" s="40">
        <v>0.04794520547945205</v>
      </c>
      <c r="T158" s="40">
        <v>0.09090909090909091</v>
      </c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 ht="15.75" customHeight="1">
      <c r="A159" s="63"/>
      <c r="B159" s="63"/>
      <c r="C159" s="63"/>
      <c r="D159" s="63"/>
      <c r="E159" s="63"/>
      <c r="F159" s="24"/>
      <c r="G159" s="19">
        <v>7.0</v>
      </c>
      <c r="H159" s="20">
        <v>430.0</v>
      </c>
      <c r="I159" s="20">
        <v>150.0</v>
      </c>
      <c r="J159" s="20">
        <v>41.0</v>
      </c>
      <c r="K159" s="20">
        <v>14.0</v>
      </c>
      <c r="L159" s="20">
        <v>5.0</v>
      </c>
      <c r="M159" s="63"/>
      <c r="N159" s="23"/>
      <c r="O159" s="19">
        <v>7.0</v>
      </c>
      <c r="P159" s="40">
        <v>0.041541880011593084</v>
      </c>
      <c r="Q159" s="40">
        <v>0.05450581395348837</v>
      </c>
      <c r="R159" s="40">
        <v>0.22282608695652173</v>
      </c>
      <c r="S159" s="40">
        <v>0.0958904109589041</v>
      </c>
      <c r="T159" s="40">
        <v>0.06493506493506493</v>
      </c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 ht="15.75" customHeight="1">
      <c r="A160" s="63"/>
      <c r="B160" s="63"/>
      <c r="C160" s="63"/>
      <c r="D160" s="63"/>
      <c r="E160" s="63"/>
      <c r="F160" s="24"/>
      <c r="G160" s="19">
        <v>8.0</v>
      </c>
      <c r="H160" s="20">
        <v>625.0</v>
      </c>
      <c r="I160" s="20">
        <v>187.0</v>
      </c>
      <c r="J160" s="20">
        <v>14.0</v>
      </c>
      <c r="K160" s="20">
        <v>9.0</v>
      </c>
      <c r="L160" s="20">
        <v>4.0</v>
      </c>
      <c r="M160" s="63"/>
      <c r="N160" s="23"/>
      <c r="O160" s="19">
        <v>8.0</v>
      </c>
      <c r="P160" s="40">
        <v>0.06038063955173413</v>
      </c>
      <c r="Q160" s="40">
        <v>0.06795058139534883</v>
      </c>
      <c r="R160" s="40">
        <v>0.07608695652173914</v>
      </c>
      <c r="S160" s="40">
        <v>0.06164383561643835</v>
      </c>
      <c r="T160" s="40">
        <v>0.05194805194805195</v>
      </c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 ht="15.75" customHeight="1">
      <c r="A161" s="63"/>
      <c r="B161" s="63"/>
      <c r="C161" s="63"/>
      <c r="D161" s="63"/>
      <c r="E161" s="63"/>
      <c r="F161" s="24"/>
      <c r="G161" s="19">
        <v>9.0</v>
      </c>
      <c r="H161" s="20">
        <v>757.0</v>
      </c>
      <c r="I161" s="20">
        <v>195.0</v>
      </c>
      <c r="J161" s="20">
        <v>6.0</v>
      </c>
      <c r="K161" s="20">
        <v>11.0</v>
      </c>
      <c r="L161" s="20">
        <v>3.0</v>
      </c>
      <c r="M161" s="63"/>
      <c r="N161" s="23"/>
      <c r="O161" s="19">
        <v>9.0</v>
      </c>
      <c r="P161" s="40">
        <v>0.07313303062506038</v>
      </c>
      <c r="Q161" s="40">
        <v>0.07085755813953488</v>
      </c>
      <c r="R161" s="40">
        <v>0.03260869565217391</v>
      </c>
      <c r="S161" s="40">
        <v>0.07534246575342465</v>
      </c>
      <c r="T161" s="40">
        <v>0.03896103896103896</v>
      </c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</row>
    <row r="162" ht="15.75" customHeight="1">
      <c r="A162" s="63"/>
      <c r="B162" s="63"/>
      <c r="C162" s="63"/>
      <c r="D162" s="63"/>
      <c r="E162" s="63"/>
      <c r="F162" s="24"/>
      <c r="G162" s="19">
        <v>10.0</v>
      </c>
      <c r="H162" s="20">
        <v>857.0</v>
      </c>
      <c r="I162" s="20">
        <v>205.0</v>
      </c>
      <c r="J162" s="20">
        <v>9.0</v>
      </c>
      <c r="K162" s="20">
        <v>6.0</v>
      </c>
      <c r="L162" s="20">
        <v>1.0</v>
      </c>
      <c r="M162" s="63"/>
      <c r="N162" s="23"/>
      <c r="O162" s="19">
        <v>10.0</v>
      </c>
      <c r="P162" s="40">
        <v>0.08279393295333784</v>
      </c>
      <c r="Q162" s="40">
        <v>0.07449127906976744</v>
      </c>
      <c r="R162" s="40">
        <v>0.04891304347826087</v>
      </c>
      <c r="S162" s="40">
        <v>0.0410958904109589</v>
      </c>
      <c r="T162" s="40">
        <v>0.012987012987012988</v>
      </c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 ht="15.75" customHeight="1">
      <c r="A163" s="63"/>
      <c r="B163" s="63"/>
      <c r="C163" s="63"/>
      <c r="D163" s="63"/>
      <c r="E163" s="63"/>
      <c r="F163" s="24"/>
      <c r="G163" s="19">
        <v>11.0</v>
      </c>
      <c r="H163" s="20">
        <v>777.0</v>
      </c>
      <c r="I163" s="20">
        <v>206.0</v>
      </c>
      <c r="J163" s="20">
        <v>5.0</v>
      </c>
      <c r="K163" s="20">
        <v>6.0</v>
      </c>
      <c r="L163" s="20">
        <v>5.0</v>
      </c>
      <c r="M163" s="63"/>
      <c r="N163" s="23"/>
      <c r="O163" s="19">
        <v>11.0</v>
      </c>
      <c r="P163" s="40">
        <v>0.07506521109071587</v>
      </c>
      <c r="Q163" s="40">
        <v>0.07485465116279069</v>
      </c>
      <c r="R163" s="40">
        <v>0.02717391304347826</v>
      </c>
      <c r="S163" s="40">
        <v>0.0410958904109589</v>
      </c>
      <c r="T163" s="40">
        <v>0.06493506493506493</v>
      </c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 ht="15.75" customHeight="1">
      <c r="A164" s="63"/>
      <c r="B164" s="63"/>
      <c r="C164" s="63"/>
      <c r="D164" s="63"/>
      <c r="E164" s="63"/>
      <c r="F164" s="24"/>
      <c r="G164" s="19">
        <v>12.0</v>
      </c>
      <c r="H164" s="20">
        <v>670.0</v>
      </c>
      <c r="I164" s="20">
        <v>160.0</v>
      </c>
      <c r="J164" s="20">
        <v>4.0</v>
      </c>
      <c r="K164" s="20">
        <v>2.0</v>
      </c>
      <c r="L164" s="20">
        <v>2.0</v>
      </c>
      <c r="M164" s="63"/>
      <c r="N164" s="23"/>
      <c r="O164" s="19">
        <v>12.0</v>
      </c>
      <c r="P164" s="40">
        <v>0.064728045599459</v>
      </c>
      <c r="Q164" s="40">
        <v>0.05813953488372093</v>
      </c>
      <c r="R164" s="40">
        <v>0.021739130434782608</v>
      </c>
      <c r="S164" s="40">
        <v>0.0136986301369863</v>
      </c>
      <c r="T164" s="40">
        <v>0.025974025974025976</v>
      </c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 ht="15.75" customHeight="1">
      <c r="A165" s="63"/>
      <c r="B165" s="63"/>
      <c r="C165" s="63"/>
      <c r="D165" s="63"/>
      <c r="E165" s="63"/>
      <c r="F165" s="24"/>
      <c r="G165" s="19">
        <v>13.0</v>
      </c>
      <c r="H165" s="20">
        <v>702.0</v>
      </c>
      <c r="I165" s="20">
        <v>178.0</v>
      </c>
      <c r="J165" s="20">
        <v>6.0</v>
      </c>
      <c r="K165" s="20">
        <v>9.0</v>
      </c>
      <c r="L165" s="20">
        <v>5.0</v>
      </c>
      <c r="M165" s="63"/>
      <c r="N165" s="23"/>
      <c r="O165" s="19">
        <v>13.0</v>
      </c>
      <c r="P165" s="40">
        <v>0.06781953434450777</v>
      </c>
      <c r="Q165" s="40">
        <v>0.06468023255813954</v>
      </c>
      <c r="R165" s="40">
        <v>0.03260869565217391</v>
      </c>
      <c r="S165" s="40">
        <v>0.06164383561643835</v>
      </c>
      <c r="T165" s="40">
        <v>0.06493506493506493</v>
      </c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 ht="15.75" customHeight="1">
      <c r="A166" s="63"/>
      <c r="B166" s="63"/>
      <c r="C166" s="63"/>
      <c r="D166" s="63"/>
      <c r="E166" s="63"/>
      <c r="F166" s="24"/>
      <c r="G166" s="19">
        <v>14.0</v>
      </c>
      <c r="H166" s="20">
        <v>782.0</v>
      </c>
      <c r="I166" s="20">
        <v>216.0</v>
      </c>
      <c r="J166" s="20">
        <v>17.0</v>
      </c>
      <c r="K166" s="20">
        <v>7.0</v>
      </c>
      <c r="L166" s="20">
        <v>2.0</v>
      </c>
      <c r="M166" s="63"/>
      <c r="N166" s="23"/>
      <c r="O166" s="19">
        <v>14.0</v>
      </c>
      <c r="P166" s="40">
        <v>0.07554825620712975</v>
      </c>
      <c r="Q166" s="40">
        <v>0.07848837209302326</v>
      </c>
      <c r="R166" s="40">
        <v>0.09239130434782608</v>
      </c>
      <c r="S166" s="40">
        <v>0.04794520547945205</v>
      </c>
      <c r="T166" s="40">
        <v>0.025974025974025976</v>
      </c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 ht="15.75" customHeight="1">
      <c r="A167" s="63"/>
      <c r="B167" s="63"/>
      <c r="C167" s="63"/>
      <c r="D167" s="63"/>
      <c r="E167" s="63"/>
      <c r="F167" s="24"/>
      <c r="G167" s="19">
        <v>15.0</v>
      </c>
      <c r="H167" s="20">
        <v>728.0</v>
      </c>
      <c r="I167" s="20">
        <v>172.0</v>
      </c>
      <c r="J167" s="20">
        <v>4.0</v>
      </c>
      <c r="K167" s="20">
        <v>6.0</v>
      </c>
      <c r="L167" s="20">
        <v>5.0</v>
      </c>
      <c r="M167" s="63"/>
      <c r="N167" s="23"/>
      <c r="O167" s="19">
        <v>15.0</v>
      </c>
      <c r="P167" s="40">
        <v>0.07033136894985992</v>
      </c>
      <c r="Q167" s="40">
        <v>0.0625</v>
      </c>
      <c r="R167" s="40">
        <v>0.021739130434782608</v>
      </c>
      <c r="S167" s="40">
        <v>0.0410958904109589</v>
      </c>
      <c r="T167" s="40">
        <v>0.06493506493506493</v>
      </c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 ht="15.75" customHeight="1">
      <c r="A168" s="63"/>
      <c r="B168" s="63"/>
      <c r="C168" s="63"/>
      <c r="D168" s="63"/>
      <c r="E168" s="63"/>
      <c r="F168" s="24"/>
      <c r="G168" s="19">
        <v>16.0</v>
      </c>
      <c r="H168" s="20">
        <v>628.0</v>
      </c>
      <c r="I168" s="20">
        <v>151.0</v>
      </c>
      <c r="J168" s="20">
        <v>9.0</v>
      </c>
      <c r="K168" s="20">
        <v>3.0</v>
      </c>
      <c r="L168" s="20">
        <v>2.0</v>
      </c>
      <c r="M168" s="63"/>
      <c r="N168" s="23"/>
      <c r="O168" s="19">
        <v>16.0</v>
      </c>
      <c r="P168" s="40">
        <v>0.06067046662158246</v>
      </c>
      <c r="Q168" s="40">
        <v>0.05486918604651163</v>
      </c>
      <c r="R168" s="40">
        <v>0.04891304347826087</v>
      </c>
      <c r="S168" s="40">
        <v>0.02054794520547945</v>
      </c>
      <c r="T168" s="40">
        <v>0.025974025974025976</v>
      </c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 ht="15.75" customHeight="1">
      <c r="A169" s="63"/>
      <c r="B169" s="63"/>
      <c r="C169" s="63"/>
      <c r="D169" s="63"/>
      <c r="E169" s="63"/>
      <c r="F169" s="24"/>
      <c r="G169" s="19">
        <v>17.0</v>
      </c>
      <c r="H169" s="20">
        <v>493.0</v>
      </c>
      <c r="I169" s="20">
        <v>147.0</v>
      </c>
      <c r="J169" s="20">
        <v>8.0</v>
      </c>
      <c r="K169" s="20">
        <v>13.0</v>
      </c>
      <c r="L169" s="20">
        <v>1.0</v>
      </c>
      <c r="M169" s="63"/>
      <c r="N169" s="23"/>
      <c r="O169" s="19">
        <v>17.0</v>
      </c>
      <c r="P169" s="40">
        <v>0.04762824847840788</v>
      </c>
      <c r="Q169" s="40">
        <v>0.0534156976744186</v>
      </c>
      <c r="R169" s="40">
        <v>0.043478260869565216</v>
      </c>
      <c r="S169" s="40">
        <v>0.08904109589041095</v>
      </c>
      <c r="T169" s="40">
        <v>0.012987012987012988</v>
      </c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 ht="15.75" customHeight="1">
      <c r="A170" s="63"/>
      <c r="B170" s="63"/>
      <c r="C170" s="63"/>
      <c r="D170" s="63"/>
      <c r="E170" s="63"/>
      <c r="F170" s="24"/>
      <c r="G170" s="19">
        <v>18.0</v>
      </c>
      <c r="H170" s="20">
        <v>445.0</v>
      </c>
      <c r="I170" s="20">
        <v>123.0</v>
      </c>
      <c r="J170" s="20">
        <v>2.0</v>
      </c>
      <c r="K170" s="20">
        <v>3.0</v>
      </c>
      <c r="L170" s="20">
        <v>3.0</v>
      </c>
      <c r="M170" s="63"/>
      <c r="N170" s="23"/>
      <c r="O170" s="19">
        <v>18.0</v>
      </c>
      <c r="P170" s="40">
        <v>0.0429910153608347</v>
      </c>
      <c r="Q170" s="40">
        <v>0.04469476744186047</v>
      </c>
      <c r="R170" s="40">
        <v>0.010869565217391304</v>
      </c>
      <c r="S170" s="40">
        <v>0.02054794520547945</v>
      </c>
      <c r="T170" s="40">
        <v>0.03896103896103896</v>
      </c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 ht="15.75" customHeight="1">
      <c r="A171" s="63"/>
      <c r="B171" s="63"/>
      <c r="C171" s="63"/>
      <c r="D171" s="63"/>
      <c r="E171" s="63"/>
      <c r="F171" s="24"/>
      <c r="G171" s="19">
        <v>19.0</v>
      </c>
      <c r="H171" s="20">
        <v>440.0</v>
      </c>
      <c r="I171" s="20">
        <v>105.0</v>
      </c>
      <c r="J171" s="20">
        <v>7.0</v>
      </c>
      <c r="K171" s="20">
        <v>8.0</v>
      </c>
      <c r="L171" s="20">
        <v>3.0</v>
      </c>
      <c r="M171" s="63"/>
      <c r="N171" s="23"/>
      <c r="O171" s="19">
        <v>19.0</v>
      </c>
      <c r="P171" s="40">
        <v>0.04250797024442083</v>
      </c>
      <c r="Q171" s="40">
        <v>0.03815406976744186</v>
      </c>
      <c r="R171" s="40">
        <v>0.03804347826086957</v>
      </c>
      <c r="S171" s="40">
        <v>0.0547945205479452</v>
      </c>
      <c r="T171" s="40">
        <v>0.03896103896103896</v>
      </c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 ht="15.75" customHeight="1">
      <c r="A172" s="63"/>
      <c r="B172" s="63"/>
      <c r="C172" s="63"/>
      <c r="D172" s="63"/>
      <c r="E172" s="63"/>
      <c r="F172" s="24"/>
      <c r="G172" s="19">
        <v>20.0</v>
      </c>
      <c r="H172" s="20">
        <v>426.0</v>
      </c>
      <c r="I172" s="20">
        <v>116.0</v>
      </c>
      <c r="J172" s="20">
        <v>5.0</v>
      </c>
      <c r="K172" s="20">
        <v>8.0</v>
      </c>
      <c r="L172" s="20">
        <v>3.0</v>
      </c>
      <c r="M172" s="63"/>
      <c r="N172" s="23"/>
      <c r="O172" s="19">
        <v>20.0</v>
      </c>
      <c r="P172" s="40">
        <v>0.04115544391846199</v>
      </c>
      <c r="Q172" s="40">
        <v>0.04215116279069767</v>
      </c>
      <c r="R172" s="40">
        <v>0.02717391304347826</v>
      </c>
      <c r="S172" s="40">
        <v>0.0547945205479452</v>
      </c>
      <c r="T172" s="40">
        <v>0.03896103896103896</v>
      </c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 ht="15.75" customHeight="1">
      <c r="A173" s="63"/>
      <c r="B173" s="63"/>
      <c r="C173" s="63"/>
      <c r="D173" s="63"/>
      <c r="E173" s="63"/>
      <c r="F173" s="24"/>
      <c r="G173" s="19">
        <v>21.0</v>
      </c>
      <c r="H173" s="20">
        <v>381.0</v>
      </c>
      <c r="I173" s="20">
        <v>97.0</v>
      </c>
      <c r="J173" s="20">
        <v>3.0</v>
      </c>
      <c r="K173" s="20">
        <v>5.0</v>
      </c>
      <c r="L173" s="20">
        <v>3.0</v>
      </c>
      <c r="M173" s="63"/>
      <c r="N173" s="23"/>
      <c r="O173" s="19">
        <v>21.0</v>
      </c>
      <c r="P173" s="40">
        <v>0.03680803787073713</v>
      </c>
      <c r="Q173" s="40">
        <v>0.035247093023255814</v>
      </c>
      <c r="R173" s="40">
        <v>0.016304347826086956</v>
      </c>
      <c r="S173" s="40">
        <v>0.03424657534246575</v>
      </c>
      <c r="T173" s="40">
        <v>0.03896103896103896</v>
      </c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 ht="15.75" customHeight="1">
      <c r="A174" s="63"/>
      <c r="B174" s="63"/>
      <c r="C174" s="63"/>
      <c r="D174" s="63"/>
      <c r="E174" s="63"/>
      <c r="F174" s="24"/>
      <c r="G174" s="19">
        <v>22.0</v>
      </c>
      <c r="H174" s="20">
        <v>245.0</v>
      </c>
      <c r="I174" s="20">
        <v>49.0</v>
      </c>
      <c r="J174" s="20">
        <v>2.0</v>
      </c>
      <c r="K174" s="20">
        <v>6.0</v>
      </c>
      <c r="L174" s="20">
        <v>5.0</v>
      </c>
      <c r="M174" s="63"/>
      <c r="N174" s="23"/>
      <c r="O174" s="19">
        <v>22.0</v>
      </c>
      <c r="P174" s="40">
        <v>0.02366921070427978</v>
      </c>
      <c r="Q174" s="40">
        <v>0.017805232558139535</v>
      </c>
      <c r="R174" s="40">
        <v>0.010869565217391304</v>
      </c>
      <c r="S174" s="40">
        <v>0.0410958904109589</v>
      </c>
      <c r="T174" s="40">
        <v>0.06493506493506493</v>
      </c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 ht="15.75" customHeight="1">
      <c r="A175" s="63"/>
      <c r="B175" s="63"/>
      <c r="C175" s="63"/>
      <c r="D175" s="63"/>
      <c r="E175" s="63"/>
      <c r="F175" s="28"/>
      <c r="G175" s="71">
        <v>23.0</v>
      </c>
      <c r="H175" s="20">
        <v>114.0</v>
      </c>
      <c r="I175" s="20">
        <v>26.0</v>
      </c>
      <c r="J175" s="20">
        <v>2.0</v>
      </c>
      <c r="K175" s="20">
        <v>3.0</v>
      </c>
      <c r="L175" s="20">
        <v>8.0</v>
      </c>
      <c r="M175" s="63"/>
      <c r="N175" s="27"/>
      <c r="O175" s="19">
        <v>23.0</v>
      </c>
      <c r="P175" s="40">
        <v>0.011013428654236306</v>
      </c>
      <c r="Q175" s="40">
        <v>0.00944767441860465</v>
      </c>
      <c r="R175" s="40">
        <v>0.010869565217391304</v>
      </c>
      <c r="S175" s="40">
        <v>0.02054794520547945</v>
      </c>
      <c r="T175" s="40">
        <v>0.1038961038961039</v>
      </c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 ht="15.75" customHeight="1">
      <c r="A176" s="63"/>
      <c r="B176" s="63"/>
      <c r="C176" s="63"/>
      <c r="D176" s="63"/>
      <c r="E176" s="63"/>
      <c r="F176" s="63"/>
      <c r="G176" s="16"/>
      <c r="H176" s="19">
        <v>31.0</v>
      </c>
      <c r="I176" s="19">
        <v>32.0</v>
      </c>
      <c r="J176" s="19">
        <v>41.0</v>
      </c>
      <c r="K176" s="19">
        <v>42.0</v>
      </c>
      <c r="L176" s="19">
        <v>5.0</v>
      </c>
      <c r="M176" s="63"/>
      <c r="N176" s="63"/>
      <c r="O176" s="16"/>
      <c r="P176" s="19">
        <v>31.0</v>
      </c>
      <c r="Q176" s="19">
        <v>32.0</v>
      </c>
      <c r="R176" s="19">
        <v>41.0</v>
      </c>
      <c r="S176" s="19">
        <v>42.0</v>
      </c>
      <c r="T176" s="19">
        <v>5.0</v>
      </c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 ht="15.75" customHeight="1">
      <c r="A177" s="63"/>
      <c r="B177" s="63"/>
      <c r="C177" s="63"/>
      <c r="D177" s="63"/>
      <c r="E177" s="63"/>
      <c r="F177" s="21">
        <v>45201.0</v>
      </c>
      <c r="G177" s="19">
        <v>0.0</v>
      </c>
      <c r="H177" s="20">
        <v>69.0</v>
      </c>
      <c r="I177" s="20">
        <v>27.0</v>
      </c>
      <c r="J177" s="20">
        <v>0.0</v>
      </c>
      <c r="K177" s="20">
        <v>8.0</v>
      </c>
      <c r="L177" s="20">
        <v>2.0</v>
      </c>
      <c r="M177" s="63"/>
      <c r="N177" s="18">
        <v>45201.0</v>
      </c>
      <c r="O177" s="19">
        <v>0.0</v>
      </c>
      <c r="P177" s="40">
        <v>0.00892395240558717</v>
      </c>
      <c r="Q177" s="40">
        <v>0.009417509591907918</v>
      </c>
      <c r="R177" s="40">
        <v>0.0</v>
      </c>
      <c r="S177" s="40">
        <v>0.015296367112810707</v>
      </c>
      <c r="T177" s="40">
        <v>0.0034423407917383822</v>
      </c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 ht="15.75" customHeight="1">
      <c r="A178" s="63"/>
      <c r="B178" s="63"/>
      <c r="C178" s="63"/>
      <c r="D178" s="63"/>
      <c r="E178" s="63"/>
      <c r="F178" s="24"/>
      <c r="G178" s="19">
        <v>1.0</v>
      </c>
      <c r="H178" s="20">
        <v>41.0</v>
      </c>
      <c r="I178" s="20">
        <v>14.0</v>
      </c>
      <c r="J178" s="20">
        <v>1.0</v>
      </c>
      <c r="K178" s="20">
        <v>7.0</v>
      </c>
      <c r="L178" s="20">
        <v>2.0</v>
      </c>
      <c r="M178" s="63"/>
      <c r="N178" s="23"/>
      <c r="O178" s="19">
        <v>1.0</v>
      </c>
      <c r="P178" s="40">
        <v>0.005302638385928609</v>
      </c>
      <c r="Q178" s="40">
        <v>0.004883153121730032</v>
      </c>
      <c r="R178" s="40">
        <v>0.009523809523809525</v>
      </c>
      <c r="S178" s="40">
        <v>0.01338432122370937</v>
      </c>
      <c r="T178" s="40">
        <v>0.0034423407917383822</v>
      </c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 ht="15.75" customHeight="1">
      <c r="A179" s="63"/>
      <c r="B179" s="63"/>
      <c r="C179" s="63"/>
      <c r="D179" s="63"/>
      <c r="E179" s="63"/>
      <c r="F179" s="24"/>
      <c r="G179" s="19">
        <v>2.0</v>
      </c>
      <c r="H179" s="16">
        <v>39.0</v>
      </c>
      <c r="I179" s="16">
        <v>26.0</v>
      </c>
      <c r="J179" s="16">
        <v>0.0</v>
      </c>
      <c r="K179" s="16">
        <v>6.0</v>
      </c>
      <c r="L179" s="16">
        <v>5.0</v>
      </c>
      <c r="M179" s="63"/>
      <c r="N179" s="23"/>
      <c r="O179" s="19">
        <v>2.0</v>
      </c>
      <c r="P179" s="40">
        <v>0.00504397309881014</v>
      </c>
      <c r="Q179" s="40">
        <v>0.009068712940355772</v>
      </c>
      <c r="R179" s="40">
        <v>0.0</v>
      </c>
      <c r="S179" s="40">
        <v>0.011472275334608031</v>
      </c>
      <c r="T179" s="40">
        <v>0.008605851979345954</v>
      </c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 ht="15.75" customHeight="1">
      <c r="A180" s="63"/>
      <c r="B180" s="63"/>
      <c r="C180" s="63"/>
      <c r="D180" s="63"/>
      <c r="E180" s="63"/>
      <c r="F180" s="24"/>
      <c r="G180" s="19">
        <v>3.0</v>
      </c>
      <c r="H180" s="20">
        <v>60.0</v>
      </c>
      <c r="I180" s="20">
        <v>23.0</v>
      </c>
      <c r="J180" s="20">
        <v>3.0</v>
      </c>
      <c r="K180" s="20">
        <v>8.0</v>
      </c>
      <c r="L180" s="20">
        <v>3.0</v>
      </c>
      <c r="M180" s="63"/>
      <c r="N180" s="23"/>
      <c r="O180" s="19">
        <v>3.0</v>
      </c>
      <c r="P180" s="40">
        <v>0.007759958613554061</v>
      </c>
      <c r="Q180" s="40">
        <v>0.008022322985699337</v>
      </c>
      <c r="R180" s="40">
        <v>0.02857142857142857</v>
      </c>
      <c r="S180" s="40">
        <v>0.015296367112810707</v>
      </c>
      <c r="T180" s="40">
        <v>0.0051635111876075735</v>
      </c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 ht="15.75" customHeight="1">
      <c r="A181" s="63"/>
      <c r="B181" s="63"/>
      <c r="C181" s="63"/>
      <c r="D181" s="63"/>
      <c r="E181" s="63"/>
      <c r="F181" s="24"/>
      <c r="G181" s="19">
        <v>4.0</v>
      </c>
      <c r="H181" s="20">
        <v>79.0</v>
      </c>
      <c r="I181" s="20">
        <v>43.0</v>
      </c>
      <c r="J181" s="20">
        <v>0.0</v>
      </c>
      <c r="K181" s="20">
        <v>15.0</v>
      </c>
      <c r="L181" s="20">
        <v>6.0</v>
      </c>
      <c r="M181" s="63"/>
      <c r="N181" s="23"/>
      <c r="O181" s="19">
        <v>4.0</v>
      </c>
      <c r="P181" s="40">
        <v>0.010217278841179513</v>
      </c>
      <c r="Q181" s="40">
        <v>0.01499825601674224</v>
      </c>
      <c r="R181" s="40">
        <v>0.0</v>
      </c>
      <c r="S181" s="40">
        <v>0.028680688336520075</v>
      </c>
      <c r="T181" s="40">
        <v>0.010327022375215147</v>
      </c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 ht="15.75" customHeight="1">
      <c r="A182" s="63"/>
      <c r="B182" s="63"/>
      <c r="C182" s="63"/>
      <c r="D182" s="63"/>
      <c r="E182" s="63"/>
      <c r="F182" s="24"/>
      <c r="G182" s="19">
        <v>5.0</v>
      </c>
      <c r="H182" s="20">
        <v>167.0</v>
      </c>
      <c r="I182" s="20">
        <v>67.0</v>
      </c>
      <c r="J182" s="20">
        <v>2.0</v>
      </c>
      <c r="K182" s="20">
        <v>18.0</v>
      </c>
      <c r="L182" s="20">
        <v>19.0</v>
      </c>
      <c r="M182" s="63"/>
      <c r="N182" s="23"/>
      <c r="O182" s="19">
        <v>5.0</v>
      </c>
      <c r="P182" s="40">
        <v>0.021598551474392137</v>
      </c>
      <c r="Q182" s="40">
        <v>0.02336937565399372</v>
      </c>
      <c r="R182" s="40">
        <v>0.01904761904761905</v>
      </c>
      <c r="S182" s="40">
        <v>0.03441682600382409</v>
      </c>
      <c r="T182" s="40">
        <v>0.03270223752151463</v>
      </c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 ht="15.75" customHeight="1">
      <c r="A183" s="63"/>
      <c r="B183" s="63"/>
      <c r="C183" s="63"/>
      <c r="D183" s="63"/>
      <c r="E183" s="63"/>
      <c r="F183" s="24"/>
      <c r="G183" s="19">
        <v>6.0</v>
      </c>
      <c r="H183" s="20">
        <v>455.0</v>
      </c>
      <c r="I183" s="20">
        <v>167.0</v>
      </c>
      <c r="J183" s="20">
        <v>14.0</v>
      </c>
      <c r="K183" s="20">
        <v>30.0</v>
      </c>
      <c r="L183" s="20">
        <v>39.0</v>
      </c>
      <c r="M183" s="63"/>
      <c r="N183" s="23"/>
      <c r="O183" s="19">
        <v>6.0</v>
      </c>
      <c r="P183" s="40">
        <v>0.05884635281945163</v>
      </c>
      <c r="Q183" s="40">
        <v>0.05824904080920823</v>
      </c>
      <c r="R183" s="40">
        <v>0.13333333333333333</v>
      </c>
      <c r="S183" s="40">
        <v>0.05736137667304015</v>
      </c>
      <c r="T183" s="40">
        <v>0.06712564543889846</v>
      </c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 ht="15.75" customHeight="1">
      <c r="A184" s="63"/>
      <c r="B184" s="63"/>
      <c r="C184" s="63"/>
      <c r="D184" s="63"/>
      <c r="E184" s="63"/>
      <c r="F184" s="24"/>
      <c r="G184" s="19">
        <v>7.0</v>
      </c>
      <c r="H184" s="20">
        <v>628.0</v>
      </c>
      <c r="I184" s="20">
        <v>213.0</v>
      </c>
      <c r="J184" s="20">
        <v>24.0</v>
      </c>
      <c r="K184" s="20">
        <v>43.0</v>
      </c>
      <c r="L184" s="20">
        <v>39.0</v>
      </c>
      <c r="M184" s="63"/>
      <c r="N184" s="23"/>
      <c r="O184" s="19">
        <v>7.0</v>
      </c>
      <c r="P184" s="40">
        <v>0.08122090015519917</v>
      </c>
      <c r="Q184" s="40">
        <v>0.07429368678060691</v>
      </c>
      <c r="R184" s="40">
        <v>0.22857142857142856</v>
      </c>
      <c r="S184" s="40">
        <v>0.08221797323135756</v>
      </c>
      <c r="T184" s="40">
        <v>0.06712564543889846</v>
      </c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 ht="15.75" customHeight="1">
      <c r="A185" s="63"/>
      <c r="B185" s="63"/>
      <c r="C185" s="63"/>
      <c r="D185" s="63"/>
      <c r="E185" s="63"/>
      <c r="F185" s="24"/>
      <c r="G185" s="19">
        <v>8.0</v>
      </c>
      <c r="H185" s="20">
        <v>599.0</v>
      </c>
      <c r="I185" s="20">
        <v>251.0</v>
      </c>
      <c r="J185" s="20">
        <v>10.0</v>
      </c>
      <c r="K185" s="20">
        <v>52.0</v>
      </c>
      <c r="L185" s="20">
        <v>41.0</v>
      </c>
      <c r="M185" s="63"/>
      <c r="N185" s="23"/>
      <c r="O185" s="19">
        <v>8.0</v>
      </c>
      <c r="P185" s="40">
        <v>0.07747025349198138</v>
      </c>
      <c r="Q185" s="40">
        <v>0.08754795953958842</v>
      </c>
      <c r="R185" s="40">
        <v>0.09523809523809523</v>
      </c>
      <c r="S185" s="40">
        <v>0.0994263862332696</v>
      </c>
      <c r="T185" s="40">
        <v>0.07056798623063683</v>
      </c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 ht="15.75" customHeight="1">
      <c r="A186" s="63"/>
      <c r="B186" s="63"/>
      <c r="C186" s="63"/>
      <c r="D186" s="63"/>
      <c r="E186" s="63"/>
      <c r="F186" s="24"/>
      <c r="G186" s="19">
        <v>9.0</v>
      </c>
      <c r="H186" s="20">
        <v>664.0</v>
      </c>
      <c r="I186" s="20">
        <v>278.0</v>
      </c>
      <c r="J186" s="20">
        <v>12.0</v>
      </c>
      <c r="K186" s="20">
        <v>39.0</v>
      </c>
      <c r="L186" s="20">
        <v>50.0</v>
      </c>
      <c r="M186" s="63"/>
      <c r="N186" s="23"/>
      <c r="O186" s="19">
        <v>9.0</v>
      </c>
      <c r="P186" s="40">
        <v>0.0858768753233316</v>
      </c>
      <c r="Q186" s="40">
        <v>0.09696546913149634</v>
      </c>
      <c r="R186" s="40">
        <v>0.11428571428571428</v>
      </c>
      <c r="S186" s="40">
        <v>0.0745697896749522</v>
      </c>
      <c r="T186" s="40">
        <v>0.08605851979345955</v>
      </c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 ht="15.75" customHeight="1">
      <c r="A187" s="63"/>
      <c r="B187" s="63"/>
      <c r="C187" s="63"/>
      <c r="D187" s="63"/>
      <c r="E187" s="63"/>
      <c r="F187" s="24"/>
      <c r="G187" s="19">
        <v>10.0</v>
      </c>
      <c r="H187" s="20">
        <v>594.0</v>
      </c>
      <c r="I187" s="20">
        <v>252.0</v>
      </c>
      <c r="J187" s="20">
        <v>3.0</v>
      </c>
      <c r="K187" s="20">
        <v>35.0</v>
      </c>
      <c r="L187" s="20">
        <v>52.0</v>
      </c>
      <c r="M187" s="63"/>
      <c r="N187" s="23"/>
      <c r="O187" s="19">
        <v>10.0</v>
      </c>
      <c r="P187" s="40">
        <v>0.0768235902741852</v>
      </c>
      <c r="Q187" s="40">
        <v>0.08789675619114057</v>
      </c>
      <c r="R187" s="40">
        <v>0.02857142857142857</v>
      </c>
      <c r="S187" s="40">
        <v>0.06692160611854685</v>
      </c>
      <c r="T187" s="40">
        <v>0.08950086058519793</v>
      </c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 ht="15.75" customHeight="1">
      <c r="A188" s="63"/>
      <c r="B188" s="63"/>
      <c r="C188" s="63"/>
      <c r="D188" s="63"/>
      <c r="E188" s="63"/>
      <c r="F188" s="24"/>
      <c r="G188" s="19">
        <v>11.0</v>
      </c>
      <c r="H188" s="20">
        <v>532.0</v>
      </c>
      <c r="I188" s="20">
        <v>198.0</v>
      </c>
      <c r="J188" s="20">
        <v>1.0</v>
      </c>
      <c r="K188" s="20">
        <v>35.0</v>
      </c>
      <c r="L188" s="20">
        <v>48.0</v>
      </c>
      <c r="M188" s="63"/>
      <c r="N188" s="23"/>
      <c r="O188" s="19">
        <v>11.0</v>
      </c>
      <c r="P188" s="40">
        <v>0.06880496637351267</v>
      </c>
      <c r="Q188" s="40">
        <v>0.06906173700732474</v>
      </c>
      <c r="R188" s="40">
        <v>0.009523809523809525</v>
      </c>
      <c r="S188" s="40">
        <v>0.06692160611854685</v>
      </c>
      <c r="T188" s="40">
        <v>0.08261617900172118</v>
      </c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 ht="15.75" customHeight="1">
      <c r="A189" s="63"/>
      <c r="B189" s="63"/>
      <c r="C189" s="63"/>
      <c r="D189" s="63"/>
      <c r="E189" s="63"/>
      <c r="F189" s="24"/>
      <c r="G189" s="19">
        <v>12.0</v>
      </c>
      <c r="H189" s="20">
        <v>441.0</v>
      </c>
      <c r="I189" s="20">
        <v>122.0</v>
      </c>
      <c r="J189" s="20">
        <v>3.0</v>
      </c>
      <c r="K189" s="20">
        <v>25.0</v>
      </c>
      <c r="L189" s="20">
        <v>49.0</v>
      </c>
      <c r="M189" s="63"/>
      <c r="N189" s="23"/>
      <c r="O189" s="19">
        <v>12.0</v>
      </c>
      <c r="P189" s="40">
        <v>0.057035695809622346</v>
      </c>
      <c r="Q189" s="40">
        <v>0.0425531914893617</v>
      </c>
      <c r="R189" s="40">
        <v>0.02857142857142857</v>
      </c>
      <c r="S189" s="40">
        <v>0.04780114722753346</v>
      </c>
      <c r="T189" s="40">
        <v>0.08433734939759036</v>
      </c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 ht="15.75" customHeight="1">
      <c r="A190" s="63"/>
      <c r="B190" s="63"/>
      <c r="C190" s="63"/>
      <c r="D190" s="63"/>
      <c r="E190" s="63"/>
      <c r="F190" s="24"/>
      <c r="G190" s="19">
        <v>13.0</v>
      </c>
      <c r="H190" s="20">
        <v>426.0</v>
      </c>
      <c r="I190" s="20">
        <v>168.0</v>
      </c>
      <c r="J190" s="20">
        <v>4.0</v>
      </c>
      <c r="K190" s="20">
        <v>25.0</v>
      </c>
      <c r="L190" s="20">
        <v>30.0</v>
      </c>
      <c r="M190" s="63"/>
      <c r="N190" s="23"/>
      <c r="O190" s="19">
        <v>13.0</v>
      </c>
      <c r="P190" s="40">
        <v>0.05509570615623383</v>
      </c>
      <c r="Q190" s="40">
        <v>0.058597837460760374</v>
      </c>
      <c r="R190" s="40">
        <v>0.0380952380952381</v>
      </c>
      <c r="S190" s="40">
        <v>0.04780114722753346</v>
      </c>
      <c r="T190" s="40">
        <v>0.05163511187607573</v>
      </c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 ht="15.75" customHeight="1">
      <c r="A191" s="63"/>
      <c r="B191" s="63"/>
      <c r="C191" s="63"/>
      <c r="D191" s="63"/>
      <c r="E191" s="63"/>
      <c r="F191" s="24"/>
      <c r="G191" s="19">
        <v>14.0</v>
      </c>
      <c r="H191" s="20">
        <v>409.0</v>
      </c>
      <c r="I191" s="20">
        <v>162.0</v>
      </c>
      <c r="J191" s="20">
        <v>7.0</v>
      </c>
      <c r="K191" s="20">
        <v>40.0</v>
      </c>
      <c r="L191" s="20">
        <v>55.0</v>
      </c>
      <c r="M191" s="63"/>
      <c r="N191" s="23"/>
      <c r="O191" s="19">
        <v>14.0</v>
      </c>
      <c r="P191" s="40">
        <v>0.05289705121572685</v>
      </c>
      <c r="Q191" s="40">
        <v>0.0565050575514475</v>
      </c>
      <c r="R191" s="40">
        <v>0.06666666666666667</v>
      </c>
      <c r="S191" s="40">
        <v>0.07648183556405354</v>
      </c>
      <c r="T191" s="40">
        <v>0.09466437177280551</v>
      </c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 ht="15.75" customHeight="1">
      <c r="A192" s="63"/>
      <c r="B192" s="63"/>
      <c r="C192" s="63"/>
      <c r="D192" s="63"/>
      <c r="E192" s="63"/>
      <c r="F192" s="24"/>
      <c r="G192" s="19">
        <v>15.0</v>
      </c>
      <c r="H192" s="20">
        <v>380.0</v>
      </c>
      <c r="I192" s="20">
        <v>142.0</v>
      </c>
      <c r="J192" s="20">
        <v>6.0</v>
      </c>
      <c r="K192" s="20">
        <v>24.0</v>
      </c>
      <c r="L192" s="20">
        <v>27.0</v>
      </c>
      <c r="M192" s="63"/>
      <c r="N192" s="23"/>
      <c r="O192" s="19">
        <v>15.0</v>
      </c>
      <c r="P192" s="40">
        <v>0.04914640455250905</v>
      </c>
      <c r="Q192" s="40">
        <v>0.0495291245204046</v>
      </c>
      <c r="R192" s="40">
        <v>0.05714285714285714</v>
      </c>
      <c r="S192" s="40">
        <v>0.045889101338432124</v>
      </c>
      <c r="T192" s="40">
        <v>0.04647160068846816</v>
      </c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 ht="15.75" customHeight="1">
      <c r="A193" s="63"/>
      <c r="B193" s="63"/>
      <c r="C193" s="63"/>
      <c r="D193" s="63"/>
      <c r="E193" s="63"/>
      <c r="F193" s="24"/>
      <c r="G193" s="19">
        <v>16.0</v>
      </c>
      <c r="H193" s="20">
        <v>417.0</v>
      </c>
      <c r="I193" s="20">
        <v>148.0</v>
      </c>
      <c r="J193" s="20">
        <v>4.0</v>
      </c>
      <c r="K193" s="20">
        <v>27.0</v>
      </c>
      <c r="L193" s="20">
        <v>27.0</v>
      </c>
      <c r="M193" s="63"/>
      <c r="N193" s="23"/>
      <c r="O193" s="19">
        <v>16.0</v>
      </c>
      <c r="P193" s="40">
        <v>0.053931712364200725</v>
      </c>
      <c r="Q193" s="40">
        <v>0.05162190442971747</v>
      </c>
      <c r="R193" s="40">
        <v>0.0380952380952381</v>
      </c>
      <c r="S193" s="40">
        <v>0.05162523900573614</v>
      </c>
      <c r="T193" s="40">
        <v>0.04647160068846816</v>
      </c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 ht="15.75" customHeight="1">
      <c r="A194" s="63"/>
      <c r="B194" s="63"/>
      <c r="C194" s="63"/>
      <c r="D194" s="63"/>
      <c r="E194" s="63"/>
      <c r="F194" s="24"/>
      <c r="G194" s="19">
        <v>17.0</v>
      </c>
      <c r="H194" s="20">
        <v>466.0</v>
      </c>
      <c r="I194" s="20">
        <v>195.0</v>
      </c>
      <c r="J194" s="20">
        <v>2.0</v>
      </c>
      <c r="K194" s="20">
        <v>19.0</v>
      </c>
      <c r="L194" s="20">
        <v>22.0</v>
      </c>
      <c r="M194" s="63"/>
      <c r="N194" s="23"/>
      <c r="O194" s="19">
        <v>17.0</v>
      </c>
      <c r="P194" s="40">
        <v>0.06026901189860321</v>
      </c>
      <c r="Q194" s="40">
        <v>0.06801534705266829</v>
      </c>
      <c r="R194" s="40">
        <v>0.01904761904761905</v>
      </c>
      <c r="S194" s="40">
        <v>0.036328871892925434</v>
      </c>
      <c r="T194" s="40">
        <v>0.0378657487091222</v>
      </c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 ht="15.75" customHeight="1">
      <c r="A195" s="63"/>
      <c r="B195" s="63"/>
      <c r="C195" s="63"/>
      <c r="D195" s="63"/>
      <c r="E195" s="63"/>
      <c r="F195" s="24"/>
      <c r="G195" s="19">
        <v>18.0</v>
      </c>
      <c r="H195" s="20">
        <v>334.0</v>
      </c>
      <c r="I195" s="20">
        <v>121.0</v>
      </c>
      <c r="J195" s="20">
        <v>1.0</v>
      </c>
      <c r="K195" s="20">
        <v>16.0</v>
      </c>
      <c r="L195" s="20">
        <v>12.0</v>
      </c>
      <c r="M195" s="63"/>
      <c r="N195" s="23"/>
      <c r="O195" s="19">
        <v>18.0</v>
      </c>
      <c r="P195" s="40">
        <v>0.043197102948784274</v>
      </c>
      <c r="Q195" s="40">
        <v>0.04220439483780956</v>
      </c>
      <c r="R195" s="40">
        <v>0.009523809523809525</v>
      </c>
      <c r="S195" s="40">
        <v>0.030592734225621414</v>
      </c>
      <c r="T195" s="40">
        <v>0.020654044750430294</v>
      </c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 ht="15.75" customHeight="1">
      <c r="A196" s="63"/>
      <c r="B196" s="63"/>
      <c r="C196" s="63"/>
      <c r="D196" s="63"/>
      <c r="E196" s="63"/>
      <c r="F196" s="24"/>
      <c r="G196" s="19">
        <v>19.0</v>
      </c>
      <c r="H196" s="20">
        <v>268.0</v>
      </c>
      <c r="I196" s="20">
        <v>79.0</v>
      </c>
      <c r="J196" s="20">
        <v>2.0</v>
      </c>
      <c r="K196" s="20">
        <v>14.0</v>
      </c>
      <c r="L196" s="20">
        <v>17.0</v>
      </c>
      <c r="M196" s="63"/>
      <c r="N196" s="23"/>
      <c r="O196" s="19">
        <v>19.0</v>
      </c>
      <c r="P196" s="40">
        <v>0.0346611484738748</v>
      </c>
      <c r="Q196" s="40">
        <v>0.027554935472619464</v>
      </c>
      <c r="R196" s="40">
        <v>0.01904761904761905</v>
      </c>
      <c r="S196" s="40">
        <v>0.02676864244741874</v>
      </c>
      <c r="T196" s="40">
        <v>0.029259896729776247</v>
      </c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 ht="15.75" customHeight="1">
      <c r="A197" s="63"/>
      <c r="B197" s="63"/>
      <c r="C197" s="63"/>
      <c r="D197" s="63"/>
      <c r="E197" s="63"/>
      <c r="F197" s="24"/>
      <c r="G197" s="19">
        <v>20.0</v>
      </c>
      <c r="H197" s="20">
        <v>224.0</v>
      </c>
      <c r="I197" s="20">
        <v>61.0</v>
      </c>
      <c r="J197" s="20">
        <v>0.0</v>
      </c>
      <c r="K197" s="20">
        <v>14.0</v>
      </c>
      <c r="L197" s="20">
        <v>9.0</v>
      </c>
      <c r="M197" s="63"/>
      <c r="N197" s="23"/>
      <c r="O197" s="19">
        <v>20.0</v>
      </c>
      <c r="P197" s="40">
        <v>0.028970512157268494</v>
      </c>
      <c r="Q197" s="40">
        <v>0.02127659574468085</v>
      </c>
      <c r="R197" s="40">
        <v>0.0</v>
      </c>
      <c r="S197" s="40">
        <v>0.02676864244741874</v>
      </c>
      <c r="T197" s="40">
        <v>0.01549053356282272</v>
      </c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 ht="15.75" customHeight="1">
      <c r="A198" s="63"/>
      <c r="B198" s="63"/>
      <c r="C198" s="63"/>
      <c r="D198" s="63"/>
      <c r="E198" s="63"/>
      <c r="F198" s="24"/>
      <c r="G198" s="19">
        <v>21.0</v>
      </c>
      <c r="H198" s="20">
        <v>209.0</v>
      </c>
      <c r="I198" s="20">
        <v>55.0</v>
      </c>
      <c r="J198" s="20">
        <v>4.0</v>
      </c>
      <c r="K198" s="20">
        <v>6.0</v>
      </c>
      <c r="L198" s="20">
        <v>10.0</v>
      </c>
      <c r="M198" s="63"/>
      <c r="N198" s="23"/>
      <c r="O198" s="19">
        <v>21.0</v>
      </c>
      <c r="P198" s="40">
        <v>0.02703052250387998</v>
      </c>
      <c r="Q198" s="40">
        <v>0.01918381583536798</v>
      </c>
      <c r="R198" s="40">
        <v>0.0380952380952381</v>
      </c>
      <c r="S198" s="40">
        <v>0.011472275334608031</v>
      </c>
      <c r="T198" s="40">
        <v>0.01721170395869191</v>
      </c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 ht="15.75" customHeight="1">
      <c r="A199" s="63"/>
      <c r="B199" s="63"/>
      <c r="C199" s="63"/>
      <c r="D199" s="63"/>
      <c r="E199" s="63"/>
      <c r="F199" s="24"/>
      <c r="G199" s="19">
        <v>22.0</v>
      </c>
      <c r="H199" s="20">
        <v>143.0</v>
      </c>
      <c r="I199" s="20">
        <v>30.0</v>
      </c>
      <c r="J199" s="20">
        <v>1.0</v>
      </c>
      <c r="K199" s="20">
        <v>11.0</v>
      </c>
      <c r="L199" s="20">
        <v>10.0</v>
      </c>
      <c r="M199" s="63"/>
      <c r="N199" s="23"/>
      <c r="O199" s="19">
        <v>22.0</v>
      </c>
      <c r="P199" s="40">
        <v>0.018494568028970513</v>
      </c>
      <c r="Q199" s="40">
        <v>0.010463899546564353</v>
      </c>
      <c r="R199" s="40">
        <v>0.009523809523809525</v>
      </c>
      <c r="S199" s="40">
        <v>0.021032504780114723</v>
      </c>
      <c r="T199" s="40">
        <v>0.01721170395869191</v>
      </c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 ht="15.75" customHeight="1">
      <c r="A200" s="63"/>
      <c r="B200" s="63"/>
      <c r="C200" s="63"/>
      <c r="D200" s="63"/>
      <c r="E200" s="63"/>
      <c r="F200" s="28"/>
      <c r="G200" s="71">
        <v>23.0</v>
      </c>
      <c r="H200" s="20">
        <v>88.0</v>
      </c>
      <c r="I200" s="20">
        <v>25.0</v>
      </c>
      <c r="J200" s="20">
        <v>1.0</v>
      </c>
      <c r="K200" s="20">
        <v>6.0</v>
      </c>
      <c r="L200" s="20">
        <v>7.0</v>
      </c>
      <c r="M200" s="63"/>
      <c r="N200" s="27"/>
      <c r="O200" s="19">
        <v>23.0</v>
      </c>
      <c r="P200" s="40">
        <v>0.011381272633212623</v>
      </c>
      <c r="Q200" s="40">
        <v>0.008719916288803628</v>
      </c>
      <c r="R200" s="40">
        <v>0.009523809523809525</v>
      </c>
      <c r="S200" s="40">
        <v>0.011472275334608031</v>
      </c>
      <c r="T200" s="40">
        <v>0.012048192771084338</v>
      </c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 ht="15.75" customHeight="1">
      <c r="A201" s="63"/>
      <c r="B201" s="63"/>
      <c r="C201" s="63"/>
      <c r="D201" s="63"/>
      <c r="E201" s="63"/>
      <c r="F201" s="21">
        <v>45202.0</v>
      </c>
      <c r="G201" s="19">
        <v>0.0</v>
      </c>
      <c r="H201" s="20">
        <v>44.0</v>
      </c>
      <c r="I201" s="20">
        <v>21.0</v>
      </c>
      <c r="J201" s="20">
        <v>0.0</v>
      </c>
      <c r="K201" s="20">
        <v>13.0</v>
      </c>
      <c r="L201" s="20">
        <v>8.0</v>
      </c>
      <c r="M201" s="63"/>
      <c r="N201" s="18">
        <v>45202.0</v>
      </c>
      <c r="O201" s="19">
        <v>0.0</v>
      </c>
      <c r="P201" s="40">
        <v>0.006812200030964545</v>
      </c>
      <c r="Q201" s="40">
        <v>0.007625272331154684</v>
      </c>
      <c r="R201" s="40">
        <v>0.0</v>
      </c>
      <c r="S201" s="40">
        <v>0.02034428794992175</v>
      </c>
      <c r="T201" s="40">
        <v>0.014466546112115732</v>
      </c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 ht="15.75" customHeight="1">
      <c r="A202" s="63"/>
      <c r="B202" s="63"/>
      <c r="C202" s="63"/>
      <c r="D202" s="63"/>
      <c r="E202" s="63"/>
      <c r="F202" s="24"/>
      <c r="G202" s="19">
        <v>1.0</v>
      </c>
      <c r="H202" s="20">
        <v>33.0</v>
      </c>
      <c r="I202" s="20">
        <v>17.0</v>
      </c>
      <c r="J202" s="20">
        <v>0.0</v>
      </c>
      <c r="K202" s="20">
        <v>5.0</v>
      </c>
      <c r="L202" s="20">
        <v>7.0</v>
      </c>
      <c r="M202" s="63"/>
      <c r="N202" s="23"/>
      <c r="O202" s="19">
        <v>1.0</v>
      </c>
      <c r="P202" s="40">
        <v>0.005109150023223409</v>
      </c>
      <c r="Q202" s="40">
        <v>0.006172839506172839</v>
      </c>
      <c r="R202" s="40">
        <v>0.0</v>
      </c>
      <c r="S202" s="40">
        <v>0.00782472613458529</v>
      </c>
      <c r="T202" s="40">
        <v>0.012658227848101266</v>
      </c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 ht="15.75" customHeight="1">
      <c r="A203" s="63"/>
      <c r="B203" s="63"/>
      <c r="C203" s="63"/>
      <c r="D203" s="63"/>
      <c r="E203" s="63"/>
      <c r="F203" s="24"/>
      <c r="G203" s="19">
        <v>2.0</v>
      </c>
      <c r="H203" s="16">
        <v>33.0</v>
      </c>
      <c r="I203" s="16">
        <v>12.0</v>
      </c>
      <c r="J203" s="16">
        <v>0.0</v>
      </c>
      <c r="K203" s="16">
        <v>16.0</v>
      </c>
      <c r="L203" s="16">
        <v>7.0</v>
      </c>
      <c r="M203" s="63"/>
      <c r="N203" s="23"/>
      <c r="O203" s="19">
        <v>2.0</v>
      </c>
      <c r="P203" s="40">
        <v>0.005109150023223409</v>
      </c>
      <c r="Q203" s="40">
        <v>0.004357298474945534</v>
      </c>
      <c r="R203" s="40">
        <v>0.0</v>
      </c>
      <c r="S203" s="40">
        <v>0.025039123630672927</v>
      </c>
      <c r="T203" s="40">
        <v>0.012658227848101266</v>
      </c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 ht="15.75" customHeight="1">
      <c r="A204" s="63"/>
      <c r="B204" s="63"/>
      <c r="C204" s="63"/>
      <c r="D204" s="63"/>
      <c r="E204" s="63"/>
      <c r="F204" s="24"/>
      <c r="G204" s="19">
        <v>3.0</v>
      </c>
      <c r="H204" s="20">
        <v>36.0</v>
      </c>
      <c r="I204" s="20">
        <v>21.0</v>
      </c>
      <c r="J204" s="20">
        <v>0.0</v>
      </c>
      <c r="K204" s="20">
        <v>4.0</v>
      </c>
      <c r="L204" s="20">
        <v>11.0</v>
      </c>
      <c r="M204" s="63"/>
      <c r="N204" s="23"/>
      <c r="O204" s="19">
        <v>3.0</v>
      </c>
      <c r="P204" s="40">
        <v>0.00557361820715281</v>
      </c>
      <c r="Q204" s="40">
        <v>0.007625272331154684</v>
      </c>
      <c r="R204" s="40">
        <v>0.0</v>
      </c>
      <c r="S204" s="40">
        <v>0.006259780907668232</v>
      </c>
      <c r="T204" s="40">
        <v>0.019891500904159132</v>
      </c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 ht="15.75" customHeight="1">
      <c r="A205" s="63"/>
      <c r="B205" s="63"/>
      <c r="C205" s="63"/>
      <c r="D205" s="63"/>
      <c r="E205" s="63"/>
      <c r="F205" s="24"/>
      <c r="G205" s="19">
        <v>4.0</v>
      </c>
      <c r="H205" s="20">
        <v>64.0</v>
      </c>
      <c r="I205" s="20">
        <v>44.0</v>
      </c>
      <c r="J205" s="20">
        <v>4.0</v>
      </c>
      <c r="K205" s="20">
        <v>19.0</v>
      </c>
      <c r="L205" s="20">
        <v>20.0</v>
      </c>
      <c r="M205" s="63"/>
      <c r="N205" s="23"/>
      <c r="O205" s="19">
        <v>4.0</v>
      </c>
      <c r="P205" s="40">
        <v>0.009908654590493884</v>
      </c>
      <c r="Q205" s="40">
        <v>0.01597676107480029</v>
      </c>
      <c r="R205" s="40">
        <v>0.03773584905660377</v>
      </c>
      <c r="S205" s="40">
        <v>0.0297339593114241</v>
      </c>
      <c r="T205" s="40">
        <v>0.03616636528028933</v>
      </c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 ht="15.75" customHeight="1">
      <c r="A206" s="63"/>
      <c r="B206" s="63"/>
      <c r="C206" s="63"/>
      <c r="D206" s="63"/>
      <c r="E206" s="63"/>
      <c r="F206" s="24"/>
      <c r="G206" s="19">
        <v>5.0</v>
      </c>
      <c r="H206" s="20">
        <v>135.0</v>
      </c>
      <c r="I206" s="20">
        <v>77.0</v>
      </c>
      <c r="J206" s="20">
        <v>4.0</v>
      </c>
      <c r="K206" s="20">
        <v>32.0</v>
      </c>
      <c r="L206" s="20">
        <v>14.0</v>
      </c>
      <c r="M206" s="63"/>
      <c r="N206" s="23"/>
      <c r="O206" s="19">
        <v>5.0</v>
      </c>
      <c r="P206" s="40">
        <v>0.02090106827682304</v>
      </c>
      <c r="Q206" s="40">
        <v>0.02795933188090051</v>
      </c>
      <c r="R206" s="40">
        <v>0.03773584905660377</v>
      </c>
      <c r="S206" s="40">
        <v>0.050078247261345854</v>
      </c>
      <c r="T206" s="40">
        <v>0.02531645569620253</v>
      </c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 ht="15.75" customHeight="1">
      <c r="A207" s="63"/>
      <c r="B207" s="63"/>
      <c r="C207" s="63"/>
      <c r="D207" s="63"/>
      <c r="E207" s="63"/>
      <c r="F207" s="24"/>
      <c r="G207" s="19">
        <v>6.0</v>
      </c>
      <c r="H207" s="20">
        <v>324.0</v>
      </c>
      <c r="I207" s="20">
        <v>140.0</v>
      </c>
      <c r="J207" s="20">
        <v>13.0</v>
      </c>
      <c r="K207" s="20">
        <v>30.0</v>
      </c>
      <c r="L207" s="20">
        <v>39.0</v>
      </c>
      <c r="M207" s="63"/>
      <c r="N207" s="23"/>
      <c r="O207" s="19">
        <v>6.0</v>
      </c>
      <c r="P207" s="40">
        <v>0.05016256386437529</v>
      </c>
      <c r="Q207" s="40">
        <v>0.050835148874364564</v>
      </c>
      <c r="R207" s="40">
        <v>0.12264150943396226</v>
      </c>
      <c r="S207" s="40">
        <v>0.046948356807511735</v>
      </c>
      <c r="T207" s="40">
        <v>0.0705244122965642</v>
      </c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 ht="15.75" customHeight="1">
      <c r="A208" s="63"/>
      <c r="B208" s="63"/>
      <c r="C208" s="63"/>
      <c r="D208" s="63"/>
      <c r="E208" s="63"/>
      <c r="F208" s="24"/>
      <c r="G208" s="19">
        <v>7.0</v>
      </c>
      <c r="H208" s="20">
        <v>540.0</v>
      </c>
      <c r="I208" s="20">
        <v>187.0</v>
      </c>
      <c r="J208" s="20">
        <v>24.0</v>
      </c>
      <c r="K208" s="20">
        <v>62.0</v>
      </c>
      <c r="L208" s="20">
        <v>49.0</v>
      </c>
      <c r="M208" s="63"/>
      <c r="N208" s="23"/>
      <c r="O208" s="19">
        <v>7.0</v>
      </c>
      <c r="P208" s="40">
        <v>0.08360427310729215</v>
      </c>
      <c r="Q208" s="40">
        <v>0.06790123456790123</v>
      </c>
      <c r="R208" s="40">
        <v>0.22641509433962265</v>
      </c>
      <c r="S208" s="40">
        <v>0.09702660406885759</v>
      </c>
      <c r="T208" s="40">
        <v>0.08860759493670886</v>
      </c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 ht="15.75" customHeight="1">
      <c r="A209" s="63"/>
      <c r="B209" s="63"/>
      <c r="C209" s="63"/>
      <c r="D209" s="63"/>
      <c r="E209" s="63"/>
      <c r="F209" s="24"/>
      <c r="G209" s="19">
        <v>8.0</v>
      </c>
      <c r="H209" s="20">
        <v>445.0</v>
      </c>
      <c r="I209" s="20">
        <v>278.0</v>
      </c>
      <c r="J209" s="20">
        <v>7.0</v>
      </c>
      <c r="K209" s="20">
        <v>51.0</v>
      </c>
      <c r="L209" s="20">
        <v>36.0</v>
      </c>
      <c r="M209" s="63"/>
      <c r="N209" s="23"/>
      <c r="O209" s="19">
        <v>8.0</v>
      </c>
      <c r="P209" s="40">
        <v>0.06889611394952778</v>
      </c>
      <c r="Q209" s="40">
        <v>0.1009440813362382</v>
      </c>
      <c r="R209" s="40">
        <v>0.0660377358490566</v>
      </c>
      <c r="S209" s="40">
        <v>0.07981220657276995</v>
      </c>
      <c r="T209" s="40">
        <v>0.0650994575045208</v>
      </c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 ht="15.75" customHeight="1">
      <c r="A210" s="63"/>
      <c r="B210" s="63"/>
      <c r="C210" s="63"/>
      <c r="D210" s="63"/>
      <c r="E210" s="63"/>
      <c r="F210" s="24"/>
      <c r="G210" s="19">
        <v>9.0</v>
      </c>
      <c r="H210" s="20">
        <v>513.0</v>
      </c>
      <c r="I210" s="20">
        <v>260.0</v>
      </c>
      <c r="J210" s="20">
        <v>9.0</v>
      </c>
      <c r="K210" s="20">
        <v>58.0</v>
      </c>
      <c r="L210" s="20">
        <v>40.0</v>
      </c>
      <c r="M210" s="63"/>
      <c r="N210" s="23"/>
      <c r="O210" s="19">
        <v>9.0</v>
      </c>
      <c r="P210" s="40">
        <v>0.07942405945192754</v>
      </c>
      <c r="Q210" s="40">
        <v>0.0944081336238199</v>
      </c>
      <c r="R210" s="40">
        <v>0.08490566037735849</v>
      </c>
      <c r="S210" s="40">
        <v>0.09076682316118936</v>
      </c>
      <c r="T210" s="40">
        <v>0.07233273056057866</v>
      </c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 ht="15.75" customHeight="1">
      <c r="A211" s="63"/>
      <c r="B211" s="63"/>
      <c r="C211" s="63"/>
      <c r="D211" s="63"/>
      <c r="E211" s="63"/>
      <c r="F211" s="24"/>
      <c r="G211" s="19">
        <v>10.0</v>
      </c>
      <c r="H211" s="20">
        <v>509.0</v>
      </c>
      <c r="I211" s="20">
        <v>212.0</v>
      </c>
      <c r="J211" s="20">
        <v>1.0</v>
      </c>
      <c r="K211" s="20">
        <v>53.0</v>
      </c>
      <c r="L211" s="20">
        <v>42.0</v>
      </c>
      <c r="M211" s="63"/>
      <c r="N211" s="23"/>
      <c r="O211" s="19">
        <v>10.0</v>
      </c>
      <c r="P211" s="40">
        <v>0.07880476854002168</v>
      </c>
      <c r="Q211" s="40">
        <v>0.07697893972403776</v>
      </c>
      <c r="R211" s="40">
        <v>0.009433962264150943</v>
      </c>
      <c r="S211" s="40">
        <v>0.08294209702660407</v>
      </c>
      <c r="T211" s="40">
        <v>0.0759493670886076</v>
      </c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 ht="15.75" customHeight="1">
      <c r="A212" s="63"/>
      <c r="B212" s="63"/>
      <c r="C212" s="63"/>
      <c r="D212" s="63"/>
      <c r="E212" s="63"/>
      <c r="F212" s="24"/>
      <c r="G212" s="19">
        <v>11.0</v>
      </c>
      <c r="H212" s="20">
        <v>401.0</v>
      </c>
      <c r="I212" s="20">
        <v>157.0</v>
      </c>
      <c r="J212" s="20">
        <v>3.0</v>
      </c>
      <c r="K212" s="20">
        <v>33.0</v>
      </c>
      <c r="L212" s="20">
        <v>46.0</v>
      </c>
      <c r="M212" s="63"/>
      <c r="N212" s="23"/>
      <c r="O212" s="19">
        <v>11.0</v>
      </c>
      <c r="P212" s="40">
        <v>0.062083913918563244</v>
      </c>
      <c r="Q212" s="40">
        <v>0.0570079883805374</v>
      </c>
      <c r="R212" s="40">
        <v>0.02830188679245283</v>
      </c>
      <c r="S212" s="40">
        <v>0.051643192488262914</v>
      </c>
      <c r="T212" s="40">
        <v>0.08318264014466546</v>
      </c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 ht="15.75" customHeight="1">
      <c r="A213" s="63"/>
      <c r="B213" s="63"/>
      <c r="C213" s="63"/>
      <c r="D213" s="63"/>
      <c r="E213" s="63"/>
      <c r="F213" s="24"/>
      <c r="G213" s="19">
        <v>12.0</v>
      </c>
      <c r="H213" s="20">
        <v>360.0</v>
      </c>
      <c r="I213" s="20">
        <v>162.0</v>
      </c>
      <c r="J213" s="20">
        <v>5.0</v>
      </c>
      <c r="K213" s="20">
        <v>36.0</v>
      </c>
      <c r="L213" s="20">
        <v>40.0</v>
      </c>
      <c r="M213" s="63"/>
      <c r="N213" s="23"/>
      <c r="O213" s="19">
        <v>12.0</v>
      </c>
      <c r="P213" s="40">
        <v>0.0557361820715281</v>
      </c>
      <c r="Q213" s="40">
        <v>0.058823529411764705</v>
      </c>
      <c r="R213" s="40">
        <v>0.04716981132075472</v>
      </c>
      <c r="S213" s="40">
        <v>0.056338028169014086</v>
      </c>
      <c r="T213" s="40">
        <v>0.07233273056057866</v>
      </c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 ht="15.75" customHeight="1">
      <c r="A214" s="63"/>
      <c r="B214" s="63"/>
      <c r="C214" s="63"/>
      <c r="D214" s="63"/>
      <c r="E214" s="63"/>
      <c r="F214" s="24"/>
      <c r="G214" s="19">
        <v>13.0</v>
      </c>
      <c r="H214" s="20">
        <v>351.0</v>
      </c>
      <c r="I214" s="20">
        <v>131.0</v>
      </c>
      <c r="J214" s="20">
        <v>5.0</v>
      </c>
      <c r="K214" s="20">
        <v>28.0</v>
      </c>
      <c r="L214" s="20">
        <v>31.0</v>
      </c>
      <c r="M214" s="63"/>
      <c r="N214" s="23"/>
      <c r="O214" s="19">
        <v>13.0</v>
      </c>
      <c r="P214" s="40">
        <v>0.0543427775197399</v>
      </c>
      <c r="Q214" s="40">
        <v>0.04756717501815541</v>
      </c>
      <c r="R214" s="40">
        <v>0.04716981132075472</v>
      </c>
      <c r="S214" s="40">
        <v>0.04381846635367762</v>
      </c>
      <c r="T214" s="40">
        <v>0.05605786618444846</v>
      </c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 ht="15.75" customHeight="1">
      <c r="A215" s="63"/>
      <c r="B215" s="63"/>
      <c r="C215" s="63"/>
      <c r="D215" s="63"/>
      <c r="E215" s="63"/>
      <c r="F215" s="24"/>
      <c r="G215" s="19">
        <v>14.0</v>
      </c>
      <c r="H215" s="20">
        <v>371.0</v>
      </c>
      <c r="I215" s="20">
        <v>154.0</v>
      </c>
      <c r="J215" s="20">
        <v>15.0</v>
      </c>
      <c r="K215" s="20">
        <v>35.0</v>
      </c>
      <c r="L215" s="20">
        <v>33.0</v>
      </c>
      <c r="M215" s="63"/>
      <c r="N215" s="23"/>
      <c r="O215" s="19">
        <v>14.0</v>
      </c>
      <c r="P215" s="40">
        <v>0.05743923207926924</v>
      </c>
      <c r="Q215" s="40">
        <v>0.05591866376180102</v>
      </c>
      <c r="R215" s="40">
        <v>0.14150943396226415</v>
      </c>
      <c r="S215" s="40">
        <v>0.054773082942097026</v>
      </c>
      <c r="T215" s="40">
        <v>0.059674502712477394</v>
      </c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 ht="15.75" customHeight="1">
      <c r="A216" s="63"/>
      <c r="B216" s="63"/>
      <c r="C216" s="63"/>
      <c r="D216" s="63"/>
      <c r="E216" s="63"/>
      <c r="F216" s="24"/>
      <c r="G216" s="19">
        <v>15.0</v>
      </c>
      <c r="H216" s="20">
        <v>369.0</v>
      </c>
      <c r="I216" s="20">
        <v>158.0</v>
      </c>
      <c r="J216" s="20">
        <v>7.0</v>
      </c>
      <c r="K216" s="20">
        <v>33.0</v>
      </c>
      <c r="L216" s="20">
        <v>40.0</v>
      </c>
      <c r="M216" s="63"/>
      <c r="N216" s="23"/>
      <c r="O216" s="19">
        <v>15.0</v>
      </c>
      <c r="P216" s="40">
        <v>0.057129586623316304</v>
      </c>
      <c r="Q216" s="40">
        <v>0.05737109658678286</v>
      </c>
      <c r="R216" s="40">
        <v>0.0660377358490566</v>
      </c>
      <c r="S216" s="40">
        <v>0.051643192488262914</v>
      </c>
      <c r="T216" s="40">
        <v>0.07233273056057866</v>
      </c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 ht="15.75" customHeight="1">
      <c r="A217" s="63"/>
      <c r="B217" s="63"/>
      <c r="C217" s="63"/>
      <c r="D217" s="63"/>
      <c r="E217" s="63"/>
      <c r="F217" s="24"/>
      <c r="G217" s="19">
        <v>16.0</v>
      </c>
      <c r="H217" s="20">
        <v>347.0</v>
      </c>
      <c r="I217" s="20">
        <v>170.0</v>
      </c>
      <c r="J217" s="20">
        <v>4.0</v>
      </c>
      <c r="K217" s="20">
        <v>23.0</v>
      </c>
      <c r="L217" s="20">
        <v>15.0</v>
      </c>
      <c r="M217" s="63"/>
      <c r="N217" s="23"/>
      <c r="O217" s="19">
        <v>16.0</v>
      </c>
      <c r="P217" s="40">
        <v>0.05372348660783403</v>
      </c>
      <c r="Q217" s="40">
        <v>0.06172839506172839</v>
      </c>
      <c r="R217" s="40">
        <v>0.03773584905660377</v>
      </c>
      <c r="S217" s="40">
        <v>0.03599374021909233</v>
      </c>
      <c r="T217" s="40">
        <v>0.027124773960216998</v>
      </c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 ht="15.75" customHeight="1">
      <c r="A218" s="63"/>
      <c r="B218" s="63"/>
      <c r="C218" s="63"/>
      <c r="D218" s="63"/>
      <c r="E218" s="63"/>
      <c r="F218" s="24"/>
      <c r="G218" s="19">
        <v>17.0</v>
      </c>
      <c r="H218" s="20">
        <v>427.0</v>
      </c>
      <c r="I218" s="20">
        <v>217.0</v>
      </c>
      <c r="J218" s="20">
        <v>0.0</v>
      </c>
      <c r="K218" s="20">
        <v>31.0</v>
      </c>
      <c r="L218" s="20">
        <v>17.0</v>
      </c>
      <c r="M218" s="63"/>
      <c r="N218" s="23"/>
      <c r="O218" s="19">
        <v>17.0</v>
      </c>
      <c r="P218" s="40">
        <v>0.06610930484595139</v>
      </c>
      <c r="Q218" s="40">
        <v>0.07879448075526507</v>
      </c>
      <c r="R218" s="40">
        <v>0.0</v>
      </c>
      <c r="S218" s="40">
        <v>0.048513302034428794</v>
      </c>
      <c r="T218" s="40">
        <v>0.03074141048824593</v>
      </c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 ht="15.75" customHeight="1">
      <c r="A219" s="63"/>
      <c r="B219" s="63"/>
      <c r="C219" s="63"/>
      <c r="D219" s="63"/>
      <c r="E219" s="63"/>
      <c r="F219" s="24"/>
      <c r="G219" s="19">
        <v>18.0</v>
      </c>
      <c r="H219" s="20">
        <v>300.0</v>
      </c>
      <c r="I219" s="20">
        <v>100.0</v>
      </c>
      <c r="J219" s="20">
        <v>0.0</v>
      </c>
      <c r="K219" s="20">
        <v>12.0</v>
      </c>
      <c r="L219" s="20">
        <v>12.0</v>
      </c>
      <c r="M219" s="63"/>
      <c r="N219" s="23"/>
      <c r="O219" s="19">
        <v>18.0</v>
      </c>
      <c r="P219" s="40">
        <v>0.046446818392940084</v>
      </c>
      <c r="Q219" s="40">
        <v>0.03631082062454612</v>
      </c>
      <c r="R219" s="40">
        <v>0.0</v>
      </c>
      <c r="S219" s="40">
        <v>0.018779342723004695</v>
      </c>
      <c r="T219" s="40">
        <v>0.0216998191681736</v>
      </c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 ht="15.75" customHeight="1">
      <c r="A220" s="63"/>
      <c r="B220" s="63"/>
      <c r="C220" s="63"/>
      <c r="D220" s="63"/>
      <c r="E220" s="63"/>
      <c r="F220" s="24"/>
      <c r="G220" s="19">
        <v>19.0</v>
      </c>
      <c r="H220" s="20">
        <v>247.0</v>
      </c>
      <c r="I220" s="20">
        <v>72.0</v>
      </c>
      <c r="J220" s="20">
        <v>2.0</v>
      </c>
      <c r="K220" s="20">
        <v>26.0</v>
      </c>
      <c r="L220" s="20">
        <v>15.0</v>
      </c>
      <c r="M220" s="63"/>
      <c r="N220" s="23"/>
      <c r="O220" s="19">
        <v>19.0</v>
      </c>
      <c r="P220" s="40">
        <v>0.03824121381018734</v>
      </c>
      <c r="Q220" s="40">
        <v>0.026143790849673203</v>
      </c>
      <c r="R220" s="40">
        <v>0.018867924528301886</v>
      </c>
      <c r="S220" s="40">
        <v>0.0406885758998435</v>
      </c>
      <c r="T220" s="40">
        <v>0.027124773960216998</v>
      </c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 ht="15.75" customHeight="1">
      <c r="A221" s="63"/>
      <c r="B221" s="63"/>
      <c r="C221" s="63"/>
      <c r="D221" s="63"/>
      <c r="E221" s="63"/>
      <c r="F221" s="24"/>
      <c r="G221" s="19">
        <v>20.0</v>
      </c>
      <c r="H221" s="20">
        <v>203.0</v>
      </c>
      <c r="I221" s="20">
        <v>55.0</v>
      </c>
      <c r="J221" s="20">
        <v>1.0</v>
      </c>
      <c r="K221" s="20">
        <v>16.0</v>
      </c>
      <c r="L221" s="20">
        <v>5.0</v>
      </c>
      <c r="M221" s="63"/>
      <c r="N221" s="23"/>
      <c r="O221" s="19">
        <v>20.0</v>
      </c>
      <c r="P221" s="40">
        <v>0.03142901377922279</v>
      </c>
      <c r="Q221" s="40">
        <v>0.019970951343500364</v>
      </c>
      <c r="R221" s="40">
        <v>0.009433962264150943</v>
      </c>
      <c r="S221" s="40">
        <v>0.025039123630672927</v>
      </c>
      <c r="T221" s="40">
        <v>0.009041591320072333</v>
      </c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 ht="15.75" customHeight="1">
      <c r="A222" s="63"/>
      <c r="B222" s="63"/>
      <c r="C222" s="63"/>
      <c r="D222" s="63"/>
      <c r="E222" s="63"/>
      <c r="F222" s="24"/>
      <c r="G222" s="19">
        <v>21.0</v>
      </c>
      <c r="H222" s="20">
        <v>196.0</v>
      </c>
      <c r="I222" s="20">
        <v>47.0</v>
      </c>
      <c r="J222" s="20">
        <v>0.0</v>
      </c>
      <c r="K222" s="20">
        <v>10.0</v>
      </c>
      <c r="L222" s="20">
        <v>5.0</v>
      </c>
      <c r="M222" s="63"/>
      <c r="N222" s="23"/>
      <c r="O222" s="19">
        <v>21.0</v>
      </c>
      <c r="P222" s="40">
        <v>0.030345254683387522</v>
      </c>
      <c r="Q222" s="40">
        <v>0.017066085693536674</v>
      </c>
      <c r="R222" s="40">
        <v>0.0</v>
      </c>
      <c r="S222" s="40">
        <v>0.01564945226917058</v>
      </c>
      <c r="T222" s="40">
        <v>0.009041591320072333</v>
      </c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 ht="15.75" customHeight="1">
      <c r="A223" s="63"/>
      <c r="B223" s="63"/>
      <c r="C223" s="63"/>
      <c r="D223" s="63"/>
      <c r="E223" s="63"/>
      <c r="F223" s="24"/>
      <c r="G223" s="19">
        <v>22.0</v>
      </c>
      <c r="H223" s="20">
        <v>134.0</v>
      </c>
      <c r="I223" s="20">
        <v>36.0</v>
      </c>
      <c r="J223" s="20">
        <v>1.0</v>
      </c>
      <c r="K223" s="20">
        <v>6.0</v>
      </c>
      <c r="L223" s="20">
        <v>10.0</v>
      </c>
      <c r="M223" s="63"/>
      <c r="N223" s="23"/>
      <c r="O223" s="19">
        <v>22.0</v>
      </c>
      <c r="P223" s="40">
        <v>0.020746245548846572</v>
      </c>
      <c r="Q223" s="40">
        <v>0.013071895424836602</v>
      </c>
      <c r="R223" s="40">
        <v>0.009433962264150943</v>
      </c>
      <c r="S223" s="40">
        <v>0.009389671361502348</v>
      </c>
      <c r="T223" s="40">
        <v>0.018083182640144666</v>
      </c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 ht="15.75" customHeight="1">
      <c r="A224" s="63"/>
      <c r="B224" s="63"/>
      <c r="C224" s="63"/>
      <c r="D224" s="63"/>
      <c r="E224" s="63"/>
      <c r="F224" s="28"/>
      <c r="G224" s="71">
        <v>23.0</v>
      </c>
      <c r="H224" s="20">
        <v>77.0</v>
      </c>
      <c r="I224" s="20">
        <v>26.0</v>
      </c>
      <c r="J224" s="20">
        <v>1.0</v>
      </c>
      <c r="K224" s="20">
        <v>7.0</v>
      </c>
      <c r="L224" s="20">
        <v>11.0</v>
      </c>
      <c r="M224" s="63"/>
      <c r="N224" s="27"/>
      <c r="O224" s="19">
        <v>23.0</v>
      </c>
      <c r="P224" s="40">
        <v>0.011921350054187955</v>
      </c>
      <c r="Q224" s="40">
        <v>0.00944081336238199</v>
      </c>
      <c r="R224" s="40">
        <v>0.009433962264150943</v>
      </c>
      <c r="S224" s="40">
        <v>0.010954616588419406</v>
      </c>
      <c r="T224" s="40">
        <v>0.019891500904159132</v>
      </c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 ht="15.75" customHeight="1">
      <c r="A225" s="63"/>
      <c r="B225" s="63"/>
      <c r="C225" s="63"/>
      <c r="D225" s="63"/>
      <c r="E225" s="63"/>
      <c r="F225" s="56">
        <v>45203.0</v>
      </c>
      <c r="G225" s="19">
        <v>0.0</v>
      </c>
      <c r="H225" s="20">
        <v>52.0</v>
      </c>
      <c r="I225" s="20">
        <v>19.0</v>
      </c>
      <c r="J225" s="20">
        <v>0.0</v>
      </c>
      <c r="K225" s="20">
        <v>11.0</v>
      </c>
      <c r="L225" s="20">
        <v>11.0</v>
      </c>
      <c r="M225" s="63"/>
      <c r="N225" s="56">
        <v>45203.0</v>
      </c>
      <c r="O225" s="19">
        <v>0.0</v>
      </c>
      <c r="P225" s="40">
        <v>0.010642652476463364</v>
      </c>
      <c r="Q225" s="40">
        <v>0.00853932584269663</v>
      </c>
      <c r="R225" s="40">
        <v>0.0</v>
      </c>
      <c r="S225" s="40">
        <v>0.022540983606557378</v>
      </c>
      <c r="T225" s="40">
        <v>0.023255813953488372</v>
      </c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 ht="15.75" customHeight="1">
      <c r="A226" s="63"/>
      <c r="B226" s="63"/>
      <c r="C226" s="63"/>
      <c r="D226" s="63"/>
      <c r="E226" s="63"/>
      <c r="F226" s="24"/>
      <c r="G226" s="19">
        <v>1.0</v>
      </c>
      <c r="H226" s="20">
        <v>29.0</v>
      </c>
      <c r="I226" s="20">
        <v>9.0</v>
      </c>
      <c r="J226" s="20">
        <v>0.0</v>
      </c>
      <c r="K226" s="20">
        <v>9.0</v>
      </c>
      <c r="L226" s="20">
        <v>3.0</v>
      </c>
      <c r="M226" s="63"/>
      <c r="N226" s="23"/>
      <c r="O226" s="19">
        <v>1.0</v>
      </c>
      <c r="P226" s="40">
        <v>0.0059353254195661075</v>
      </c>
      <c r="Q226" s="40">
        <v>0.004044943820224719</v>
      </c>
      <c r="R226" s="40">
        <v>0.0</v>
      </c>
      <c r="S226" s="40">
        <v>0.018442622950819672</v>
      </c>
      <c r="T226" s="40">
        <v>0.006342494714587738</v>
      </c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 ht="15.75" customHeight="1">
      <c r="A227" s="63"/>
      <c r="B227" s="63"/>
      <c r="C227" s="63"/>
      <c r="D227" s="63"/>
      <c r="E227" s="63"/>
      <c r="F227" s="24"/>
      <c r="G227" s="19">
        <v>2.0</v>
      </c>
      <c r="H227" s="16">
        <v>19.0</v>
      </c>
      <c r="I227" s="16">
        <v>11.0</v>
      </c>
      <c r="J227" s="16">
        <v>1.0</v>
      </c>
      <c r="K227" s="16">
        <v>9.0</v>
      </c>
      <c r="L227" s="16">
        <v>18.0</v>
      </c>
      <c r="M227" s="63"/>
      <c r="N227" s="23"/>
      <c r="O227" s="19">
        <v>2.0</v>
      </c>
      <c r="P227" s="40">
        <v>0.003888661481784691</v>
      </c>
      <c r="Q227" s="40">
        <v>0.004943820224719101</v>
      </c>
      <c r="R227" s="40">
        <v>0.015873015873015872</v>
      </c>
      <c r="S227" s="40">
        <v>0.018442622950819672</v>
      </c>
      <c r="T227" s="40">
        <v>0.03805496828752643</v>
      </c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 ht="15.75" customHeight="1">
      <c r="A228" s="63"/>
      <c r="B228" s="63"/>
      <c r="C228" s="63"/>
      <c r="D228" s="63"/>
      <c r="E228" s="63"/>
      <c r="F228" s="24"/>
      <c r="G228" s="19">
        <v>3.0</v>
      </c>
      <c r="H228" s="20">
        <v>24.0</v>
      </c>
      <c r="I228" s="20">
        <v>13.0</v>
      </c>
      <c r="J228" s="20">
        <v>0.0</v>
      </c>
      <c r="K228" s="20">
        <v>16.0</v>
      </c>
      <c r="L228" s="20">
        <v>11.0</v>
      </c>
      <c r="M228" s="63"/>
      <c r="N228" s="23"/>
      <c r="O228" s="19">
        <v>3.0</v>
      </c>
      <c r="P228" s="40">
        <v>0.004911993450675399</v>
      </c>
      <c r="Q228" s="40">
        <v>0.005842696629213483</v>
      </c>
      <c r="R228" s="40">
        <v>0.0</v>
      </c>
      <c r="S228" s="40">
        <v>0.03278688524590164</v>
      </c>
      <c r="T228" s="40">
        <v>0.023255813953488372</v>
      </c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 ht="15.75" customHeight="1">
      <c r="A229" s="63"/>
      <c r="B229" s="63"/>
      <c r="C229" s="63"/>
      <c r="D229" s="63"/>
      <c r="E229" s="63"/>
      <c r="F229" s="24"/>
      <c r="G229" s="19">
        <v>4.0</v>
      </c>
      <c r="H229" s="20">
        <v>39.0</v>
      </c>
      <c r="I229" s="20">
        <v>33.0</v>
      </c>
      <c r="J229" s="20">
        <v>0.0</v>
      </c>
      <c r="K229" s="20">
        <v>16.0</v>
      </c>
      <c r="L229" s="20">
        <v>15.0</v>
      </c>
      <c r="M229" s="63"/>
      <c r="N229" s="23"/>
      <c r="O229" s="19">
        <v>4.0</v>
      </c>
      <c r="P229" s="40">
        <v>0.007981989357347523</v>
      </c>
      <c r="Q229" s="40">
        <v>0.014831460674157304</v>
      </c>
      <c r="R229" s="40">
        <v>0.0</v>
      </c>
      <c r="S229" s="40">
        <v>0.03278688524590164</v>
      </c>
      <c r="T229" s="40">
        <v>0.03171247357293869</v>
      </c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 ht="15.75" customHeight="1">
      <c r="A230" s="63"/>
      <c r="B230" s="63"/>
      <c r="C230" s="63"/>
      <c r="D230" s="63"/>
      <c r="E230" s="63"/>
      <c r="F230" s="24"/>
      <c r="G230" s="19">
        <v>5.0</v>
      </c>
      <c r="H230" s="20">
        <v>104.0</v>
      </c>
      <c r="I230" s="20">
        <v>61.0</v>
      </c>
      <c r="J230" s="20">
        <v>1.0</v>
      </c>
      <c r="K230" s="20">
        <v>19.0</v>
      </c>
      <c r="L230" s="20">
        <v>18.0</v>
      </c>
      <c r="M230" s="63"/>
      <c r="N230" s="23"/>
      <c r="O230" s="19">
        <v>5.0</v>
      </c>
      <c r="P230" s="40">
        <v>0.02128530495292673</v>
      </c>
      <c r="Q230" s="40">
        <v>0.027415730337078652</v>
      </c>
      <c r="R230" s="40">
        <v>0.015873015873015872</v>
      </c>
      <c r="S230" s="40">
        <v>0.0389344262295082</v>
      </c>
      <c r="T230" s="40">
        <v>0.03805496828752643</v>
      </c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 ht="15.75" customHeight="1">
      <c r="A231" s="63"/>
      <c r="B231" s="63"/>
      <c r="C231" s="63"/>
      <c r="D231" s="63"/>
      <c r="E231" s="63"/>
      <c r="F231" s="24"/>
      <c r="G231" s="19">
        <v>6.0</v>
      </c>
      <c r="H231" s="20">
        <v>229.0</v>
      </c>
      <c r="I231" s="20">
        <v>89.0</v>
      </c>
      <c r="J231" s="20">
        <v>10.0</v>
      </c>
      <c r="K231" s="20">
        <v>22.0</v>
      </c>
      <c r="L231" s="20">
        <v>32.0</v>
      </c>
      <c r="M231" s="63"/>
      <c r="N231" s="23"/>
      <c r="O231" s="19">
        <v>6.0</v>
      </c>
      <c r="P231" s="40">
        <v>0.04686860417519443</v>
      </c>
      <c r="Q231" s="40">
        <v>0.04</v>
      </c>
      <c r="R231" s="40">
        <v>0.15873015873015872</v>
      </c>
      <c r="S231" s="40">
        <v>0.045081967213114756</v>
      </c>
      <c r="T231" s="40">
        <v>0.06765327695560254</v>
      </c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 ht="15.75" customHeight="1">
      <c r="A232" s="63"/>
      <c r="B232" s="63"/>
      <c r="C232" s="63"/>
      <c r="D232" s="63"/>
      <c r="E232" s="63"/>
      <c r="F232" s="24"/>
      <c r="G232" s="19">
        <v>7.0</v>
      </c>
      <c r="H232" s="20">
        <v>510.0</v>
      </c>
      <c r="I232" s="20">
        <v>187.0</v>
      </c>
      <c r="J232" s="20">
        <v>9.0</v>
      </c>
      <c r="K232" s="20">
        <v>54.0</v>
      </c>
      <c r="L232" s="20">
        <v>50.0</v>
      </c>
      <c r="M232" s="63"/>
      <c r="N232" s="23"/>
      <c r="O232" s="19">
        <v>7.0</v>
      </c>
      <c r="P232" s="40">
        <v>0.10437986082685223</v>
      </c>
      <c r="Q232" s="40">
        <v>0.08404494382022472</v>
      </c>
      <c r="R232" s="40">
        <v>0.14285714285714285</v>
      </c>
      <c r="S232" s="40">
        <v>0.11065573770491803</v>
      </c>
      <c r="T232" s="40">
        <v>0.10570824524312897</v>
      </c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 ht="15.75" customHeight="1">
      <c r="A233" s="63"/>
      <c r="B233" s="63"/>
      <c r="C233" s="63"/>
      <c r="D233" s="63"/>
      <c r="E233" s="63"/>
      <c r="F233" s="24"/>
      <c r="G233" s="19">
        <v>8.0</v>
      </c>
      <c r="H233" s="20">
        <v>391.0</v>
      </c>
      <c r="I233" s="20">
        <v>232.0</v>
      </c>
      <c r="J233" s="20">
        <v>8.0</v>
      </c>
      <c r="K233" s="20">
        <v>44.0</v>
      </c>
      <c r="L233" s="20">
        <v>27.0</v>
      </c>
      <c r="M233" s="63"/>
      <c r="N233" s="23"/>
      <c r="O233" s="19">
        <v>8.0</v>
      </c>
      <c r="P233" s="40">
        <v>0.08002455996725338</v>
      </c>
      <c r="Q233" s="40">
        <v>0.10426966292134832</v>
      </c>
      <c r="R233" s="40">
        <v>0.12698412698412698</v>
      </c>
      <c r="S233" s="40">
        <v>0.09016393442622951</v>
      </c>
      <c r="T233" s="40">
        <v>0.05708245243128964</v>
      </c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 ht="15.75" customHeight="1">
      <c r="A234" s="63"/>
      <c r="B234" s="63"/>
      <c r="C234" s="63"/>
      <c r="D234" s="63"/>
      <c r="E234" s="63"/>
      <c r="F234" s="24"/>
      <c r="G234" s="19">
        <v>9.0</v>
      </c>
      <c r="H234" s="20">
        <v>319.0</v>
      </c>
      <c r="I234" s="20">
        <v>204.0</v>
      </c>
      <c r="J234" s="20">
        <v>7.0</v>
      </c>
      <c r="K234" s="20">
        <v>43.0</v>
      </c>
      <c r="L234" s="20">
        <v>32.0</v>
      </c>
      <c r="M234" s="63"/>
      <c r="N234" s="23"/>
      <c r="O234" s="19">
        <v>9.0</v>
      </c>
      <c r="P234" s="40">
        <v>0.06528857961522717</v>
      </c>
      <c r="Q234" s="40">
        <v>0.09168539325842696</v>
      </c>
      <c r="R234" s="40">
        <v>0.1111111111111111</v>
      </c>
      <c r="S234" s="40">
        <v>0.08811475409836066</v>
      </c>
      <c r="T234" s="40">
        <v>0.06765327695560254</v>
      </c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 ht="15.75" customHeight="1">
      <c r="A235" s="63"/>
      <c r="B235" s="63"/>
      <c r="C235" s="63"/>
      <c r="D235" s="63"/>
      <c r="E235" s="63"/>
      <c r="F235" s="24"/>
      <c r="G235" s="19">
        <v>10.0</v>
      </c>
      <c r="H235" s="20">
        <v>300.0</v>
      </c>
      <c r="I235" s="20">
        <v>159.0</v>
      </c>
      <c r="J235" s="20">
        <v>4.0</v>
      </c>
      <c r="K235" s="20">
        <v>34.0</v>
      </c>
      <c r="L235" s="20">
        <v>41.0</v>
      </c>
      <c r="M235" s="63"/>
      <c r="N235" s="23"/>
      <c r="O235" s="19">
        <v>10.0</v>
      </c>
      <c r="P235" s="40">
        <v>0.06139991813344249</v>
      </c>
      <c r="Q235" s="40">
        <v>0.07146067415730337</v>
      </c>
      <c r="R235" s="40">
        <v>0.06349206349206349</v>
      </c>
      <c r="S235" s="40">
        <v>0.06967213114754098</v>
      </c>
      <c r="T235" s="40">
        <v>0.08668076109936575</v>
      </c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 ht="15.75" customHeight="1">
      <c r="A236" s="63"/>
      <c r="B236" s="63"/>
      <c r="C236" s="63"/>
      <c r="D236" s="63"/>
      <c r="E236" s="63"/>
      <c r="F236" s="24"/>
      <c r="G236" s="19">
        <v>11.0</v>
      </c>
      <c r="H236" s="20">
        <v>268.0</v>
      </c>
      <c r="I236" s="20">
        <v>144.0</v>
      </c>
      <c r="J236" s="20">
        <v>0.0</v>
      </c>
      <c r="K236" s="20">
        <v>30.0</v>
      </c>
      <c r="L236" s="20">
        <v>40.0</v>
      </c>
      <c r="M236" s="63"/>
      <c r="N236" s="23"/>
      <c r="O236" s="19">
        <v>11.0</v>
      </c>
      <c r="P236" s="40">
        <v>0.05485059353254196</v>
      </c>
      <c r="Q236" s="40">
        <v>0.06471910112359551</v>
      </c>
      <c r="R236" s="40">
        <v>0.0</v>
      </c>
      <c r="S236" s="40">
        <v>0.06147540983606557</v>
      </c>
      <c r="T236" s="40">
        <v>0.08456659619450317</v>
      </c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 ht="15.75" customHeight="1">
      <c r="A237" s="63"/>
      <c r="B237" s="63"/>
      <c r="C237" s="63"/>
      <c r="D237" s="63"/>
      <c r="E237" s="63"/>
      <c r="F237" s="24"/>
      <c r="G237" s="19">
        <v>12.0</v>
      </c>
      <c r="H237" s="20">
        <v>303.0</v>
      </c>
      <c r="I237" s="20">
        <v>132.0</v>
      </c>
      <c r="J237" s="20">
        <v>1.0</v>
      </c>
      <c r="K237" s="20">
        <v>23.0</v>
      </c>
      <c r="L237" s="20">
        <v>40.0</v>
      </c>
      <c r="M237" s="63"/>
      <c r="N237" s="23"/>
      <c r="O237" s="19">
        <v>12.0</v>
      </c>
      <c r="P237" s="40">
        <v>0.062013917314776915</v>
      </c>
      <c r="Q237" s="40">
        <v>0.059325842696629216</v>
      </c>
      <c r="R237" s="40">
        <v>0.015873015873015872</v>
      </c>
      <c r="S237" s="40">
        <v>0.0471311475409836</v>
      </c>
      <c r="T237" s="40">
        <v>0.08456659619450317</v>
      </c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 ht="15.75" customHeight="1">
      <c r="A238" s="63"/>
      <c r="B238" s="63"/>
      <c r="C238" s="63"/>
      <c r="D238" s="63"/>
      <c r="E238" s="63"/>
      <c r="F238" s="24"/>
      <c r="G238" s="19">
        <v>13.0</v>
      </c>
      <c r="H238" s="20">
        <v>255.0</v>
      </c>
      <c r="I238" s="20">
        <v>132.0</v>
      </c>
      <c r="J238" s="20">
        <v>2.0</v>
      </c>
      <c r="K238" s="20">
        <v>22.0</v>
      </c>
      <c r="L238" s="20">
        <v>25.0</v>
      </c>
      <c r="M238" s="63"/>
      <c r="N238" s="23"/>
      <c r="O238" s="19">
        <v>13.0</v>
      </c>
      <c r="P238" s="40">
        <v>0.052189930413426115</v>
      </c>
      <c r="Q238" s="40">
        <v>0.059325842696629216</v>
      </c>
      <c r="R238" s="40">
        <v>0.031746031746031744</v>
      </c>
      <c r="S238" s="40">
        <v>0.045081967213114756</v>
      </c>
      <c r="T238" s="40">
        <v>0.052854122621564484</v>
      </c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 ht="15.75" customHeight="1">
      <c r="A239" s="63"/>
      <c r="B239" s="63"/>
      <c r="C239" s="63"/>
      <c r="D239" s="63"/>
      <c r="E239" s="63"/>
      <c r="F239" s="24"/>
      <c r="G239" s="19">
        <v>14.0</v>
      </c>
      <c r="H239" s="20">
        <v>247.0</v>
      </c>
      <c r="I239" s="20">
        <v>116.0</v>
      </c>
      <c r="J239" s="20">
        <v>7.0</v>
      </c>
      <c r="K239" s="20">
        <v>37.0</v>
      </c>
      <c r="L239" s="20">
        <v>29.0</v>
      </c>
      <c r="M239" s="63"/>
      <c r="N239" s="23"/>
      <c r="O239" s="19">
        <v>14.0</v>
      </c>
      <c r="P239" s="40">
        <v>0.050552599263200985</v>
      </c>
      <c r="Q239" s="40">
        <v>0.05213483146067416</v>
      </c>
      <c r="R239" s="40">
        <v>0.1111111111111111</v>
      </c>
      <c r="S239" s="40">
        <v>0.07581967213114754</v>
      </c>
      <c r="T239" s="40">
        <v>0.0613107822410148</v>
      </c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 ht="15.75" customHeight="1">
      <c r="A240" s="63"/>
      <c r="B240" s="63"/>
      <c r="C240" s="63"/>
      <c r="D240" s="63"/>
      <c r="E240" s="63"/>
      <c r="F240" s="24"/>
      <c r="G240" s="19">
        <v>15.0</v>
      </c>
      <c r="H240" s="20">
        <v>228.0</v>
      </c>
      <c r="I240" s="20">
        <v>117.0</v>
      </c>
      <c r="J240" s="20">
        <v>2.0</v>
      </c>
      <c r="K240" s="20">
        <v>27.0</v>
      </c>
      <c r="L240" s="20">
        <v>27.0</v>
      </c>
      <c r="M240" s="63"/>
      <c r="N240" s="23"/>
      <c r="O240" s="19">
        <v>15.0</v>
      </c>
      <c r="P240" s="40">
        <v>0.04666393778141629</v>
      </c>
      <c r="Q240" s="40">
        <v>0.052584269662921346</v>
      </c>
      <c r="R240" s="40">
        <v>0.031746031746031744</v>
      </c>
      <c r="S240" s="40">
        <v>0.055327868852459015</v>
      </c>
      <c r="T240" s="40">
        <v>0.05708245243128964</v>
      </c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 ht="15.75" customHeight="1">
      <c r="A241" s="63"/>
      <c r="B241" s="63"/>
      <c r="C241" s="63"/>
      <c r="D241" s="63"/>
      <c r="E241" s="63"/>
      <c r="F241" s="24"/>
      <c r="G241" s="19">
        <v>16.0</v>
      </c>
      <c r="H241" s="20">
        <v>290.0</v>
      </c>
      <c r="I241" s="20">
        <v>142.0</v>
      </c>
      <c r="J241" s="20">
        <v>1.0</v>
      </c>
      <c r="K241" s="20">
        <v>15.0</v>
      </c>
      <c r="L241" s="20">
        <v>19.0</v>
      </c>
      <c r="M241" s="63"/>
      <c r="N241" s="23"/>
      <c r="O241" s="19">
        <v>16.0</v>
      </c>
      <c r="P241" s="40">
        <v>0.05935325419566107</v>
      </c>
      <c r="Q241" s="40">
        <v>0.06382022471910112</v>
      </c>
      <c r="R241" s="40">
        <v>0.015873015873015872</v>
      </c>
      <c r="S241" s="40">
        <v>0.030737704918032786</v>
      </c>
      <c r="T241" s="40">
        <v>0.040169133192389</v>
      </c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 ht="15.75" customHeight="1">
      <c r="A242" s="63"/>
      <c r="B242" s="63"/>
      <c r="C242" s="63"/>
      <c r="D242" s="63"/>
      <c r="E242" s="63"/>
      <c r="F242" s="24"/>
      <c r="G242" s="19">
        <v>17.0</v>
      </c>
      <c r="H242" s="20">
        <v>358.0</v>
      </c>
      <c r="I242" s="20">
        <v>148.0</v>
      </c>
      <c r="J242" s="20">
        <v>2.0</v>
      </c>
      <c r="K242" s="20">
        <v>16.0</v>
      </c>
      <c r="L242" s="20">
        <v>11.0</v>
      </c>
      <c r="M242" s="63"/>
      <c r="N242" s="23"/>
      <c r="O242" s="19">
        <v>17.0</v>
      </c>
      <c r="P242" s="40">
        <v>0.07327056897257471</v>
      </c>
      <c r="Q242" s="40">
        <v>0.06651685393258427</v>
      </c>
      <c r="R242" s="40">
        <v>0.031746031746031744</v>
      </c>
      <c r="S242" s="40">
        <v>0.03278688524590164</v>
      </c>
      <c r="T242" s="40">
        <v>0.023255813953488372</v>
      </c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 ht="15.75" customHeight="1">
      <c r="A243" s="63"/>
      <c r="B243" s="63"/>
      <c r="C243" s="63"/>
      <c r="D243" s="63"/>
      <c r="E243" s="63"/>
      <c r="F243" s="24"/>
      <c r="G243" s="19">
        <v>18.0</v>
      </c>
      <c r="H243" s="20">
        <v>282.0</v>
      </c>
      <c r="I243" s="20">
        <v>107.0</v>
      </c>
      <c r="J243" s="20">
        <v>2.0</v>
      </c>
      <c r="K243" s="20">
        <v>10.0</v>
      </c>
      <c r="L243" s="20">
        <v>3.0</v>
      </c>
      <c r="M243" s="63"/>
      <c r="N243" s="23"/>
      <c r="O243" s="19">
        <v>18.0</v>
      </c>
      <c r="P243" s="40">
        <v>0.05771592304543594</v>
      </c>
      <c r="Q243" s="40">
        <v>0.04808988764044944</v>
      </c>
      <c r="R243" s="40">
        <v>0.031746031746031744</v>
      </c>
      <c r="S243" s="40">
        <v>0.020491803278688523</v>
      </c>
      <c r="T243" s="40">
        <v>0.006342494714587738</v>
      </c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 ht="15.75" customHeight="1">
      <c r="A244" s="63"/>
      <c r="B244" s="63"/>
      <c r="C244" s="63"/>
      <c r="D244" s="63"/>
      <c r="E244" s="63"/>
      <c r="F244" s="24"/>
      <c r="G244" s="19">
        <v>19.0</v>
      </c>
      <c r="H244" s="20">
        <v>223.0</v>
      </c>
      <c r="I244" s="20">
        <v>62.0</v>
      </c>
      <c r="J244" s="20">
        <v>3.0</v>
      </c>
      <c r="K244" s="20">
        <v>15.0</v>
      </c>
      <c r="L244" s="20">
        <v>9.0</v>
      </c>
      <c r="M244" s="63"/>
      <c r="N244" s="23"/>
      <c r="O244" s="19">
        <v>19.0</v>
      </c>
      <c r="P244" s="40">
        <v>0.04564060581252558</v>
      </c>
      <c r="Q244" s="40">
        <v>0.027865168539325844</v>
      </c>
      <c r="R244" s="40">
        <v>0.047619047619047616</v>
      </c>
      <c r="S244" s="40">
        <v>0.030737704918032786</v>
      </c>
      <c r="T244" s="40">
        <v>0.019027484143763214</v>
      </c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 ht="15.75" customHeight="1">
      <c r="A245" s="63"/>
      <c r="B245" s="63"/>
      <c r="C245" s="63"/>
      <c r="D245" s="63"/>
      <c r="E245" s="63"/>
      <c r="F245" s="24"/>
      <c r="G245" s="19">
        <v>20.0</v>
      </c>
      <c r="H245" s="20">
        <v>149.0</v>
      </c>
      <c r="I245" s="20">
        <v>45.0</v>
      </c>
      <c r="J245" s="20">
        <v>1.0</v>
      </c>
      <c r="K245" s="20">
        <v>6.0</v>
      </c>
      <c r="L245" s="20">
        <v>1.0</v>
      </c>
      <c r="M245" s="63"/>
      <c r="N245" s="23"/>
      <c r="O245" s="19">
        <v>20.0</v>
      </c>
      <c r="P245" s="40">
        <v>0.030495292672943104</v>
      </c>
      <c r="Q245" s="40">
        <v>0.020224719101123594</v>
      </c>
      <c r="R245" s="40">
        <v>0.015873015873015872</v>
      </c>
      <c r="S245" s="40">
        <v>0.012295081967213115</v>
      </c>
      <c r="T245" s="40">
        <v>0.0021141649048625794</v>
      </c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 ht="15.75" customHeight="1">
      <c r="A246" s="63"/>
      <c r="B246" s="63"/>
      <c r="C246" s="63"/>
      <c r="D246" s="63"/>
      <c r="E246" s="63"/>
      <c r="F246" s="24"/>
      <c r="G246" s="19">
        <v>21.0</v>
      </c>
      <c r="H246" s="20">
        <v>125.0</v>
      </c>
      <c r="I246" s="20">
        <v>26.0</v>
      </c>
      <c r="J246" s="20">
        <v>1.0</v>
      </c>
      <c r="K246" s="20">
        <v>8.0</v>
      </c>
      <c r="L246" s="20">
        <v>1.0</v>
      </c>
      <c r="M246" s="63"/>
      <c r="N246" s="23"/>
      <c r="O246" s="19">
        <v>21.0</v>
      </c>
      <c r="P246" s="40">
        <v>0.025583299222267705</v>
      </c>
      <c r="Q246" s="40">
        <v>0.011685393258426966</v>
      </c>
      <c r="R246" s="40">
        <v>0.015873015873015872</v>
      </c>
      <c r="S246" s="40">
        <v>0.01639344262295082</v>
      </c>
      <c r="T246" s="40">
        <v>0.0021141649048625794</v>
      </c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 ht="15.75" customHeight="1">
      <c r="A247" s="63"/>
      <c r="B247" s="63"/>
      <c r="C247" s="63"/>
      <c r="D247" s="63"/>
      <c r="E247" s="63"/>
      <c r="F247" s="24"/>
      <c r="G247" s="19">
        <v>22.0</v>
      </c>
      <c r="H247" s="20">
        <v>89.0</v>
      </c>
      <c r="I247" s="20">
        <v>16.0</v>
      </c>
      <c r="J247" s="20">
        <v>0.0</v>
      </c>
      <c r="K247" s="20">
        <v>1.0</v>
      </c>
      <c r="L247" s="20">
        <v>5.0</v>
      </c>
      <c r="M247" s="63"/>
      <c r="N247" s="23"/>
      <c r="O247" s="19">
        <v>22.0</v>
      </c>
      <c r="P247" s="40">
        <v>0.018215309046254603</v>
      </c>
      <c r="Q247" s="40">
        <v>0.0071910112359550565</v>
      </c>
      <c r="R247" s="40">
        <v>0.0</v>
      </c>
      <c r="S247" s="40">
        <v>0.0020491803278688526</v>
      </c>
      <c r="T247" s="40">
        <v>0.010570824524312896</v>
      </c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 ht="15.75" customHeight="1">
      <c r="A248" s="63"/>
      <c r="B248" s="63"/>
      <c r="C248" s="63"/>
      <c r="D248" s="63"/>
      <c r="E248" s="63"/>
      <c r="F248" s="28"/>
      <c r="G248" s="71">
        <v>23.0</v>
      </c>
      <c r="H248" s="20">
        <v>53.0</v>
      </c>
      <c r="I248" s="20">
        <v>21.0</v>
      </c>
      <c r="J248" s="20">
        <v>1.0</v>
      </c>
      <c r="K248" s="20">
        <v>1.0</v>
      </c>
      <c r="L248" s="20">
        <v>5.0</v>
      </c>
      <c r="M248" s="63"/>
      <c r="N248" s="27"/>
      <c r="O248" s="19">
        <v>23.0</v>
      </c>
      <c r="P248" s="40">
        <v>0.010847318870241505</v>
      </c>
      <c r="Q248" s="40">
        <v>0.00943820224719101</v>
      </c>
      <c r="R248" s="40">
        <v>0.015873015873015872</v>
      </c>
      <c r="S248" s="40">
        <v>0.0020491803278688526</v>
      </c>
      <c r="T248" s="40">
        <v>0.010570824524312896</v>
      </c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 ht="15.75" customHeight="1">
      <c r="A249" s="63"/>
      <c r="B249" s="63"/>
      <c r="C249" s="63"/>
      <c r="D249" s="63"/>
      <c r="E249" s="63"/>
      <c r="F249" s="56">
        <v>45204.0</v>
      </c>
      <c r="G249" s="19">
        <v>0.0</v>
      </c>
      <c r="H249" s="20">
        <v>49.0</v>
      </c>
      <c r="I249" s="20">
        <v>15.0</v>
      </c>
      <c r="J249" s="20">
        <v>0.0</v>
      </c>
      <c r="K249" s="20">
        <v>6.0</v>
      </c>
      <c r="L249" s="20">
        <v>5.0</v>
      </c>
      <c r="M249" s="63"/>
      <c r="N249" s="56">
        <v>45204.0</v>
      </c>
      <c r="O249" s="19">
        <v>0.0</v>
      </c>
      <c r="P249" s="40">
        <v>0.02027306578402979</v>
      </c>
      <c r="Q249" s="40">
        <v>0.017793594306049824</v>
      </c>
      <c r="R249" s="40">
        <v>0.0</v>
      </c>
      <c r="S249" s="40">
        <v>0.028169014084507043</v>
      </c>
      <c r="T249" s="40">
        <v>0.036231884057971016</v>
      </c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 ht="15.75" customHeight="1">
      <c r="A250" s="63"/>
      <c r="B250" s="63"/>
      <c r="C250" s="63"/>
      <c r="D250" s="63"/>
      <c r="E250" s="63"/>
      <c r="F250" s="24"/>
      <c r="G250" s="19">
        <v>1.0</v>
      </c>
      <c r="H250" s="20">
        <v>23.0</v>
      </c>
      <c r="I250" s="20">
        <v>5.0</v>
      </c>
      <c r="J250" s="20">
        <v>0.0</v>
      </c>
      <c r="K250" s="20">
        <v>6.0</v>
      </c>
      <c r="L250" s="20">
        <v>3.0</v>
      </c>
      <c r="M250" s="63"/>
      <c r="N250" s="23"/>
      <c r="O250" s="19">
        <v>1.0</v>
      </c>
      <c r="P250" s="40">
        <v>0.009515928837401738</v>
      </c>
      <c r="Q250" s="40">
        <v>0.005931198102016607</v>
      </c>
      <c r="R250" s="40">
        <v>0.0</v>
      </c>
      <c r="S250" s="40">
        <v>0.028169014084507043</v>
      </c>
      <c r="T250" s="40">
        <v>0.021739130434782608</v>
      </c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 ht="15.75" customHeight="1">
      <c r="A251" s="63"/>
      <c r="B251" s="63"/>
      <c r="C251" s="63"/>
      <c r="D251" s="63"/>
      <c r="E251" s="63"/>
      <c r="F251" s="24"/>
      <c r="G251" s="19">
        <v>2.0</v>
      </c>
      <c r="H251" s="16">
        <v>15.0</v>
      </c>
      <c r="I251" s="16">
        <v>4.0</v>
      </c>
      <c r="J251" s="16">
        <v>0.0</v>
      </c>
      <c r="K251" s="16">
        <v>4.0</v>
      </c>
      <c r="L251" s="16">
        <v>3.0</v>
      </c>
      <c r="M251" s="63"/>
      <c r="N251" s="23"/>
      <c r="O251" s="19">
        <v>2.0</v>
      </c>
      <c r="P251" s="40">
        <v>0.006206040546131568</v>
      </c>
      <c r="Q251" s="40">
        <v>0.004744958481613286</v>
      </c>
      <c r="R251" s="40">
        <v>0.0</v>
      </c>
      <c r="S251" s="40">
        <v>0.018779342723004695</v>
      </c>
      <c r="T251" s="40">
        <v>0.021739130434782608</v>
      </c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 ht="15.75" customHeight="1">
      <c r="A252" s="63"/>
      <c r="B252" s="63"/>
      <c r="C252" s="63"/>
      <c r="D252" s="63"/>
      <c r="E252" s="63"/>
      <c r="F252" s="24"/>
      <c r="G252" s="19">
        <v>3.0</v>
      </c>
      <c r="H252" s="20">
        <v>12.0</v>
      </c>
      <c r="I252" s="20">
        <v>5.0</v>
      </c>
      <c r="J252" s="20">
        <v>0.0</v>
      </c>
      <c r="K252" s="20">
        <v>2.0</v>
      </c>
      <c r="L252" s="20">
        <v>8.0</v>
      </c>
      <c r="M252" s="63"/>
      <c r="N252" s="23"/>
      <c r="O252" s="19">
        <v>3.0</v>
      </c>
      <c r="P252" s="40">
        <v>0.004964832436905255</v>
      </c>
      <c r="Q252" s="40">
        <v>0.005931198102016607</v>
      </c>
      <c r="R252" s="40">
        <v>0.0</v>
      </c>
      <c r="S252" s="40">
        <v>0.009389671361502348</v>
      </c>
      <c r="T252" s="40">
        <v>0.057971014492753624</v>
      </c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 ht="15.75" customHeight="1">
      <c r="A253" s="63"/>
      <c r="B253" s="63"/>
      <c r="C253" s="63"/>
      <c r="D253" s="63"/>
      <c r="E253" s="63"/>
      <c r="F253" s="24"/>
      <c r="G253" s="19">
        <v>4.0</v>
      </c>
      <c r="H253" s="20">
        <v>28.0</v>
      </c>
      <c r="I253" s="20">
        <v>7.0</v>
      </c>
      <c r="J253" s="20">
        <v>0.0</v>
      </c>
      <c r="K253" s="20">
        <v>9.0</v>
      </c>
      <c r="L253" s="20">
        <v>3.0</v>
      </c>
      <c r="M253" s="63"/>
      <c r="N253" s="23"/>
      <c r="O253" s="19">
        <v>4.0</v>
      </c>
      <c r="P253" s="40">
        <v>0.011584609019445594</v>
      </c>
      <c r="Q253" s="40">
        <v>0.00830367734282325</v>
      </c>
      <c r="R253" s="40">
        <v>0.0</v>
      </c>
      <c r="S253" s="40">
        <v>0.04225352112676056</v>
      </c>
      <c r="T253" s="40">
        <v>0.021739130434782608</v>
      </c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 ht="15.75" customHeight="1">
      <c r="A254" s="63"/>
      <c r="B254" s="63"/>
      <c r="C254" s="63"/>
      <c r="D254" s="63"/>
      <c r="E254" s="63"/>
      <c r="F254" s="24"/>
      <c r="G254" s="19">
        <v>5.0</v>
      </c>
      <c r="H254" s="20">
        <v>41.0</v>
      </c>
      <c r="I254" s="20">
        <v>11.0</v>
      </c>
      <c r="J254" s="20">
        <v>0.0</v>
      </c>
      <c r="K254" s="20">
        <v>3.0</v>
      </c>
      <c r="L254" s="20">
        <v>8.0</v>
      </c>
      <c r="M254" s="63"/>
      <c r="N254" s="23"/>
      <c r="O254" s="19">
        <v>5.0</v>
      </c>
      <c r="P254" s="40">
        <v>0.01696317749275962</v>
      </c>
      <c r="Q254" s="40">
        <v>0.013048635824436536</v>
      </c>
      <c r="R254" s="40">
        <v>0.0</v>
      </c>
      <c r="S254" s="40">
        <v>0.014084507042253521</v>
      </c>
      <c r="T254" s="40">
        <v>0.057971014492753624</v>
      </c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 ht="15.75" customHeight="1">
      <c r="A255" s="63"/>
      <c r="B255" s="63"/>
      <c r="C255" s="63"/>
      <c r="D255" s="63"/>
      <c r="E255" s="63"/>
      <c r="F255" s="24"/>
      <c r="G255" s="19">
        <v>6.0</v>
      </c>
      <c r="H255" s="20">
        <v>68.0</v>
      </c>
      <c r="I255" s="20">
        <v>18.0</v>
      </c>
      <c r="J255" s="20">
        <v>0.0</v>
      </c>
      <c r="K255" s="20">
        <v>8.0</v>
      </c>
      <c r="L255" s="20">
        <v>5.0</v>
      </c>
      <c r="M255" s="63"/>
      <c r="N255" s="23"/>
      <c r="O255" s="19">
        <v>6.0</v>
      </c>
      <c r="P255" s="40">
        <v>0.02813405047579644</v>
      </c>
      <c r="Q255" s="40">
        <v>0.021352313167259787</v>
      </c>
      <c r="R255" s="40">
        <v>0.0</v>
      </c>
      <c r="S255" s="40">
        <v>0.03755868544600939</v>
      </c>
      <c r="T255" s="40">
        <v>0.036231884057971016</v>
      </c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 ht="15.75" customHeight="1">
      <c r="A256" s="63"/>
      <c r="B256" s="63"/>
      <c r="C256" s="63"/>
      <c r="D256" s="63"/>
      <c r="E256" s="63"/>
      <c r="F256" s="24"/>
      <c r="G256" s="19">
        <v>7.0</v>
      </c>
      <c r="H256" s="20">
        <v>83.0</v>
      </c>
      <c r="I256" s="20">
        <v>32.0</v>
      </c>
      <c r="J256" s="20">
        <v>3.0</v>
      </c>
      <c r="K256" s="20">
        <v>14.0</v>
      </c>
      <c r="L256" s="20">
        <v>5.0</v>
      </c>
      <c r="M256" s="63"/>
      <c r="N256" s="23"/>
      <c r="O256" s="19">
        <v>7.0</v>
      </c>
      <c r="P256" s="40">
        <v>0.03434009102192801</v>
      </c>
      <c r="Q256" s="40">
        <v>0.03795966785290629</v>
      </c>
      <c r="R256" s="40">
        <v>0.2</v>
      </c>
      <c r="S256" s="40">
        <v>0.06572769953051644</v>
      </c>
      <c r="T256" s="40">
        <v>0.036231884057971016</v>
      </c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 ht="15.75" customHeight="1">
      <c r="A257" s="63"/>
      <c r="B257" s="63"/>
      <c r="C257" s="63"/>
      <c r="D257" s="63"/>
      <c r="E257" s="63"/>
      <c r="F257" s="24"/>
      <c r="G257" s="19">
        <v>8.0</v>
      </c>
      <c r="H257" s="20">
        <v>73.0</v>
      </c>
      <c r="I257" s="20">
        <v>52.0</v>
      </c>
      <c r="J257" s="20">
        <v>0.0</v>
      </c>
      <c r="K257" s="20">
        <v>21.0</v>
      </c>
      <c r="L257" s="20">
        <v>7.0</v>
      </c>
      <c r="M257" s="63"/>
      <c r="N257" s="23"/>
      <c r="O257" s="19">
        <v>8.0</v>
      </c>
      <c r="P257" s="40">
        <v>0.030202730657840297</v>
      </c>
      <c r="Q257" s="40">
        <v>0.06168446026097272</v>
      </c>
      <c r="R257" s="40">
        <v>0.0</v>
      </c>
      <c r="S257" s="40">
        <v>0.09859154929577464</v>
      </c>
      <c r="T257" s="40">
        <v>0.050724637681159424</v>
      </c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 ht="15.75" customHeight="1">
      <c r="A258" s="63"/>
      <c r="B258" s="63"/>
      <c r="C258" s="63"/>
      <c r="D258" s="63"/>
      <c r="E258" s="63"/>
      <c r="F258" s="24"/>
      <c r="G258" s="19">
        <v>9.0</v>
      </c>
      <c r="H258" s="20">
        <v>99.0</v>
      </c>
      <c r="I258" s="20">
        <v>62.0</v>
      </c>
      <c r="J258" s="20">
        <v>0.0</v>
      </c>
      <c r="K258" s="20">
        <v>18.0</v>
      </c>
      <c r="L258" s="20">
        <v>6.0</v>
      </c>
      <c r="M258" s="63"/>
      <c r="N258" s="23"/>
      <c r="O258" s="19">
        <v>9.0</v>
      </c>
      <c r="P258" s="40">
        <v>0.04095986760446835</v>
      </c>
      <c r="Q258" s="40">
        <v>0.07354685646500593</v>
      </c>
      <c r="R258" s="40">
        <v>0.0</v>
      </c>
      <c r="S258" s="40">
        <v>0.08450704225352113</v>
      </c>
      <c r="T258" s="40">
        <v>0.043478260869565216</v>
      </c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 ht="15.75" customHeight="1">
      <c r="A259" s="63"/>
      <c r="B259" s="63"/>
      <c r="C259" s="63"/>
      <c r="D259" s="63"/>
      <c r="E259" s="63"/>
      <c r="F259" s="24"/>
      <c r="G259" s="19">
        <v>10.0</v>
      </c>
      <c r="H259" s="20">
        <v>125.0</v>
      </c>
      <c r="I259" s="20">
        <v>60.0</v>
      </c>
      <c r="J259" s="20">
        <v>2.0</v>
      </c>
      <c r="K259" s="20">
        <v>15.0</v>
      </c>
      <c r="L259" s="20">
        <v>7.0</v>
      </c>
      <c r="M259" s="63"/>
      <c r="N259" s="23"/>
      <c r="O259" s="19">
        <v>10.0</v>
      </c>
      <c r="P259" s="40">
        <v>0.0517170045510964</v>
      </c>
      <c r="Q259" s="40">
        <v>0.0711743772241993</v>
      </c>
      <c r="R259" s="40">
        <v>0.13333333333333333</v>
      </c>
      <c r="S259" s="40">
        <v>0.07042253521126761</v>
      </c>
      <c r="T259" s="40">
        <v>0.050724637681159424</v>
      </c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 ht="15.75" customHeight="1">
      <c r="A260" s="63"/>
      <c r="B260" s="63"/>
      <c r="C260" s="63"/>
      <c r="D260" s="63"/>
      <c r="E260" s="63"/>
      <c r="F260" s="24"/>
      <c r="G260" s="19">
        <v>11.0</v>
      </c>
      <c r="H260" s="20">
        <v>166.0</v>
      </c>
      <c r="I260" s="20">
        <v>52.0</v>
      </c>
      <c r="J260" s="20">
        <v>1.0</v>
      </c>
      <c r="K260" s="20">
        <v>3.0</v>
      </c>
      <c r="L260" s="20">
        <v>8.0</v>
      </c>
      <c r="M260" s="63"/>
      <c r="N260" s="23"/>
      <c r="O260" s="19">
        <v>11.0</v>
      </c>
      <c r="P260" s="40">
        <v>0.06868018204385602</v>
      </c>
      <c r="Q260" s="40">
        <v>0.06168446026097272</v>
      </c>
      <c r="R260" s="40">
        <v>0.06666666666666667</v>
      </c>
      <c r="S260" s="40">
        <v>0.014084507042253521</v>
      </c>
      <c r="T260" s="40">
        <v>0.057971014492753624</v>
      </c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 ht="15.75" customHeight="1">
      <c r="A261" s="63"/>
      <c r="B261" s="63"/>
      <c r="C261" s="63"/>
      <c r="D261" s="63"/>
      <c r="E261" s="63"/>
      <c r="F261" s="24"/>
      <c r="G261" s="19">
        <v>12.0</v>
      </c>
      <c r="H261" s="20">
        <v>169.0</v>
      </c>
      <c r="I261" s="20">
        <v>56.0</v>
      </c>
      <c r="J261" s="20">
        <v>1.0</v>
      </c>
      <c r="K261" s="20">
        <v>6.0</v>
      </c>
      <c r="L261" s="20">
        <v>7.0</v>
      </c>
      <c r="M261" s="63"/>
      <c r="N261" s="23"/>
      <c r="O261" s="19">
        <v>12.0</v>
      </c>
      <c r="P261" s="40">
        <v>0.06992139015308234</v>
      </c>
      <c r="Q261" s="40">
        <v>0.066429418742586</v>
      </c>
      <c r="R261" s="40">
        <v>0.06666666666666667</v>
      </c>
      <c r="S261" s="40">
        <v>0.028169014084507043</v>
      </c>
      <c r="T261" s="40">
        <v>0.050724637681159424</v>
      </c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 ht="15.75" customHeight="1">
      <c r="A262" s="63"/>
      <c r="B262" s="63"/>
      <c r="C262" s="63"/>
      <c r="D262" s="63"/>
      <c r="E262" s="63"/>
      <c r="F262" s="24"/>
      <c r="G262" s="19">
        <v>13.0</v>
      </c>
      <c r="H262" s="20">
        <v>164.0</v>
      </c>
      <c r="I262" s="20">
        <v>52.0</v>
      </c>
      <c r="J262" s="20">
        <v>1.0</v>
      </c>
      <c r="K262" s="20">
        <v>3.0</v>
      </c>
      <c r="L262" s="20">
        <v>3.0</v>
      </c>
      <c r="M262" s="63"/>
      <c r="N262" s="23"/>
      <c r="O262" s="19">
        <v>13.0</v>
      </c>
      <c r="P262" s="40">
        <v>0.06785270997103848</v>
      </c>
      <c r="Q262" s="40">
        <v>0.06168446026097272</v>
      </c>
      <c r="R262" s="40">
        <v>0.06666666666666667</v>
      </c>
      <c r="S262" s="40">
        <v>0.014084507042253521</v>
      </c>
      <c r="T262" s="40">
        <v>0.021739130434782608</v>
      </c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 ht="15.75" customHeight="1">
      <c r="A263" s="63"/>
      <c r="B263" s="63"/>
      <c r="C263" s="63"/>
      <c r="D263" s="63"/>
      <c r="E263" s="63"/>
      <c r="F263" s="24"/>
      <c r="G263" s="19">
        <v>14.0</v>
      </c>
      <c r="H263" s="20">
        <v>192.0</v>
      </c>
      <c r="I263" s="20">
        <v>61.0</v>
      </c>
      <c r="J263" s="20">
        <v>3.0</v>
      </c>
      <c r="K263" s="20">
        <v>8.0</v>
      </c>
      <c r="L263" s="20">
        <v>12.0</v>
      </c>
      <c r="M263" s="63"/>
      <c r="N263" s="23"/>
      <c r="O263" s="19">
        <v>14.0</v>
      </c>
      <c r="P263" s="40">
        <v>0.07943731899048408</v>
      </c>
      <c r="Q263" s="40">
        <v>0.07236061684460261</v>
      </c>
      <c r="R263" s="40">
        <v>0.2</v>
      </c>
      <c r="S263" s="40">
        <v>0.03755868544600939</v>
      </c>
      <c r="T263" s="40">
        <v>0.08695652173913043</v>
      </c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 ht="15.75" customHeight="1">
      <c r="A264" s="63"/>
      <c r="B264" s="63"/>
      <c r="C264" s="63"/>
      <c r="D264" s="63"/>
      <c r="E264" s="63"/>
      <c r="F264" s="24"/>
      <c r="G264" s="19">
        <v>15.0</v>
      </c>
      <c r="H264" s="20">
        <v>198.0</v>
      </c>
      <c r="I264" s="20">
        <v>79.0</v>
      </c>
      <c r="J264" s="20">
        <v>1.0</v>
      </c>
      <c r="K264" s="20">
        <v>13.0</v>
      </c>
      <c r="L264" s="20">
        <v>5.0</v>
      </c>
      <c r="M264" s="63"/>
      <c r="N264" s="23"/>
      <c r="O264" s="19">
        <v>15.0</v>
      </c>
      <c r="P264" s="40">
        <v>0.0819197352089367</v>
      </c>
      <c r="Q264" s="40">
        <v>0.0937129300118624</v>
      </c>
      <c r="R264" s="40">
        <v>0.06666666666666667</v>
      </c>
      <c r="S264" s="40">
        <v>0.06103286384976526</v>
      </c>
      <c r="T264" s="40">
        <v>0.036231884057971016</v>
      </c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 ht="15.75" customHeight="1">
      <c r="A265" s="63"/>
      <c r="B265" s="63"/>
      <c r="C265" s="63"/>
      <c r="D265" s="63"/>
      <c r="E265" s="63"/>
      <c r="F265" s="24"/>
      <c r="G265" s="19">
        <v>16.0</v>
      </c>
      <c r="H265" s="20">
        <v>169.0</v>
      </c>
      <c r="I265" s="20">
        <v>54.0</v>
      </c>
      <c r="J265" s="20">
        <v>0.0</v>
      </c>
      <c r="K265" s="20">
        <v>12.0</v>
      </c>
      <c r="L265" s="20">
        <v>8.0</v>
      </c>
      <c r="M265" s="63"/>
      <c r="N265" s="23"/>
      <c r="O265" s="19">
        <v>16.0</v>
      </c>
      <c r="P265" s="40">
        <v>0.06992139015308234</v>
      </c>
      <c r="Q265" s="40">
        <v>0.06405693950177936</v>
      </c>
      <c r="R265" s="40">
        <v>0.0</v>
      </c>
      <c r="S265" s="40">
        <v>0.056338028169014086</v>
      </c>
      <c r="T265" s="40">
        <v>0.057971014492753624</v>
      </c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</row>
    <row r="266" ht="15.75" customHeight="1">
      <c r="A266" s="63"/>
      <c r="B266" s="63"/>
      <c r="C266" s="63"/>
      <c r="D266" s="63"/>
      <c r="E266" s="63"/>
      <c r="F266" s="24"/>
      <c r="G266" s="19">
        <v>17.0</v>
      </c>
      <c r="H266" s="20">
        <v>140.0</v>
      </c>
      <c r="I266" s="20">
        <v>42.0</v>
      </c>
      <c r="J266" s="20">
        <v>0.0</v>
      </c>
      <c r="K266" s="20">
        <v>11.0</v>
      </c>
      <c r="L266" s="20">
        <v>6.0</v>
      </c>
      <c r="M266" s="63"/>
      <c r="N266" s="23"/>
      <c r="O266" s="19">
        <v>17.0</v>
      </c>
      <c r="P266" s="40">
        <v>0.05792304509722797</v>
      </c>
      <c r="Q266" s="40">
        <v>0.0498220640569395</v>
      </c>
      <c r="R266" s="40">
        <v>0.0</v>
      </c>
      <c r="S266" s="40">
        <v>0.051643192488262914</v>
      </c>
      <c r="T266" s="40">
        <v>0.043478260869565216</v>
      </c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 ht="15.75" customHeight="1">
      <c r="A267" s="63"/>
      <c r="B267" s="63"/>
      <c r="C267" s="63"/>
      <c r="D267" s="63"/>
      <c r="E267" s="63"/>
      <c r="F267" s="24"/>
      <c r="G267" s="19">
        <v>18.0</v>
      </c>
      <c r="H267" s="20">
        <v>127.0</v>
      </c>
      <c r="I267" s="20">
        <v>36.0</v>
      </c>
      <c r="J267" s="20">
        <v>0.0</v>
      </c>
      <c r="K267" s="20">
        <v>10.0</v>
      </c>
      <c r="L267" s="20">
        <v>9.0</v>
      </c>
      <c r="M267" s="63"/>
      <c r="N267" s="23"/>
      <c r="O267" s="19">
        <v>18.0</v>
      </c>
      <c r="P267" s="40">
        <v>0.05254447662391394</v>
      </c>
      <c r="Q267" s="40">
        <v>0.042704626334519574</v>
      </c>
      <c r="R267" s="40">
        <v>0.0</v>
      </c>
      <c r="S267" s="40">
        <v>0.046948356807511735</v>
      </c>
      <c r="T267" s="40">
        <v>0.06521739130434782</v>
      </c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 ht="15.75" customHeight="1">
      <c r="A268" s="63"/>
      <c r="B268" s="63"/>
      <c r="C268" s="63"/>
      <c r="D268" s="63"/>
      <c r="E268" s="63"/>
      <c r="F268" s="24"/>
      <c r="G268" s="19">
        <v>19.0</v>
      </c>
      <c r="H268" s="20">
        <v>109.0</v>
      </c>
      <c r="I268" s="20">
        <v>43.0</v>
      </c>
      <c r="J268" s="20">
        <v>1.0</v>
      </c>
      <c r="K268" s="20">
        <v>10.0</v>
      </c>
      <c r="L268" s="20">
        <v>7.0</v>
      </c>
      <c r="M268" s="63"/>
      <c r="N268" s="23"/>
      <c r="O268" s="19">
        <v>19.0</v>
      </c>
      <c r="P268" s="40">
        <v>0.04509722796855606</v>
      </c>
      <c r="Q268" s="40">
        <v>0.051008303677342826</v>
      </c>
      <c r="R268" s="40">
        <v>0.06666666666666667</v>
      </c>
      <c r="S268" s="40">
        <v>0.046948356807511735</v>
      </c>
      <c r="T268" s="40">
        <v>0.050724637681159424</v>
      </c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 ht="15.75" customHeight="1">
      <c r="A269" s="63"/>
      <c r="B269" s="63"/>
      <c r="C269" s="63"/>
      <c r="D269" s="63"/>
      <c r="E269" s="63"/>
      <c r="F269" s="24"/>
      <c r="G269" s="19">
        <v>20.0</v>
      </c>
      <c r="H269" s="20">
        <v>123.0</v>
      </c>
      <c r="I269" s="20">
        <v>21.0</v>
      </c>
      <c r="J269" s="20">
        <v>1.0</v>
      </c>
      <c r="K269" s="20">
        <v>15.0</v>
      </c>
      <c r="L269" s="20">
        <v>2.0</v>
      </c>
      <c r="M269" s="63"/>
      <c r="N269" s="23"/>
      <c r="O269" s="19">
        <v>20.0</v>
      </c>
      <c r="P269" s="40">
        <v>0.050889532478278855</v>
      </c>
      <c r="Q269" s="40">
        <v>0.02491103202846975</v>
      </c>
      <c r="R269" s="40">
        <v>0.06666666666666667</v>
      </c>
      <c r="S269" s="40">
        <v>0.07042253521126761</v>
      </c>
      <c r="T269" s="40">
        <v>0.014492753623188406</v>
      </c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 ht="15.75" customHeight="1">
      <c r="A270" s="63"/>
      <c r="B270" s="63"/>
      <c r="C270" s="63"/>
      <c r="D270" s="63"/>
      <c r="E270" s="63"/>
      <c r="F270" s="24"/>
      <c r="G270" s="19">
        <v>21.0</v>
      </c>
      <c r="H270" s="20">
        <v>79.0</v>
      </c>
      <c r="I270" s="20">
        <v>37.0</v>
      </c>
      <c r="J270" s="20">
        <v>0.0</v>
      </c>
      <c r="K270" s="20">
        <v>5.0</v>
      </c>
      <c r="L270" s="20">
        <v>3.0</v>
      </c>
      <c r="M270" s="63"/>
      <c r="N270" s="23"/>
      <c r="O270" s="19">
        <v>21.0</v>
      </c>
      <c r="P270" s="40">
        <v>0.032685146876292925</v>
      </c>
      <c r="Q270" s="40">
        <v>0.04389086595492289</v>
      </c>
      <c r="R270" s="40">
        <v>0.0</v>
      </c>
      <c r="S270" s="40">
        <v>0.023474178403755867</v>
      </c>
      <c r="T270" s="40">
        <v>0.021739130434782608</v>
      </c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 ht="15.75" customHeight="1">
      <c r="A271" s="63"/>
      <c r="B271" s="63"/>
      <c r="C271" s="63"/>
      <c r="D271" s="63"/>
      <c r="E271" s="63"/>
      <c r="F271" s="24"/>
      <c r="G271" s="19">
        <v>22.0</v>
      </c>
      <c r="H271" s="20">
        <v>100.0</v>
      </c>
      <c r="I271" s="20">
        <v>25.0</v>
      </c>
      <c r="J271" s="20">
        <v>0.0</v>
      </c>
      <c r="K271" s="20">
        <v>3.0</v>
      </c>
      <c r="L271" s="20">
        <v>5.0</v>
      </c>
      <c r="M271" s="63"/>
      <c r="N271" s="23"/>
      <c r="O271" s="19">
        <v>22.0</v>
      </c>
      <c r="P271" s="40">
        <v>0.04137360364087712</v>
      </c>
      <c r="Q271" s="40">
        <v>0.02965599051008304</v>
      </c>
      <c r="R271" s="40">
        <v>0.0</v>
      </c>
      <c r="S271" s="40">
        <v>0.014084507042253521</v>
      </c>
      <c r="T271" s="40">
        <v>0.036231884057971016</v>
      </c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 ht="15.75" customHeight="1">
      <c r="A272" s="63"/>
      <c r="B272" s="63"/>
      <c r="C272" s="63"/>
      <c r="D272" s="63"/>
      <c r="E272" s="63"/>
      <c r="F272" s="28"/>
      <c r="G272" s="71">
        <v>23.0</v>
      </c>
      <c r="H272" s="20">
        <v>65.0</v>
      </c>
      <c r="I272" s="20">
        <v>14.0</v>
      </c>
      <c r="J272" s="20">
        <v>1.0</v>
      </c>
      <c r="K272" s="20">
        <v>8.0</v>
      </c>
      <c r="L272" s="20">
        <v>3.0</v>
      </c>
      <c r="M272" s="63"/>
      <c r="N272" s="27"/>
      <c r="O272" s="19">
        <v>23.0</v>
      </c>
      <c r="P272" s="40">
        <v>0.02689284236657013</v>
      </c>
      <c r="Q272" s="40">
        <v>0.0166073546856465</v>
      </c>
      <c r="R272" s="40">
        <v>0.06666666666666667</v>
      </c>
      <c r="S272" s="40">
        <v>0.03755868544600939</v>
      </c>
      <c r="T272" s="40">
        <v>0.021739130434782608</v>
      </c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 ht="15.75" customHeight="1">
      <c r="A273" s="63"/>
      <c r="B273" s="63"/>
      <c r="C273" s="63"/>
      <c r="D273" s="63"/>
      <c r="E273" s="63"/>
      <c r="F273" s="56">
        <v>45205.0</v>
      </c>
      <c r="G273" s="19">
        <v>0.0</v>
      </c>
      <c r="H273" s="19">
        <v>44.0</v>
      </c>
      <c r="I273" s="19">
        <v>12.0</v>
      </c>
      <c r="J273" s="19">
        <v>0.0</v>
      </c>
      <c r="K273" s="19">
        <v>5.0</v>
      </c>
      <c r="L273" s="19">
        <v>5.0</v>
      </c>
      <c r="M273" s="63"/>
      <c r="N273" s="56">
        <v>45205.0</v>
      </c>
      <c r="O273" s="19">
        <v>0.0</v>
      </c>
      <c r="P273" s="44">
        <v>0.004839419269687638</v>
      </c>
      <c r="Q273" s="44">
        <v>0.0035231943628890195</v>
      </c>
      <c r="R273" s="44">
        <v>0.0</v>
      </c>
      <c r="S273" s="44">
        <v>0.010416666666666666</v>
      </c>
      <c r="T273" s="44">
        <v>0.010706638115631691</v>
      </c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 ht="15.75" customHeight="1">
      <c r="A274" s="63"/>
      <c r="B274" s="63"/>
      <c r="C274" s="63"/>
      <c r="D274" s="63"/>
      <c r="E274" s="63"/>
      <c r="F274" s="24"/>
      <c r="G274" s="19">
        <v>1.0</v>
      </c>
      <c r="H274" s="45">
        <v>29.0</v>
      </c>
      <c r="I274" s="45">
        <v>10.0</v>
      </c>
      <c r="J274" s="45">
        <v>1.0</v>
      </c>
      <c r="K274" s="45">
        <v>5.0</v>
      </c>
      <c r="L274" s="45">
        <v>3.0</v>
      </c>
      <c r="M274" s="63"/>
      <c r="N274" s="23"/>
      <c r="O274" s="19">
        <v>1.0</v>
      </c>
      <c r="P274" s="44">
        <v>0.0031896172459304883</v>
      </c>
      <c r="Q274" s="44">
        <v>0.002935995302407516</v>
      </c>
      <c r="R274" s="44">
        <v>0.006578947368421052</v>
      </c>
      <c r="S274" s="44">
        <v>0.010416666666666666</v>
      </c>
      <c r="T274" s="44">
        <v>0.006423982869379015</v>
      </c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 ht="15.75" customHeight="1">
      <c r="A275" s="63"/>
      <c r="B275" s="63"/>
      <c r="C275" s="63"/>
      <c r="D275" s="63"/>
      <c r="E275" s="63"/>
      <c r="F275" s="24"/>
      <c r="G275" s="19">
        <v>2.0</v>
      </c>
      <c r="H275" s="45">
        <v>25.0</v>
      </c>
      <c r="I275" s="45">
        <v>10.0</v>
      </c>
      <c r="J275" s="45">
        <v>0.0</v>
      </c>
      <c r="K275" s="45">
        <v>6.0</v>
      </c>
      <c r="L275" s="45">
        <v>3.0</v>
      </c>
      <c r="M275" s="63"/>
      <c r="N275" s="23"/>
      <c r="O275" s="19">
        <v>2.0</v>
      </c>
      <c r="P275" s="44">
        <v>0.0027496700395952486</v>
      </c>
      <c r="Q275" s="44">
        <v>0.002935995302407516</v>
      </c>
      <c r="R275" s="44">
        <v>0.0</v>
      </c>
      <c r="S275" s="44">
        <v>0.0125</v>
      </c>
      <c r="T275" s="44">
        <v>0.006423982869379015</v>
      </c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 ht="15.75" customHeight="1">
      <c r="A276" s="63"/>
      <c r="B276" s="63"/>
      <c r="C276" s="63"/>
      <c r="D276" s="63"/>
      <c r="E276" s="63"/>
      <c r="F276" s="24"/>
      <c r="G276" s="19">
        <v>3.0</v>
      </c>
      <c r="H276" s="45">
        <v>35.0</v>
      </c>
      <c r="I276" s="45">
        <v>10.0</v>
      </c>
      <c r="J276" s="45">
        <v>0.0</v>
      </c>
      <c r="K276" s="45">
        <v>7.0</v>
      </c>
      <c r="L276" s="45">
        <v>4.0</v>
      </c>
      <c r="M276" s="63"/>
      <c r="N276" s="23"/>
      <c r="O276" s="19">
        <v>3.0</v>
      </c>
      <c r="P276" s="44">
        <v>0.003849538055433348</v>
      </c>
      <c r="Q276" s="44">
        <v>0.002935995302407516</v>
      </c>
      <c r="R276" s="44">
        <v>0.0</v>
      </c>
      <c r="S276" s="44">
        <v>0.014583333333333334</v>
      </c>
      <c r="T276" s="44">
        <v>0.008565310492505354</v>
      </c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 ht="15.75" customHeight="1">
      <c r="A277" s="63"/>
      <c r="B277" s="63"/>
      <c r="C277" s="63"/>
      <c r="D277" s="63"/>
      <c r="E277" s="63"/>
      <c r="F277" s="24"/>
      <c r="G277" s="19">
        <v>4.0</v>
      </c>
      <c r="H277" s="45">
        <v>51.0</v>
      </c>
      <c r="I277" s="45">
        <v>40.0</v>
      </c>
      <c r="J277" s="45">
        <v>2.0</v>
      </c>
      <c r="K277" s="45">
        <v>16.0</v>
      </c>
      <c r="L277" s="45">
        <v>7.0</v>
      </c>
      <c r="M277" s="63"/>
      <c r="N277" s="23"/>
      <c r="O277" s="19">
        <v>4.0</v>
      </c>
      <c r="P277" s="44">
        <v>0.005609326880774307</v>
      </c>
      <c r="Q277" s="44">
        <v>0.011743981209630064</v>
      </c>
      <c r="R277" s="44">
        <v>0.013157894736842105</v>
      </c>
      <c r="S277" s="44">
        <v>0.03333333333333333</v>
      </c>
      <c r="T277" s="44">
        <v>0.014989293361884369</v>
      </c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 ht="15.75" customHeight="1">
      <c r="A278" s="63"/>
      <c r="B278" s="63"/>
      <c r="C278" s="63"/>
      <c r="D278" s="63"/>
      <c r="E278" s="63"/>
      <c r="F278" s="24"/>
      <c r="G278" s="19">
        <v>5.0</v>
      </c>
      <c r="H278" s="45">
        <v>125.0</v>
      </c>
      <c r="I278" s="45">
        <v>57.0</v>
      </c>
      <c r="J278" s="45">
        <v>3.0</v>
      </c>
      <c r="K278" s="45">
        <v>25.0</v>
      </c>
      <c r="L278" s="45">
        <v>28.0</v>
      </c>
      <c r="M278" s="63"/>
      <c r="N278" s="23"/>
      <c r="O278" s="19">
        <v>5.0</v>
      </c>
      <c r="P278" s="44">
        <v>0.013748350197976242</v>
      </c>
      <c r="Q278" s="44">
        <v>0.01673517322372284</v>
      </c>
      <c r="R278" s="44">
        <v>0.019736842105263157</v>
      </c>
      <c r="S278" s="44">
        <v>0.052083333333333336</v>
      </c>
      <c r="T278" s="44">
        <v>0.059957173447537475</v>
      </c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 ht="15.75" customHeight="1">
      <c r="A279" s="63"/>
      <c r="B279" s="63"/>
      <c r="C279" s="63"/>
      <c r="D279" s="63"/>
      <c r="E279" s="63"/>
      <c r="F279" s="24"/>
      <c r="G279" s="19">
        <v>6.0</v>
      </c>
      <c r="H279" s="45">
        <v>351.0</v>
      </c>
      <c r="I279" s="45">
        <v>114.0</v>
      </c>
      <c r="J279" s="45">
        <v>19.0</v>
      </c>
      <c r="K279" s="45">
        <v>13.0</v>
      </c>
      <c r="L279" s="45">
        <v>17.0</v>
      </c>
      <c r="M279" s="63"/>
      <c r="N279" s="23"/>
      <c r="O279" s="19">
        <v>6.0</v>
      </c>
      <c r="P279" s="44">
        <v>0.03860536735591729</v>
      </c>
      <c r="Q279" s="44">
        <v>0.03347034644744568</v>
      </c>
      <c r="R279" s="44">
        <v>0.125</v>
      </c>
      <c r="S279" s="44">
        <v>0.027083333333333334</v>
      </c>
      <c r="T279" s="44">
        <v>0.03640256959314775</v>
      </c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 ht="15.75" customHeight="1">
      <c r="A280" s="63"/>
      <c r="B280" s="63"/>
      <c r="C280" s="63"/>
      <c r="D280" s="63"/>
      <c r="E280" s="63"/>
      <c r="F280" s="24"/>
      <c r="G280" s="19">
        <v>7.0</v>
      </c>
      <c r="H280" s="45">
        <v>566.0</v>
      </c>
      <c r="I280" s="45">
        <v>189.0</v>
      </c>
      <c r="J280" s="45">
        <v>15.0</v>
      </c>
      <c r="K280" s="45">
        <v>45.0</v>
      </c>
      <c r="L280" s="45">
        <v>27.0</v>
      </c>
      <c r="M280" s="63"/>
      <c r="N280" s="23"/>
      <c r="O280" s="19">
        <v>7.0</v>
      </c>
      <c r="P280" s="44">
        <v>0.06225252969643643</v>
      </c>
      <c r="Q280" s="44">
        <v>0.055490311215502054</v>
      </c>
      <c r="R280" s="44">
        <v>0.09868421052631579</v>
      </c>
      <c r="S280" s="44">
        <v>0.09375</v>
      </c>
      <c r="T280" s="44">
        <v>0.057815845824411134</v>
      </c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 ht="15.75" customHeight="1">
      <c r="A281" s="63"/>
      <c r="B281" s="63"/>
      <c r="C281" s="63"/>
      <c r="D281" s="63"/>
      <c r="E281" s="63"/>
      <c r="F281" s="24"/>
      <c r="G281" s="19">
        <v>8.0</v>
      </c>
      <c r="H281" s="45">
        <v>519.0</v>
      </c>
      <c r="I281" s="45">
        <v>237.0</v>
      </c>
      <c r="J281" s="45">
        <v>17.0</v>
      </c>
      <c r="K281" s="45">
        <v>43.0</v>
      </c>
      <c r="L281" s="45">
        <v>43.0</v>
      </c>
      <c r="M281" s="63"/>
      <c r="N281" s="23"/>
      <c r="O281" s="19">
        <v>8.0</v>
      </c>
      <c r="P281" s="44">
        <v>0.05708315002199736</v>
      </c>
      <c r="Q281" s="44">
        <v>0.06958308866705813</v>
      </c>
      <c r="R281" s="44">
        <v>0.1118421052631579</v>
      </c>
      <c r="S281" s="44">
        <v>0.08958333333333333</v>
      </c>
      <c r="T281" s="44">
        <v>0.09207708779443255</v>
      </c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 ht="15.75" customHeight="1">
      <c r="A282" s="63"/>
      <c r="B282" s="63"/>
      <c r="C282" s="63"/>
      <c r="D282" s="63"/>
      <c r="E282" s="63"/>
      <c r="F282" s="24"/>
      <c r="G282" s="19">
        <v>9.0</v>
      </c>
      <c r="H282" s="45">
        <v>512.0</v>
      </c>
      <c r="I282" s="45">
        <v>295.0</v>
      </c>
      <c r="J282" s="45">
        <v>11.0</v>
      </c>
      <c r="K282" s="45">
        <v>43.0</v>
      </c>
      <c r="L282" s="45">
        <v>48.0</v>
      </c>
      <c r="M282" s="63"/>
      <c r="N282" s="23"/>
      <c r="O282" s="19">
        <v>9.0</v>
      </c>
      <c r="P282" s="44">
        <v>0.056313242410910694</v>
      </c>
      <c r="Q282" s="44">
        <v>0.08661186142102173</v>
      </c>
      <c r="R282" s="44">
        <v>0.07236842105263158</v>
      </c>
      <c r="S282" s="44">
        <v>0.08958333333333333</v>
      </c>
      <c r="T282" s="44">
        <v>0.10278372591006424</v>
      </c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 ht="15.75" customHeight="1">
      <c r="A283" s="63"/>
      <c r="B283" s="63"/>
      <c r="C283" s="63"/>
      <c r="D283" s="63"/>
      <c r="E283" s="63"/>
      <c r="F283" s="24"/>
      <c r="G283" s="19">
        <v>10.0</v>
      </c>
      <c r="H283" s="45">
        <v>521.0</v>
      </c>
      <c r="I283" s="45">
        <v>246.0</v>
      </c>
      <c r="J283" s="45">
        <v>7.0</v>
      </c>
      <c r="K283" s="45">
        <v>36.0</v>
      </c>
      <c r="L283" s="45">
        <v>53.0</v>
      </c>
      <c r="M283" s="63"/>
      <c r="N283" s="23"/>
      <c r="O283" s="19">
        <v>10.0</v>
      </c>
      <c r="P283" s="44">
        <v>0.05730312362516498</v>
      </c>
      <c r="Q283" s="44">
        <v>0.0722254844392249</v>
      </c>
      <c r="R283" s="44">
        <v>0.046052631578947366</v>
      </c>
      <c r="S283" s="44">
        <v>0.075</v>
      </c>
      <c r="T283" s="44">
        <v>0.11349036402569593</v>
      </c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 ht="15.75" customHeight="1">
      <c r="A284" s="63"/>
      <c r="B284" s="63"/>
      <c r="C284" s="63"/>
      <c r="D284" s="63"/>
      <c r="E284" s="63"/>
      <c r="F284" s="24"/>
      <c r="G284" s="19">
        <v>11.0</v>
      </c>
      <c r="H284" s="45">
        <v>426.0</v>
      </c>
      <c r="I284" s="45">
        <v>204.0</v>
      </c>
      <c r="J284" s="45">
        <v>11.0</v>
      </c>
      <c r="K284" s="45">
        <v>28.0</v>
      </c>
      <c r="L284" s="45">
        <v>44.0</v>
      </c>
      <c r="M284" s="63"/>
      <c r="N284" s="23"/>
      <c r="O284" s="19">
        <v>11.0</v>
      </c>
      <c r="P284" s="44">
        <v>0.046854377474703036</v>
      </c>
      <c r="Q284" s="44">
        <v>0.05989430416911333</v>
      </c>
      <c r="R284" s="44">
        <v>0.07236842105263158</v>
      </c>
      <c r="S284" s="44">
        <v>0.058333333333333334</v>
      </c>
      <c r="T284" s="44">
        <v>0.09421841541755889</v>
      </c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 ht="15.75" customHeight="1">
      <c r="A285" s="63"/>
      <c r="B285" s="63"/>
      <c r="C285" s="63"/>
      <c r="D285" s="63"/>
      <c r="E285" s="63"/>
      <c r="F285" s="24"/>
      <c r="G285" s="19">
        <v>12.0</v>
      </c>
      <c r="H285" s="45">
        <v>470.0</v>
      </c>
      <c r="I285" s="45">
        <v>182.0</v>
      </c>
      <c r="J285" s="45">
        <v>20.0</v>
      </c>
      <c r="K285" s="45">
        <v>19.0</v>
      </c>
      <c r="L285" s="45">
        <v>40.0</v>
      </c>
      <c r="M285" s="63"/>
      <c r="N285" s="23"/>
      <c r="O285" s="19">
        <v>12.0</v>
      </c>
      <c r="P285" s="44">
        <v>0.051693796744390674</v>
      </c>
      <c r="Q285" s="44">
        <v>0.05343511450381679</v>
      </c>
      <c r="R285" s="44">
        <v>0.13157894736842105</v>
      </c>
      <c r="S285" s="44">
        <v>0.03958333333333333</v>
      </c>
      <c r="T285" s="44">
        <v>0.08565310492505353</v>
      </c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 ht="15.75" customHeight="1">
      <c r="A286" s="63"/>
      <c r="B286" s="63"/>
      <c r="C286" s="63"/>
      <c r="D286" s="63"/>
      <c r="E286" s="63"/>
      <c r="F286" s="24"/>
      <c r="G286" s="19">
        <v>13.0</v>
      </c>
      <c r="H286" s="45">
        <v>526.0</v>
      </c>
      <c r="I286" s="45">
        <v>203.0</v>
      </c>
      <c r="J286" s="45">
        <v>17.0</v>
      </c>
      <c r="K286" s="45">
        <v>27.0</v>
      </c>
      <c r="L286" s="45">
        <v>20.0</v>
      </c>
      <c r="M286" s="63"/>
      <c r="N286" s="23"/>
      <c r="O286" s="19">
        <v>13.0</v>
      </c>
      <c r="P286" s="44">
        <v>0.05785305763308403</v>
      </c>
      <c r="Q286" s="44">
        <v>0.05960070463887258</v>
      </c>
      <c r="R286" s="44">
        <v>0.1118421052631579</v>
      </c>
      <c r="S286" s="44">
        <v>0.05625</v>
      </c>
      <c r="T286" s="44">
        <v>0.042826552462526764</v>
      </c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 ht="15.75" customHeight="1">
      <c r="A287" s="63"/>
      <c r="B287" s="63"/>
      <c r="C287" s="63"/>
      <c r="D287" s="63"/>
      <c r="E287" s="63"/>
      <c r="F287" s="24"/>
      <c r="G287" s="19">
        <v>14.0</v>
      </c>
      <c r="H287" s="45">
        <v>513.0</v>
      </c>
      <c r="I287" s="45">
        <v>189.0</v>
      </c>
      <c r="J287" s="45">
        <v>3.0</v>
      </c>
      <c r="K287" s="45">
        <v>35.0</v>
      </c>
      <c r="L287" s="45">
        <v>24.0</v>
      </c>
      <c r="M287" s="63"/>
      <c r="N287" s="23"/>
      <c r="O287" s="19">
        <v>14.0</v>
      </c>
      <c r="P287" s="44">
        <v>0.0564232292124945</v>
      </c>
      <c r="Q287" s="44">
        <v>0.055490311215502054</v>
      </c>
      <c r="R287" s="44">
        <v>0.019736842105263157</v>
      </c>
      <c r="S287" s="44">
        <v>0.07291666666666667</v>
      </c>
      <c r="T287" s="44">
        <v>0.05139186295503212</v>
      </c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 ht="15.75" customHeight="1">
      <c r="A288" s="63"/>
      <c r="B288" s="63"/>
      <c r="C288" s="63"/>
      <c r="D288" s="63"/>
      <c r="E288" s="63"/>
      <c r="F288" s="24"/>
      <c r="G288" s="19">
        <v>15.0</v>
      </c>
      <c r="H288" s="45">
        <v>509.0</v>
      </c>
      <c r="I288" s="45">
        <v>163.0</v>
      </c>
      <c r="J288" s="45">
        <v>4.0</v>
      </c>
      <c r="K288" s="45">
        <v>25.0</v>
      </c>
      <c r="L288" s="45">
        <v>26.0</v>
      </c>
      <c r="M288" s="63"/>
      <c r="N288" s="23"/>
      <c r="O288" s="19">
        <v>15.0</v>
      </c>
      <c r="P288" s="44">
        <v>0.05598328200615926</v>
      </c>
      <c r="Q288" s="44">
        <v>0.04785672342924251</v>
      </c>
      <c r="R288" s="44">
        <v>0.02631578947368421</v>
      </c>
      <c r="S288" s="44">
        <v>0.052083333333333336</v>
      </c>
      <c r="T288" s="44">
        <v>0.055674518201284794</v>
      </c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 ht="15.75" customHeight="1">
      <c r="A289" s="63"/>
      <c r="B289" s="63"/>
      <c r="C289" s="63"/>
      <c r="D289" s="63"/>
      <c r="E289" s="63"/>
      <c r="F289" s="24"/>
      <c r="G289" s="19">
        <v>16.0</v>
      </c>
      <c r="H289" s="45">
        <v>487.0</v>
      </c>
      <c r="I289" s="45">
        <v>184.0</v>
      </c>
      <c r="J289" s="45">
        <v>4.0</v>
      </c>
      <c r="K289" s="45">
        <v>25.0</v>
      </c>
      <c r="L289" s="45">
        <v>19.0</v>
      </c>
      <c r="M289" s="63"/>
      <c r="N289" s="23"/>
      <c r="O289" s="19">
        <v>16.0</v>
      </c>
      <c r="P289" s="44">
        <v>0.05356357237131544</v>
      </c>
      <c r="Q289" s="44">
        <v>0.0540223135642983</v>
      </c>
      <c r="R289" s="44">
        <v>0.02631578947368421</v>
      </c>
      <c r="S289" s="44">
        <v>0.052083333333333336</v>
      </c>
      <c r="T289" s="44">
        <v>0.04068522483940043</v>
      </c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 ht="15.75" customHeight="1">
      <c r="A290" s="63"/>
      <c r="B290" s="63"/>
      <c r="C290" s="63"/>
      <c r="D290" s="63"/>
      <c r="E290" s="63"/>
      <c r="F290" s="24"/>
      <c r="G290" s="19">
        <v>17.0</v>
      </c>
      <c r="H290" s="45">
        <v>557.0</v>
      </c>
      <c r="I290" s="45">
        <v>210.0</v>
      </c>
      <c r="J290" s="45">
        <v>3.0</v>
      </c>
      <c r="K290" s="45">
        <v>18.0</v>
      </c>
      <c r="L290" s="45">
        <v>10.0</v>
      </c>
      <c r="M290" s="63"/>
      <c r="N290" s="23"/>
      <c r="O290" s="19">
        <v>17.0</v>
      </c>
      <c r="P290" s="44">
        <v>0.06126264848218214</v>
      </c>
      <c r="Q290" s="44">
        <v>0.06165590135055784</v>
      </c>
      <c r="R290" s="44">
        <v>0.019736842105263157</v>
      </c>
      <c r="S290" s="44">
        <v>0.0375</v>
      </c>
      <c r="T290" s="44">
        <v>0.021413276231263382</v>
      </c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 ht="15.75" customHeight="1">
      <c r="A291" s="63"/>
      <c r="B291" s="63"/>
      <c r="C291" s="63"/>
      <c r="D291" s="63"/>
      <c r="E291" s="63"/>
      <c r="F291" s="24"/>
      <c r="G291" s="19">
        <v>18.0</v>
      </c>
      <c r="H291" s="45">
        <v>534.0</v>
      </c>
      <c r="I291" s="45">
        <v>179.0</v>
      </c>
      <c r="J291" s="45">
        <v>2.0</v>
      </c>
      <c r="K291" s="45">
        <v>16.0</v>
      </c>
      <c r="L291" s="45">
        <v>11.0</v>
      </c>
      <c r="M291" s="63"/>
      <c r="N291" s="23"/>
      <c r="O291" s="19">
        <v>18.0</v>
      </c>
      <c r="P291" s="44">
        <v>0.05873295204575451</v>
      </c>
      <c r="Q291" s="44">
        <v>0.05255431591309454</v>
      </c>
      <c r="R291" s="44">
        <v>0.013157894736842105</v>
      </c>
      <c r="S291" s="44">
        <v>0.03333333333333333</v>
      </c>
      <c r="T291" s="44">
        <v>0.023554603854389723</v>
      </c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 ht="15.75" customHeight="1">
      <c r="A292" s="63"/>
      <c r="B292" s="63"/>
      <c r="C292" s="63"/>
      <c r="D292" s="63"/>
      <c r="E292" s="63"/>
      <c r="F292" s="24"/>
      <c r="G292" s="19">
        <v>19.0</v>
      </c>
      <c r="H292" s="45">
        <v>604.0</v>
      </c>
      <c r="I292" s="45">
        <v>172.0</v>
      </c>
      <c r="J292" s="45">
        <v>6.0</v>
      </c>
      <c r="K292" s="45">
        <v>19.0</v>
      </c>
      <c r="L292" s="45">
        <v>7.0</v>
      </c>
      <c r="M292" s="63"/>
      <c r="N292" s="23"/>
      <c r="O292" s="19">
        <v>19.0</v>
      </c>
      <c r="P292" s="44">
        <v>0.0664320281566212</v>
      </c>
      <c r="Q292" s="44">
        <v>0.05049911920140928</v>
      </c>
      <c r="R292" s="44">
        <v>0.039473684210526314</v>
      </c>
      <c r="S292" s="44">
        <v>0.03958333333333333</v>
      </c>
      <c r="T292" s="44">
        <v>0.014989293361884369</v>
      </c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 ht="15.75" customHeight="1">
      <c r="A293" s="63"/>
      <c r="B293" s="63"/>
      <c r="C293" s="63"/>
      <c r="D293" s="63"/>
      <c r="E293" s="63"/>
      <c r="F293" s="24"/>
      <c r="G293" s="19">
        <v>20.0</v>
      </c>
      <c r="H293" s="45">
        <v>600.0</v>
      </c>
      <c r="I293" s="45">
        <v>147.0</v>
      </c>
      <c r="J293" s="45">
        <v>3.0</v>
      </c>
      <c r="K293" s="45">
        <v>6.0</v>
      </c>
      <c r="L293" s="45">
        <v>11.0</v>
      </c>
      <c r="M293" s="63"/>
      <c r="N293" s="23"/>
      <c r="O293" s="19">
        <v>20.0</v>
      </c>
      <c r="P293" s="44">
        <v>0.06599208095028597</v>
      </c>
      <c r="Q293" s="44">
        <v>0.043159130945390485</v>
      </c>
      <c r="R293" s="44">
        <v>0.019736842105263157</v>
      </c>
      <c r="S293" s="44">
        <v>0.0125</v>
      </c>
      <c r="T293" s="44">
        <v>0.023554603854389723</v>
      </c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 ht="15.75" customHeight="1">
      <c r="A294" s="63"/>
      <c r="B294" s="63"/>
      <c r="C294" s="63"/>
      <c r="D294" s="63"/>
      <c r="E294" s="63"/>
      <c r="F294" s="24"/>
      <c r="G294" s="19">
        <v>21.0</v>
      </c>
      <c r="H294" s="45">
        <v>473.0</v>
      </c>
      <c r="I294" s="45">
        <v>153.0</v>
      </c>
      <c r="J294" s="45">
        <v>1.0</v>
      </c>
      <c r="K294" s="45">
        <v>5.0</v>
      </c>
      <c r="L294" s="45">
        <v>9.0</v>
      </c>
      <c r="M294" s="63"/>
      <c r="N294" s="23"/>
      <c r="O294" s="19">
        <v>21.0</v>
      </c>
      <c r="P294" s="44">
        <v>0.052023757149142105</v>
      </c>
      <c r="Q294" s="44">
        <v>0.044920728126834994</v>
      </c>
      <c r="R294" s="44">
        <v>0.006578947368421052</v>
      </c>
      <c r="S294" s="44">
        <v>0.010416666666666666</v>
      </c>
      <c r="T294" s="44">
        <v>0.019271948608137045</v>
      </c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 ht="15.75" customHeight="1">
      <c r="A295" s="63"/>
      <c r="B295" s="63"/>
      <c r="C295" s="63"/>
      <c r="D295" s="63"/>
      <c r="E295" s="63"/>
      <c r="F295" s="24"/>
      <c r="G295" s="19">
        <v>22.0</v>
      </c>
      <c r="H295" s="45">
        <v>367.0</v>
      </c>
      <c r="I295" s="45">
        <v>120.0</v>
      </c>
      <c r="J295" s="45">
        <v>1.0</v>
      </c>
      <c r="K295" s="45">
        <v>5.0</v>
      </c>
      <c r="L295" s="45">
        <v>3.0</v>
      </c>
      <c r="M295" s="63"/>
      <c r="N295" s="23"/>
      <c r="O295" s="19">
        <v>22.0</v>
      </c>
      <c r="P295" s="44">
        <v>0.04036515618125825</v>
      </c>
      <c r="Q295" s="44">
        <v>0.03523194362889019</v>
      </c>
      <c r="R295" s="44">
        <v>0.006578947368421052</v>
      </c>
      <c r="S295" s="44">
        <v>0.010416666666666666</v>
      </c>
      <c r="T295" s="44">
        <v>0.006423982869379015</v>
      </c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 ht="15.75" customHeight="1">
      <c r="A296" s="63"/>
      <c r="B296" s="63"/>
      <c r="C296" s="63"/>
      <c r="D296" s="63"/>
      <c r="E296" s="63"/>
      <c r="F296" s="28"/>
      <c r="G296" s="71">
        <v>23.0</v>
      </c>
      <c r="H296" s="87">
        <v>248.0</v>
      </c>
      <c r="I296" s="87">
        <v>80.0</v>
      </c>
      <c r="J296" s="87">
        <v>2.0</v>
      </c>
      <c r="K296" s="87">
        <v>8.0</v>
      </c>
      <c r="L296" s="87">
        <v>5.0</v>
      </c>
      <c r="M296" s="63"/>
      <c r="N296" s="27"/>
      <c r="O296" s="19">
        <v>23.0</v>
      </c>
      <c r="P296" s="44">
        <v>0.027276726792784867</v>
      </c>
      <c r="Q296" s="44">
        <v>0.023487962419260128</v>
      </c>
      <c r="R296" s="44">
        <v>0.013157894736842105</v>
      </c>
      <c r="S296" s="44">
        <v>0.016666666666666666</v>
      </c>
      <c r="T296" s="44">
        <v>0.010706638115631691</v>
      </c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 ht="15.75" customHeight="1">
      <c r="A297" s="63"/>
      <c r="B297" s="63"/>
      <c r="C297" s="63"/>
      <c r="D297" s="63"/>
      <c r="E297" s="63"/>
      <c r="F297" s="56">
        <v>45206.0</v>
      </c>
      <c r="G297" s="19">
        <v>0.0</v>
      </c>
      <c r="H297" s="20">
        <v>341.0</v>
      </c>
      <c r="I297" s="20">
        <v>81.0</v>
      </c>
      <c r="J297" s="20">
        <v>8.0</v>
      </c>
      <c r="K297" s="20">
        <v>6.0</v>
      </c>
      <c r="L297" s="20">
        <v>8.0</v>
      </c>
      <c r="M297" s="63"/>
      <c r="N297" s="56">
        <v>45206.0</v>
      </c>
      <c r="O297" s="19">
        <v>0.0</v>
      </c>
      <c r="P297" s="40">
        <v>0.019787616781755932</v>
      </c>
      <c r="Q297" s="40">
        <v>0.016977572835883463</v>
      </c>
      <c r="R297" s="40">
        <v>0.02867383512544803</v>
      </c>
      <c r="S297" s="40">
        <v>0.02120141342756184</v>
      </c>
      <c r="T297" s="40">
        <v>0.03018867924528302</v>
      </c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 ht="15.75" customHeight="1">
      <c r="A298" s="63"/>
      <c r="B298" s="63"/>
      <c r="C298" s="63"/>
      <c r="D298" s="63"/>
      <c r="E298" s="63"/>
      <c r="F298" s="24"/>
      <c r="G298" s="19">
        <v>1.0</v>
      </c>
      <c r="H298" s="20">
        <v>203.0</v>
      </c>
      <c r="I298" s="20">
        <v>64.0</v>
      </c>
      <c r="J298" s="20">
        <v>5.0</v>
      </c>
      <c r="K298" s="20">
        <v>5.0</v>
      </c>
      <c r="L298" s="20">
        <v>7.0</v>
      </c>
      <c r="M298" s="63"/>
      <c r="N298" s="23"/>
      <c r="O298" s="19">
        <v>1.0</v>
      </c>
      <c r="P298" s="40">
        <v>0.011779724946323913</v>
      </c>
      <c r="Q298" s="40">
        <v>0.01341437853699434</v>
      </c>
      <c r="R298" s="40">
        <v>0.017921146953405017</v>
      </c>
      <c r="S298" s="40">
        <v>0.0176678445229682</v>
      </c>
      <c r="T298" s="40">
        <v>0.026415094339622643</v>
      </c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 ht="15.75" customHeight="1">
      <c r="A299" s="63"/>
      <c r="B299" s="63"/>
      <c r="C299" s="63"/>
      <c r="D299" s="63"/>
      <c r="E299" s="63"/>
      <c r="F299" s="24"/>
      <c r="G299" s="19">
        <v>2.0</v>
      </c>
      <c r="H299" s="16">
        <v>225.0</v>
      </c>
      <c r="I299" s="16">
        <v>61.0</v>
      </c>
      <c r="J299" s="16">
        <v>4.0</v>
      </c>
      <c r="K299" s="16">
        <v>2.0</v>
      </c>
      <c r="L299" s="16">
        <v>10.0</v>
      </c>
      <c r="M299" s="63"/>
      <c r="N299" s="23"/>
      <c r="O299" s="19">
        <v>2.0</v>
      </c>
      <c r="P299" s="40">
        <v>0.013056345383856555</v>
      </c>
      <c r="Q299" s="40">
        <v>0.012785579543072731</v>
      </c>
      <c r="R299" s="40">
        <v>0.014336917562724014</v>
      </c>
      <c r="S299" s="40">
        <v>0.007067137809187279</v>
      </c>
      <c r="T299" s="40">
        <v>0.03773584905660377</v>
      </c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 ht="15.75" customHeight="1">
      <c r="A300" s="63"/>
      <c r="B300" s="63"/>
      <c r="C300" s="63"/>
      <c r="D300" s="63"/>
      <c r="E300" s="63"/>
      <c r="F300" s="24"/>
      <c r="G300" s="19">
        <v>3.0</v>
      </c>
      <c r="H300" s="20">
        <v>333.0</v>
      </c>
      <c r="I300" s="20">
        <v>91.0</v>
      </c>
      <c r="J300" s="20">
        <v>7.0</v>
      </c>
      <c r="K300" s="20">
        <v>6.0</v>
      </c>
      <c r="L300" s="20">
        <v>9.0</v>
      </c>
      <c r="M300" s="63"/>
      <c r="N300" s="23"/>
      <c r="O300" s="19">
        <v>3.0</v>
      </c>
      <c r="P300" s="40">
        <v>0.0193233911681077</v>
      </c>
      <c r="Q300" s="40">
        <v>0.01907356948228883</v>
      </c>
      <c r="R300" s="40">
        <v>0.025089605734767026</v>
      </c>
      <c r="S300" s="40">
        <v>0.02120141342756184</v>
      </c>
      <c r="T300" s="40">
        <v>0.033962264150943396</v>
      </c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 ht="15.75" customHeight="1">
      <c r="A301" s="63"/>
      <c r="B301" s="63"/>
      <c r="C301" s="63"/>
      <c r="D301" s="63"/>
      <c r="E301" s="63"/>
      <c r="F301" s="24"/>
      <c r="G301" s="19">
        <v>4.0</v>
      </c>
      <c r="H301" s="20">
        <v>583.0</v>
      </c>
      <c r="I301" s="20">
        <v>161.0</v>
      </c>
      <c r="J301" s="20">
        <v>16.0</v>
      </c>
      <c r="K301" s="20">
        <v>9.0</v>
      </c>
      <c r="L301" s="20">
        <v>7.0</v>
      </c>
      <c r="M301" s="63"/>
      <c r="N301" s="23"/>
      <c r="O301" s="19">
        <v>4.0</v>
      </c>
      <c r="P301" s="40">
        <v>0.033830441594614985</v>
      </c>
      <c r="Q301" s="40">
        <v>0.03374554600712639</v>
      </c>
      <c r="R301" s="40">
        <v>0.05734767025089606</v>
      </c>
      <c r="S301" s="40">
        <v>0.03180212014134275</v>
      </c>
      <c r="T301" s="40">
        <v>0.026415094339622643</v>
      </c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 ht="15.75" customHeight="1">
      <c r="A302" s="63"/>
      <c r="B302" s="63"/>
      <c r="C302" s="63"/>
      <c r="D302" s="63"/>
      <c r="E302" s="63"/>
      <c r="F302" s="24"/>
      <c r="G302" s="19">
        <v>5.0</v>
      </c>
      <c r="H302" s="20">
        <v>874.0</v>
      </c>
      <c r="I302" s="20">
        <v>278.0</v>
      </c>
      <c r="J302" s="20">
        <v>15.0</v>
      </c>
      <c r="K302" s="20">
        <v>21.0</v>
      </c>
      <c r="L302" s="20">
        <v>15.0</v>
      </c>
      <c r="M302" s="63"/>
      <c r="N302" s="23"/>
      <c r="O302" s="19">
        <v>5.0</v>
      </c>
      <c r="P302" s="40">
        <v>0.050716648291069456</v>
      </c>
      <c r="Q302" s="40">
        <v>0.058268706770069165</v>
      </c>
      <c r="R302" s="40">
        <v>0.053763440860215055</v>
      </c>
      <c r="S302" s="40">
        <v>0.07420494699646643</v>
      </c>
      <c r="T302" s="40">
        <v>0.05660377358490566</v>
      </c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 ht="15.75" customHeight="1">
      <c r="A303" s="63"/>
      <c r="B303" s="63"/>
      <c r="C303" s="63"/>
      <c r="D303" s="63"/>
      <c r="E303" s="63"/>
      <c r="F303" s="24"/>
      <c r="G303" s="19">
        <v>6.0</v>
      </c>
      <c r="H303" s="20">
        <v>1036.0</v>
      </c>
      <c r="I303" s="20">
        <v>306.0</v>
      </c>
      <c r="J303" s="20">
        <v>31.0</v>
      </c>
      <c r="K303" s="20">
        <v>16.0</v>
      </c>
      <c r="L303" s="20">
        <v>16.0</v>
      </c>
      <c r="M303" s="63"/>
      <c r="N303" s="23"/>
      <c r="O303" s="19">
        <v>6.0</v>
      </c>
      <c r="P303" s="40">
        <v>0.06011721696744618</v>
      </c>
      <c r="Q303" s="40">
        <v>0.0641374973800042</v>
      </c>
      <c r="R303" s="40">
        <v>0.1111111111111111</v>
      </c>
      <c r="S303" s="40">
        <v>0.05653710247349823</v>
      </c>
      <c r="T303" s="40">
        <v>0.06037735849056604</v>
      </c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 ht="15.75" customHeight="1">
      <c r="A304" s="63"/>
      <c r="B304" s="63"/>
      <c r="C304" s="63"/>
      <c r="D304" s="63"/>
      <c r="E304" s="63"/>
      <c r="F304" s="24"/>
      <c r="G304" s="19">
        <v>7.0</v>
      </c>
      <c r="H304" s="20">
        <v>1267.0</v>
      </c>
      <c r="I304" s="20">
        <v>392.0</v>
      </c>
      <c r="J304" s="20">
        <v>68.0</v>
      </c>
      <c r="K304" s="20">
        <v>26.0</v>
      </c>
      <c r="L304" s="20">
        <v>25.0</v>
      </c>
      <c r="M304" s="63"/>
      <c r="N304" s="23"/>
      <c r="O304" s="19">
        <v>7.0</v>
      </c>
      <c r="P304" s="40">
        <v>0.0735217315615389</v>
      </c>
      <c r="Q304" s="40">
        <v>0.08216306853909033</v>
      </c>
      <c r="R304" s="40">
        <v>0.24372759856630824</v>
      </c>
      <c r="S304" s="40">
        <v>0.09187279151943463</v>
      </c>
      <c r="T304" s="40">
        <v>0.09433962264150944</v>
      </c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 ht="15.75" customHeight="1">
      <c r="A305" s="63"/>
      <c r="B305" s="63"/>
      <c r="C305" s="63"/>
      <c r="D305" s="63"/>
      <c r="E305" s="63"/>
      <c r="F305" s="24"/>
      <c r="G305" s="19">
        <v>8.0</v>
      </c>
      <c r="H305" s="20">
        <v>1296.0</v>
      </c>
      <c r="I305" s="20">
        <v>365.0</v>
      </c>
      <c r="J305" s="20">
        <v>31.0</v>
      </c>
      <c r="K305" s="20">
        <v>25.0</v>
      </c>
      <c r="L305" s="20">
        <v>9.0</v>
      </c>
      <c r="M305" s="63"/>
      <c r="N305" s="23"/>
      <c r="O305" s="19">
        <v>8.0</v>
      </c>
      <c r="P305" s="40">
        <v>0.07520454941101375</v>
      </c>
      <c r="Q305" s="40">
        <v>0.07650387759379584</v>
      </c>
      <c r="R305" s="40">
        <v>0.1111111111111111</v>
      </c>
      <c r="S305" s="40">
        <v>0.08833922261484099</v>
      </c>
      <c r="T305" s="40">
        <v>0.033962264150943396</v>
      </c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 ht="15.75" customHeight="1">
      <c r="A306" s="63"/>
      <c r="B306" s="63"/>
      <c r="C306" s="63"/>
      <c r="D306" s="63"/>
      <c r="E306" s="63"/>
      <c r="F306" s="24"/>
      <c r="G306" s="19">
        <v>9.0</v>
      </c>
      <c r="H306" s="20">
        <v>1278.0</v>
      </c>
      <c r="I306" s="20">
        <v>336.0</v>
      </c>
      <c r="J306" s="20">
        <v>14.0</v>
      </c>
      <c r="K306" s="20">
        <v>20.0</v>
      </c>
      <c r="L306" s="20">
        <v>17.0</v>
      </c>
      <c r="M306" s="63"/>
      <c r="N306" s="23"/>
      <c r="O306" s="19">
        <v>9.0</v>
      </c>
      <c r="P306" s="40">
        <v>0.07416004178030523</v>
      </c>
      <c r="Q306" s="40">
        <v>0.07042548731922028</v>
      </c>
      <c r="R306" s="40">
        <v>0.05017921146953405</v>
      </c>
      <c r="S306" s="40">
        <v>0.0706713780918728</v>
      </c>
      <c r="T306" s="40">
        <v>0.06415094339622641</v>
      </c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 ht="15.75" customHeight="1">
      <c r="A307" s="63"/>
      <c r="B307" s="63"/>
      <c r="C307" s="63"/>
      <c r="D307" s="63"/>
      <c r="E307" s="63"/>
      <c r="F307" s="24"/>
      <c r="G307" s="19">
        <v>10.0</v>
      </c>
      <c r="H307" s="20">
        <v>1307.0</v>
      </c>
      <c r="I307" s="20">
        <v>327.0</v>
      </c>
      <c r="J307" s="20">
        <v>8.0</v>
      </c>
      <c r="K307" s="20">
        <v>15.0</v>
      </c>
      <c r="L307" s="20">
        <v>30.0</v>
      </c>
      <c r="M307" s="63"/>
      <c r="N307" s="23"/>
      <c r="O307" s="19">
        <v>10.0</v>
      </c>
      <c r="P307" s="40">
        <v>0.07584285962978007</v>
      </c>
      <c r="Q307" s="40">
        <v>0.06853909033745546</v>
      </c>
      <c r="R307" s="40">
        <v>0.02867383512544803</v>
      </c>
      <c r="S307" s="40">
        <v>0.053003533568904596</v>
      </c>
      <c r="T307" s="40">
        <v>0.11320754716981132</v>
      </c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 ht="15.75" customHeight="1">
      <c r="A308" s="63"/>
      <c r="B308" s="63"/>
      <c r="C308" s="63"/>
      <c r="D308" s="63"/>
      <c r="E308" s="63"/>
      <c r="F308" s="24"/>
      <c r="G308" s="19">
        <v>11.0</v>
      </c>
      <c r="H308" s="20">
        <v>1194.0</v>
      </c>
      <c r="I308" s="20">
        <v>315.0</v>
      </c>
      <c r="J308" s="20">
        <v>12.0</v>
      </c>
      <c r="K308" s="20">
        <v>12.0</v>
      </c>
      <c r="L308" s="20">
        <v>21.0</v>
      </c>
      <c r="M308" s="63"/>
      <c r="N308" s="23"/>
      <c r="O308" s="19">
        <v>11.0</v>
      </c>
      <c r="P308" s="40">
        <v>0.06928567283699878</v>
      </c>
      <c r="Q308" s="40">
        <v>0.06602389436176902</v>
      </c>
      <c r="R308" s="40">
        <v>0.043010752688172046</v>
      </c>
      <c r="S308" s="40">
        <v>0.04240282685512368</v>
      </c>
      <c r="T308" s="40">
        <v>0.07924528301886792</v>
      </c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 ht="15.75" customHeight="1">
      <c r="A309" s="63"/>
      <c r="B309" s="63"/>
      <c r="C309" s="63"/>
      <c r="D309" s="63"/>
      <c r="E309" s="63"/>
      <c r="F309" s="24"/>
      <c r="G309" s="19">
        <v>12.0</v>
      </c>
      <c r="H309" s="20">
        <v>1040.0</v>
      </c>
      <c r="I309" s="20">
        <v>247.0</v>
      </c>
      <c r="J309" s="20">
        <v>10.0</v>
      </c>
      <c r="K309" s="20">
        <v>10.0</v>
      </c>
      <c r="L309" s="20">
        <v>11.0</v>
      </c>
      <c r="M309" s="63"/>
      <c r="N309" s="23"/>
      <c r="O309" s="19">
        <v>12.0</v>
      </c>
      <c r="P309" s="40">
        <v>0.060349329774270294</v>
      </c>
      <c r="Q309" s="40">
        <v>0.051771117166212535</v>
      </c>
      <c r="R309" s="40">
        <v>0.035842293906810034</v>
      </c>
      <c r="S309" s="40">
        <v>0.0353356890459364</v>
      </c>
      <c r="T309" s="40">
        <v>0.04150943396226415</v>
      </c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 ht="15.75" customHeight="1">
      <c r="A310" s="63"/>
      <c r="B310" s="63"/>
      <c r="C310" s="63"/>
      <c r="D310" s="63"/>
      <c r="E310" s="63"/>
      <c r="F310" s="24"/>
      <c r="G310" s="19">
        <v>13.0</v>
      </c>
      <c r="H310" s="20">
        <v>1118.0</v>
      </c>
      <c r="I310" s="20">
        <v>227.0</v>
      </c>
      <c r="J310" s="20">
        <v>6.0</v>
      </c>
      <c r="K310" s="20">
        <v>14.0</v>
      </c>
      <c r="L310" s="20">
        <v>11.0</v>
      </c>
      <c r="M310" s="63"/>
      <c r="N310" s="23"/>
      <c r="O310" s="19">
        <v>13.0</v>
      </c>
      <c r="P310" s="40">
        <v>0.06487552950734057</v>
      </c>
      <c r="Q310" s="40">
        <v>0.0475791238734018</v>
      </c>
      <c r="R310" s="40">
        <v>0.021505376344086023</v>
      </c>
      <c r="S310" s="40">
        <v>0.04946996466431095</v>
      </c>
      <c r="T310" s="40">
        <v>0.04150943396226415</v>
      </c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 ht="15.75" customHeight="1">
      <c r="A311" s="63"/>
      <c r="B311" s="63"/>
      <c r="C311" s="63"/>
      <c r="D311" s="63"/>
      <c r="E311" s="63"/>
      <c r="F311" s="24"/>
      <c r="G311" s="19">
        <v>14.0</v>
      </c>
      <c r="H311" s="20">
        <v>992.0</v>
      </c>
      <c r="I311" s="20">
        <v>259.0</v>
      </c>
      <c r="J311" s="20">
        <v>20.0</v>
      </c>
      <c r="K311" s="20">
        <v>12.0</v>
      </c>
      <c r="L311" s="20">
        <v>23.0</v>
      </c>
      <c r="M311" s="63"/>
      <c r="N311" s="23"/>
      <c r="O311" s="19">
        <v>14.0</v>
      </c>
      <c r="P311" s="40">
        <v>0.0575639760923809</v>
      </c>
      <c r="Q311" s="40">
        <v>0.054286313141898974</v>
      </c>
      <c r="R311" s="40">
        <v>0.07168458781362007</v>
      </c>
      <c r="S311" s="40">
        <v>0.04240282685512368</v>
      </c>
      <c r="T311" s="40">
        <v>0.08679245283018867</v>
      </c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 ht="15.75" customHeight="1">
      <c r="A312" s="63"/>
      <c r="B312" s="63"/>
      <c r="C312" s="63"/>
      <c r="D312" s="63"/>
      <c r="E312" s="63"/>
      <c r="F312" s="24"/>
      <c r="G312" s="19">
        <v>15.0</v>
      </c>
      <c r="H312" s="20">
        <v>839.0</v>
      </c>
      <c r="I312" s="20">
        <v>247.0</v>
      </c>
      <c r="J312" s="20">
        <v>7.0</v>
      </c>
      <c r="K312" s="20">
        <v>12.0</v>
      </c>
      <c r="L312" s="20">
        <v>13.0</v>
      </c>
      <c r="M312" s="63"/>
      <c r="N312" s="23"/>
      <c r="O312" s="19">
        <v>15.0</v>
      </c>
      <c r="P312" s="40">
        <v>0.04868566123135844</v>
      </c>
      <c r="Q312" s="40">
        <v>0.051771117166212535</v>
      </c>
      <c r="R312" s="40">
        <v>0.025089605734767026</v>
      </c>
      <c r="S312" s="40">
        <v>0.04240282685512368</v>
      </c>
      <c r="T312" s="40">
        <v>0.04905660377358491</v>
      </c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 ht="15.75" customHeight="1">
      <c r="A313" s="63"/>
      <c r="B313" s="63"/>
      <c r="C313" s="63"/>
      <c r="D313" s="63"/>
      <c r="E313" s="63"/>
      <c r="F313" s="24"/>
      <c r="G313" s="19">
        <v>16.0</v>
      </c>
      <c r="H313" s="20">
        <v>707.0</v>
      </c>
      <c r="I313" s="20">
        <v>236.0</v>
      </c>
      <c r="J313" s="20">
        <v>4.0</v>
      </c>
      <c r="K313" s="20">
        <v>18.0</v>
      </c>
      <c r="L313" s="20">
        <v>11.0</v>
      </c>
      <c r="M313" s="63"/>
      <c r="N313" s="23"/>
      <c r="O313" s="19">
        <v>16.0</v>
      </c>
      <c r="P313" s="40">
        <v>0.0410259386061626</v>
      </c>
      <c r="Q313" s="40">
        <v>0.04946552085516663</v>
      </c>
      <c r="R313" s="40">
        <v>0.014336917562724014</v>
      </c>
      <c r="S313" s="40">
        <v>0.0636042402826855</v>
      </c>
      <c r="T313" s="40">
        <v>0.04150943396226415</v>
      </c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 ht="15.75" customHeight="1">
      <c r="A314" s="63"/>
      <c r="B314" s="63"/>
      <c r="C314" s="63"/>
      <c r="D314" s="63"/>
      <c r="E314" s="63"/>
      <c r="F314" s="24"/>
      <c r="G314" s="19">
        <v>17.0</v>
      </c>
      <c r="H314" s="20">
        <v>591.0</v>
      </c>
      <c r="I314" s="20">
        <v>219.0</v>
      </c>
      <c r="J314" s="20">
        <v>2.0</v>
      </c>
      <c r="K314" s="20">
        <v>6.0</v>
      </c>
      <c r="L314" s="20">
        <v>3.0</v>
      </c>
      <c r="M314" s="63"/>
      <c r="N314" s="23"/>
      <c r="O314" s="19">
        <v>17.0</v>
      </c>
      <c r="P314" s="40">
        <v>0.03429466720826321</v>
      </c>
      <c r="Q314" s="40">
        <v>0.04590232655627751</v>
      </c>
      <c r="R314" s="40">
        <v>0.007168458781362007</v>
      </c>
      <c r="S314" s="40">
        <v>0.02120141342756184</v>
      </c>
      <c r="T314" s="40">
        <v>0.011320754716981131</v>
      </c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 ht="15.75" customHeight="1">
      <c r="A315" s="63"/>
      <c r="B315" s="63"/>
      <c r="C315" s="63"/>
      <c r="D315" s="63"/>
      <c r="E315" s="63"/>
      <c r="F315" s="24"/>
      <c r="G315" s="19">
        <v>18.0</v>
      </c>
      <c r="H315" s="20">
        <v>474.0</v>
      </c>
      <c r="I315" s="20">
        <v>144.0</v>
      </c>
      <c r="J315" s="20">
        <v>1.0</v>
      </c>
      <c r="K315" s="20">
        <v>14.0</v>
      </c>
      <c r="L315" s="20">
        <v>6.0</v>
      </c>
      <c r="M315" s="63"/>
      <c r="N315" s="23"/>
      <c r="O315" s="19">
        <v>18.0</v>
      </c>
      <c r="P315" s="40">
        <v>0.027505367608657807</v>
      </c>
      <c r="Q315" s="40">
        <v>0.030182351708237267</v>
      </c>
      <c r="R315" s="40">
        <v>0.0035842293906810036</v>
      </c>
      <c r="S315" s="40">
        <v>0.04946996466431095</v>
      </c>
      <c r="T315" s="40">
        <v>0.022641509433962263</v>
      </c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 ht="15.75" customHeight="1">
      <c r="A316" s="63"/>
      <c r="B316" s="63"/>
      <c r="C316" s="63"/>
      <c r="D316" s="63"/>
      <c r="E316" s="63"/>
      <c r="F316" s="24"/>
      <c r="G316" s="19">
        <v>19.0</v>
      </c>
      <c r="H316" s="20">
        <v>408.0</v>
      </c>
      <c r="I316" s="20">
        <v>119.0</v>
      </c>
      <c r="J316" s="20">
        <v>3.0</v>
      </c>
      <c r="K316" s="20">
        <v>12.0</v>
      </c>
      <c r="L316" s="20">
        <v>5.0</v>
      </c>
      <c r="M316" s="63"/>
      <c r="N316" s="23"/>
      <c r="O316" s="19">
        <v>19.0</v>
      </c>
      <c r="P316" s="40">
        <v>0.023675506296059884</v>
      </c>
      <c r="Q316" s="40">
        <v>0.024942360092223854</v>
      </c>
      <c r="R316" s="40">
        <v>0.010752688172043012</v>
      </c>
      <c r="S316" s="40">
        <v>0.04240282685512368</v>
      </c>
      <c r="T316" s="40">
        <v>0.018867924528301886</v>
      </c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 ht="15.75" customHeight="1">
      <c r="A317" s="63"/>
      <c r="B317" s="63"/>
      <c r="C317" s="63"/>
      <c r="D317" s="63"/>
      <c r="E317" s="63"/>
      <c r="F317" s="24"/>
      <c r="G317" s="19">
        <v>20.0</v>
      </c>
      <c r="H317" s="20">
        <v>357.0</v>
      </c>
      <c r="I317" s="20">
        <v>93.0</v>
      </c>
      <c r="J317" s="20">
        <v>1.0</v>
      </c>
      <c r="K317" s="20">
        <v>9.0</v>
      </c>
      <c r="L317" s="20">
        <v>2.0</v>
      </c>
      <c r="M317" s="63"/>
      <c r="N317" s="23"/>
      <c r="O317" s="19">
        <v>20.0</v>
      </c>
      <c r="P317" s="40">
        <v>0.0207160680090524</v>
      </c>
      <c r="Q317" s="40">
        <v>0.019492768811569902</v>
      </c>
      <c r="R317" s="40">
        <v>0.0035842293906810036</v>
      </c>
      <c r="S317" s="40">
        <v>0.03180212014134275</v>
      </c>
      <c r="T317" s="40">
        <v>0.007547169811320755</v>
      </c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 ht="15.75" customHeight="1">
      <c r="A318" s="63"/>
      <c r="B318" s="63"/>
      <c r="C318" s="63"/>
      <c r="D318" s="63"/>
      <c r="E318" s="63"/>
      <c r="F318" s="24"/>
      <c r="G318" s="19">
        <v>21.0</v>
      </c>
      <c r="H318" s="20">
        <v>324.0</v>
      </c>
      <c r="I318" s="20">
        <v>84.0</v>
      </c>
      <c r="J318" s="20">
        <v>3.0</v>
      </c>
      <c r="K318" s="20">
        <v>3.0</v>
      </c>
      <c r="L318" s="20">
        <v>4.0</v>
      </c>
      <c r="M318" s="63"/>
      <c r="N318" s="23"/>
      <c r="O318" s="19">
        <v>21.0</v>
      </c>
      <c r="P318" s="40">
        <v>0.018801137352753437</v>
      </c>
      <c r="Q318" s="40">
        <v>0.01760637182980507</v>
      </c>
      <c r="R318" s="40">
        <v>0.010752688172043012</v>
      </c>
      <c r="S318" s="40">
        <v>0.01060070671378092</v>
      </c>
      <c r="T318" s="40">
        <v>0.01509433962264151</v>
      </c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 ht="15.75" customHeight="1">
      <c r="A319" s="63"/>
      <c r="B319" s="63"/>
      <c r="C319" s="63"/>
      <c r="D319" s="63"/>
      <c r="E319" s="63"/>
      <c r="F319" s="24"/>
      <c r="G319" s="19">
        <v>22.0</v>
      </c>
      <c r="H319" s="20">
        <v>275.0</v>
      </c>
      <c r="I319" s="20">
        <v>79.0</v>
      </c>
      <c r="J319" s="20">
        <v>2.0</v>
      </c>
      <c r="K319" s="20">
        <v>6.0</v>
      </c>
      <c r="L319" s="20">
        <v>1.0</v>
      </c>
      <c r="M319" s="63"/>
      <c r="N319" s="23"/>
      <c r="O319" s="19">
        <v>22.0</v>
      </c>
      <c r="P319" s="40">
        <v>0.01595775546915801</v>
      </c>
      <c r="Q319" s="40">
        <v>0.01655837350660239</v>
      </c>
      <c r="R319" s="40">
        <v>0.007168458781362007</v>
      </c>
      <c r="S319" s="40">
        <v>0.02120141342756184</v>
      </c>
      <c r="T319" s="40">
        <v>0.0037735849056603774</v>
      </c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 ht="15.75" customHeight="1">
      <c r="A320" s="63"/>
      <c r="B320" s="63"/>
      <c r="C320" s="63"/>
      <c r="D320" s="63"/>
      <c r="E320" s="63"/>
      <c r="F320" s="28"/>
      <c r="G320" s="71">
        <v>23.0</v>
      </c>
      <c r="H320" s="20">
        <v>171.0</v>
      </c>
      <c r="I320" s="20">
        <v>40.0</v>
      </c>
      <c r="J320" s="20">
        <v>1.0</v>
      </c>
      <c r="K320" s="20">
        <v>4.0</v>
      </c>
      <c r="L320" s="20">
        <v>1.0</v>
      </c>
      <c r="M320" s="63"/>
      <c r="N320" s="27"/>
      <c r="O320" s="19">
        <v>23.0</v>
      </c>
      <c r="P320" s="40">
        <v>0.009922822491730982</v>
      </c>
      <c r="Q320" s="40">
        <v>0.008383986585621462</v>
      </c>
      <c r="R320" s="40">
        <v>0.0035842293906810036</v>
      </c>
      <c r="S320" s="40">
        <v>0.014134275618374558</v>
      </c>
      <c r="T320" s="40">
        <v>0.0037735849056603774</v>
      </c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 ht="15.75" customHeight="1">
      <c r="A321" s="63"/>
      <c r="B321" s="63"/>
      <c r="C321" s="63"/>
      <c r="D321" s="63"/>
      <c r="E321" s="63"/>
      <c r="F321" s="56">
        <v>45207.0</v>
      </c>
      <c r="G321" s="19">
        <v>0.0</v>
      </c>
      <c r="H321" s="105">
        <v>163.0</v>
      </c>
      <c r="I321" s="105">
        <v>35.0</v>
      </c>
      <c r="J321" s="105">
        <v>0.0</v>
      </c>
      <c r="K321" s="105">
        <v>2.0</v>
      </c>
      <c r="L321" s="105">
        <v>0.0</v>
      </c>
      <c r="M321" s="63"/>
      <c r="N321" s="56">
        <v>45207.0</v>
      </c>
      <c r="O321" s="19">
        <v>0.0</v>
      </c>
      <c r="P321" s="106">
        <v>0.011436188872518066</v>
      </c>
      <c r="Q321" s="106">
        <v>0.009095634095634096</v>
      </c>
      <c r="R321" s="106">
        <v>0.0</v>
      </c>
      <c r="S321" s="106">
        <v>0.012048192771084338</v>
      </c>
      <c r="T321" s="106">
        <v>0.0</v>
      </c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 ht="15.75" customHeight="1">
      <c r="A322" s="63"/>
      <c r="B322" s="63"/>
      <c r="C322" s="63"/>
      <c r="D322" s="63"/>
      <c r="E322" s="63"/>
      <c r="F322" s="24"/>
      <c r="G322" s="19">
        <v>1.0</v>
      </c>
      <c r="H322" s="34">
        <v>103.0</v>
      </c>
      <c r="I322" s="34">
        <v>26.0</v>
      </c>
      <c r="J322" s="34">
        <v>2.0</v>
      </c>
      <c r="K322" s="34">
        <v>2.0</v>
      </c>
      <c r="L322" s="34">
        <v>3.0</v>
      </c>
      <c r="M322" s="63"/>
      <c r="N322" s="23"/>
      <c r="O322" s="19">
        <v>1.0</v>
      </c>
      <c r="P322" s="106">
        <v>0.007226548796744545</v>
      </c>
      <c r="Q322" s="106">
        <v>0.006756756756756757</v>
      </c>
      <c r="R322" s="106">
        <v>0.013333333333333334</v>
      </c>
      <c r="S322" s="106">
        <v>0.012048192771084338</v>
      </c>
      <c r="T322" s="106">
        <v>0.038461538461538464</v>
      </c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 ht="15.75" customHeight="1">
      <c r="A323" s="63"/>
      <c r="B323" s="63"/>
      <c r="C323" s="63"/>
      <c r="D323" s="63"/>
      <c r="E323" s="63"/>
      <c r="F323" s="24"/>
      <c r="G323" s="19">
        <v>2.0</v>
      </c>
      <c r="H323" s="34">
        <v>100.0</v>
      </c>
      <c r="I323" s="34">
        <v>23.0</v>
      </c>
      <c r="J323" s="34">
        <v>4.0</v>
      </c>
      <c r="K323" s="34">
        <v>3.0</v>
      </c>
      <c r="L323" s="34">
        <v>4.0</v>
      </c>
      <c r="M323" s="63"/>
      <c r="N323" s="23"/>
      <c r="O323" s="19">
        <v>2.0</v>
      </c>
      <c r="P323" s="106">
        <v>0.007016066792955869</v>
      </c>
      <c r="Q323" s="106">
        <v>0.0059771309771309775</v>
      </c>
      <c r="R323" s="106">
        <v>0.02666666666666667</v>
      </c>
      <c r="S323" s="106">
        <v>0.018072289156626505</v>
      </c>
      <c r="T323" s="106">
        <v>0.05128205128205128</v>
      </c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 ht="15.75" customHeight="1">
      <c r="A324" s="63"/>
      <c r="B324" s="63"/>
      <c r="C324" s="63"/>
      <c r="D324" s="63"/>
      <c r="E324" s="63"/>
      <c r="F324" s="24"/>
      <c r="G324" s="19">
        <v>3.0</v>
      </c>
      <c r="H324" s="34">
        <v>164.0</v>
      </c>
      <c r="I324" s="34">
        <v>50.0</v>
      </c>
      <c r="J324" s="34">
        <v>2.0</v>
      </c>
      <c r="K324" s="34">
        <v>5.0</v>
      </c>
      <c r="L324" s="34">
        <v>3.0</v>
      </c>
      <c r="M324" s="63"/>
      <c r="N324" s="23"/>
      <c r="O324" s="19">
        <v>3.0</v>
      </c>
      <c r="P324" s="106">
        <v>0.011506349540447625</v>
      </c>
      <c r="Q324" s="106">
        <v>0.012993762993762994</v>
      </c>
      <c r="R324" s="106">
        <v>0.013333333333333334</v>
      </c>
      <c r="S324" s="106">
        <v>0.030120481927710843</v>
      </c>
      <c r="T324" s="106">
        <v>0.038461538461538464</v>
      </c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 ht="15.75" customHeight="1">
      <c r="A325" s="63"/>
      <c r="B325" s="63"/>
      <c r="C325" s="63"/>
      <c r="D325" s="63"/>
      <c r="E325" s="63"/>
      <c r="F325" s="24"/>
      <c r="G325" s="19">
        <v>4.0</v>
      </c>
      <c r="H325" s="34">
        <v>241.0</v>
      </c>
      <c r="I325" s="34">
        <v>66.0</v>
      </c>
      <c r="J325" s="34">
        <v>3.0</v>
      </c>
      <c r="K325" s="34">
        <v>2.0</v>
      </c>
      <c r="L325" s="34">
        <v>3.0</v>
      </c>
      <c r="M325" s="63"/>
      <c r="N325" s="23"/>
      <c r="O325" s="19">
        <v>4.0</v>
      </c>
      <c r="P325" s="106">
        <v>0.016908720971023646</v>
      </c>
      <c r="Q325" s="106">
        <v>0.017151767151767153</v>
      </c>
      <c r="R325" s="106">
        <v>0.02</v>
      </c>
      <c r="S325" s="106">
        <v>0.012048192771084338</v>
      </c>
      <c r="T325" s="106">
        <v>0.038461538461538464</v>
      </c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 ht="15.75" customHeight="1">
      <c r="A326" s="63"/>
      <c r="B326" s="63"/>
      <c r="C326" s="63"/>
      <c r="D326" s="63"/>
      <c r="E326" s="63"/>
      <c r="F326" s="24"/>
      <c r="G326" s="19">
        <v>5.0</v>
      </c>
      <c r="H326" s="20">
        <v>356.0</v>
      </c>
      <c r="I326" s="20">
        <v>118.0</v>
      </c>
      <c r="J326" s="20">
        <v>7.0</v>
      </c>
      <c r="K326" s="20">
        <v>12.0</v>
      </c>
      <c r="L326" s="20">
        <v>5.0</v>
      </c>
      <c r="M326" s="63"/>
      <c r="N326" s="23"/>
      <c r="O326" s="19">
        <v>5.0</v>
      </c>
      <c r="P326" s="106">
        <v>0.024977197782922893</v>
      </c>
      <c r="Q326" s="106">
        <v>0.030665280665280667</v>
      </c>
      <c r="R326" s="106">
        <v>0.04666666666666667</v>
      </c>
      <c r="S326" s="106">
        <v>0.07228915662650602</v>
      </c>
      <c r="T326" s="106">
        <v>0.0641025641025641</v>
      </c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 ht="15.75" customHeight="1">
      <c r="A327" s="63"/>
      <c r="B327" s="63"/>
      <c r="C327" s="63"/>
      <c r="D327" s="63"/>
      <c r="E327" s="63"/>
      <c r="F327" s="24"/>
      <c r="G327" s="19">
        <v>6.0</v>
      </c>
      <c r="H327" s="20">
        <v>591.0</v>
      </c>
      <c r="I327" s="20">
        <v>195.0</v>
      </c>
      <c r="J327" s="20">
        <v>9.0</v>
      </c>
      <c r="K327" s="20">
        <v>8.0</v>
      </c>
      <c r="L327" s="20">
        <v>9.0</v>
      </c>
      <c r="M327" s="63"/>
      <c r="N327" s="23"/>
      <c r="O327" s="19">
        <v>6.0</v>
      </c>
      <c r="P327" s="106">
        <v>0.04146495474636919</v>
      </c>
      <c r="Q327" s="106">
        <v>0.05067567567567568</v>
      </c>
      <c r="R327" s="106">
        <v>0.06</v>
      </c>
      <c r="S327" s="106">
        <v>0.04819277108433735</v>
      </c>
      <c r="T327" s="106">
        <v>0.11538461538461539</v>
      </c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 ht="15.75" customHeight="1">
      <c r="A328" s="63"/>
      <c r="B328" s="63"/>
      <c r="C328" s="63"/>
      <c r="D328" s="63"/>
      <c r="E328" s="63"/>
      <c r="F328" s="24"/>
      <c r="G328" s="19">
        <v>7.0</v>
      </c>
      <c r="H328" s="20">
        <v>969.0</v>
      </c>
      <c r="I328" s="20">
        <v>294.0</v>
      </c>
      <c r="J328" s="20">
        <v>32.0</v>
      </c>
      <c r="K328" s="20">
        <v>17.0</v>
      </c>
      <c r="L328" s="20">
        <v>9.0</v>
      </c>
      <c r="M328" s="63"/>
      <c r="N328" s="23"/>
      <c r="O328" s="19">
        <v>7.0</v>
      </c>
      <c r="P328" s="106">
        <v>0.06798568722374237</v>
      </c>
      <c r="Q328" s="106">
        <v>0.07640332640332641</v>
      </c>
      <c r="R328" s="106">
        <v>0.21333333333333335</v>
      </c>
      <c r="S328" s="106">
        <v>0.10240963855421686</v>
      </c>
      <c r="T328" s="106">
        <v>0.11538461538461539</v>
      </c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 ht="15.75" customHeight="1">
      <c r="A329" s="63"/>
      <c r="B329" s="63"/>
      <c r="C329" s="63"/>
      <c r="D329" s="63"/>
      <c r="E329" s="63"/>
      <c r="F329" s="24"/>
      <c r="G329" s="19">
        <v>8.0</v>
      </c>
      <c r="H329" s="20">
        <v>1221.0</v>
      </c>
      <c r="I329" s="20">
        <v>329.0</v>
      </c>
      <c r="J329" s="20">
        <v>20.0</v>
      </c>
      <c r="K329" s="20">
        <v>17.0</v>
      </c>
      <c r="L329" s="20">
        <v>9.0</v>
      </c>
      <c r="M329" s="63"/>
      <c r="N329" s="23"/>
      <c r="O329" s="19">
        <v>8.0</v>
      </c>
      <c r="P329" s="106">
        <v>0.08566617554199116</v>
      </c>
      <c r="Q329" s="106">
        <v>0.0854989604989605</v>
      </c>
      <c r="R329" s="106">
        <v>0.13333333333333333</v>
      </c>
      <c r="S329" s="106">
        <v>0.10240963855421686</v>
      </c>
      <c r="T329" s="106">
        <v>0.11538461538461539</v>
      </c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 ht="15.75" customHeight="1">
      <c r="A330" s="63"/>
      <c r="B330" s="63"/>
      <c r="C330" s="63"/>
      <c r="D330" s="63"/>
      <c r="E330" s="63"/>
      <c r="F330" s="24"/>
      <c r="G330" s="19">
        <v>9.0</v>
      </c>
      <c r="H330" s="20">
        <v>1426.0</v>
      </c>
      <c r="I330" s="20">
        <v>366.0</v>
      </c>
      <c r="J330" s="20">
        <v>8.0</v>
      </c>
      <c r="K330" s="20">
        <v>12.0</v>
      </c>
      <c r="L330" s="20">
        <v>1.0</v>
      </c>
      <c r="M330" s="63"/>
      <c r="N330" s="23"/>
      <c r="O330" s="19">
        <v>9.0</v>
      </c>
      <c r="P330" s="106">
        <v>0.10004911246755069</v>
      </c>
      <c r="Q330" s="106">
        <v>0.09511434511434512</v>
      </c>
      <c r="R330" s="106">
        <v>0.05333333333333334</v>
      </c>
      <c r="S330" s="106">
        <v>0.07228915662650602</v>
      </c>
      <c r="T330" s="106">
        <v>0.01282051282051282</v>
      </c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 ht="15.75" customHeight="1">
      <c r="A331" s="63"/>
      <c r="B331" s="63"/>
      <c r="C331" s="63"/>
      <c r="D331" s="63"/>
      <c r="E331" s="63"/>
      <c r="F331" s="24"/>
      <c r="G331" s="19">
        <v>10.0</v>
      </c>
      <c r="H331" s="20">
        <v>1458.0</v>
      </c>
      <c r="I331" s="20">
        <v>325.0</v>
      </c>
      <c r="J331" s="20">
        <v>9.0</v>
      </c>
      <c r="K331" s="20">
        <v>6.0</v>
      </c>
      <c r="L331" s="20">
        <v>4.0</v>
      </c>
      <c r="M331" s="63"/>
      <c r="N331" s="23"/>
      <c r="O331" s="19">
        <v>10.0</v>
      </c>
      <c r="P331" s="106">
        <v>0.10229425384129658</v>
      </c>
      <c r="Q331" s="106">
        <v>0.08445945945945946</v>
      </c>
      <c r="R331" s="106">
        <v>0.06</v>
      </c>
      <c r="S331" s="106">
        <v>0.03614457831325301</v>
      </c>
      <c r="T331" s="106">
        <v>0.05128205128205128</v>
      </c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 ht="15.75" customHeight="1">
      <c r="A332" s="63"/>
      <c r="B332" s="63"/>
      <c r="C332" s="63"/>
      <c r="D332" s="63"/>
      <c r="E332" s="63"/>
      <c r="F332" s="24"/>
      <c r="G332" s="19">
        <v>11.0</v>
      </c>
      <c r="H332" s="20">
        <v>1200.0</v>
      </c>
      <c r="I332" s="20">
        <v>329.0</v>
      </c>
      <c r="J332" s="20">
        <v>1.0</v>
      </c>
      <c r="K332" s="20">
        <v>6.0</v>
      </c>
      <c r="L332" s="20">
        <v>4.0</v>
      </c>
      <c r="M332" s="63"/>
      <c r="N332" s="23"/>
      <c r="O332" s="19">
        <v>11.0</v>
      </c>
      <c r="P332" s="106">
        <v>0.08419280151547043</v>
      </c>
      <c r="Q332" s="106">
        <v>0.0854989604989605</v>
      </c>
      <c r="R332" s="106">
        <v>0.006666666666666667</v>
      </c>
      <c r="S332" s="106">
        <v>0.03614457831325301</v>
      </c>
      <c r="T332" s="106">
        <v>0.05128205128205128</v>
      </c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 ht="15.75" customHeight="1">
      <c r="A333" s="63"/>
      <c r="B333" s="63"/>
      <c r="C333" s="63"/>
      <c r="D333" s="63"/>
      <c r="E333" s="63"/>
      <c r="F333" s="24"/>
      <c r="G333" s="19">
        <v>12.0</v>
      </c>
      <c r="H333" s="20">
        <v>937.0</v>
      </c>
      <c r="I333" s="20">
        <v>265.0</v>
      </c>
      <c r="J333" s="20">
        <v>4.0</v>
      </c>
      <c r="K333" s="20">
        <v>10.0</v>
      </c>
      <c r="L333" s="20">
        <v>2.0</v>
      </c>
      <c r="M333" s="63"/>
      <c r="N333" s="23"/>
      <c r="O333" s="19">
        <v>12.0</v>
      </c>
      <c r="P333" s="106">
        <v>0.06574054584999649</v>
      </c>
      <c r="Q333" s="106">
        <v>0.06886694386694386</v>
      </c>
      <c r="R333" s="106">
        <v>0.02666666666666667</v>
      </c>
      <c r="S333" s="106">
        <v>0.060240963855421686</v>
      </c>
      <c r="T333" s="106">
        <v>0.02564102564102564</v>
      </c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 ht="15.75" customHeight="1">
      <c r="A334" s="63"/>
      <c r="B334" s="63"/>
      <c r="C334" s="63"/>
      <c r="D334" s="63"/>
      <c r="E334" s="63"/>
      <c r="F334" s="24"/>
      <c r="G334" s="19">
        <v>13.0</v>
      </c>
      <c r="H334" s="20">
        <v>990.0</v>
      </c>
      <c r="I334" s="20">
        <v>238.0</v>
      </c>
      <c r="J334" s="20">
        <v>4.0</v>
      </c>
      <c r="K334" s="20">
        <v>6.0</v>
      </c>
      <c r="L334" s="20">
        <v>5.0</v>
      </c>
      <c r="M334" s="63"/>
      <c r="N334" s="23"/>
      <c r="O334" s="19">
        <v>13.0</v>
      </c>
      <c r="P334" s="106">
        <v>0.0694590612502631</v>
      </c>
      <c r="Q334" s="106">
        <v>0.061850311850311854</v>
      </c>
      <c r="R334" s="106">
        <v>0.02666666666666667</v>
      </c>
      <c r="S334" s="106">
        <v>0.03614457831325301</v>
      </c>
      <c r="T334" s="106">
        <v>0.0641025641025641</v>
      </c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 ht="15.75" customHeight="1">
      <c r="A335" s="63"/>
      <c r="B335" s="63"/>
      <c r="C335" s="63"/>
      <c r="D335" s="63"/>
      <c r="E335" s="63"/>
      <c r="F335" s="24"/>
      <c r="G335" s="19">
        <v>14.0</v>
      </c>
      <c r="H335" s="20">
        <v>902.0</v>
      </c>
      <c r="I335" s="20">
        <v>214.0</v>
      </c>
      <c r="J335" s="20">
        <v>5.0</v>
      </c>
      <c r="K335" s="20">
        <v>9.0</v>
      </c>
      <c r="L335" s="20">
        <v>3.0</v>
      </c>
      <c r="M335" s="63"/>
      <c r="N335" s="23"/>
      <c r="O335" s="19">
        <v>14.0</v>
      </c>
      <c r="P335" s="106">
        <v>0.06328492247246194</v>
      </c>
      <c r="Q335" s="106">
        <v>0.055613305613305616</v>
      </c>
      <c r="R335" s="106">
        <v>0.03333333333333333</v>
      </c>
      <c r="S335" s="106">
        <v>0.05421686746987952</v>
      </c>
      <c r="T335" s="106">
        <v>0.038461538461538464</v>
      </c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 ht="15.75" customHeight="1">
      <c r="A336" s="63"/>
      <c r="B336" s="63"/>
      <c r="C336" s="63"/>
      <c r="D336" s="63"/>
      <c r="E336" s="63"/>
      <c r="F336" s="24"/>
      <c r="G336" s="19">
        <v>15.0</v>
      </c>
      <c r="H336" s="20">
        <v>698.0</v>
      </c>
      <c r="I336" s="20">
        <v>201.0</v>
      </c>
      <c r="J336" s="20">
        <v>8.0</v>
      </c>
      <c r="K336" s="20">
        <v>10.0</v>
      </c>
      <c r="L336" s="20">
        <v>2.0</v>
      </c>
      <c r="M336" s="63"/>
      <c r="N336" s="23"/>
      <c r="O336" s="19">
        <v>15.0</v>
      </c>
      <c r="P336" s="106">
        <v>0.048972146214831966</v>
      </c>
      <c r="Q336" s="106">
        <v>0.05223492723492724</v>
      </c>
      <c r="R336" s="106">
        <v>0.05333333333333334</v>
      </c>
      <c r="S336" s="106">
        <v>0.060240963855421686</v>
      </c>
      <c r="T336" s="106">
        <v>0.02564102564102564</v>
      </c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 ht="15.75" customHeight="1">
      <c r="A337" s="63"/>
      <c r="B337" s="63"/>
      <c r="C337" s="63"/>
      <c r="D337" s="63"/>
      <c r="E337" s="63"/>
      <c r="F337" s="24"/>
      <c r="G337" s="19">
        <v>16.0</v>
      </c>
      <c r="H337" s="20">
        <v>572.0</v>
      </c>
      <c r="I337" s="20">
        <v>182.0</v>
      </c>
      <c r="J337" s="20">
        <v>10.0</v>
      </c>
      <c r="K337" s="20">
        <v>7.0</v>
      </c>
      <c r="L337" s="20">
        <v>2.0</v>
      </c>
      <c r="M337" s="63"/>
      <c r="N337" s="23"/>
      <c r="O337" s="19">
        <v>16.0</v>
      </c>
      <c r="P337" s="106">
        <v>0.04013190205570757</v>
      </c>
      <c r="Q337" s="106">
        <v>0.0472972972972973</v>
      </c>
      <c r="R337" s="106">
        <v>0.06666666666666667</v>
      </c>
      <c r="S337" s="106">
        <v>0.04216867469879518</v>
      </c>
      <c r="T337" s="106">
        <v>0.02564102564102564</v>
      </c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 ht="15.75" customHeight="1">
      <c r="A338" s="63"/>
      <c r="B338" s="63"/>
      <c r="C338" s="63"/>
      <c r="D338" s="63"/>
      <c r="E338" s="63"/>
      <c r="F338" s="24"/>
      <c r="G338" s="19">
        <v>17.0</v>
      </c>
      <c r="H338" s="20">
        <v>478.0</v>
      </c>
      <c r="I338" s="20">
        <v>155.0</v>
      </c>
      <c r="J338" s="20">
        <v>9.0</v>
      </c>
      <c r="K338" s="20">
        <v>6.0</v>
      </c>
      <c r="L338" s="20">
        <v>1.0</v>
      </c>
      <c r="M338" s="63"/>
      <c r="N338" s="23"/>
      <c r="O338" s="19">
        <v>17.0</v>
      </c>
      <c r="P338" s="106">
        <v>0.03353679927032906</v>
      </c>
      <c r="Q338" s="106">
        <v>0.04028066528066528</v>
      </c>
      <c r="R338" s="106">
        <v>0.06</v>
      </c>
      <c r="S338" s="106">
        <v>0.03614457831325301</v>
      </c>
      <c r="T338" s="106">
        <v>0.01282051282051282</v>
      </c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 ht="15.75" customHeight="1">
      <c r="A339" s="63"/>
      <c r="B339" s="63"/>
      <c r="C339" s="63"/>
      <c r="D339" s="63"/>
      <c r="E339" s="63"/>
      <c r="F339" s="24"/>
      <c r="G339" s="19">
        <v>18.0</v>
      </c>
      <c r="H339" s="20">
        <v>395.0</v>
      </c>
      <c r="I339" s="20">
        <v>97.0</v>
      </c>
      <c r="J339" s="20">
        <v>1.0</v>
      </c>
      <c r="K339" s="20">
        <v>7.0</v>
      </c>
      <c r="L339" s="20">
        <v>2.0</v>
      </c>
      <c r="M339" s="63"/>
      <c r="N339" s="23"/>
      <c r="O339" s="19">
        <v>18.0</v>
      </c>
      <c r="P339" s="106">
        <v>0.027713463832175683</v>
      </c>
      <c r="Q339" s="106">
        <v>0.02520790020790021</v>
      </c>
      <c r="R339" s="106">
        <v>0.006666666666666667</v>
      </c>
      <c r="S339" s="106">
        <v>0.04216867469879518</v>
      </c>
      <c r="T339" s="106">
        <v>0.02564102564102564</v>
      </c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 ht="15.75" customHeight="1">
      <c r="A340" s="63"/>
      <c r="B340" s="63"/>
      <c r="C340" s="63"/>
      <c r="D340" s="63"/>
      <c r="E340" s="63"/>
      <c r="F340" s="24"/>
      <c r="G340" s="19">
        <v>19.0</v>
      </c>
      <c r="H340" s="20">
        <v>360.0</v>
      </c>
      <c r="I340" s="20">
        <v>91.0</v>
      </c>
      <c r="J340" s="20">
        <v>2.0</v>
      </c>
      <c r="K340" s="20">
        <v>4.0</v>
      </c>
      <c r="L340" s="20">
        <v>2.0</v>
      </c>
      <c r="M340" s="63"/>
      <c r="N340" s="23"/>
      <c r="O340" s="19">
        <v>19.0</v>
      </c>
      <c r="P340" s="106">
        <v>0.025257840454641127</v>
      </c>
      <c r="Q340" s="106">
        <v>0.02364864864864865</v>
      </c>
      <c r="R340" s="106">
        <v>0.013333333333333334</v>
      </c>
      <c r="S340" s="106">
        <v>0.024096385542168676</v>
      </c>
      <c r="T340" s="106">
        <v>0.02564102564102564</v>
      </c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 ht="15.75" customHeight="1">
      <c r="A341" s="63"/>
      <c r="B341" s="63"/>
      <c r="C341" s="63"/>
      <c r="D341" s="63"/>
      <c r="E341" s="63"/>
      <c r="F341" s="24"/>
      <c r="G341" s="19">
        <v>20.0</v>
      </c>
      <c r="H341" s="20">
        <v>319.0</v>
      </c>
      <c r="I341" s="20">
        <v>73.0</v>
      </c>
      <c r="J341" s="20">
        <v>4.0</v>
      </c>
      <c r="K341" s="20">
        <v>4.0</v>
      </c>
      <c r="L341" s="20">
        <v>0.0</v>
      </c>
      <c r="M341" s="63"/>
      <c r="N341" s="23"/>
      <c r="O341" s="19">
        <v>20.0</v>
      </c>
      <c r="P341" s="106">
        <v>0.022381253069529223</v>
      </c>
      <c r="Q341" s="106">
        <v>0.018970893970893972</v>
      </c>
      <c r="R341" s="106">
        <v>0.02666666666666667</v>
      </c>
      <c r="S341" s="106">
        <v>0.024096385542168676</v>
      </c>
      <c r="T341" s="106">
        <v>0.0</v>
      </c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 ht="15.75" customHeight="1">
      <c r="A342" s="63"/>
      <c r="B342" s="63"/>
      <c r="C342" s="63"/>
      <c r="D342" s="63"/>
      <c r="E342" s="63"/>
      <c r="F342" s="24"/>
      <c r="G342" s="19">
        <v>21.0</v>
      </c>
      <c r="H342" s="20">
        <v>245.0</v>
      </c>
      <c r="I342" s="20">
        <v>64.0</v>
      </c>
      <c r="J342" s="20">
        <v>2.0</v>
      </c>
      <c r="K342" s="20">
        <v>2.0</v>
      </c>
      <c r="L342" s="20">
        <v>0.0</v>
      </c>
      <c r="M342" s="63"/>
      <c r="N342" s="23"/>
      <c r="O342" s="19">
        <v>21.0</v>
      </c>
      <c r="P342" s="106">
        <v>0.01718936364274188</v>
      </c>
      <c r="Q342" s="106">
        <v>0.016632016632016633</v>
      </c>
      <c r="R342" s="106">
        <v>0.013333333333333334</v>
      </c>
      <c r="S342" s="106">
        <v>0.012048192771084338</v>
      </c>
      <c r="T342" s="106">
        <v>0.0</v>
      </c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 ht="15.75" customHeight="1">
      <c r="A343" s="63"/>
      <c r="B343" s="63"/>
      <c r="C343" s="63"/>
      <c r="D343" s="63"/>
      <c r="E343" s="63"/>
      <c r="F343" s="24"/>
      <c r="G343" s="19">
        <v>22.0</v>
      </c>
      <c r="H343" s="20">
        <v>211.0</v>
      </c>
      <c r="I343" s="20">
        <v>70.0</v>
      </c>
      <c r="J343" s="20">
        <v>1.0</v>
      </c>
      <c r="K343" s="20">
        <v>6.0</v>
      </c>
      <c r="L343" s="20">
        <v>3.0</v>
      </c>
      <c r="M343" s="63"/>
      <c r="N343" s="23"/>
      <c r="O343" s="19">
        <v>22.0</v>
      </c>
      <c r="P343" s="106">
        <v>0.014803900933136884</v>
      </c>
      <c r="Q343" s="106">
        <v>0.018191268191268192</v>
      </c>
      <c r="R343" s="106">
        <v>0.006666666666666667</v>
      </c>
      <c r="S343" s="106">
        <v>0.03614457831325301</v>
      </c>
      <c r="T343" s="106">
        <v>0.038461538461538464</v>
      </c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 ht="15.75" customHeight="1">
      <c r="A344" s="63"/>
      <c r="B344" s="63"/>
      <c r="C344" s="63"/>
      <c r="D344" s="63"/>
      <c r="E344" s="63"/>
      <c r="F344" s="28"/>
      <c r="G344" s="71">
        <v>23.0</v>
      </c>
      <c r="H344" s="20">
        <v>154.0</v>
      </c>
      <c r="I344" s="20">
        <v>42.0</v>
      </c>
      <c r="J344" s="20">
        <v>3.0</v>
      </c>
      <c r="K344" s="20">
        <v>3.0</v>
      </c>
      <c r="L344" s="20">
        <v>2.0</v>
      </c>
      <c r="M344" s="63"/>
      <c r="N344" s="27"/>
      <c r="O344" s="19">
        <v>23.0</v>
      </c>
      <c r="P344" s="106">
        <v>0.010804742861152038</v>
      </c>
      <c r="Q344" s="106">
        <v>0.010914760914760915</v>
      </c>
      <c r="R344" s="106">
        <v>0.02</v>
      </c>
      <c r="S344" s="106">
        <v>0.018072289156626505</v>
      </c>
      <c r="T344" s="106">
        <v>0.02564102564102564</v>
      </c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 ht="15.75" customHeight="1">
      <c r="A345" s="63"/>
      <c r="B345" s="63"/>
      <c r="C345" s="63"/>
      <c r="D345" s="63"/>
      <c r="E345" s="63"/>
      <c r="F345" s="63"/>
      <c r="G345" s="16"/>
      <c r="H345" s="51"/>
      <c r="I345" s="51"/>
      <c r="J345" s="51"/>
      <c r="K345" s="51"/>
      <c r="L345" s="51"/>
      <c r="M345" s="63"/>
      <c r="N345" s="63"/>
      <c r="O345" s="16"/>
      <c r="P345" s="51"/>
      <c r="Q345" s="51"/>
      <c r="R345" s="51"/>
      <c r="S345" s="51"/>
      <c r="T345" s="51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 ht="15.75" customHeight="1">
      <c r="A346" s="63"/>
      <c r="B346" s="63"/>
      <c r="C346" s="63"/>
      <c r="D346" s="63"/>
      <c r="E346" s="63"/>
      <c r="F346" s="55"/>
      <c r="G346" s="51"/>
      <c r="H346" s="16"/>
      <c r="I346" s="16"/>
      <c r="J346" s="16"/>
      <c r="K346" s="16"/>
      <c r="L346" s="16"/>
      <c r="M346" s="63"/>
      <c r="N346" s="55"/>
      <c r="O346" s="51"/>
      <c r="P346" s="52"/>
      <c r="Q346" s="52"/>
      <c r="R346" s="52"/>
      <c r="S346" s="52"/>
      <c r="T346" s="52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 ht="15.75" customHeight="1">
      <c r="A347" s="63"/>
      <c r="B347" s="63"/>
      <c r="C347" s="63"/>
      <c r="D347" s="63"/>
      <c r="E347" s="63"/>
      <c r="G347" s="51"/>
      <c r="H347" s="16"/>
      <c r="I347" s="16"/>
      <c r="J347" s="16"/>
      <c r="K347" s="16"/>
      <c r="L347" s="16"/>
      <c r="M347" s="63"/>
      <c r="N347" s="63"/>
      <c r="O347" s="51"/>
      <c r="P347" s="52"/>
      <c r="Q347" s="52"/>
      <c r="R347" s="52"/>
      <c r="S347" s="52"/>
      <c r="T347" s="52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 ht="15.75" customHeight="1">
      <c r="A348" s="63"/>
      <c r="B348" s="63"/>
      <c r="C348" s="63"/>
      <c r="D348" s="63"/>
      <c r="E348" s="63"/>
      <c r="G348" s="51"/>
      <c r="H348" s="16"/>
      <c r="I348" s="16"/>
      <c r="J348" s="16"/>
      <c r="K348" s="16"/>
      <c r="L348" s="16"/>
      <c r="M348" s="63"/>
      <c r="N348" s="63"/>
      <c r="O348" s="51"/>
      <c r="P348" s="52"/>
      <c r="Q348" s="52"/>
      <c r="R348" s="52"/>
      <c r="S348" s="52"/>
      <c r="T348" s="52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 ht="15.75" customHeight="1">
      <c r="A349" s="63"/>
      <c r="B349" s="63"/>
      <c r="C349" s="63"/>
      <c r="D349" s="63"/>
      <c r="E349" s="63"/>
      <c r="G349" s="51"/>
      <c r="H349" s="16"/>
      <c r="I349" s="16"/>
      <c r="J349" s="16"/>
      <c r="K349" s="16"/>
      <c r="L349" s="16"/>
      <c r="M349" s="63"/>
      <c r="N349" s="63"/>
      <c r="O349" s="51"/>
      <c r="P349" s="52"/>
      <c r="Q349" s="52"/>
      <c r="R349" s="52"/>
      <c r="S349" s="52"/>
      <c r="T349" s="52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 ht="15.75" customHeight="1">
      <c r="A350" s="63"/>
      <c r="B350" s="63"/>
      <c r="C350" s="63"/>
      <c r="D350" s="63"/>
      <c r="E350" s="63"/>
      <c r="G350" s="51"/>
      <c r="H350" s="16"/>
      <c r="I350" s="16"/>
      <c r="J350" s="16"/>
      <c r="K350" s="16"/>
      <c r="L350" s="16"/>
      <c r="M350" s="63"/>
      <c r="N350" s="63"/>
      <c r="O350" s="51"/>
      <c r="P350" s="52"/>
      <c r="Q350" s="52"/>
      <c r="R350" s="52"/>
      <c r="S350" s="52"/>
      <c r="T350" s="52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 ht="15.75" customHeight="1">
      <c r="A351" s="63"/>
      <c r="B351" s="63"/>
      <c r="C351" s="63"/>
      <c r="D351" s="63"/>
      <c r="E351" s="63"/>
      <c r="G351" s="51"/>
      <c r="H351" s="16"/>
      <c r="I351" s="16"/>
      <c r="J351" s="16"/>
      <c r="K351" s="16"/>
      <c r="L351" s="16"/>
      <c r="M351" s="63"/>
      <c r="N351" s="63"/>
      <c r="O351" s="51"/>
      <c r="P351" s="52"/>
      <c r="Q351" s="52"/>
      <c r="R351" s="52"/>
      <c r="S351" s="52"/>
      <c r="T351" s="52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 ht="15.75" customHeight="1">
      <c r="A352" s="63"/>
      <c r="B352" s="63"/>
      <c r="C352" s="63"/>
      <c r="D352" s="63"/>
      <c r="E352" s="63"/>
      <c r="G352" s="51"/>
      <c r="H352" s="16"/>
      <c r="I352" s="16"/>
      <c r="J352" s="16"/>
      <c r="K352" s="16"/>
      <c r="L352" s="16"/>
      <c r="M352" s="63"/>
      <c r="N352" s="63"/>
      <c r="O352" s="51"/>
      <c r="P352" s="52"/>
      <c r="Q352" s="52"/>
      <c r="R352" s="52"/>
      <c r="S352" s="52"/>
      <c r="T352" s="52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 ht="15.75" customHeight="1">
      <c r="A353" s="63"/>
      <c r="B353" s="63"/>
      <c r="C353" s="63"/>
      <c r="D353" s="63"/>
      <c r="E353" s="63"/>
      <c r="G353" s="51"/>
      <c r="H353" s="16"/>
      <c r="I353" s="16"/>
      <c r="J353" s="16"/>
      <c r="K353" s="16"/>
      <c r="L353" s="16"/>
      <c r="M353" s="63"/>
      <c r="N353" s="63"/>
      <c r="O353" s="51"/>
      <c r="P353" s="52"/>
      <c r="Q353" s="52"/>
      <c r="R353" s="52"/>
      <c r="S353" s="52"/>
      <c r="T353" s="52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 ht="15.75" customHeight="1">
      <c r="A354" s="63"/>
      <c r="B354" s="63"/>
      <c r="C354" s="63"/>
      <c r="D354" s="63"/>
      <c r="E354" s="63"/>
      <c r="G354" s="51"/>
      <c r="H354" s="16"/>
      <c r="I354" s="16"/>
      <c r="J354" s="16"/>
      <c r="K354" s="16"/>
      <c r="L354" s="16"/>
      <c r="M354" s="63"/>
      <c r="N354" s="63"/>
      <c r="O354" s="51"/>
      <c r="P354" s="52"/>
      <c r="Q354" s="52"/>
      <c r="R354" s="52"/>
      <c r="S354" s="52"/>
      <c r="T354" s="52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 ht="15.75" customHeight="1">
      <c r="A355" s="63"/>
      <c r="B355" s="63"/>
      <c r="C355" s="63"/>
      <c r="D355" s="63"/>
      <c r="E355" s="63"/>
      <c r="G355" s="51"/>
      <c r="H355" s="16"/>
      <c r="I355" s="16"/>
      <c r="J355" s="16"/>
      <c r="K355" s="16"/>
      <c r="L355" s="16"/>
      <c r="M355" s="63"/>
      <c r="N355" s="63"/>
      <c r="O355" s="51"/>
      <c r="P355" s="52"/>
      <c r="Q355" s="52"/>
      <c r="R355" s="52"/>
      <c r="S355" s="52"/>
      <c r="T355" s="52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 ht="15.75" customHeight="1">
      <c r="A356" s="63"/>
      <c r="B356" s="63"/>
      <c r="C356" s="63"/>
      <c r="D356" s="63"/>
      <c r="E356" s="63"/>
      <c r="G356" s="51"/>
      <c r="H356" s="16"/>
      <c r="I356" s="16"/>
      <c r="J356" s="16"/>
      <c r="K356" s="16"/>
      <c r="L356" s="16"/>
      <c r="M356" s="63"/>
      <c r="N356" s="63"/>
      <c r="O356" s="51"/>
      <c r="P356" s="52"/>
      <c r="Q356" s="52"/>
      <c r="R356" s="52"/>
      <c r="S356" s="52"/>
      <c r="T356" s="52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 ht="15.75" customHeight="1">
      <c r="A357" s="63"/>
      <c r="B357" s="63"/>
      <c r="C357" s="63"/>
      <c r="D357" s="63"/>
      <c r="E357" s="63"/>
      <c r="G357" s="51"/>
      <c r="H357" s="16"/>
      <c r="I357" s="16"/>
      <c r="J357" s="16"/>
      <c r="K357" s="16"/>
      <c r="L357" s="16"/>
      <c r="M357" s="63"/>
      <c r="N357" s="63"/>
      <c r="O357" s="51"/>
      <c r="P357" s="52"/>
      <c r="Q357" s="52"/>
      <c r="R357" s="52"/>
      <c r="S357" s="52"/>
      <c r="T357" s="52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 ht="15.75" customHeight="1">
      <c r="A358" s="63"/>
      <c r="B358" s="63"/>
      <c r="C358" s="63"/>
      <c r="D358" s="63"/>
      <c r="E358" s="63"/>
      <c r="G358" s="51"/>
      <c r="H358" s="16"/>
      <c r="I358" s="16"/>
      <c r="J358" s="16"/>
      <c r="K358" s="16"/>
      <c r="L358" s="16"/>
      <c r="M358" s="63"/>
      <c r="N358" s="63"/>
      <c r="O358" s="51"/>
      <c r="P358" s="52"/>
      <c r="Q358" s="52"/>
      <c r="R358" s="52"/>
      <c r="S358" s="52"/>
      <c r="T358" s="52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 ht="15.75" customHeight="1">
      <c r="A359" s="63"/>
      <c r="B359" s="63"/>
      <c r="C359" s="63"/>
      <c r="D359" s="63"/>
      <c r="E359" s="63"/>
      <c r="G359" s="51"/>
      <c r="H359" s="16"/>
      <c r="I359" s="16"/>
      <c r="J359" s="16"/>
      <c r="K359" s="16"/>
      <c r="L359" s="16"/>
      <c r="M359" s="63"/>
      <c r="N359" s="63"/>
      <c r="O359" s="51"/>
      <c r="P359" s="52"/>
      <c r="Q359" s="52"/>
      <c r="R359" s="52"/>
      <c r="S359" s="52"/>
      <c r="T359" s="52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 ht="15.75" customHeight="1">
      <c r="A360" s="63"/>
      <c r="B360" s="63"/>
      <c r="C360" s="63"/>
      <c r="D360" s="63"/>
      <c r="E360" s="63"/>
      <c r="G360" s="51"/>
      <c r="H360" s="16"/>
      <c r="I360" s="16"/>
      <c r="J360" s="16"/>
      <c r="K360" s="16"/>
      <c r="L360" s="16"/>
      <c r="M360" s="63"/>
      <c r="N360" s="63"/>
      <c r="O360" s="51"/>
      <c r="P360" s="52"/>
      <c r="Q360" s="52"/>
      <c r="R360" s="52"/>
      <c r="S360" s="52"/>
      <c r="T360" s="52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 ht="15.75" customHeight="1">
      <c r="A361" s="63"/>
      <c r="B361" s="63"/>
      <c r="C361" s="63"/>
      <c r="D361" s="63"/>
      <c r="E361" s="63"/>
      <c r="G361" s="51"/>
      <c r="H361" s="16"/>
      <c r="I361" s="16"/>
      <c r="J361" s="16"/>
      <c r="K361" s="16"/>
      <c r="L361" s="16"/>
      <c r="M361" s="63"/>
      <c r="N361" s="63"/>
      <c r="O361" s="51"/>
      <c r="P361" s="52"/>
      <c r="Q361" s="52"/>
      <c r="R361" s="52"/>
      <c r="S361" s="52"/>
      <c r="T361" s="52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 ht="15.75" customHeight="1">
      <c r="A362" s="63"/>
      <c r="B362" s="63"/>
      <c r="C362" s="63"/>
      <c r="D362" s="63"/>
      <c r="E362" s="63"/>
      <c r="G362" s="51"/>
      <c r="H362" s="16"/>
      <c r="I362" s="16"/>
      <c r="J362" s="16"/>
      <c r="K362" s="16"/>
      <c r="L362" s="16"/>
      <c r="M362" s="63"/>
      <c r="N362" s="63"/>
      <c r="O362" s="51"/>
      <c r="P362" s="52"/>
      <c r="Q362" s="52"/>
      <c r="R362" s="52"/>
      <c r="S362" s="52"/>
      <c r="T362" s="52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 ht="15.75" customHeight="1">
      <c r="A363" s="63"/>
      <c r="B363" s="63"/>
      <c r="C363" s="63"/>
      <c r="D363" s="63"/>
      <c r="E363" s="63"/>
      <c r="G363" s="51"/>
      <c r="H363" s="16"/>
      <c r="I363" s="16"/>
      <c r="J363" s="16"/>
      <c r="K363" s="16"/>
      <c r="L363" s="16"/>
      <c r="M363" s="63"/>
      <c r="N363" s="63"/>
      <c r="O363" s="51"/>
      <c r="P363" s="52"/>
      <c r="Q363" s="52"/>
      <c r="R363" s="52"/>
      <c r="S363" s="52"/>
      <c r="T363" s="52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 ht="15.75" customHeight="1">
      <c r="A364" s="63"/>
      <c r="B364" s="63"/>
      <c r="C364" s="63"/>
      <c r="D364" s="63"/>
      <c r="E364" s="63"/>
      <c r="G364" s="51"/>
      <c r="H364" s="16"/>
      <c r="I364" s="16"/>
      <c r="J364" s="16"/>
      <c r="K364" s="16"/>
      <c r="L364" s="16"/>
      <c r="M364" s="63"/>
      <c r="N364" s="63"/>
      <c r="O364" s="51"/>
      <c r="P364" s="52"/>
      <c r="Q364" s="52"/>
      <c r="R364" s="52"/>
      <c r="S364" s="52"/>
      <c r="T364" s="52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 ht="15.75" customHeight="1">
      <c r="A365" s="63"/>
      <c r="B365" s="63"/>
      <c r="C365" s="63"/>
      <c r="D365" s="63"/>
      <c r="E365" s="63"/>
      <c r="G365" s="51"/>
      <c r="H365" s="16"/>
      <c r="I365" s="16"/>
      <c r="J365" s="16"/>
      <c r="K365" s="16"/>
      <c r="L365" s="16"/>
      <c r="M365" s="63"/>
      <c r="N365" s="63"/>
      <c r="O365" s="51"/>
      <c r="P365" s="52"/>
      <c r="Q365" s="52"/>
      <c r="R365" s="52"/>
      <c r="S365" s="52"/>
      <c r="T365" s="52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 ht="15.75" customHeight="1">
      <c r="A366" s="63"/>
      <c r="B366" s="63"/>
      <c r="C366" s="63"/>
      <c r="D366" s="63"/>
      <c r="E366" s="63"/>
      <c r="G366" s="51"/>
      <c r="H366" s="16"/>
      <c r="I366" s="16"/>
      <c r="J366" s="16"/>
      <c r="K366" s="16"/>
      <c r="L366" s="16"/>
      <c r="M366" s="63"/>
      <c r="N366" s="63"/>
      <c r="O366" s="51"/>
      <c r="P366" s="52"/>
      <c r="Q366" s="52"/>
      <c r="R366" s="52"/>
      <c r="S366" s="52"/>
      <c r="T366" s="52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 ht="15.75" customHeight="1">
      <c r="A367" s="63"/>
      <c r="B367" s="63"/>
      <c r="C367" s="63"/>
      <c r="D367" s="63"/>
      <c r="E367" s="63"/>
      <c r="G367" s="51"/>
      <c r="H367" s="16"/>
      <c r="I367" s="16"/>
      <c r="J367" s="16"/>
      <c r="K367" s="16"/>
      <c r="L367" s="16"/>
      <c r="M367" s="63"/>
      <c r="N367" s="63"/>
      <c r="O367" s="51"/>
      <c r="P367" s="52"/>
      <c r="Q367" s="52"/>
      <c r="R367" s="52"/>
      <c r="S367" s="52"/>
      <c r="T367" s="52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 ht="15.75" customHeight="1">
      <c r="A368" s="63"/>
      <c r="B368" s="63"/>
      <c r="C368" s="63"/>
      <c r="D368" s="63"/>
      <c r="E368" s="63"/>
      <c r="G368" s="51"/>
      <c r="H368" s="16"/>
      <c r="I368" s="16"/>
      <c r="J368" s="16"/>
      <c r="K368" s="16"/>
      <c r="L368" s="16"/>
      <c r="M368" s="63"/>
      <c r="N368" s="63"/>
      <c r="O368" s="51"/>
      <c r="P368" s="52"/>
      <c r="Q368" s="52"/>
      <c r="R368" s="52"/>
      <c r="S368" s="52"/>
      <c r="T368" s="52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 ht="15.75" customHeight="1">
      <c r="A369" s="63"/>
      <c r="B369" s="63"/>
      <c r="C369" s="63"/>
      <c r="D369" s="63"/>
      <c r="E369" s="63"/>
      <c r="G369" s="51"/>
      <c r="H369" s="16"/>
      <c r="I369" s="16"/>
      <c r="J369" s="16"/>
      <c r="K369" s="16"/>
      <c r="L369" s="16"/>
      <c r="M369" s="63"/>
      <c r="N369" s="63"/>
      <c r="O369" s="51"/>
      <c r="P369" s="52"/>
      <c r="Q369" s="52"/>
      <c r="R369" s="52"/>
      <c r="S369" s="52"/>
      <c r="T369" s="52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 ht="15.75" customHeight="1">
      <c r="A370" s="63"/>
      <c r="B370" s="63"/>
      <c r="C370" s="63"/>
      <c r="D370" s="63"/>
      <c r="E370" s="63"/>
      <c r="F370" s="86"/>
      <c r="G370" s="86"/>
      <c r="H370" s="73">
        <v>0.0</v>
      </c>
      <c r="I370" s="73">
        <v>0.0</v>
      </c>
      <c r="J370" s="73">
        <v>0.0</v>
      </c>
      <c r="K370" s="73">
        <v>0.0</v>
      </c>
      <c r="L370" s="73">
        <v>0.0</v>
      </c>
      <c r="M370" s="63"/>
      <c r="N370" s="86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</row>
  </sheetData>
  <mergeCells count="20">
    <mergeCell ref="B3:C3"/>
    <mergeCell ref="D3:E3"/>
    <mergeCell ref="H3:L3"/>
    <mergeCell ref="H4:L4"/>
    <mergeCell ref="H6:L6"/>
    <mergeCell ref="F8:F31"/>
    <mergeCell ref="F32:F55"/>
    <mergeCell ref="F225:F248"/>
    <mergeCell ref="F249:F272"/>
    <mergeCell ref="F273:F296"/>
    <mergeCell ref="F297:F320"/>
    <mergeCell ref="F321:F344"/>
    <mergeCell ref="F346:F369"/>
    <mergeCell ref="F56:F79"/>
    <mergeCell ref="F80:F103"/>
    <mergeCell ref="F104:F127"/>
    <mergeCell ref="F128:F151"/>
    <mergeCell ref="F152:F175"/>
    <mergeCell ref="F177:F200"/>
    <mergeCell ref="F201:F22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178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179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1" t="s">
        <v>13</v>
      </c>
      <c r="E5" s="102" t="s">
        <v>14</v>
      </c>
    </row>
    <row r="6" ht="15.75" customHeight="1">
      <c r="E6" s="59"/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  <c r="U7" s="17">
        <v>5.0</v>
      </c>
    </row>
    <row r="8" ht="15.75" customHeight="1">
      <c r="F8" s="56">
        <v>45208.0</v>
      </c>
      <c r="G8" s="19">
        <v>0.0</v>
      </c>
      <c r="H8" s="20">
        <v>112.0</v>
      </c>
      <c r="I8" s="20">
        <v>23.0</v>
      </c>
      <c r="J8" s="20">
        <v>2.0</v>
      </c>
      <c r="K8" s="20">
        <v>4.0</v>
      </c>
      <c r="L8" s="20">
        <v>3.0</v>
      </c>
      <c r="N8" s="56">
        <v>45208.0</v>
      </c>
      <c r="O8" s="19">
        <v>0.0</v>
      </c>
      <c r="P8" s="40">
        <v>0.009672683305984973</v>
      </c>
      <c r="Q8" s="40">
        <v>0.006888289907157832</v>
      </c>
      <c r="R8" s="40">
        <v>0.02666666666666667</v>
      </c>
      <c r="S8" s="40">
        <v>0.013333333333333334</v>
      </c>
      <c r="T8" s="40">
        <v>0.011194029850746268</v>
      </c>
    </row>
    <row r="9" ht="15.75" customHeight="1">
      <c r="F9" s="24"/>
      <c r="G9" s="19">
        <v>1.0</v>
      </c>
      <c r="H9" s="20">
        <v>89.0</v>
      </c>
      <c r="I9" s="20">
        <v>14.0</v>
      </c>
      <c r="J9" s="20">
        <v>2.0</v>
      </c>
      <c r="K9" s="20">
        <v>2.0</v>
      </c>
      <c r="L9" s="20">
        <v>2.0</v>
      </c>
      <c r="N9" s="24"/>
      <c r="O9" s="19">
        <v>1.0</v>
      </c>
      <c r="P9" s="40">
        <v>0.0076863286985059155</v>
      </c>
      <c r="Q9" s="40">
        <v>0.0041928721174004195</v>
      </c>
      <c r="R9" s="40">
        <v>0.02666666666666667</v>
      </c>
      <c r="S9" s="40">
        <v>0.006666666666666667</v>
      </c>
      <c r="T9" s="40">
        <v>0.007462686567164179</v>
      </c>
    </row>
    <row r="10" ht="15.75" customHeight="1">
      <c r="F10" s="24"/>
      <c r="G10" s="19">
        <v>2.0</v>
      </c>
      <c r="H10" s="16">
        <v>69.0</v>
      </c>
      <c r="I10" s="16">
        <v>17.0</v>
      </c>
      <c r="J10" s="16">
        <v>0.0</v>
      </c>
      <c r="K10" s="16">
        <v>6.0</v>
      </c>
      <c r="L10" s="16">
        <v>5.0</v>
      </c>
      <c r="N10" s="24"/>
      <c r="O10" s="19">
        <v>2.0</v>
      </c>
      <c r="P10" s="40">
        <v>0.005959063822437171</v>
      </c>
      <c r="Q10" s="40">
        <v>0.005091344713986224</v>
      </c>
      <c r="R10" s="40">
        <v>0.0</v>
      </c>
      <c r="S10" s="40">
        <v>0.02</v>
      </c>
      <c r="T10" s="40">
        <v>0.018656716417910446</v>
      </c>
    </row>
    <row r="11" ht="15.75" customHeight="1">
      <c r="F11" s="24"/>
      <c r="G11" s="19">
        <v>3.0</v>
      </c>
      <c r="H11" s="20">
        <v>96.0</v>
      </c>
      <c r="I11" s="20">
        <v>29.0</v>
      </c>
      <c r="J11" s="20">
        <v>1.0</v>
      </c>
      <c r="K11" s="20">
        <v>2.0</v>
      </c>
      <c r="L11" s="20">
        <v>4.0</v>
      </c>
      <c r="N11" s="24"/>
      <c r="O11" s="19">
        <v>3.0</v>
      </c>
      <c r="P11" s="40">
        <v>0.008290871405129976</v>
      </c>
      <c r="Q11" s="40">
        <v>0.00868523510032944</v>
      </c>
      <c r="R11" s="40">
        <v>0.013333333333333334</v>
      </c>
      <c r="S11" s="40">
        <v>0.006666666666666667</v>
      </c>
      <c r="T11" s="40">
        <v>0.014925373134328358</v>
      </c>
    </row>
    <row r="12" ht="15.75" customHeight="1">
      <c r="F12" s="24"/>
      <c r="G12" s="19">
        <v>4.0</v>
      </c>
      <c r="H12" s="20">
        <v>126.0</v>
      </c>
      <c r="I12" s="20">
        <v>37.0</v>
      </c>
      <c r="J12" s="20">
        <v>4.0</v>
      </c>
      <c r="K12" s="20">
        <v>5.0</v>
      </c>
      <c r="L12" s="20">
        <v>5.0</v>
      </c>
      <c r="N12" s="24"/>
      <c r="O12" s="19">
        <v>4.0</v>
      </c>
      <c r="P12" s="40">
        <v>0.010881768719233095</v>
      </c>
      <c r="Q12" s="40">
        <v>0.011081162024558252</v>
      </c>
      <c r="R12" s="40">
        <v>0.05333333333333334</v>
      </c>
      <c r="S12" s="40">
        <v>0.016666666666666666</v>
      </c>
      <c r="T12" s="40">
        <v>0.018656716417910446</v>
      </c>
    </row>
    <row r="13" ht="15.75" customHeight="1">
      <c r="F13" s="24"/>
      <c r="G13" s="19">
        <v>5.0</v>
      </c>
      <c r="H13" s="20">
        <v>216.0</v>
      </c>
      <c r="I13" s="20">
        <v>96.0</v>
      </c>
      <c r="J13" s="20">
        <v>1.0</v>
      </c>
      <c r="K13" s="20">
        <v>12.0</v>
      </c>
      <c r="L13" s="20">
        <v>9.0</v>
      </c>
      <c r="N13" s="24"/>
      <c r="O13" s="19">
        <v>5.0</v>
      </c>
      <c r="P13" s="40">
        <v>0.018654460661542447</v>
      </c>
      <c r="Q13" s="40">
        <v>0.028751123090745734</v>
      </c>
      <c r="R13" s="40">
        <v>0.013333333333333334</v>
      </c>
      <c r="S13" s="40">
        <v>0.04</v>
      </c>
      <c r="T13" s="40">
        <v>0.033582089552238806</v>
      </c>
    </row>
    <row r="14" ht="15.75" customHeight="1">
      <c r="F14" s="24"/>
      <c r="G14" s="19">
        <v>6.0</v>
      </c>
      <c r="H14" s="20">
        <v>438.0</v>
      </c>
      <c r="I14" s="20">
        <v>142.0</v>
      </c>
      <c r="J14" s="20">
        <v>4.0</v>
      </c>
      <c r="K14" s="20">
        <v>19.0</v>
      </c>
      <c r="L14" s="20">
        <v>5.0</v>
      </c>
      <c r="N14" s="24"/>
      <c r="O14" s="19">
        <v>6.0</v>
      </c>
      <c r="P14" s="40">
        <v>0.03782710078590552</v>
      </c>
      <c r="Q14" s="40">
        <v>0.042527702905061394</v>
      </c>
      <c r="R14" s="40">
        <v>0.05333333333333334</v>
      </c>
      <c r="S14" s="40">
        <v>0.06333333333333334</v>
      </c>
      <c r="T14" s="40">
        <v>0.018656716417910446</v>
      </c>
    </row>
    <row r="15" ht="15.75" customHeight="1">
      <c r="F15" s="24"/>
      <c r="G15" s="19">
        <v>7.0</v>
      </c>
      <c r="H15" s="20">
        <v>722.0</v>
      </c>
      <c r="I15" s="20">
        <v>292.0</v>
      </c>
      <c r="J15" s="20">
        <v>14.0</v>
      </c>
      <c r="K15" s="20">
        <v>28.0</v>
      </c>
      <c r="L15" s="20">
        <v>15.0</v>
      </c>
      <c r="N15" s="24"/>
      <c r="O15" s="19">
        <v>7.0</v>
      </c>
      <c r="P15" s="40">
        <v>0.0623542620260817</v>
      </c>
      <c r="Q15" s="40">
        <v>0.0874513327343516</v>
      </c>
      <c r="R15" s="40">
        <v>0.18666666666666668</v>
      </c>
      <c r="S15" s="40">
        <v>0.09333333333333334</v>
      </c>
      <c r="T15" s="40">
        <v>0.055970149253731345</v>
      </c>
    </row>
    <row r="16" ht="15.75" customHeight="1">
      <c r="F16" s="24"/>
      <c r="G16" s="19">
        <v>8.0</v>
      </c>
      <c r="H16" s="20">
        <v>993.0</v>
      </c>
      <c r="I16" s="20">
        <v>306.0</v>
      </c>
      <c r="J16" s="20">
        <v>8.0</v>
      </c>
      <c r="K16" s="20">
        <v>23.0</v>
      </c>
      <c r="L16" s="20">
        <v>24.0</v>
      </c>
      <c r="N16" s="24"/>
      <c r="O16" s="19">
        <v>8.0</v>
      </c>
      <c r="P16" s="40">
        <v>0.0857587010968132</v>
      </c>
      <c r="Q16" s="40">
        <v>0.09164420485175202</v>
      </c>
      <c r="R16" s="40">
        <v>0.10666666666666667</v>
      </c>
      <c r="S16" s="40">
        <v>0.07666666666666666</v>
      </c>
      <c r="T16" s="40">
        <v>0.08955223880597014</v>
      </c>
    </row>
    <row r="17" ht="15.75" customHeight="1">
      <c r="F17" s="24"/>
      <c r="G17" s="19">
        <v>9.0</v>
      </c>
      <c r="H17" s="20">
        <v>1136.0</v>
      </c>
      <c r="I17" s="20">
        <v>325.0</v>
      </c>
      <c r="J17" s="20">
        <v>5.0</v>
      </c>
      <c r="K17" s="20">
        <v>26.0</v>
      </c>
      <c r="L17" s="20">
        <v>19.0</v>
      </c>
      <c r="N17" s="24"/>
      <c r="O17" s="19">
        <v>9.0</v>
      </c>
      <c r="P17" s="40">
        <v>0.09810864496070472</v>
      </c>
      <c r="Q17" s="40">
        <v>0.09733453129679545</v>
      </c>
      <c r="R17" s="40">
        <v>0.06666666666666667</v>
      </c>
      <c r="S17" s="40">
        <v>0.08666666666666667</v>
      </c>
      <c r="T17" s="40">
        <v>0.0708955223880597</v>
      </c>
    </row>
    <row r="18" ht="15.75" customHeight="1">
      <c r="F18" s="24"/>
      <c r="G18" s="19">
        <v>10.0</v>
      </c>
      <c r="H18" s="20">
        <v>1102.0</v>
      </c>
      <c r="I18" s="20">
        <v>244.0</v>
      </c>
      <c r="J18" s="20">
        <v>2.0</v>
      </c>
      <c r="K18" s="20">
        <v>16.0</v>
      </c>
      <c r="L18" s="20">
        <v>14.0</v>
      </c>
      <c r="N18" s="24"/>
      <c r="O18" s="19">
        <v>10.0</v>
      </c>
      <c r="P18" s="40">
        <v>0.09517229467138785</v>
      </c>
      <c r="Q18" s="40">
        <v>0.07307577118897873</v>
      </c>
      <c r="R18" s="40">
        <v>0.02666666666666667</v>
      </c>
      <c r="S18" s="40">
        <v>0.05333333333333334</v>
      </c>
      <c r="T18" s="40">
        <v>0.05223880597014925</v>
      </c>
    </row>
    <row r="19" ht="15.75" customHeight="1">
      <c r="F19" s="24"/>
      <c r="G19" s="19">
        <v>11.0</v>
      </c>
      <c r="H19" s="20">
        <v>1055.0</v>
      </c>
      <c r="I19" s="20">
        <v>278.0</v>
      </c>
      <c r="J19" s="20">
        <v>2.0</v>
      </c>
      <c r="K19" s="20">
        <v>17.0</v>
      </c>
      <c r="L19" s="20">
        <v>30.0</v>
      </c>
      <c r="N19" s="24"/>
      <c r="O19" s="19">
        <v>11.0</v>
      </c>
      <c r="P19" s="40">
        <v>0.09111322221262631</v>
      </c>
      <c r="Q19" s="40">
        <v>0.08325846061695118</v>
      </c>
      <c r="R19" s="40">
        <v>0.02666666666666667</v>
      </c>
      <c r="S19" s="40">
        <v>0.056666666666666664</v>
      </c>
      <c r="T19" s="40">
        <v>0.11194029850746269</v>
      </c>
    </row>
    <row r="20" ht="15.75" customHeight="1">
      <c r="F20" s="24"/>
      <c r="G20" s="19">
        <v>12.0</v>
      </c>
      <c r="H20" s="20">
        <v>843.0</v>
      </c>
      <c r="I20" s="20">
        <v>215.0</v>
      </c>
      <c r="J20" s="20">
        <v>3.0</v>
      </c>
      <c r="K20" s="20">
        <v>21.0</v>
      </c>
      <c r="L20" s="20">
        <v>24.0</v>
      </c>
      <c r="N20" s="24"/>
      <c r="O20" s="19">
        <v>12.0</v>
      </c>
      <c r="P20" s="40">
        <v>0.07280421452629761</v>
      </c>
      <c r="Q20" s="40">
        <v>0.0643905360886493</v>
      </c>
      <c r="R20" s="40">
        <v>0.04</v>
      </c>
      <c r="S20" s="40">
        <v>0.07</v>
      </c>
      <c r="T20" s="40">
        <v>0.08955223880597014</v>
      </c>
    </row>
    <row r="21" ht="15.75" customHeight="1">
      <c r="F21" s="24"/>
      <c r="G21" s="19">
        <v>13.0</v>
      </c>
      <c r="H21" s="20">
        <v>837.0</v>
      </c>
      <c r="I21" s="20">
        <v>227.0</v>
      </c>
      <c r="J21" s="20">
        <v>2.0</v>
      </c>
      <c r="K21" s="20">
        <v>13.0</v>
      </c>
      <c r="L21" s="20">
        <v>15.0</v>
      </c>
      <c r="N21" s="24"/>
      <c r="O21" s="19">
        <v>13.0</v>
      </c>
      <c r="P21" s="40">
        <v>0.07228603506347699</v>
      </c>
      <c r="Q21" s="40">
        <v>0.06798442647499252</v>
      </c>
      <c r="R21" s="40">
        <v>0.02666666666666667</v>
      </c>
      <c r="S21" s="40">
        <v>0.043333333333333335</v>
      </c>
      <c r="T21" s="40">
        <v>0.055970149253731345</v>
      </c>
    </row>
    <row r="22" ht="15.75" customHeight="1">
      <c r="F22" s="24"/>
      <c r="G22" s="19">
        <v>14.0</v>
      </c>
      <c r="H22" s="20">
        <v>714.0</v>
      </c>
      <c r="I22" s="20">
        <v>198.0</v>
      </c>
      <c r="J22" s="20">
        <v>7.0</v>
      </c>
      <c r="K22" s="20">
        <v>17.0</v>
      </c>
      <c r="L22" s="20">
        <v>22.0</v>
      </c>
      <c r="N22" s="24"/>
      <c r="O22" s="19">
        <v>14.0</v>
      </c>
      <c r="P22" s="40">
        <v>0.0616633560756542</v>
      </c>
      <c r="Q22" s="40">
        <v>0.05929919137466307</v>
      </c>
      <c r="R22" s="40">
        <v>0.09333333333333334</v>
      </c>
      <c r="S22" s="40">
        <v>0.056666666666666664</v>
      </c>
      <c r="T22" s="40">
        <v>0.08208955223880597</v>
      </c>
    </row>
    <row r="23" ht="15.75" customHeight="1">
      <c r="F23" s="24"/>
      <c r="G23" s="19">
        <v>15.0</v>
      </c>
      <c r="H23" s="20">
        <v>600.0</v>
      </c>
      <c r="I23" s="20">
        <v>186.0</v>
      </c>
      <c r="J23" s="20">
        <v>8.0</v>
      </c>
      <c r="K23" s="20">
        <v>11.0</v>
      </c>
      <c r="L23" s="20">
        <v>20.0</v>
      </c>
      <c r="N23" s="24"/>
      <c r="O23" s="19">
        <v>15.0</v>
      </c>
      <c r="P23" s="40">
        <v>0.051817946282062356</v>
      </c>
      <c r="Q23" s="40">
        <v>0.055705300988319856</v>
      </c>
      <c r="R23" s="40">
        <v>0.10666666666666667</v>
      </c>
      <c r="S23" s="40">
        <v>0.03666666666666667</v>
      </c>
      <c r="T23" s="40">
        <v>0.07462686567164178</v>
      </c>
    </row>
    <row r="24" ht="15.75" customHeight="1">
      <c r="F24" s="24"/>
      <c r="G24" s="19">
        <v>16.0</v>
      </c>
      <c r="H24" s="20">
        <v>512.0</v>
      </c>
      <c r="I24" s="20">
        <v>165.0</v>
      </c>
      <c r="J24" s="20">
        <v>1.0</v>
      </c>
      <c r="K24" s="20">
        <v>19.0</v>
      </c>
      <c r="L24" s="20">
        <v>16.0</v>
      </c>
      <c r="N24" s="24"/>
      <c r="O24" s="19">
        <v>16.0</v>
      </c>
      <c r="P24" s="40">
        <v>0.04421798082735988</v>
      </c>
      <c r="Q24" s="40">
        <v>0.04941599281221923</v>
      </c>
      <c r="R24" s="40">
        <v>0.013333333333333334</v>
      </c>
      <c r="S24" s="40">
        <v>0.06333333333333334</v>
      </c>
      <c r="T24" s="40">
        <v>0.05970149253731343</v>
      </c>
    </row>
    <row r="25" ht="15.75" customHeight="1">
      <c r="F25" s="24"/>
      <c r="G25" s="19">
        <v>17.0</v>
      </c>
      <c r="H25" s="20">
        <v>464.0</v>
      </c>
      <c r="I25" s="20">
        <v>173.0</v>
      </c>
      <c r="J25" s="20">
        <v>3.0</v>
      </c>
      <c r="K25" s="20">
        <v>9.0</v>
      </c>
      <c r="L25" s="20">
        <v>6.0</v>
      </c>
      <c r="N25" s="24"/>
      <c r="O25" s="19">
        <v>17.0</v>
      </c>
      <c r="P25" s="40">
        <v>0.040072545124794884</v>
      </c>
      <c r="Q25" s="40">
        <v>0.05181191973644804</v>
      </c>
      <c r="R25" s="40">
        <v>0.04</v>
      </c>
      <c r="S25" s="40">
        <v>0.03</v>
      </c>
      <c r="T25" s="40">
        <v>0.022388059701492536</v>
      </c>
    </row>
    <row r="26" ht="15.75" customHeight="1">
      <c r="F26" s="24"/>
      <c r="G26" s="19">
        <v>18.0</v>
      </c>
      <c r="H26" s="20">
        <v>347.0</v>
      </c>
      <c r="I26" s="20">
        <v>94.0</v>
      </c>
      <c r="J26" s="20">
        <v>1.0</v>
      </c>
      <c r="K26" s="20">
        <v>13.0</v>
      </c>
      <c r="L26" s="20">
        <v>8.0</v>
      </c>
      <c r="N26" s="24"/>
      <c r="O26" s="19">
        <v>18.0</v>
      </c>
      <c r="P26" s="40">
        <v>0.029968045599792728</v>
      </c>
      <c r="Q26" s="40">
        <v>0.02815214135968853</v>
      </c>
      <c r="R26" s="40">
        <v>0.013333333333333334</v>
      </c>
      <c r="S26" s="40">
        <v>0.043333333333333335</v>
      </c>
      <c r="T26" s="40">
        <v>0.029850746268656716</v>
      </c>
    </row>
    <row r="27" ht="15.75" customHeight="1">
      <c r="F27" s="24"/>
      <c r="G27" s="19">
        <v>19.0</v>
      </c>
      <c r="H27" s="20">
        <v>281.0</v>
      </c>
      <c r="I27" s="20">
        <v>78.0</v>
      </c>
      <c r="J27" s="20">
        <v>2.0</v>
      </c>
      <c r="K27" s="20">
        <v>13.0</v>
      </c>
      <c r="L27" s="20">
        <v>5.0</v>
      </c>
      <c r="N27" s="24"/>
      <c r="O27" s="19">
        <v>19.0</v>
      </c>
      <c r="P27" s="40">
        <v>0.02426807150876587</v>
      </c>
      <c r="Q27" s="40">
        <v>0.02336028751123091</v>
      </c>
      <c r="R27" s="40">
        <v>0.02666666666666667</v>
      </c>
      <c r="S27" s="40">
        <v>0.043333333333333335</v>
      </c>
      <c r="T27" s="40">
        <v>0.018656716417910446</v>
      </c>
    </row>
    <row r="28" ht="15.75" customHeight="1">
      <c r="F28" s="24"/>
      <c r="G28" s="19">
        <v>20.0</v>
      </c>
      <c r="H28" s="20">
        <v>260.0</v>
      </c>
      <c r="I28" s="20">
        <v>55.0</v>
      </c>
      <c r="J28" s="20">
        <v>1.0</v>
      </c>
      <c r="K28" s="20">
        <v>7.0</v>
      </c>
      <c r="L28" s="20">
        <v>4.0</v>
      </c>
      <c r="N28" s="24"/>
      <c r="O28" s="19">
        <v>20.0</v>
      </c>
      <c r="P28" s="40">
        <v>0.022454443388893686</v>
      </c>
      <c r="Q28" s="40">
        <v>0.016471997604073075</v>
      </c>
      <c r="R28" s="40">
        <v>0.013333333333333334</v>
      </c>
      <c r="S28" s="40">
        <v>0.023333333333333334</v>
      </c>
      <c r="T28" s="40">
        <v>0.014925373134328358</v>
      </c>
    </row>
    <row r="29" ht="15.75" customHeight="1">
      <c r="F29" s="24"/>
      <c r="G29" s="19">
        <v>21.0</v>
      </c>
      <c r="H29" s="20">
        <v>240.0</v>
      </c>
      <c r="I29" s="20">
        <v>54.0</v>
      </c>
      <c r="J29" s="20">
        <v>1.0</v>
      </c>
      <c r="K29" s="20">
        <v>6.0</v>
      </c>
      <c r="L29" s="20">
        <v>8.0</v>
      </c>
      <c r="N29" s="24"/>
      <c r="O29" s="19">
        <v>21.0</v>
      </c>
      <c r="P29" s="40">
        <v>0.02072717851282494</v>
      </c>
      <c r="Q29" s="40">
        <v>0.016172506738544475</v>
      </c>
      <c r="R29" s="40">
        <v>0.013333333333333334</v>
      </c>
      <c r="S29" s="40">
        <v>0.02</v>
      </c>
      <c r="T29" s="40">
        <v>0.029850746268656716</v>
      </c>
    </row>
    <row r="30" ht="15.75" customHeight="1">
      <c r="F30" s="24"/>
      <c r="G30" s="19">
        <v>22.0</v>
      </c>
      <c r="H30" s="20">
        <v>191.0</v>
      </c>
      <c r="I30" s="20">
        <v>48.0</v>
      </c>
      <c r="J30" s="20">
        <v>0.0</v>
      </c>
      <c r="K30" s="20">
        <v>4.0</v>
      </c>
      <c r="L30" s="20">
        <v>2.0</v>
      </c>
      <c r="N30" s="24"/>
      <c r="O30" s="19">
        <v>22.0</v>
      </c>
      <c r="P30" s="40">
        <v>0.016495379566456515</v>
      </c>
      <c r="Q30" s="40">
        <v>0.014375561545372867</v>
      </c>
      <c r="R30" s="40">
        <v>0.0</v>
      </c>
      <c r="S30" s="40">
        <v>0.013333333333333334</v>
      </c>
      <c r="T30" s="40">
        <v>0.007462686567164179</v>
      </c>
    </row>
    <row r="31" ht="22.5" customHeight="1">
      <c r="F31" s="28"/>
      <c r="G31" s="19">
        <v>23.0</v>
      </c>
      <c r="H31" s="20">
        <v>136.0</v>
      </c>
      <c r="I31" s="20">
        <v>43.0</v>
      </c>
      <c r="J31" s="20">
        <v>1.0</v>
      </c>
      <c r="K31" s="20">
        <v>7.0</v>
      </c>
      <c r="L31" s="20">
        <v>3.0</v>
      </c>
      <c r="N31" s="28"/>
      <c r="O31" s="19">
        <v>23.0</v>
      </c>
      <c r="P31" s="40">
        <v>0.011745401157267467</v>
      </c>
      <c r="Q31" s="40">
        <v>0.01287810721772986</v>
      </c>
      <c r="R31" s="40">
        <v>0.013333333333333334</v>
      </c>
      <c r="S31" s="40">
        <v>0.023333333333333334</v>
      </c>
      <c r="T31" s="40">
        <v>0.011194029850746268</v>
      </c>
    </row>
    <row r="32" ht="15.75" customHeight="1">
      <c r="F32" s="56">
        <v>45209.0</v>
      </c>
      <c r="G32" s="19">
        <v>0.0</v>
      </c>
      <c r="H32" s="20">
        <v>98.0</v>
      </c>
      <c r="I32" s="20">
        <v>29.0</v>
      </c>
      <c r="J32" s="20">
        <v>5.0</v>
      </c>
      <c r="K32" s="20">
        <v>4.0</v>
      </c>
      <c r="L32" s="20">
        <v>4.0</v>
      </c>
      <c r="N32" s="56">
        <v>45209.0</v>
      </c>
      <c r="O32" s="19">
        <v>0.0</v>
      </c>
      <c r="P32" s="40">
        <v>0.011337343822304488</v>
      </c>
      <c r="Q32" s="40">
        <v>0.01095166163141994</v>
      </c>
      <c r="R32" s="40">
        <v>0.052083333333333336</v>
      </c>
      <c r="S32" s="40">
        <v>0.013029315960912053</v>
      </c>
      <c r="T32" s="40">
        <v>0.02</v>
      </c>
    </row>
    <row r="33" ht="15.75" customHeight="1">
      <c r="F33" s="24"/>
      <c r="G33" s="19">
        <v>1.0</v>
      </c>
      <c r="H33" s="20">
        <v>50.0</v>
      </c>
      <c r="I33" s="20">
        <v>12.0</v>
      </c>
      <c r="J33" s="20">
        <v>5.0</v>
      </c>
      <c r="K33" s="20">
        <v>6.0</v>
      </c>
      <c r="L33" s="20">
        <v>5.0</v>
      </c>
      <c r="N33" s="24"/>
      <c r="O33" s="19">
        <v>1.0</v>
      </c>
      <c r="P33" s="40">
        <v>0.005784359093012495</v>
      </c>
      <c r="Q33" s="40">
        <v>0.004531722054380665</v>
      </c>
      <c r="R33" s="40">
        <v>0.052083333333333336</v>
      </c>
      <c r="S33" s="40">
        <v>0.019543973941368076</v>
      </c>
      <c r="T33" s="40">
        <v>0.025</v>
      </c>
    </row>
    <row r="34" ht="15.75" customHeight="1">
      <c r="F34" s="24"/>
      <c r="G34" s="19">
        <v>2.0</v>
      </c>
      <c r="H34" s="16">
        <v>52.0</v>
      </c>
      <c r="I34" s="16">
        <v>17.0</v>
      </c>
      <c r="J34" s="16">
        <v>2.0</v>
      </c>
      <c r="K34" s="16">
        <v>4.0</v>
      </c>
      <c r="L34" s="16">
        <v>2.0</v>
      </c>
      <c r="N34" s="24"/>
      <c r="O34" s="19">
        <v>2.0</v>
      </c>
      <c r="P34" s="40">
        <v>0.006015733456732994</v>
      </c>
      <c r="Q34" s="40">
        <v>0.006419939577039275</v>
      </c>
      <c r="R34" s="40">
        <v>0.020833333333333332</v>
      </c>
      <c r="S34" s="40">
        <v>0.013029315960912053</v>
      </c>
      <c r="T34" s="40">
        <v>0.01</v>
      </c>
    </row>
    <row r="35" ht="15.75" customHeight="1">
      <c r="F35" s="24"/>
      <c r="G35" s="19">
        <v>3.0</v>
      </c>
      <c r="H35" s="20">
        <v>51.0</v>
      </c>
      <c r="I35" s="20">
        <v>22.0</v>
      </c>
      <c r="J35" s="20">
        <v>3.0</v>
      </c>
      <c r="K35" s="20">
        <v>3.0</v>
      </c>
      <c r="L35" s="20">
        <v>6.0</v>
      </c>
      <c r="N35" s="24"/>
      <c r="O35" s="19">
        <v>3.0</v>
      </c>
      <c r="P35" s="40">
        <v>0.005900046274872744</v>
      </c>
      <c r="Q35" s="40">
        <v>0.008308157099697885</v>
      </c>
      <c r="R35" s="40">
        <v>0.03125</v>
      </c>
      <c r="S35" s="40">
        <v>0.009771986970684038</v>
      </c>
      <c r="T35" s="40">
        <v>0.03</v>
      </c>
    </row>
    <row r="36" ht="15.75" customHeight="1">
      <c r="F36" s="24"/>
      <c r="G36" s="19">
        <v>4.0</v>
      </c>
      <c r="H36" s="20">
        <v>71.0</v>
      </c>
      <c r="I36" s="20">
        <v>24.0</v>
      </c>
      <c r="J36" s="20">
        <v>2.0</v>
      </c>
      <c r="K36" s="20">
        <v>5.0</v>
      </c>
      <c r="L36" s="20">
        <v>4.0</v>
      </c>
      <c r="N36" s="24"/>
      <c r="O36" s="19">
        <v>4.0</v>
      </c>
      <c r="P36" s="40">
        <v>0.008213789912077742</v>
      </c>
      <c r="Q36" s="40">
        <v>0.00906344410876133</v>
      </c>
      <c r="R36" s="40">
        <v>0.020833333333333332</v>
      </c>
      <c r="S36" s="40">
        <v>0.016286644951140065</v>
      </c>
      <c r="T36" s="40">
        <v>0.02</v>
      </c>
    </row>
    <row r="37" ht="15.75" customHeight="1">
      <c r="F37" s="24"/>
      <c r="G37" s="19">
        <v>5.0</v>
      </c>
      <c r="H37" s="20">
        <v>105.0</v>
      </c>
      <c r="I37" s="20">
        <v>71.0</v>
      </c>
      <c r="J37" s="20">
        <v>0.0</v>
      </c>
      <c r="K37" s="20">
        <v>23.0</v>
      </c>
      <c r="L37" s="20">
        <v>5.0</v>
      </c>
      <c r="N37" s="24"/>
      <c r="O37" s="19">
        <v>5.0</v>
      </c>
      <c r="P37" s="40">
        <v>0.012147154095326239</v>
      </c>
      <c r="Q37" s="40">
        <v>0.026812688821752265</v>
      </c>
      <c r="R37" s="40">
        <v>0.0</v>
      </c>
      <c r="S37" s="40">
        <v>0.0749185667752443</v>
      </c>
      <c r="T37" s="40">
        <v>0.025</v>
      </c>
    </row>
    <row r="38" ht="15.75" customHeight="1">
      <c r="F38" s="24"/>
      <c r="G38" s="19">
        <v>6.0</v>
      </c>
      <c r="H38" s="20">
        <v>207.0</v>
      </c>
      <c r="I38" s="20">
        <v>104.0</v>
      </c>
      <c r="J38" s="20">
        <v>6.0</v>
      </c>
      <c r="K38" s="20">
        <v>17.0</v>
      </c>
      <c r="L38" s="20">
        <v>4.0</v>
      </c>
      <c r="N38" s="24"/>
      <c r="O38" s="19">
        <v>6.0</v>
      </c>
      <c r="P38" s="40">
        <v>0.023947246645071727</v>
      </c>
      <c r="Q38" s="40">
        <v>0.03927492447129909</v>
      </c>
      <c r="R38" s="40">
        <v>0.0625</v>
      </c>
      <c r="S38" s="40">
        <v>0.05537459283387622</v>
      </c>
      <c r="T38" s="40">
        <v>0.02</v>
      </c>
    </row>
    <row r="39" ht="15.75" customHeight="1">
      <c r="F39" s="24"/>
      <c r="G39" s="19">
        <v>7.0</v>
      </c>
      <c r="H39" s="20">
        <v>409.0</v>
      </c>
      <c r="I39" s="20">
        <v>173.0</v>
      </c>
      <c r="J39" s="20">
        <v>7.0</v>
      </c>
      <c r="K39" s="20">
        <v>32.0</v>
      </c>
      <c r="L39" s="20">
        <v>13.0</v>
      </c>
      <c r="N39" s="24"/>
      <c r="O39" s="19">
        <v>7.0</v>
      </c>
      <c r="P39" s="40">
        <v>0.0473160573808422</v>
      </c>
      <c r="Q39" s="40">
        <v>0.06533232628398791</v>
      </c>
      <c r="R39" s="40">
        <v>0.07291666666666667</v>
      </c>
      <c r="S39" s="40">
        <v>0.10423452768729642</v>
      </c>
      <c r="T39" s="40">
        <v>0.065</v>
      </c>
    </row>
    <row r="40" ht="15.75" customHeight="1">
      <c r="F40" s="24"/>
      <c r="G40" s="19">
        <v>8.0</v>
      </c>
      <c r="H40" s="20">
        <v>459.0</v>
      </c>
      <c r="I40" s="20">
        <v>197.0</v>
      </c>
      <c r="J40" s="20">
        <v>7.0</v>
      </c>
      <c r="K40" s="20">
        <v>17.0</v>
      </c>
      <c r="L40" s="20">
        <v>22.0</v>
      </c>
      <c r="N40" s="24"/>
      <c r="O40" s="19">
        <v>8.0</v>
      </c>
      <c r="P40" s="40">
        <v>0.053100416473854696</v>
      </c>
      <c r="Q40" s="40">
        <v>0.07439577039274925</v>
      </c>
      <c r="R40" s="40">
        <v>0.07291666666666667</v>
      </c>
      <c r="S40" s="40">
        <v>0.05537459283387622</v>
      </c>
      <c r="T40" s="40">
        <v>0.11</v>
      </c>
    </row>
    <row r="41" ht="15.75" customHeight="1">
      <c r="F41" s="24"/>
      <c r="G41" s="19">
        <v>9.0</v>
      </c>
      <c r="H41" s="20">
        <v>672.0</v>
      </c>
      <c r="I41" s="20">
        <v>199.0</v>
      </c>
      <c r="J41" s="20">
        <v>5.0</v>
      </c>
      <c r="K41" s="20">
        <v>12.0</v>
      </c>
      <c r="L41" s="20">
        <v>13.0</v>
      </c>
      <c r="N41" s="24"/>
      <c r="O41" s="19">
        <v>9.0</v>
      </c>
      <c r="P41" s="40">
        <v>0.07774178621008793</v>
      </c>
      <c r="Q41" s="40">
        <v>0.07515105740181269</v>
      </c>
      <c r="R41" s="40">
        <v>0.052083333333333336</v>
      </c>
      <c r="S41" s="40">
        <v>0.03908794788273615</v>
      </c>
      <c r="T41" s="40">
        <v>0.065</v>
      </c>
    </row>
    <row r="42" ht="15.75" customHeight="1">
      <c r="F42" s="24"/>
      <c r="G42" s="19">
        <v>10.0</v>
      </c>
      <c r="H42" s="20">
        <v>768.0</v>
      </c>
      <c r="I42" s="20">
        <v>197.0</v>
      </c>
      <c r="J42" s="20">
        <v>2.0</v>
      </c>
      <c r="K42" s="20">
        <v>27.0</v>
      </c>
      <c r="L42" s="20">
        <v>13.0</v>
      </c>
      <c r="N42" s="24"/>
      <c r="O42" s="19">
        <v>10.0</v>
      </c>
      <c r="P42" s="40">
        <v>0.08884775566867191</v>
      </c>
      <c r="Q42" s="40">
        <v>0.07439577039274925</v>
      </c>
      <c r="R42" s="40">
        <v>0.020833333333333332</v>
      </c>
      <c r="S42" s="40">
        <v>0.08794788273615635</v>
      </c>
      <c r="T42" s="40">
        <v>0.065</v>
      </c>
    </row>
    <row r="43" ht="15.75" customHeight="1">
      <c r="F43" s="24"/>
      <c r="G43" s="19">
        <v>11.0</v>
      </c>
      <c r="H43" s="20">
        <v>610.0</v>
      </c>
      <c r="I43" s="20">
        <v>152.0</v>
      </c>
      <c r="J43" s="20">
        <v>3.0</v>
      </c>
      <c r="K43" s="20">
        <v>14.0</v>
      </c>
      <c r="L43" s="20">
        <v>19.0</v>
      </c>
      <c r="N43" s="24"/>
      <c r="O43" s="19">
        <v>11.0</v>
      </c>
      <c r="P43" s="40">
        <v>0.07056918093475242</v>
      </c>
      <c r="Q43" s="40">
        <v>0.05740181268882175</v>
      </c>
      <c r="R43" s="40">
        <v>0.03125</v>
      </c>
      <c r="S43" s="40">
        <v>0.04560260586319218</v>
      </c>
      <c r="T43" s="40">
        <v>0.095</v>
      </c>
    </row>
    <row r="44" ht="15.75" customHeight="1">
      <c r="F44" s="24"/>
      <c r="G44" s="19">
        <v>12.0</v>
      </c>
      <c r="H44" s="20">
        <v>511.0</v>
      </c>
      <c r="I44" s="20">
        <v>144.0</v>
      </c>
      <c r="J44" s="20">
        <v>5.0</v>
      </c>
      <c r="K44" s="20">
        <v>15.0</v>
      </c>
      <c r="L44" s="20">
        <v>15.0</v>
      </c>
      <c r="N44" s="24"/>
      <c r="O44" s="19">
        <v>12.0</v>
      </c>
      <c r="P44" s="40">
        <v>0.05911614993058769</v>
      </c>
      <c r="Q44" s="40">
        <v>0.054380664652567974</v>
      </c>
      <c r="R44" s="40">
        <v>0.052083333333333336</v>
      </c>
      <c r="S44" s="40">
        <v>0.048859934853420196</v>
      </c>
      <c r="T44" s="40">
        <v>0.075</v>
      </c>
    </row>
    <row r="45" ht="15.75" customHeight="1">
      <c r="F45" s="24"/>
      <c r="G45" s="19">
        <v>13.0</v>
      </c>
      <c r="H45" s="20">
        <v>579.0</v>
      </c>
      <c r="I45" s="20">
        <v>157.0</v>
      </c>
      <c r="J45" s="20">
        <v>1.0</v>
      </c>
      <c r="K45" s="20">
        <v>7.0</v>
      </c>
      <c r="L45" s="20">
        <v>11.0</v>
      </c>
      <c r="N45" s="24"/>
      <c r="O45" s="19">
        <v>13.0</v>
      </c>
      <c r="P45" s="40">
        <v>0.06698287829708469</v>
      </c>
      <c r="Q45" s="40">
        <v>0.05929003021148036</v>
      </c>
      <c r="R45" s="40">
        <v>0.010416666666666666</v>
      </c>
      <c r="S45" s="40">
        <v>0.02280130293159609</v>
      </c>
      <c r="T45" s="40">
        <v>0.055</v>
      </c>
    </row>
    <row r="46" ht="15.75" customHeight="1">
      <c r="F46" s="24"/>
      <c r="G46" s="19">
        <v>14.0</v>
      </c>
      <c r="H46" s="20">
        <v>594.0</v>
      </c>
      <c r="I46" s="20">
        <v>168.0</v>
      </c>
      <c r="J46" s="20">
        <v>9.0</v>
      </c>
      <c r="K46" s="20">
        <v>19.0</v>
      </c>
      <c r="L46" s="20">
        <v>18.0</v>
      </c>
      <c r="N46" s="24"/>
      <c r="O46" s="19">
        <v>14.0</v>
      </c>
      <c r="P46" s="40">
        <v>0.06871818602498843</v>
      </c>
      <c r="Q46" s="40">
        <v>0.0634441087613293</v>
      </c>
      <c r="R46" s="40">
        <v>0.09375</v>
      </c>
      <c r="S46" s="40">
        <v>0.06188925081433225</v>
      </c>
      <c r="T46" s="40">
        <v>0.09</v>
      </c>
    </row>
    <row r="47" ht="15.75" customHeight="1">
      <c r="F47" s="24"/>
      <c r="G47" s="19">
        <v>15.0</v>
      </c>
      <c r="H47" s="20">
        <v>577.0</v>
      </c>
      <c r="I47" s="20">
        <v>167.0</v>
      </c>
      <c r="J47" s="20">
        <v>5.0</v>
      </c>
      <c r="K47" s="20">
        <v>16.0</v>
      </c>
      <c r="L47" s="20">
        <v>7.0</v>
      </c>
      <c r="N47" s="24"/>
      <c r="O47" s="19">
        <v>15.0</v>
      </c>
      <c r="P47" s="40">
        <v>0.06675150393336418</v>
      </c>
      <c r="Q47" s="40">
        <v>0.06306646525679759</v>
      </c>
      <c r="R47" s="40">
        <v>0.052083333333333336</v>
      </c>
      <c r="S47" s="40">
        <v>0.05211726384364821</v>
      </c>
      <c r="T47" s="40">
        <v>0.035</v>
      </c>
    </row>
    <row r="48" ht="15.75" customHeight="1">
      <c r="F48" s="24"/>
      <c r="G48" s="19">
        <v>16.0</v>
      </c>
      <c r="H48" s="20">
        <v>518.0</v>
      </c>
      <c r="I48" s="20">
        <v>154.0</v>
      </c>
      <c r="J48" s="20">
        <v>6.0</v>
      </c>
      <c r="K48" s="20">
        <v>20.0</v>
      </c>
      <c r="L48" s="20">
        <v>6.0</v>
      </c>
      <c r="N48" s="24"/>
      <c r="O48" s="19">
        <v>16.0</v>
      </c>
      <c r="P48" s="40">
        <v>0.05992596020360944</v>
      </c>
      <c r="Q48" s="40">
        <v>0.0581570996978852</v>
      </c>
      <c r="R48" s="40">
        <v>0.0625</v>
      </c>
      <c r="S48" s="40">
        <v>0.06514657980456026</v>
      </c>
      <c r="T48" s="40">
        <v>0.03</v>
      </c>
    </row>
    <row r="49" ht="15.75" customHeight="1">
      <c r="F49" s="24"/>
      <c r="G49" s="19">
        <v>17.0</v>
      </c>
      <c r="H49" s="20">
        <v>438.0</v>
      </c>
      <c r="I49" s="20">
        <v>211.0</v>
      </c>
      <c r="J49" s="20">
        <v>5.0</v>
      </c>
      <c r="K49" s="20">
        <v>11.0</v>
      </c>
      <c r="L49" s="20">
        <v>6.0</v>
      </c>
      <c r="N49" s="24"/>
      <c r="O49" s="19">
        <v>17.0</v>
      </c>
      <c r="P49" s="40">
        <v>0.05067098565478945</v>
      </c>
      <c r="Q49" s="40">
        <v>0.07968277945619336</v>
      </c>
      <c r="R49" s="40">
        <v>0.052083333333333336</v>
      </c>
      <c r="S49" s="40">
        <v>0.035830618892508145</v>
      </c>
      <c r="T49" s="40">
        <v>0.03</v>
      </c>
    </row>
    <row r="50" ht="15.75" customHeight="1">
      <c r="F50" s="24"/>
      <c r="G50" s="19">
        <v>18.0</v>
      </c>
      <c r="H50" s="20">
        <v>407.0</v>
      </c>
      <c r="I50" s="20">
        <v>117.0</v>
      </c>
      <c r="J50" s="20">
        <v>4.0</v>
      </c>
      <c r="K50" s="20">
        <v>7.0</v>
      </c>
      <c r="L50" s="20">
        <v>7.0</v>
      </c>
      <c r="N50" s="24"/>
      <c r="O50" s="19">
        <v>18.0</v>
      </c>
      <c r="P50" s="40">
        <v>0.0470846830171217</v>
      </c>
      <c r="Q50" s="40">
        <v>0.04418429003021148</v>
      </c>
      <c r="R50" s="40">
        <v>0.041666666666666664</v>
      </c>
      <c r="S50" s="40">
        <v>0.02280130293159609</v>
      </c>
      <c r="T50" s="40">
        <v>0.035</v>
      </c>
    </row>
    <row r="51" ht="15.75" customHeight="1">
      <c r="F51" s="24"/>
      <c r="G51" s="19">
        <v>19.0</v>
      </c>
      <c r="H51" s="20">
        <v>444.0</v>
      </c>
      <c r="I51" s="20">
        <v>91.0</v>
      </c>
      <c r="J51" s="20">
        <v>7.0</v>
      </c>
      <c r="K51" s="20">
        <v>17.0</v>
      </c>
      <c r="L51" s="20">
        <v>3.0</v>
      </c>
      <c r="N51" s="24"/>
      <c r="O51" s="19">
        <v>19.0</v>
      </c>
      <c r="P51" s="40">
        <v>0.051365108745950946</v>
      </c>
      <c r="Q51" s="40">
        <v>0.034365558912386705</v>
      </c>
      <c r="R51" s="40">
        <v>0.07291666666666667</v>
      </c>
      <c r="S51" s="40">
        <v>0.05537459283387622</v>
      </c>
      <c r="T51" s="40">
        <v>0.015</v>
      </c>
    </row>
    <row r="52" ht="15.75" customHeight="1">
      <c r="F52" s="24"/>
      <c r="G52" s="19">
        <v>20.0</v>
      </c>
      <c r="H52" s="20">
        <v>429.0</v>
      </c>
      <c r="I52" s="20">
        <v>93.0</v>
      </c>
      <c r="J52" s="20">
        <v>4.0</v>
      </c>
      <c r="K52" s="20">
        <v>8.0</v>
      </c>
      <c r="L52" s="20">
        <v>3.0</v>
      </c>
      <c r="N52" s="24"/>
      <c r="O52" s="19">
        <v>20.0</v>
      </c>
      <c r="P52" s="40">
        <v>0.049629801018047204</v>
      </c>
      <c r="Q52" s="40">
        <v>0.03512084592145015</v>
      </c>
      <c r="R52" s="40">
        <v>0.041666666666666664</v>
      </c>
      <c r="S52" s="40">
        <v>0.026058631921824105</v>
      </c>
      <c r="T52" s="40">
        <v>0.015</v>
      </c>
    </row>
    <row r="53" ht="15.75" customHeight="1">
      <c r="F53" s="24"/>
      <c r="G53" s="19">
        <v>21.0</v>
      </c>
      <c r="H53" s="20">
        <v>299.0</v>
      </c>
      <c r="I53" s="20">
        <v>72.0</v>
      </c>
      <c r="J53" s="20">
        <v>0.0</v>
      </c>
      <c r="K53" s="20">
        <v>5.0</v>
      </c>
      <c r="L53" s="20">
        <v>6.0</v>
      </c>
      <c r="N53" s="24"/>
      <c r="O53" s="19">
        <v>21.0</v>
      </c>
      <c r="P53" s="40">
        <v>0.03459046737621472</v>
      </c>
      <c r="Q53" s="40">
        <v>0.027190332326283987</v>
      </c>
      <c r="R53" s="40">
        <v>0.0</v>
      </c>
      <c r="S53" s="40">
        <v>0.016286644951140065</v>
      </c>
      <c r="T53" s="40">
        <v>0.03</v>
      </c>
    </row>
    <row r="54" ht="15.75" customHeight="1">
      <c r="F54" s="24"/>
      <c r="G54" s="19">
        <v>22.0</v>
      </c>
      <c r="H54" s="20">
        <v>200.0</v>
      </c>
      <c r="I54" s="20">
        <v>40.0</v>
      </c>
      <c r="J54" s="20">
        <v>1.0</v>
      </c>
      <c r="K54" s="20">
        <v>8.0</v>
      </c>
      <c r="L54" s="20">
        <v>3.0</v>
      </c>
      <c r="N54" s="24"/>
      <c r="O54" s="19">
        <v>22.0</v>
      </c>
      <c r="P54" s="40">
        <v>0.02313743637204998</v>
      </c>
      <c r="Q54" s="40">
        <v>0.015105740181268883</v>
      </c>
      <c r="R54" s="40">
        <v>0.010416666666666666</v>
      </c>
      <c r="S54" s="40">
        <v>0.026058631921824105</v>
      </c>
      <c r="T54" s="40">
        <v>0.015</v>
      </c>
    </row>
    <row r="55" ht="15.75" customHeight="1">
      <c r="F55" s="28"/>
      <c r="G55" s="19">
        <v>23.0</v>
      </c>
      <c r="H55" s="20">
        <v>96.0</v>
      </c>
      <c r="I55" s="20">
        <v>37.0</v>
      </c>
      <c r="J55" s="20">
        <v>2.0</v>
      </c>
      <c r="K55" s="20">
        <v>10.0</v>
      </c>
      <c r="L55" s="20">
        <v>5.0</v>
      </c>
      <c r="N55" s="28"/>
      <c r="O55" s="19">
        <v>23.0</v>
      </c>
      <c r="P55" s="40">
        <v>0.011105969458583989</v>
      </c>
      <c r="Q55" s="40">
        <v>0.013972809667673716</v>
      </c>
      <c r="R55" s="40">
        <v>0.020833333333333332</v>
      </c>
      <c r="S55" s="40">
        <v>0.03257328990228013</v>
      </c>
      <c r="T55" s="40">
        <v>0.025</v>
      </c>
    </row>
    <row r="56" ht="15.75" customHeight="1">
      <c r="F56" s="56">
        <v>45210.0</v>
      </c>
      <c r="G56" s="19">
        <v>0.0</v>
      </c>
      <c r="H56" s="20">
        <v>54.0</v>
      </c>
      <c r="I56" s="20">
        <v>27.0</v>
      </c>
      <c r="J56" s="20">
        <v>0.0</v>
      </c>
      <c r="K56" s="20">
        <v>5.0</v>
      </c>
      <c r="L56" s="20">
        <v>6.0</v>
      </c>
      <c r="N56" s="56">
        <v>45210.0</v>
      </c>
      <c r="O56" s="19">
        <v>0.0</v>
      </c>
      <c r="P56" s="40">
        <v>0.0067440989134507304</v>
      </c>
      <c r="Q56" s="40">
        <v>0.0083929126515387</v>
      </c>
      <c r="R56" s="40">
        <v>0.0</v>
      </c>
      <c r="S56" s="40">
        <v>0.008849557522123894</v>
      </c>
      <c r="T56" s="40">
        <v>0.007792207792207792</v>
      </c>
    </row>
    <row r="57" ht="15.75" customHeight="1">
      <c r="F57" s="24"/>
      <c r="G57" s="19">
        <v>1.0</v>
      </c>
      <c r="H57" s="20">
        <v>47.0</v>
      </c>
      <c r="I57" s="20">
        <v>12.0</v>
      </c>
      <c r="J57" s="20">
        <v>0.0</v>
      </c>
      <c r="K57" s="20">
        <v>7.0</v>
      </c>
      <c r="L57" s="20">
        <v>4.0</v>
      </c>
      <c r="N57" s="24"/>
      <c r="O57" s="19">
        <v>1.0</v>
      </c>
      <c r="P57" s="40">
        <v>0.005869863869114525</v>
      </c>
      <c r="Q57" s="40">
        <v>0.003730183400683867</v>
      </c>
      <c r="R57" s="40">
        <v>0.0</v>
      </c>
      <c r="S57" s="40">
        <v>0.012389380530973451</v>
      </c>
      <c r="T57" s="40">
        <v>0.005194805194805195</v>
      </c>
    </row>
    <row r="58" ht="15.75" customHeight="1">
      <c r="F58" s="24"/>
      <c r="G58" s="19">
        <v>2.0</v>
      </c>
      <c r="H58" s="16">
        <v>40.0</v>
      </c>
      <c r="I58" s="16">
        <v>16.0</v>
      </c>
      <c r="J58" s="16">
        <v>0.0</v>
      </c>
      <c r="K58" s="16">
        <v>6.0</v>
      </c>
      <c r="L58" s="16">
        <v>1.0</v>
      </c>
      <c r="N58" s="24"/>
      <c r="O58" s="19">
        <v>2.0</v>
      </c>
      <c r="P58" s="40">
        <v>0.004995628824778319</v>
      </c>
      <c r="Q58" s="40">
        <v>0.004973577867578489</v>
      </c>
      <c r="R58" s="40">
        <v>0.0</v>
      </c>
      <c r="S58" s="40">
        <v>0.010619469026548672</v>
      </c>
      <c r="T58" s="40">
        <v>0.0012987012987012987</v>
      </c>
    </row>
    <row r="59" ht="15.75" customHeight="1">
      <c r="F59" s="24"/>
      <c r="G59" s="19">
        <v>3.0</v>
      </c>
      <c r="H59" s="20">
        <v>45.0</v>
      </c>
      <c r="I59" s="20">
        <v>24.0</v>
      </c>
      <c r="J59" s="20">
        <v>0.0</v>
      </c>
      <c r="K59" s="20">
        <v>13.0</v>
      </c>
      <c r="L59" s="20">
        <v>7.0</v>
      </c>
      <c r="N59" s="24"/>
      <c r="O59" s="19">
        <v>3.0</v>
      </c>
      <c r="P59" s="40">
        <v>0.005620082427875608</v>
      </c>
      <c r="Q59" s="40">
        <v>0.007460366801367734</v>
      </c>
      <c r="R59" s="40">
        <v>0.0</v>
      </c>
      <c r="S59" s="40">
        <v>0.023008849557522124</v>
      </c>
      <c r="T59" s="40">
        <v>0.00909090909090909</v>
      </c>
    </row>
    <row r="60" ht="15.75" customHeight="1">
      <c r="F60" s="24"/>
      <c r="G60" s="19">
        <v>4.0</v>
      </c>
      <c r="H60" s="20">
        <v>101.0</v>
      </c>
      <c r="I60" s="20">
        <v>44.0</v>
      </c>
      <c r="J60" s="20">
        <v>0.0</v>
      </c>
      <c r="K60" s="20">
        <v>11.0</v>
      </c>
      <c r="L60" s="20">
        <v>6.0</v>
      </c>
      <c r="N60" s="24"/>
      <c r="O60" s="19">
        <v>4.0</v>
      </c>
      <c r="P60" s="40">
        <v>0.012613962782565255</v>
      </c>
      <c r="Q60" s="40">
        <v>0.013677339135840846</v>
      </c>
      <c r="R60" s="40">
        <v>0.0</v>
      </c>
      <c r="S60" s="40">
        <v>0.019469026548672566</v>
      </c>
      <c r="T60" s="40">
        <v>0.007792207792207792</v>
      </c>
    </row>
    <row r="61" ht="15.75" customHeight="1">
      <c r="F61" s="24"/>
      <c r="G61" s="19">
        <v>5.0</v>
      </c>
      <c r="H61" s="20">
        <v>224.0</v>
      </c>
      <c r="I61" s="20">
        <v>97.0</v>
      </c>
      <c r="J61" s="20">
        <v>3.0</v>
      </c>
      <c r="K61" s="20">
        <v>13.0</v>
      </c>
      <c r="L61" s="20">
        <v>17.0</v>
      </c>
      <c r="N61" s="24"/>
      <c r="O61" s="19">
        <v>5.0</v>
      </c>
      <c r="P61" s="40">
        <v>0.027975521418758587</v>
      </c>
      <c r="Q61" s="40">
        <v>0.030152315822194593</v>
      </c>
      <c r="R61" s="40">
        <v>0.02142857142857143</v>
      </c>
      <c r="S61" s="40">
        <v>0.023008849557522124</v>
      </c>
      <c r="T61" s="40">
        <v>0.02207792207792208</v>
      </c>
    </row>
    <row r="62" ht="15.75" customHeight="1">
      <c r="F62" s="24"/>
      <c r="G62" s="19">
        <v>6.0</v>
      </c>
      <c r="H62" s="20">
        <v>459.0</v>
      </c>
      <c r="I62" s="20">
        <v>151.0</v>
      </c>
      <c r="J62" s="20">
        <v>19.0</v>
      </c>
      <c r="K62" s="20">
        <v>34.0</v>
      </c>
      <c r="L62" s="20">
        <v>32.0</v>
      </c>
      <c r="N62" s="24"/>
      <c r="O62" s="19">
        <v>6.0</v>
      </c>
      <c r="P62" s="40">
        <v>0.05732484076433121</v>
      </c>
      <c r="Q62" s="40">
        <v>0.04693814112527199</v>
      </c>
      <c r="R62" s="40">
        <v>0.1357142857142857</v>
      </c>
      <c r="S62" s="40">
        <v>0.06017699115044248</v>
      </c>
      <c r="T62" s="40">
        <v>0.04155844155844156</v>
      </c>
    </row>
    <row r="63" ht="15.75" customHeight="1">
      <c r="F63" s="24"/>
      <c r="G63" s="19">
        <v>7.0</v>
      </c>
      <c r="H63" s="20">
        <v>666.0</v>
      </c>
      <c r="I63" s="20">
        <v>254.0</v>
      </c>
      <c r="J63" s="20">
        <v>23.0</v>
      </c>
      <c r="K63" s="20">
        <v>44.0</v>
      </c>
      <c r="L63" s="20">
        <v>37.0</v>
      </c>
      <c r="N63" s="24"/>
      <c r="O63" s="19">
        <v>7.0</v>
      </c>
      <c r="P63" s="40">
        <v>0.08317721993255901</v>
      </c>
      <c r="Q63" s="40">
        <v>0.07895554864780852</v>
      </c>
      <c r="R63" s="40">
        <v>0.16428571428571428</v>
      </c>
      <c r="S63" s="40">
        <v>0.07787610619469026</v>
      </c>
      <c r="T63" s="40">
        <v>0.048051948051948054</v>
      </c>
    </row>
    <row r="64" ht="15.75" customHeight="1">
      <c r="F64" s="24"/>
      <c r="G64" s="19">
        <v>8.0</v>
      </c>
      <c r="H64" s="20">
        <v>649.0</v>
      </c>
      <c r="I64" s="20">
        <v>302.0</v>
      </c>
      <c r="J64" s="20">
        <v>32.0</v>
      </c>
      <c r="K64" s="20">
        <v>58.0</v>
      </c>
      <c r="L64" s="20">
        <v>54.0</v>
      </c>
      <c r="N64" s="24"/>
      <c r="O64" s="19">
        <v>8.0</v>
      </c>
      <c r="P64" s="40">
        <v>0.08105407768202823</v>
      </c>
      <c r="Q64" s="40">
        <v>0.09387628225054398</v>
      </c>
      <c r="R64" s="40">
        <v>0.22857142857142856</v>
      </c>
      <c r="S64" s="40">
        <v>0.10265486725663717</v>
      </c>
      <c r="T64" s="40">
        <v>0.07012987012987013</v>
      </c>
    </row>
    <row r="65" ht="15.75" customHeight="1">
      <c r="F65" s="24"/>
      <c r="G65" s="19">
        <v>9.0</v>
      </c>
      <c r="H65" s="20">
        <v>676.0</v>
      </c>
      <c r="I65" s="20">
        <v>345.0</v>
      </c>
      <c r="J65" s="20">
        <v>11.0</v>
      </c>
      <c r="K65" s="20">
        <v>39.0</v>
      </c>
      <c r="L65" s="20">
        <v>84.0</v>
      </c>
      <c r="N65" s="24"/>
      <c r="O65" s="19">
        <v>9.0</v>
      </c>
      <c r="P65" s="40">
        <v>0.0844261271387536</v>
      </c>
      <c r="Q65" s="40">
        <v>0.10724277276966117</v>
      </c>
      <c r="R65" s="40">
        <v>0.07857142857142857</v>
      </c>
      <c r="S65" s="40">
        <v>0.06902654867256637</v>
      </c>
      <c r="T65" s="40">
        <v>0.10909090909090909</v>
      </c>
    </row>
    <row r="66" ht="15.75" customHeight="1">
      <c r="F66" s="24"/>
      <c r="G66" s="19">
        <v>10.0</v>
      </c>
      <c r="H66" s="20">
        <v>609.0</v>
      </c>
      <c r="I66" s="20">
        <v>248.0</v>
      </c>
      <c r="J66" s="20">
        <v>2.0</v>
      </c>
      <c r="K66" s="20">
        <v>39.0</v>
      </c>
      <c r="L66" s="20">
        <v>76.0</v>
      </c>
      <c r="N66" s="24"/>
      <c r="O66" s="19">
        <v>10.0</v>
      </c>
      <c r="P66" s="40">
        <v>0.07605844885724991</v>
      </c>
      <c r="Q66" s="40">
        <v>0.07709045694746658</v>
      </c>
      <c r="R66" s="40">
        <v>0.014285714285714285</v>
      </c>
      <c r="S66" s="40">
        <v>0.06902654867256637</v>
      </c>
      <c r="T66" s="40">
        <v>0.0987012987012987</v>
      </c>
    </row>
    <row r="67" ht="15.75" customHeight="1">
      <c r="F67" s="24"/>
      <c r="G67" s="19">
        <v>11.0</v>
      </c>
      <c r="H67" s="20">
        <v>564.0</v>
      </c>
      <c r="I67" s="20">
        <v>221.0</v>
      </c>
      <c r="J67" s="20">
        <v>1.0</v>
      </c>
      <c r="K67" s="20">
        <v>42.0</v>
      </c>
      <c r="L67" s="20">
        <v>85.0</v>
      </c>
      <c r="N67" s="24"/>
      <c r="O67" s="19">
        <v>11.0</v>
      </c>
      <c r="P67" s="40">
        <v>0.0704383664293743</v>
      </c>
      <c r="Q67" s="40">
        <v>0.06869754429592788</v>
      </c>
      <c r="R67" s="40">
        <v>0.007142857142857143</v>
      </c>
      <c r="S67" s="40">
        <v>0.0743362831858407</v>
      </c>
      <c r="T67" s="40">
        <v>0.11038961038961038</v>
      </c>
    </row>
    <row r="68" ht="15.75" customHeight="1">
      <c r="F68" s="24"/>
      <c r="G68" s="19">
        <v>12.0</v>
      </c>
      <c r="H68" s="20">
        <v>449.0</v>
      </c>
      <c r="I68" s="20">
        <v>176.0</v>
      </c>
      <c r="J68" s="20">
        <v>11.0</v>
      </c>
      <c r="K68" s="20">
        <v>26.0</v>
      </c>
      <c r="L68" s="20">
        <v>72.0</v>
      </c>
      <c r="N68" s="24"/>
      <c r="O68" s="19">
        <v>12.0</v>
      </c>
      <c r="P68" s="40">
        <v>0.05607593355813663</v>
      </c>
      <c r="Q68" s="40">
        <v>0.05470935654336338</v>
      </c>
      <c r="R68" s="40">
        <v>0.07857142857142857</v>
      </c>
      <c r="S68" s="40">
        <v>0.04601769911504425</v>
      </c>
      <c r="T68" s="40">
        <v>0.09350649350649351</v>
      </c>
    </row>
    <row r="69" ht="15.75" customHeight="1">
      <c r="F69" s="24"/>
      <c r="G69" s="19">
        <v>13.0</v>
      </c>
      <c r="H69" s="20">
        <v>474.0</v>
      </c>
      <c r="I69" s="20">
        <v>166.0</v>
      </c>
      <c r="J69" s="20">
        <v>12.0</v>
      </c>
      <c r="K69" s="20">
        <v>37.0</v>
      </c>
      <c r="L69" s="20">
        <v>61.0</v>
      </c>
      <c r="N69" s="24"/>
      <c r="O69" s="19">
        <v>13.0</v>
      </c>
      <c r="P69" s="40">
        <v>0.05919820157362308</v>
      </c>
      <c r="Q69" s="40">
        <v>0.051600870376126824</v>
      </c>
      <c r="R69" s="40">
        <v>0.08571428571428572</v>
      </c>
      <c r="S69" s="40">
        <v>0.06548672566371681</v>
      </c>
      <c r="T69" s="40">
        <v>0.07922077922077922</v>
      </c>
    </row>
    <row r="70" ht="15.75" customHeight="1">
      <c r="F70" s="24"/>
      <c r="G70" s="19">
        <v>14.0</v>
      </c>
      <c r="H70" s="20">
        <v>422.0</v>
      </c>
      <c r="I70" s="20">
        <v>178.0</v>
      </c>
      <c r="J70" s="20">
        <v>10.0</v>
      </c>
      <c r="K70" s="20">
        <v>37.0</v>
      </c>
      <c r="L70" s="20">
        <v>56.0</v>
      </c>
      <c r="N70" s="24"/>
      <c r="O70" s="19">
        <v>14.0</v>
      </c>
      <c r="P70" s="40">
        <v>0.05270388410141127</v>
      </c>
      <c r="Q70" s="40">
        <v>0.05533105377681069</v>
      </c>
      <c r="R70" s="40">
        <v>0.07142857142857142</v>
      </c>
      <c r="S70" s="40">
        <v>0.06548672566371681</v>
      </c>
      <c r="T70" s="40">
        <v>0.07272727272727272</v>
      </c>
    </row>
    <row r="71" ht="15.75" customHeight="1">
      <c r="F71" s="24"/>
      <c r="G71" s="19">
        <v>15.0</v>
      </c>
      <c r="H71" s="20">
        <v>379.0</v>
      </c>
      <c r="I71" s="20">
        <v>163.0</v>
      </c>
      <c r="J71" s="20">
        <v>7.0</v>
      </c>
      <c r="K71" s="20">
        <v>34.0</v>
      </c>
      <c r="L71" s="20">
        <v>48.0</v>
      </c>
      <c r="N71" s="24"/>
      <c r="O71" s="19">
        <v>15.0</v>
      </c>
      <c r="P71" s="40">
        <v>0.04733358311477457</v>
      </c>
      <c r="Q71" s="40">
        <v>0.05066832452595586</v>
      </c>
      <c r="R71" s="40">
        <v>0.05</v>
      </c>
      <c r="S71" s="40">
        <v>0.06017699115044248</v>
      </c>
      <c r="T71" s="40">
        <v>0.06233766233766234</v>
      </c>
    </row>
    <row r="72" ht="15.75" customHeight="1">
      <c r="F72" s="24"/>
      <c r="G72" s="19">
        <v>16.0</v>
      </c>
      <c r="H72" s="20">
        <v>405.0</v>
      </c>
      <c r="I72" s="20">
        <v>210.0</v>
      </c>
      <c r="J72" s="20">
        <v>4.0</v>
      </c>
      <c r="K72" s="20">
        <v>30.0</v>
      </c>
      <c r="L72" s="20">
        <v>35.0</v>
      </c>
      <c r="N72" s="24"/>
      <c r="O72" s="19">
        <v>16.0</v>
      </c>
      <c r="P72" s="40">
        <v>0.05058074185088048</v>
      </c>
      <c r="Q72" s="40">
        <v>0.06527820951196767</v>
      </c>
      <c r="R72" s="40">
        <v>0.02857142857142857</v>
      </c>
      <c r="S72" s="40">
        <v>0.05309734513274336</v>
      </c>
      <c r="T72" s="40">
        <v>0.045454545454545456</v>
      </c>
    </row>
    <row r="73" ht="15.75" customHeight="1">
      <c r="F73" s="24"/>
      <c r="G73" s="19">
        <v>17.0</v>
      </c>
      <c r="H73" s="20">
        <v>424.0</v>
      </c>
      <c r="I73" s="20">
        <v>215.0</v>
      </c>
      <c r="J73" s="16">
        <v>0.0</v>
      </c>
      <c r="K73" s="20">
        <v>22.0</v>
      </c>
      <c r="L73" s="20">
        <v>24.0</v>
      </c>
      <c r="N73" s="24"/>
      <c r="O73" s="19">
        <v>17.0</v>
      </c>
      <c r="P73" s="40">
        <v>0.05295366554265018</v>
      </c>
      <c r="Q73" s="40">
        <v>0.06683245259558596</v>
      </c>
      <c r="R73" s="40">
        <v>0.0</v>
      </c>
      <c r="S73" s="40">
        <v>0.03893805309734513</v>
      </c>
      <c r="T73" s="40">
        <v>0.03116883116883117</v>
      </c>
    </row>
    <row r="74" ht="15.75" customHeight="1">
      <c r="F74" s="24"/>
      <c r="G74" s="19">
        <v>18.0</v>
      </c>
      <c r="H74" s="20">
        <v>344.0</v>
      </c>
      <c r="I74" s="20">
        <v>127.0</v>
      </c>
      <c r="J74" s="20">
        <v>0.0</v>
      </c>
      <c r="K74" s="20">
        <v>15.0</v>
      </c>
      <c r="L74" s="20">
        <v>14.0</v>
      </c>
      <c r="N74" s="24"/>
      <c r="O74" s="19">
        <v>18.0</v>
      </c>
      <c r="P74" s="40">
        <v>0.042962407893093545</v>
      </c>
      <c r="Q74" s="40">
        <v>0.03947777432390426</v>
      </c>
      <c r="R74" s="40">
        <v>0.0</v>
      </c>
      <c r="S74" s="40">
        <v>0.02654867256637168</v>
      </c>
      <c r="T74" s="40">
        <v>0.01818181818181818</v>
      </c>
    </row>
    <row r="75" ht="15.75" customHeight="1">
      <c r="F75" s="24"/>
      <c r="G75" s="19">
        <v>19.0</v>
      </c>
      <c r="H75" s="20">
        <v>276.0</v>
      </c>
      <c r="I75" s="20">
        <v>85.0</v>
      </c>
      <c r="J75" s="20">
        <v>2.0</v>
      </c>
      <c r="K75" s="20">
        <v>18.0</v>
      </c>
      <c r="L75" s="20">
        <v>12.0</v>
      </c>
      <c r="N75" s="24"/>
      <c r="O75" s="19">
        <v>19.0</v>
      </c>
      <c r="P75" s="40">
        <v>0.034469838890970404</v>
      </c>
      <c r="Q75" s="40">
        <v>0.026422132421510723</v>
      </c>
      <c r="R75" s="40">
        <v>0.014285714285714285</v>
      </c>
      <c r="S75" s="40">
        <v>0.03185840707964602</v>
      </c>
      <c r="T75" s="40">
        <v>0.015584415584415584</v>
      </c>
    </row>
    <row r="76" ht="15.75" customHeight="1">
      <c r="F76" s="24"/>
      <c r="G76" s="19">
        <v>20.0</v>
      </c>
      <c r="H76" s="20">
        <v>205.0</v>
      </c>
      <c r="I76" s="20">
        <v>53.0</v>
      </c>
      <c r="J76" s="20">
        <v>0.0</v>
      </c>
      <c r="K76" s="20">
        <v>13.0</v>
      </c>
      <c r="L76" s="20">
        <v>15.0</v>
      </c>
      <c r="N76" s="24"/>
      <c r="O76" s="19">
        <v>20.0</v>
      </c>
      <c r="P76" s="40">
        <v>0.025602597726988884</v>
      </c>
      <c r="Q76" s="40">
        <v>0.016474976686353747</v>
      </c>
      <c r="R76" s="40">
        <v>0.0</v>
      </c>
      <c r="S76" s="40">
        <v>0.023008849557522124</v>
      </c>
      <c r="T76" s="40">
        <v>0.01948051948051948</v>
      </c>
    </row>
    <row r="77" ht="15.75" customHeight="1">
      <c r="F77" s="24"/>
      <c r="G77" s="19">
        <v>21.0</v>
      </c>
      <c r="H77" s="20">
        <v>232.0</v>
      </c>
      <c r="I77" s="20">
        <v>47.0</v>
      </c>
      <c r="J77" s="20">
        <v>1.0</v>
      </c>
      <c r="K77" s="20">
        <v>7.0</v>
      </c>
      <c r="L77" s="20">
        <v>9.0</v>
      </c>
      <c r="N77" s="24"/>
      <c r="O77" s="19">
        <v>21.0</v>
      </c>
      <c r="P77" s="40">
        <v>0.02897464718371425</v>
      </c>
      <c r="Q77" s="40">
        <v>0.014609884986011812</v>
      </c>
      <c r="R77" s="40">
        <v>0.007142857142857143</v>
      </c>
      <c r="S77" s="40">
        <v>0.012389380530973451</v>
      </c>
      <c r="T77" s="40">
        <v>0.011688311688311689</v>
      </c>
    </row>
    <row r="78" ht="15.75" customHeight="1">
      <c r="F78" s="24"/>
      <c r="G78" s="19">
        <v>22.0</v>
      </c>
      <c r="H78" s="20">
        <v>169.0</v>
      </c>
      <c r="I78" s="20">
        <v>35.0</v>
      </c>
      <c r="J78" s="20">
        <v>1.0</v>
      </c>
      <c r="K78" s="20">
        <v>5.0</v>
      </c>
      <c r="L78" s="20">
        <v>10.0</v>
      </c>
      <c r="N78" s="24"/>
      <c r="O78" s="19">
        <v>22.0</v>
      </c>
      <c r="P78" s="40">
        <v>0.0211065317846884</v>
      </c>
      <c r="Q78" s="40">
        <v>0.010879701585327946</v>
      </c>
      <c r="R78" s="40">
        <v>0.007142857142857143</v>
      </c>
      <c r="S78" s="40">
        <v>0.008849557522123894</v>
      </c>
      <c r="T78" s="40">
        <v>0.012987012987012988</v>
      </c>
    </row>
    <row r="79" ht="15.75" customHeight="1">
      <c r="F79" s="28"/>
      <c r="G79" s="19">
        <v>23.0</v>
      </c>
      <c r="H79" s="20">
        <v>94.0</v>
      </c>
      <c r="I79" s="20">
        <v>21.0</v>
      </c>
      <c r="J79" s="20">
        <v>1.0</v>
      </c>
      <c r="K79" s="20">
        <v>10.0</v>
      </c>
      <c r="L79" s="20">
        <v>5.0</v>
      </c>
      <c r="N79" s="28"/>
      <c r="O79" s="19">
        <v>23.0</v>
      </c>
      <c r="P79" s="40">
        <v>0.01173972773822905</v>
      </c>
      <c r="Q79" s="40">
        <v>0.006527820951196767</v>
      </c>
      <c r="R79" s="40">
        <v>0.007142857142857143</v>
      </c>
      <c r="S79" s="40">
        <v>0.017699115044247787</v>
      </c>
      <c r="T79" s="40">
        <v>0.006493506493506494</v>
      </c>
    </row>
    <row r="80" ht="15.75" customHeight="1">
      <c r="F80" s="56">
        <v>45211.0</v>
      </c>
      <c r="G80" s="19">
        <v>0.0</v>
      </c>
      <c r="H80" s="16">
        <v>54.0</v>
      </c>
      <c r="I80" s="16">
        <v>19.0</v>
      </c>
      <c r="J80" s="16">
        <v>0.0</v>
      </c>
      <c r="K80" s="16">
        <v>7.0</v>
      </c>
      <c r="L80" s="16">
        <v>8.0</v>
      </c>
      <c r="N80" s="56">
        <v>45211.0</v>
      </c>
      <c r="O80" s="19">
        <v>0.0</v>
      </c>
      <c r="P80" s="40">
        <v>0.007413509060955519</v>
      </c>
      <c r="Q80" s="40">
        <v>0.0012751677852348992</v>
      </c>
      <c r="R80" s="40">
        <v>0.0</v>
      </c>
      <c r="S80" s="40">
        <v>0.0028501628664495114</v>
      </c>
      <c r="T80" s="40">
        <v>0.0028933092224231465</v>
      </c>
    </row>
    <row r="81" ht="15.75" customHeight="1">
      <c r="F81" s="24"/>
      <c r="G81" s="19">
        <v>1.0</v>
      </c>
      <c r="H81" s="16">
        <v>47.0</v>
      </c>
      <c r="I81" s="16">
        <v>22.0</v>
      </c>
      <c r="J81" s="16">
        <v>0.0</v>
      </c>
      <c r="K81" s="16">
        <v>11.0</v>
      </c>
      <c r="L81" s="16">
        <v>9.0</v>
      </c>
      <c r="N81" s="24"/>
      <c r="O81" s="19">
        <v>1.0</v>
      </c>
      <c r="P81" s="40">
        <v>0.006452498627127952</v>
      </c>
      <c r="Q81" s="40">
        <v>0.001476510067114094</v>
      </c>
      <c r="R81" s="40">
        <v>0.0</v>
      </c>
      <c r="S81" s="40">
        <v>0.004478827361563518</v>
      </c>
      <c r="T81" s="40">
        <v>0.0032549728752260397</v>
      </c>
    </row>
    <row r="82" ht="15.75" customHeight="1">
      <c r="F82" s="24"/>
      <c r="G82" s="19">
        <v>2.0</v>
      </c>
      <c r="H82" s="16">
        <v>28.0</v>
      </c>
      <c r="I82" s="16">
        <v>14.0</v>
      </c>
      <c r="J82" s="16">
        <v>0.0</v>
      </c>
      <c r="K82" s="16">
        <v>8.0</v>
      </c>
      <c r="L82" s="16">
        <v>8.0</v>
      </c>
      <c r="N82" s="24"/>
      <c r="O82" s="19">
        <v>2.0</v>
      </c>
      <c r="P82" s="40">
        <v>0.003844041735310269</v>
      </c>
      <c r="Q82" s="40">
        <v>9.395973154362416E-4</v>
      </c>
      <c r="R82" s="40">
        <v>0.0</v>
      </c>
      <c r="S82" s="40">
        <v>0.003257328990228013</v>
      </c>
      <c r="T82" s="40">
        <v>0.0028933092224231465</v>
      </c>
    </row>
    <row r="83" ht="15.75" customHeight="1">
      <c r="F83" s="24"/>
      <c r="G83" s="19">
        <v>3.0</v>
      </c>
      <c r="H83" s="20">
        <v>42.0</v>
      </c>
      <c r="I83" s="20">
        <v>13.0</v>
      </c>
      <c r="J83" s="20">
        <v>0.0</v>
      </c>
      <c r="K83" s="20">
        <v>18.0</v>
      </c>
      <c r="L83" s="20">
        <v>12.0</v>
      </c>
      <c r="N83" s="24"/>
      <c r="O83" s="19">
        <v>3.0</v>
      </c>
      <c r="P83" s="40">
        <v>0.005766062602965404</v>
      </c>
      <c r="Q83" s="40">
        <v>8.7248322147651E-4</v>
      </c>
      <c r="R83" s="40">
        <v>0.0</v>
      </c>
      <c r="S83" s="40">
        <v>0.007328990228013029</v>
      </c>
      <c r="T83" s="40">
        <v>0.00433996383363472</v>
      </c>
    </row>
    <row r="84" ht="15.75" customHeight="1">
      <c r="F84" s="24"/>
      <c r="G84" s="19">
        <v>4.0</v>
      </c>
      <c r="H84" s="20">
        <v>77.0</v>
      </c>
      <c r="I84" s="20">
        <v>57.0</v>
      </c>
      <c r="J84" s="20">
        <v>0.0</v>
      </c>
      <c r="K84" s="20">
        <v>19.0</v>
      </c>
      <c r="L84" s="20">
        <v>14.0</v>
      </c>
      <c r="N84" s="24"/>
      <c r="O84" s="19">
        <v>4.0</v>
      </c>
      <c r="P84" s="40">
        <v>0.01057111477210324</v>
      </c>
      <c r="Q84" s="40">
        <v>0.003825503355704698</v>
      </c>
      <c r="R84" s="40">
        <v>0.0</v>
      </c>
      <c r="S84" s="40">
        <v>0.007736156351791531</v>
      </c>
      <c r="T84" s="40">
        <v>0.005063291139240506</v>
      </c>
    </row>
    <row r="85" ht="15.75" customHeight="1">
      <c r="F85" s="24"/>
      <c r="G85" s="19">
        <v>5.0</v>
      </c>
      <c r="H85" s="20">
        <v>178.0</v>
      </c>
      <c r="I85" s="20">
        <v>91.0</v>
      </c>
      <c r="J85" s="20">
        <v>4.0</v>
      </c>
      <c r="K85" s="20">
        <v>17.0</v>
      </c>
      <c r="L85" s="20">
        <v>25.0</v>
      </c>
      <c r="N85" s="24"/>
      <c r="O85" s="19">
        <v>5.0</v>
      </c>
      <c r="P85" s="40">
        <v>0.02443712246018671</v>
      </c>
      <c r="Q85" s="40">
        <v>0.00610738255033557</v>
      </c>
      <c r="R85" s="40">
        <v>0.0056657223796034</v>
      </c>
      <c r="S85" s="40">
        <v>0.006921824104234527</v>
      </c>
      <c r="T85" s="40">
        <v>0.009041591320072333</v>
      </c>
    </row>
    <row r="86" ht="15.75" customHeight="1">
      <c r="F86" s="24"/>
      <c r="G86" s="19">
        <v>6.0</v>
      </c>
      <c r="H86" s="20">
        <v>361.0</v>
      </c>
      <c r="I86" s="20">
        <v>148.0</v>
      </c>
      <c r="J86" s="20">
        <v>11.0</v>
      </c>
      <c r="K86" s="20">
        <v>52.0</v>
      </c>
      <c r="L86" s="20">
        <v>39.0</v>
      </c>
      <c r="N86" s="24"/>
      <c r="O86" s="19">
        <v>6.0</v>
      </c>
      <c r="P86" s="40">
        <v>0.049560680944535966</v>
      </c>
      <c r="Q86" s="40">
        <v>0.009932885906040268</v>
      </c>
      <c r="R86" s="40">
        <v>0.015580736543909348</v>
      </c>
      <c r="S86" s="40">
        <v>0.021172638436482084</v>
      </c>
      <c r="T86" s="40">
        <v>0.014104882459312839</v>
      </c>
    </row>
    <row r="87" ht="15.75" customHeight="1">
      <c r="F87" s="24"/>
      <c r="G87" s="19">
        <v>7.0</v>
      </c>
      <c r="H87" s="20">
        <v>640.0</v>
      </c>
      <c r="I87" s="20">
        <v>245.0</v>
      </c>
      <c r="J87" s="20">
        <v>18.0</v>
      </c>
      <c r="K87" s="20">
        <v>60.0</v>
      </c>
      <c r="L87" s="20">
        <v>56.0</v>
      </c>
      <c r="N87" s="24"/>
      <c r="O87" s="19">
        <v>7.0</v>
      </c>
      <c r="P87" s="40">
        <v>0.08786381109280615</v>
      </c>
      <c r="Q87" s="40">
        <v>0.016442953020134227</v>
      </c>
      <c r="R87" s="40">
        <v>0.025495750708215296</v>
      </c>
      <c r="S87" s="40">
        <v>0.024429967426710098</v>
      </c>
      <c r="T87" s="40">
        <v>0.020253164556962026</v>
      </c>
    </row>
    <row r="88" ht="15.75" customHeight="1">
      <c r="F88" s="24"/>
      <c r="G88" s="19">
        <v>8.0</v>
      </c>
      <c r="H88" s="20">
        <v>530.0</v>
      </c>
      <c r="I88" s="20">
        <v>295.0</v>
      </c>
      <c r="J88" s="20">
        <v>24.0</v>
      </c>
      <c r="K88" s="20">
        <v>58.0</v>
      </c>
      <c r="L88" s="20">
        <v>44.0</v>
      </c>
      <c r="N88" s="24"/>
      <c r="O88" s="19">
        <v>8.0</v>
      </c>
      <c r="P88" s="40">
        <v>0.0727622185612301</v>
      </c>
      <c r="Q88" s="40">
        <v>0.019798657718120807</v>
      </c>
      <c r="R88" s="40">
        <v>0.0339943342776204</v>
      </c>
      <c r="S88" s="40">
        <v>0.023615635179153095</v>
      </c>
      <c r="T88" s="40">
        <v>0.015913200723327307</v>
      </c>
    </row>
    <row r="89" ht="15.75" customHeight="1">
      <c r="F89" s="24"/>
      <c r="G89" s="19">
        <v>9.0</v>
      </c>
      <c r="H89" s="20">
        <v>597.0</v>
      </c>
      <c r="I89" s="20">
        <v>304.0</v>
      </c>
      <c r="J89" s="20">
        <v>10.0</v>
      </c>
      <c r="K89" s="20">
        <v>50.0</v>
      </c>
      <c r="L89" s="20">
        <v>67.0</v>
      </c>
      <c r="N89" s="24"/>
      <c r="O89" s="19">
        <v>9.0</v>
      </c>
      <c r="P89" s="40">
        <v>0.08196046128500824</v>
      </c>
      <c r="Q89" s="40">
        <v>0.020402684563758388</v>
      </c>
      <c r="R89" s="40">
        <v>0.014164305949008499</v>
      </c>
      <c r="S89" s="40">
        <v>0.02035830618892508</v>
      </c>
      <c r="T89" s="40">
        <v>0.02423146473779385</v>
      </c>
    </row>
    <row r="90" ht="15.75" customHeight="1">
      <c r="F90" s="24"/>
      <c r="G90" s="19">
        <v>10.0</v>
      </c>
      <c r="H90" s="20">
        <v>624.0</v>
      </c>
      <c r="I90" s="20">
        <v>305.0</v>
      </c>
      <c r="J90" s="20">
        <v>7.0</v>
      </c>
      <c r="K90" s="20">
        <v>48.0</v>
      </c>
      <c r="L90" s="20">
        <v>90.0</v>
      </c>
      <c r="N90" s="24"/>
      <c r="O90" s="19">
        <v>10.0</v>
      </c>
      <c r="P90" s="40">
        <v>0.085667215815486</v>
      </c>
      <c r="Q90" s="40">
        <v>0.02046979865771812</v>
      </c>
      <c r="R90" s="40">
        <v>0.009915014164305949</v>
      </c>
      <c r="S90" s="40">
        <v>0.019543973941368076</v>
      </c>
      <c r="T90" s="40">
        <v>0.0325497287522604</v>
      </c>
    </row>
    <row r="91" ht="15.75" customHeight="1">
      <c r="F91" s="24"/>
      <c r="G91" s="19">
        <v>11.0</v>
      </c>
      <c r="H91" s="20">
        <v>450.0</v>
      </c>
      <c r="I91" s="20">
        <v>197.0</v>
      </c>
      <c r="J91" s="20">
        <v>25.0</v>
      </c>
      <c r="K91" s="20">
        <v>34.0</v>
      </c>
      <c r="L91" s="20">
        <v>75.0</v>
      </c>
      <c r="N91" s="24"/>
      <c r="O91" s="19">
        <v>11.0</v>
      </c>
      <c r="P91" s="40">
        <v>0.06177924217462932</v>
      </c>
      <c r="Q91" s="40">
        <v>0.013221476510067115</v>
      </c>
      <c r="R91" s="40">
        <v>0.03541076487252125</v>
      </c>
      <c r="S91" s="40">
        <v>0.013843648208469055</v>
      </c>
      <c r="T91" s="40">
        <v>0.027124773960216998</v>
      </c>
    </row>
    <row r="92" ht="15.75" customHeight="1">
      <c r="F92" s="24"/>
      <c r="G92" s="19">
        <v>12.0</v>
      </c>
      <c r="H92" s="20">
        <v>465.0</v>
      </c>
      <c r="I92" s="20">
        <v>154.0</v>
      </c>
      <c r="J92" s="20">
        <v>14.0</v>
      </c>
      <c r="K92" s="20">
        <v>26.0</v>
      </c>
      <c r="L92" s="20">
        <v>78.0</v>
      </c>
      <c r="N92" s="24"/>
      <c r="O92" s="19">
        <v>12.0</v>
      </c>
      <c r="P92" s="40">
        <v>0.06383855024711697</v>
      </c>
      <c r="Q92" s="40">
        <v>0.010335570469798657</v>
      </c>
      <c r="R92" s="40">
        <v>0.019830028328611898</v>
      </c>
      <c r="S92" s="40">
        <v>0.010586319218241042</v>
      </c>
      <c r="T92" s="40">
        <v>0.028209764918625677</v>
      </c>
    </row>
    <row r="93" ht="15.75" customHeight="1">
      <c r="F93" s="24"/>
      <c r="G93" s="19">
        <v>13.0</v>
      </c>
      <c r="H93" s="20">
        <v>402.0</v>
      </c>
      <c r="I93" s="20">
        <v>153.0</v>
      </c>
      <c r="J93" s="20">
        <v>8.0</v>
      </c>
      <c r="K93" s="20">
        <v>37.0</v>
      </c>
      <c r="L93" s="20">
        <v>56.0</v>
      </c>
      <c r="N93" s="24"/>
      <c r="O93" s="19">
        <v>13.0</v>
      </c>
      <c r="P93" s="40">
        <v>0.05518945634266886</v>
      </c>
      <c r="Q93" s="40">
        <v>0.010268456375838926</v>
      </c>
      <c r="R93" s="40">
        <v>0.0113314447592068</v>
      </c>
      <c r="S93" s="40">
        <v>0.01506514657980456</v>
      </c>
      <c r="T93" s="40">
        <v>0.020253164556962026</v>
      </c>
    </row>
    <row r="94" ht="15.75" customHeight="1">
      <c r="F94" s="24"/>
      <c r="G94" s="19">
        <v>14.0</v>
      </c>
      <c r="H94" s="20">
        <v>379.0</v>
      </c>
      <c r="I94" s="20">
        <v>183.0</v>
      </c>
      <c r="J94" s="20">
        <v>9.0</v>
      </c>
      <c r="K94" s="20">
        <v>34.0</v>
      </c>
      <c r="L94" s="20">
        <v>68.0</v>
      </c>
      <c r="N94" s="24"/>
      <c r="O94" s="19">
        <v>14.0</v>
      </c>
      <c r="P94" s="40">
        <v>0.052031850631521145</v>
      </c>
      <c r="Q94" s="40">
        <v>0.012281879194630873</v>
      </c>
      <c r="R94" s="40">
        <v>0.012747875354107648</v>
      </c>
      <c r="S94" s="40">
        <v>0.013843648208469055</v>
      </c>
      <c r="T94" s="40">
        <v>0.024593128390596745</v>
      </c>
    </row>
    <row r="95" ht="15.75" customHeight="1">
      <c r="F95" s="24"/>
      <c r="G95" s="19">
        <v>15.0</v>
      </c>
      <c r="H95" s="20">
        <v>391.0</v>
      </c>
      <c r="I95" s="20">
        <v>164.0</v>
      </c>
      <c r="J95" s="20">
        <v>10.0</v>
      </c>
      <c r="K95" s="20">
        <v>34.0</v>
      </c>
      <c r="L95" s="20">
        <v>58.0</v>
      </c>
      <c r="N95" s="24"/>
      <c r="O95" s="19">
        <v>15.0</v>
      </c>
      <c r="P95" s="40">
        <v>0.05367929708951126</v>
      </c>
      <c r="Q95" s="40">
        <v>0.011006711409395973</v>
      </c>
      <c r="R95" s="40">
        <v>0.014164305949008499</v>
      </c>
      <c r="S95" s="40">
        <v>0.013843648208469055</v>
      </c>
      <c r="T95" s="40">
        <v>0.020976491862567812</v>
      </c>
    </row>
    <row r="96" ht="15.75" customHeight="1">
      <c r="F96" s="24"/>
      <c r="G96" s="19">
        <v>16.0</v>
      </c>
      <c r="H96" s="20">
        <v>378.0</v>
      </c>
      <c r="I96" s="20">
        <v>163.0</v>
      </c>
      <c r="J96" s="20">
        <v>3.0</v>
      </c>
      <c r="K96" s="20">
        <v>25.0</v>
      </c>
      <c r="L96" s="20">
        <v>26.0</v>
      </c>
      <c r="N96" s="24"/>
      <c r="O96" s="19">
        <v>16.0</v>
      </c>
      <c r="P96" s="40">
        <v>0.051894563426688634</v>
      </c>
      <c r="Q96" s="40">
        <v>0.010939597315436242</v>
      </c>
      <c r="R96" s="40">
        <v>0.00424929178470255</v>
      </c>
      <c r="S96" s="40">
        <v>0.01017915309446254</v>
      </c>
      <c r="T96" s="40">
        <v>0.009403254972875226</v>
      </c>
    </row>
    <row r="97" ht="15.75" customHeight="1">
      <c r="F97" s="24"/>
      <c r="G97" s="19">
        <v>17.0</v>
      </c>
      <c r="H97" s="20">
        <v>426.0</v>
      </c>
      <c r="I97" s="20">
        <v>185.0</v>
      </c>
      <c r="J97" s="20">
        <v>1.0</v>
      </c>
      <c r="K97" s="20">
        <v>15.0</v>
      </c>
      <c r="L97" s="20">
        <v>20.0</v>
      </c>
      <c r="N97" s="24"/>
      <c r="O97" s="19">
        <v>17.0</v>
      </c>
      <c r="P97" s="40">
        <v>0.05848434925864909</v>
      </c>
      <c r="Q97" s="40">
        <v>0.012416107382550336</v>
      </c>
      <c r="R97" s="40">
        <v>0.00141643059490085</v>
      </c>
      <c r="S97" s="40">
        <v>0.0061074918566775245</v>
      </c>
      <c r="T97" s="40">
        <v>0.007233273056057866</v>
      </c>
    </row>
    <row r="98" ht="15.75" customHeight="1">
      <c r="F98" s="24"/>
      <c r="G98" s="19">
        <v>18.0</v>
      </c>
      <c r="H98" s="20">
        <v>328.0</v>
      </c>
      <c r="I98" s="20">
        <v>129.0</v>
      </c>
      <c r="J98" s="20">
        <v>2.0</v>
      </c>
      <c r="K98" s="20">
        <v>17.0</v>
      </c>
      <c r="L98" s="20">
        <v>15.0</v>
      </c>
      <c r="N98" s="24"/>
      <c r="O98" s="19">
        <v>18.0</v>
      </c>
      <c r="P98" s="40">
        <v>0.04503020318506315</v>
      </c>
      <c r="Q98" s="40">
        <v>0.00865771812080537</v>
      </c>
      <c r="R98" s="40">
        <v>0.0028328611898017</v>
      </c>
      <c r="S98" s="40">
        <v>0.006921824104234527</v>
      </c>
      <c r="T98" s="40">
        <v>0.0054249547920434</v>
      </c>
    </row>
    <row r="99" ht="15.75" customHeight="1">
      <c r="F99" s="24"/>
      <c r="G99" s="19">
        <v>19.0</v>
      </c>
      <c r="H99" s="20">
        <v>250.0</v>
      </c>
      <c r="I99" s="20">
        <v>78.0</v>
      </c>
      <c r="J99" s="20">
        <v>2.0</v>
      </c>
      <c r="K99" s="20">
        <v>18.0</v>
      </c>
      <c r="L99" s="20">
        <v>11.0</v>
      </c>
      <c r="N99" s="24"/>
      <c r="O99" s="19">
        <v>19.0</v>
      </c>
      <c r="P99" s="40">
        <v>0.0343218012081274</v>
      </c>
      <c r="Q99" s="40">
        <v>0.00523489932885906</v>
      </c>
      <c r="R99" s="40">
        <v>0.0028328611898017</v>
      </c>
      <c r="S99" s="40">
        <v>0.007328990228013029</v>
      </c>
      <c r="T99" s="40">
        <v>0.003978300180831827</v>
      </c>
    </row>
    <row r="100" ht="15.75" customHeight="1">
      <c r="F100" s="24"/>
      <c r="G100" s="19">
        <v>20.0</v>
      </c>
      <c r="H100" s="20">
        <v>225.0</v>
      </c>
      <c r="I100" s="20">
        <v>60.0</v>
      </c>
      <c r="J100" s="20">
        <v>1.0</v>
      </c>
      <c r="K100" s="20">
        <v>15.0</v>
      </c>
      <c r="L100" s="20">
        <v>13.0</v>
      </c>
      <c r="N100" s="24"/>
      <c r="O100" s="19">
        <v>20.0</v>
      </c>
      <c r="P100" s="40">
        <v>0.03088962108731466</v>
      </c>
      <c r="Q100" s="40">
        <v>0.004026845637583893</v>
      </c>
      <c r="R100" s="40">
        <v>0.00141643059490085</v>
      </c>
      <c r="S100" s="40">
        <v>0.0061074918566775245</v>
      </c>
      <c r="T100" s="40">
        <v>0.004701627486437613</v>
      </c>
    </row>
    <row r="101" ht="15.75" customHeight="1">
      <c r="F101" s="24"/>
      <c r="G101" s="19">
        <v>21.0</v>
      </c>
      <c r="H101" s="20">
        <v>187.0</v>
      </c>
      <c r="I101" s="20">
        <v>55.0</v>
      </c>
      <c r="J101" s="20">
        <v>0.0</v>
      </c>
      <c r="K101" s="20">
        <v>6.0</v>
      </c>
      <c r="L101" s="20">
        <v>6.0</v>
      </c>
      <c r="N101" s="24"/>
      <c r="O101" s="19">
        <v>21.0</v>
      </c>
      <c r="P101" s="40">
        <v>0.025672707303679296</v>
      </c>
      <c r="Q101" s="40">
        <v>0.003691275167785235</v>
      </c>
      <c r="R101" s="40">
        <v>0.0</v>
      </c>
      <c r="S101" s="40">
        <v>0.0024429967426710096</v>
      </c>
      <c r="T101" s="40">
        <v>0.00216998191681736</v>
      </c>
    </row>
    <row r="102" ht="15.75" customHeight="1">
      <c r="F102" s="24"/>
      <c r="G102" s="19">
        <v>22.0</v>
      </c>
      <c r="H102" s="20">
        <v>139.0</v>
      </c>
      <c r="I102" s="20">
        <v>45.0</v>
      </c>
      <c r="J102" s="20">
        <v>1.0</v>
      </c>
      <c r="K102" s="20">
        <v>3.0</v>
      </c>
      <c r="L102" s="20">
        <v>9.0</v>
      </c>
      <c r="N102" s="24"/>
      <c r="O102" s="19">
        <v>22.0</v>
      </c>
      <c r="P102" s="40">
        <v>0.019082921471718837</v>
      </c>
      <c r="Q102" s="40">
        <v>0.0030201342281879194</v>
      </c>
      <c r="R102" s="40">
        <v>0.00141643059490085</v>
      </c>
      <c r="S102" s="40">
        <v>0.0012214983713355048</v>
      </c>
      <c r="T102" s="40">
        <v>0.0032549728752260397</v>
      </c>
    </row>
    <row r="103" ht="15.75" customHeight="1">
      <c r="F103" s="28"/>
      <c r="G103" s="19">
        <v>23.0</v>
      </c>
      <c r="H103" s="20">
        <v>86.0</v>
      </c>
      <c r="I103" s="20">
        <v>27.0</v>
      </c>
      <c r="J103" s="20">
        <v>2.0</v>
      </c>
      <c r="K103" s="20">
        <v>16.0</v>
      </c>
      <c r="L103" s="20">
        <v>8.0</v>
      </c>
      <c r="N103" s="28"/>
      <c r="O103" s="19">
        <v>23.0</v>
      </c>
      <c r="P103" s="40">
        <v>0.011806699615595826</v>
      </c>
      <c r="Q103" s="40">
        <v>0.0018120805369127517</v>
      </c>
      <c r="R103" s="40">
        <v>0.0028328611898017</v>
      </c>
      <c r="S103" s="40">
        <v>0.006514657980456026</v>
      </c>
      <c r="T103" s="40">
        <v>0.0028933092224231465</v>
      </c>
    </row>
    <row r="104" ht="15.75" customHeight="1">
      <c r="F104" s="56">
        <v>45212.0</v>
      </c>
      <c r="G104" s="19">
        <v>0.0</v>
      </c>
      <c r="H104" s="20">
        <v>57.0</v>
      </c>
      <c r="I104" s="20">
        <v>17.0</v>
      </c>
      <c r="J104" s="20">
        <v>0.0</v>
      </c>
      <c r="K104" s="20">
        <v>11.0</v>
      </c>
      <c r="L104" s="20">
        <v>13.0</v>
      </c>
      <c r="N104" s="56">
        <v>45212.0</v>
      </c>
      <c r="O104" s="19">
        <v>0.0</v>
      </c>
      <c r="P104" s="40">
        <v>0.006428329762039021</v>
      </c>
      <c r="Q104" s="40">
        <v>0.005026611472501478</v>
      </c>
      <c r="R104" s="40">
        <v>0.0</v>
      </c>
      <c r="S104" s="40">
        <v>0.01877133105802048</v>
      </c>
      <c r="T104" s="40">
        <v>0.016209476309226933</v>
      </c>
    </row>
    <row r="105" ht="15.75" customHeight="1">
      <c r="F105" s="24"/>
      <c r="G105" s="19">
        <v>1.0</v>
      </c>
      <c r="H105" s="20">
        <v>44.0</v>
      </c>
      <c r="I105" s="20">
        <v>18.0</v>
      </c>
      <c r="J105" s="20">
        <v>0.0</v>
      </c>
      <c r="K105" s="20">
        <v>9.0</v>
      </c>
      <c r="L105" s="20">
        <v>4.0</v>
      </c>
      <c r="N105" s="24"/>
      <c r="O105" s="19">
        <v>1.0</v>
      </c>
      <c r="P105" s="40">
        <v>0.00496221946543363</v>
      </c>
      <c r="Q105" s="40">
        <v>0.005322294500295683</v>
      </c>
      <c r="R105" s="40">
        <v>0.0</v>
      </c>
      <c r="S105" s="40">
        <v>0.015358361774744027</v>
      </c>
      <c r="T105" s="40">
        <v>0.004987531172069825</v>
      </c>
    </row>
    <row r="106" ht="15.75" customHeight="1">
      <c r="F106" s="24"/>
      <c r="G106" s="19">
        <v>2.0</v>
      </c>
      <c r="H106" s="16">
        <v>40.0</v>
      </c>
      <c r="I106" s="16">
        <v>27.0</v>
      </c>
      <c r="J106" s="16">
        <v>0.0</v>
      </c>
      <c r="K106" s="16">
        <v>9.0</v>
      </c>
      <c r="L106" s="16">
        <v>14.0</v>
      </c>
      <c r="N106" s="24"/>
      <c r="O106" s="19">
        <v>2.0</v>
      </c>
      <c r="P106" s="40">
        <v>0.004511108604939664</v>
      </c>
      <c r="Q106" s="40">
        <v>0.007983441750443524</v>
      </c>
      <c r="R106" s="40">
        <v>0.0</v>
      </c>
      <c r="S106" s="40">
        <v>0.015358361774744027</v>
      </c>
      <c r="T106" s="40">
        <v>0.017456359102244388</v>
      </c>
    </row>
    <row r="107" ht="15.75" customHeight="1">
      <c r="F107" s="24"/>
      <c r="G107" s="19">
        <v>3.0</v>
      </c>
      <c r="H107" s="20">
        <v>32.0</v>
      </c>
      <c r="I107" s="20">
        <v>23.0</v>
      </c>
      <c r="J107" s="20">
        <v>1.0</v>
      </c>
      <c r="K107" s="20">
        <v>13.0</v>
      </c>
      <c r="L107" s="20">
        <v>9.0</v>
      </c>
      <c r="N107" s="24"/>
      <c r="O107" s="19">
        <v>3.0</v>
      </c>
      <c r="P107" s="40">
        <v>0.003608886883951731</v>
      </c>
      <c r="Q107" s="40">
        <v>0.006800709639266706</v>
      </c>
      <c r="R107" s="40">
        <v>0.005494505494505495</v>
      </c>
      <c r="S107" s="40">
        <v>0.02218430034129693</v>
      </c>
      <c r="T107" s="40">
        <v>0.011221945137157107</v>
      </c>
    </row>
    <row r="108" ht="15.75" customHeight="1">
      <c r="F108" s="24"/>
      <c r="G108" s="19">
        <v>4.0</v>
      </c>
      <c r="H108" s="20">
        <v>75.0</v>
      </c>
      <c r="I108" s="20">
        <v>61.0</v>
      </c>
      <c r="J108" s="20">
        <v>0.0</v>
      </c>
      <c r="K108" s="20">
        <v>20.0</v>
      </c>
      <c r="L108" s="20">
        <v>17.0</v>
      </c>
      <c r="N108" s="24"/>
      <c r="O108" s="19">
        <v>4.0</v>
      </c>
      <c r="P108" s="40">
        <v>0.00845832863426187</v>
      </c>
      <c r="Q108" s="40">
        <v>0.018036664695446483</v>
      </c>
      <c r="R108" s="40">
        <v>0.0</v>
      </c>
      <c r="S108" s="40">
        <v>0.034129692832764506</v>
      </c>
      <c r="T108" s="40">
        <v>0.02119700748129676</v>
      </c>
    </row>
    <row r="109" ht="15.75" customHeight="1">
      <c r="F109" s="24"/>
      <c r="G109" s="19">
        <v>5.0</v>
      </c>
      <c r="H109" s="20">
        <v>174.0</v>
      </c>
      <c r="I109" s="20">
        <v>100.0</v>
      </c>
      <c r="J109" s="20">
        <v>9.0</v>
      </c>
      <c r="K109" s="20">
        <v>31.0</v>
      </c>
      <c r="L109" s="20">
        <v>22.0</v>
      </c>
      <c r="N109" s="24"/>
      <c r="O109" s="19">
        <v>5.0</v>
      </c>
      <c r="P109" s="40">
        <v>0.01962332243148754</v>
      </c>
      <c r="Q109" s="40">
        <v>0.02956830277942046</v>
      </c>
      <c r="R109" s="40">
        <v>0.04945054945054945</v>
      </c>
      <c r="S109" s="40">
        <v>0.052901023890784986</v>
      </c>
      <c r="T109" s="40">
        <v>0.02743142144638404</v>
      </c>
    </row>
    <row r="110" ht="15.75" customHeight="1">
      <c r="F110" s="24"/>
      <c r="G110" s="19">
        <v>6.0</v>
      </c>
      <c r="H110" s="20">
        <v>362.0</v>
      </c>
      <c r="I110" s="20">
        <v>145.0</v>
      </c>
      <c r="J110" s="20">
        <v>13.0</v>
      </c>
      <c r="K110" s="20">
        <v>31.0</v>
      </c>
      <c r="L110" s="20">
        <v>38.0</v>
      </c>
      <c r="N110" s="24"/>
      <c r="O110" s="19">
        <v>6.0</v>
      </c>
      <c r="P110" s="40">
        <v>0.04082553287470396</v>
      </c>
      <c r="Q110" s="40">
        <v>0.04287403903015967</v>
      </c>
      <c r="R110" s="40">
        <v>0.07142857142857142</v>
      </c>
      <c r="S110" s="40">
        <v>0.052901023890784986</v>
      </c>
      <c r="T110" s="40">
        <v>0.04738154613466334</v>
      </c>
    </row>
    <row r="111" ht="15.75" customHeight="1">
      <c r="F111" s="24"/>
      <c r="G111" s="19">
        <v>7.0</v>
      </c>
      <c r="H111" s="20">
        <v>647.0</v>
      </c>
      <c r="I111" s="20">
        <v>202.0</v>
      </c>
      <c r="J111" s="20">
        <v>31.0</v>
      </c>
      <c r="K111" s="20">
        <v>53.0</v>
      </c>
      <c r="L111" s="20">
        <v>54.0</v>
      </c>
      <c r="N111" s="24"/>
      <c r="O111" s="19">
        <v>7.0</v>
      </c>
      <c r="P111" s="40">
        <v>0.07296718168489906</v>
      </c>
      <c r="Q111" s="40">
        <v>0.05972797161442933</v>
      </c>
      <c r="R111" s="40">
        <v>0.17032967032967034</v>
      </c>
      <c r="S111" s="40">
        <v>0.09044368600682594</v>
      </c>
      <c r="T111" s="40">
        <v>0.06733167082294264</v>
      </c>
    </row>
    <row r="112" ht="15.75" customHeight="1">
      <c r="F112" s="24"/>
      <c r="G112" s="19">
        <v>8.0</v>
      </c>
      <c r="H112" s="20">
        <v>613.0</v>
      </c>
      <c r="I112" s="20">
        <v>331.0</v>
      </c>
      <c r="J112" s="20">
        <v>13.0</v>
      </c>
      <c r="K112" s="20">
        <v>55.0</v>
      </c>
      <c r="L112" s="20">
        <v>63.0</v>
      </c>
      <c r="N112" s="24"/>
      <c r="O112" s="19">
        <v>8.0</v>
      </c>
      <c r="P112" s="40">
        <v>0.06913273937070034</v>
      </c>
      <c r="Q112" s="40">
        <v>0.09787108219988172</v>
      </c>
      <c r="R112" s="40">
        <v>0.07142857142857142</v>
      </c>
      <c r="S112" s="40">
        <v>0.09385665529010238</v>
      </c>
      <c r="T112" s="40">
        <v>0.07855361596009976</v>
      </c>
    </row>
    <row r="113" ht="15.75" customHeight="1">
      <c r="F113" s="24"/>
      <c r="G113" s="19">
        <v>9.0</v>
      </c>
      <c r="H113" s="20">
        <v>677.0</v>
      </c>
      <c r="I113" s="20">
        <v>312.0</v>
      </c>
      <c r="J113" s="20">
        <v>14.0</v>
      </c>
      <c r="K113" s="20">
        <v>56.0</v>
      </c>
      <c r="L113" s="20">
        <v>62.0</v>
      </c>
      <c r="N113" s="24"/>
      <c r="O113" s="19">
        <v>9.0</v>
      </c>
      <c r="P113" s="40">
        <v>0.07635051313860382</v>
      </c>
      <c r="Q113" s="40">
        <v>0.09225310467179183</v>
      </c>
      <c r="R113" s="40">
        <v>0.07692307692307693</v>
      </c>
      <c r="S113" s="40">
        <v>0.09556313993174062</v>
      </c>
      <c r="T113" s="40">
        <v>0.0773067331670823</v>
      </c>
    </row>
    <row r="114" ht="15.75" customHeight="1">
      <c r="F114" s="24"/>
      <c r="G114" s="19">
        <v>10.0</v>
      </c>
      <c r="H114" s="20">
        <v>584.0</v>
      </c>
      <c r="I114" s="20">
        <v>256.0</v>
      </c>
      <c r="J114" s="20">
        <v>13.0</v>
      </c>
      <c r="K114" s="20">
        <v>43.0</v>
      </c>
      <c r="L114" s="20">
        <v>108.0</v>
      </c>
      <c r="N114" s="24"/>
      <c r="O114" s="19">
        <v>10.0</v>
      </c>
      <c r="P114" s="40">
        <v>0.0658621856321191</v>
      </c>
      <c r="Q114" s="40">
        <v>0.07569485511531639</v>
      </c>
      <c r="R114" s="40">
        <v>0.07142857142857142</v>
      </c>
      <c r="S114" s="40">
        <v>0.07337883959044368</v>
      </c>
      <c r="T114" s="40">
        <v>0.13466334164588528</v>
      </c>
    </row>
    <row r="115" ht="15.75" customHeight="1">
      <c r="F115" s="24"/>
      <c r="G115" s="19">
        <v>11.0</v>
      </c>
      <c r="H115" s="20">
        <v>489.0</v>
      </c>
      <c r="I115" s="20">
        <v>170.0</v>
      </c>
      <c r="J115" s="20">
        <v>12.0</v>
      </c>
      <c r="K115" s="20">
        <v>34.0</v>
      </c>
      <c r="L115" s="20">
        <v>79.0</v>
      </c>
      <c r="N115" s="24"/>
      <c r="O115" s="19">
        <v>11.0</v>
      </c>
      <c r="P115" s="40">
        <v>0.05514830269538739</v>
      </c>
      <c r="Q115" s="40">
        <v>0.050266114725014785</v>
      </c>
      <c r="R115" s="40">
        <v>0.06593406593406594</v>
      </c>
      <c r="S115" s="40">
        <v>0.05802047781569966</v>
      </c>
      <c r="T115" s="40">
        <v>0.09850374064837905</v>
      </c>
    </row>
    <row r="116" ht="15.75" customHeight="1">
      <c r="F116" s="24"/>
      <c r="G116" s="19">
        <v>12.0</v>
      </c>
      <c r="H116" s="20">
        <v>430.0</v>
      </c>
      <c r="I116" s="20">
        <v>158.0</v>
      </c>
      <c r="J116" s="20">
        <v>17.0</v>
      </c>
      <c r="K116" s="20">
        <v>27.0</v>
      </c>
      <c r="L116" s="20">
        <v>59.0</v>
      </c>
      <c r="N116" s="24"/>
      <c r="O116" s="19">
        <v>12.0</v>
      </c>
      <c r="P116" s="40">
        <v>0.048494417503101385</v>
      </c>
      <c r="Q116" s="40">
        <v>0.04671791839148433</v>
      </c>
      <c r="R116" s="40">
        <v>0.09340659340659341</v>
      </c>
      <c r="S116" s="40">
        <v>0.04607508532423208</v>
      </c>
      <c r="T116" s="40">
        <v>0.07356608478802992</v>
      </c>
    </row>
    <row r="117" ht="15.75" customHeight="1">
      <c r="F117" s="24"/>
      <c r="G117" s="19">
        <v>13.0</v>
      </c>
      <c r="H117" s="20">
        <v>507.0</v>
      </c>
      <c r="I117" s="20">
        <v>168.0</v>
      </c>
      <c r="J117" s="20">
        <v>9.0</v>
      </c>
      <c r="K117" s="20">
        <v>26.0</v>
      </c>
      <c r="L117" s="20">
        <v>60.0</v>
      </c>
      <c r="N117" s="24"/>
      <c r="O117" s="19">
        <v>13.0</v>
      </c>
      <c r="P117" s="40">
        <v>0.05717830156761024</v>
      </c>
      <c r="Q117" s="40">
        <v>0.04967474866942637</v>
      </c>
      <c r="R117" s="40">
        <v>0.04945054945054945</v>
      </c>
      <c r="S117" s="40">
        <v>0.04436860068259386</v>
      </c>
      <c r="T117" s="40">
        <v>0.07481296758104738</v>
      </c>
    </row>
    <row r="118" ht="15.75" customHeight="1">
      <c r="F118" s="24"/>
      <c r="G118" s="19">
        <v>14.0</v>
      </c>
      <c r="H118" s="20">
        <v>513.0</v>
      </c>
      <c r="I118" s="20">
        <v>181.0</v>
      </c>
      <c r="J118" s="20">
        <v>15.0</v>
      </c>
      <c r="K118" s="20">
        <v>32.0</v>
      </c>
      <c r="L118" s="20">
        <v>57.0</v>
      </c>
      <c r="N118" s="24"/>
      <c r="O118" s="19">
        <v>14.0</v>
      </c>
      <c r="P118" s="40">
        <v>0.05785496785835119</v>
      </c>
      <c r="Q118" s="40">
        <v>0.05351862803075103</v>
      </c>
      <c r="R118" s="40">
        <v>0.08241758241758242</v>
      </c>
      <c r="S118" s="40">
        <v>0.05460750853242321</v>
      </c>
      <c r="T118" s="40">
        <v>0.07107231920199501</v>
      </c>
    </row>
    <row r="119" ht="15.75" customHeight="1">
      <c r="F119" s="24"/>
      <c r="G119" s="19">
        <v>15.0</v>
      </c>
      <c r="H119" s="20">
        <v>471.0</v>
      </c>
      <c r="I119" s="20">
        <v>187.0</v>
      </c>
      <c r="J119" s="20">
        <v>7.0</v>
      </c>
      <c r="K119" s="20">
        <v>30.0</v>
      </c>
      <c r="L119" s="20">
        <v>41.0</v>
      </c>
      <c r="N119" s="24"/>
      <c r="O119" s="19">
        <v>15.0</v>
      </c>
      <c r="P119" s="40">
        <v>0.05311830382316454</v>
      </c>
      <c r="Q119" s="40">
        <v>0.05529272619751626</v>
      </c>
      <c r="R119" s="40">
        <v>0.038461538461538464</v>
      </c>
      <c r="S119" s="40">
        <v>0.051194539249146756</v>
      </c>
      <c r="T119" s="40">
        <v>0.05112219451371571</v>
      </c>
    </row>
    <row r="120" ht="15.75" customHeight="1">
      <c r="F120" s="24"/>
      <c r="G120" s="19">
        <v>16.0</v>
      </c>
      <c r="H120" s="20">
        <v>457.0</v>
      </c>
      <c r="I120" s="20">
        <v>192.0</v>
      </c>
      <c r="J120" s="20">
        <v>13.0</v>
      </c>
      <c r="K120" s="20">
        <v>22.0</v>
      </c>
      <c r="L120" s="20">
        <v>31.0</v>
      </c>
      <c r="N120" s="24"/>
      <c r="O120" s="19">
        <v>16.0</v>
      </c>
      <c r="P120" s="40">
        <v>0.05153941581143566</v>
      </c>
      <c r="Q120" s="40">
        <v>0.05677114133648729</v>
      </c>
      <c r="R120" s="40">
        <v>0.07142857142857142</v>
      </c>
      <c r="S120" s="40">
        <v>0.03754266211604096</v>
      </c>
      <c r="T120" s="40">
        <v>0.03865336658354115</v>
      </c>
    </row>
    <row r="121" ht="15.75" customHeight="1">
      <c r="F121" s="24"/>
      <c r="G121" s="19">
        <v>17.0</v>
      </c>
      <c r="H121" s="20">
        <v>572.0</v>
      </c>
      <c r="I121" s="20">
        <v>235.0</v>
      </c>
      <c r="J121" s="20">
        <v>1.0</v>
      </c>
      <c r="K121" s="20">
        <v>17.0</v>
      </c>
      <c r="L121" s="20">
        <v>18.0</v>
      </c>
      <c r="N121" s="24"/>
      <c r="O121" s="19">
        <v>17.0</v>
      </c>
      <c r="P121" s="40">
        <v>0.0645088530506372</v>
      </c>
      <c r="Q121" s="40">
        <v>0.06948551153163808</v>
      </c>
      <c r="R121" s="40">
        <v>0.005494505494505495</v>
      </c>
      <c r="S121" s="40">
        <v>0.02901023890784983</v>
      </c>
      <c r="T121" s="40">
        <v>0.022443890274314215</v>
      </c>
    </row>
    <row r="122" ht="15.75" customHeight="1">
      <c r="F122" s="24"/>
      <c r="G122" s="19">
        <v>18.0</v>
      </c>
      <c r="H122" s="20">
        <v>496.0</v>
      </c>
      <c r="I122" s="20">
        <v>181.0</v>
      </c>
      <c r="J122" s="20">
        <v>1.0</v>
      </c>
      <c r="K122" s="20">
        <v>18.0</v>
      </c>
      <c r="L122" s="20">
        <v>17.0</v>
      </c>
      <c r="N122" s="24"/>
      <c r="O122" s="19">
        <v>18.0</v>
      </c>
      <c r="P122" s="40">
        <v>0.05593774670125183</v>
      </c>
      <c r="Q122" s="40">
        <v>0.05351862803075103</v>
      </c>
      <c r="R122" s="40">
        <v>0.005494505494505495</v>
      </c>
      <c r="S122" s="40">
        <v>0.030716723549488054</v>
      </c>
      <c r="T122" s="40">
        <v>0.02119700748129676</v>
      </c>
    </row>
    <row r="123" ht="15.75" customHeight="1">
      <c r="F123" s="24"/>
      <c r="G123" s="19">
        <v>19.0</v>
      </c>
      <c r="H123" s="20">
        <v>468.0</v>
      </c>
      <c r="I123" s="20">
        <v>117.0</v>
      </c>
      <c r="J123" s="20">
        <v>7.0</v>
      </c>
      <c r="K123" s="20">
        <v>17.0</v>
      </c>
      <c r="L123" s="20">
        <v>5.0</v>
      </c>
      <c r="N123" s="24"/>
      <c r="O123" s="19">
        <v>19.0</v>
      </c>
      <c r="P123" s="40">
        <v>0.052779970677794066</v>
      </c>
      <c r="Q123" s="40">
        <v>0.03459491425192194</v>
      </c>
      <c r="R123" s="40">
        <v>0.038461538461538464</v>
      </c>
      <c r="S123" s="40">
        <v>0.02901023890784983</v>
      </c>
      <c r="T123" s="40">
        <v>0.006234413965087282</v>
      </c>
    </row>
    <row r="124" ht="15.75" customHeight="1">
      <c r="F124" s="24"/>
      <c r="G124" s="19">
        <v>20.0</v>
      </c>
      <c r="H124" s="20">
        <v>384.0</v>
      </c>
      <c r="I124" s="20">
        <v>106.0</v>
      </c>
      <c r="J124" s="20">
        <v>2.0</v>
      </c>
      <c r="K124" s="20">
        <v>7.0</v>
      </c>
      <c r="L124" s="20">
        <v>9.0</v>
      </c>
      <c r="N124" s="24"/>
      <c r="O124" s="19">
        <v>20.0</v>
      </c>
      <c r="P124" s="40">
        <v>0.04330664260742077</v>
      </c>
      <c r="Q124" s="40">
        <v>0.03134240094618569</v>
      </c>
      <c r="R124" s="40">
        <v>0.01098901098901099</v>
      </c>
      <c r="S124" s="40">
        <v>0.011945392491467578</v>
      </c>
      <c r="T124" s="40">
        <v>0.011221945137157107</v>
      </c>
    </row>
    <row r="125" ht="15.75" customHeight="1">
      <c r="F125" s="24"/>
      <c r="G125" s="19">
        <v>21.0</v>
      </c>
      <c r="H125" s="20">
        <v>347.0</v>
      </c>
      <c r="I125" s="20">
        <v>92.0</v>
      </c>
      <c r="J125" s="20">
        <v>1.0</v>
      </c>
      <c r="K125" s="20">
        <v>6.0</v>
      </c>
      <c r="L125" s="20">
        <v>9.0</v>
      </c>
      <c r="N125" s="24"/>
      <c r="O125" s="19">
        <v>21.0</v>
      </c>
      <c r="P125" s="40">
        <v>0.03913386714785159</v>
      </c>
      <c r="Q125" s="40">
        <v>0.027202838557066823</v>
      </c>
      <c r="R125" s="40">
        <v>0.005494505494505495</v>
      </c>
      <c r="S125" s="40">
        <v>0.010238907849829351</v>
      </c>
      <c r="T125" s="40">
        <v>0.011221945137157107</v>
      </c>
    </row>
    <row r="126" ht="15.75" customHeight="1">
      <c r="F126" s="24"/>
      <c r="G126" s="19">
        <v>22.0</v>
      </c>
      <c r="H126" s="20">
        <v>292.0</v>
      </c>
      <c r="I126" s="20">
        <v>60.0</v>
      </c>
      <c r="J126" s="20">
        <v>1.0</v>
      </c>
      <c r="K126" s="20">
        <v>12.0</v>
      </c>
      <c r="L126" s="20">
        <v>5.0</v>
      </c>
      <c r="N126" s="24"/>
      <c r="O126" s="19">
        <v>22.0</v>
      </c>
      <c r="P126" s="40">
        <v>0.03293109281605955</v>
      </c>
      <c r="Q126" s="40">
        <v>0.017740981667652277</v>
      </c>
      <c r="R126" s="40">
        <v>0.005494505494505495</v>
      </c>
      <c r="S126" s="40">
        <v>0.020477815699658702</v>
      </c>
      <c r="T126" s="40">
        <v>0.006234413965087282</v>
      </c>
    </row>
    <row r="127" ht="15.75" customHeight="1">
      <c r="F127" s="28"/>
      <c r="G127" s="19">
        <v>23.0</v>
      </c>
      <c r="H127" s="20">
        <v>136.0</v>
      </c>
      <c r="I127" s="20">
        <v>43.0</v>
      </c>
      <c r="J127" s="20">
        <v>2.0</v>
      </c>
      <c r="K127" s="20">
        <v>7.0</v>
      </c>
      <c r="L127" s="20">
        <v>8.0</v>
      </c>
      <c r="N127" s="28"/>
      <c r="O127" s="19">
        <v>23.0</v>
      </c>
      <c r="P127" s="40">
        <v>0.015337769256794857</v>
      </c>
      <c r="Q127" s="40">
        <v>0.0127143701951508</v>
      </c>
      <c r="R127" s="40">
        <v>0.01098901098901099</v>
      </c>
      <c r="S127" s="40">
        <v>0.011945392491467578</v>
      </c>
      <c r="T127" s="40">
        <v>0.00997506234413965</v>
      </c>
    </row>
    <row r="128" ht="15.75" customHeight="1">
      <c r="F128" s="56">
        <v>45213.0</v>
      </c>
      <c r="G128" s="19">
        <v>0.0</v>
      </c>
      <c r="H128" s="20">
        <v>109.0</v>
      </c>
      <c r="I128" s="20">
        <v>32.0</v>
      </c>
      <c r="J128" s="20">
        <v>2.0</v>
      </c>
      <c r="K128" s="20">
        <v>13.0</v>
      </c>
      <c r="L128" s="20">
        <v>14.0</v>
      </c>
      <c r="N128" s="56">
        <v>45213.0</v>
      </c>
      <c r="O128" s="19">
        <v>0.0</v>
      </c>
      <c r="P128" s="40">
        <v>0.008830200907323397</v>
      </c>
      <c r="Q128" s="40">
        <v>0.008891358710752986</v>
      </c>
      <c r="R128" s="40">
        <v>0.007272727272727273</v>
      </c>
      <c r="S128" s="40">
        <v>0.04153354632587859</v>
      </c>
      <c r="T128" s="40">
        <v>0.02460456942003515</v>
      </c>
    </row>
    <row r="129" ht="15.75" customHeight="1">
      <c r="F129" s="24"/>
      <c r="G129" s="19">
        <v>1.0</v>
      </c>
      <c r="H129" s="20">
        <v>76.0</v>
      </c>
      <c r="I129" s="20">
        <v>19.0</v>
      </c>
      <c r="J129" s="20">
        <v>0.0</v>
      </c>
      <c r="K129" s="20">
        <v>8.0</v>
      </c>
      <c r="L129" s="20">
        <v>9.0</v>
      </c>
      <c r="N129" s="24"/>
      <c r="O129" s="19">
        <v>1.0</v>
      </c>
      <c r="P129" s="40">
        <v>0.006156837329876863</v>
      </c>
      <c r="Q129" s="40">
        <v>0.005279244234509586</v>
      </c>
      <c r="R129" s="40">
        <v>0.0</v>
      </c>
      <c r="S129" s="40">
        <v>0.025559105431309903</v>
      </c>
      <c r="T129" s="40">
        <v>0.015817223198594025</v>
      </c>
    </row>
    <row r="130" ht="15.75" customHeight="1">
      <c r="F130" s="24"/>
      <c r="G130" s="19">
        <v>2.0</v>
      </c>
      <c r="H130" s="16">
        <v>78.0</v>
      </c>
      <c r="I130" s="16">
        <v>30.0</v>
      </c>
      <c r="J130" s="16">
        <v>1.0</v>
      </c>
      <c r="K130" s="16">
        <v>6.0</v>
      </c>
      <c r="L130" s="16">
        <v>8.0</v>
      </c>
      <c r="N130" s="24"/>
      <c r="O130" s="19">
        <v>2.0</v>
      </c>
      <c r="P130" s="40">
        <v>0.006318859364873623</v>
      </c>
      <c r="Q130" s="40">
        <v>0.008335648791330925</v>
      </c>
      <c r="R130" s="40">
        <v>0.0036363636363636364</v>
      </c>
      <c r="S130" s="40">
        <v>0.019169329073482427</v>
      </c>
      <c r="T130" s="40">
        <v>0.014059753954305799</v>
      </c>
    </row>
    <row r="131" ht="15.75" customHeight="1">
      <c r="F131" s="24"/>
      <c r="G131" s="19">
        <v>3.0</v>
      </c>
      <c r="H131" s="20">
        <v>83.0</v>
      </c>
      <c r="I131" s="20">
        <v>37.0</v>
      </c>
      <c r="J131" s="20">
        <v>0.0</v>
      </c>
      <c r="K131" s="20">
        <v>11.0</v>
      </c>
      <c r="L131" s="20">
        <v>10.0</v>
      </c>
      <c r="N131" s="24"/>
      <c r="O131" s="19">
        <v>3.0</v>
      </c>
      <c r="P131" s="40">
        <v>0.006723914452365522</v>
      </c>
      <c r="Q131" s="40">
        <v>0.010280633509308142</v>
      </c>
      <c r="R131" s="40">
        <v>0.0</v>
      </c>
      <c r="S131" s="40">
        <v>0.03514376996805112</v>
      </c>
      <c r="T131" s="40">
        <v>0.01757469244288225</v>
      </c>
    </row>
    <row r="132" ht="15.75" customHeight="1">
      <c r="F132" s="24"/>
      <c r="G132" s="19">
        <v>4.0</v>
      </c>
      <c r="H132" s="20">
        <v>151.0</v>
      </c>
      <c r="I132" s="20">
        <v>70.0</v>
      </c>
      <c r="J132" s="20">
        <v>1.0</v>
      </c>
      <c r="K132" s="20">
        <v>17.0</v>
      </c>
      <c r="L132" s="20">
        <v>13.0</v>
      </c>
      <c r="N132" s="24"/>
      <c r="O132" s="19">
        <v>4.0</v>
      </c>
      <c r="P132" s="40">
        <v>0.012232663642255347</v>
      </c>
      <c r="Q132" s="40">
        <v>0.019449847179772158</v>
      </c>
      <c r="R132" s="40">
        <v>0.0036363636363636364</v>
      </c>
      <c r="S132" s="40">
        <v>0.054313099041533544</v>
      </c>
      <c r="T132" s="40">
        <v>0.022847100175746926</v>
      </c>
    </row>
    <row r="133" ht="15.75" customHeight="1">
      <c r="F133" s="24"/>
      <c r="G133" s="19">
        <v>5.0</v>
      </c>
      <c r="H133" s="20">
        <v>269.0</v>
      </c>
      <c r="I133" s="20">
        <v>116.0</v>
      </c>
      <c r="J133" s="20">
        <v>9.0</v>
      </c>
      <c r="K133" s="20">
        <v>16.0</v>
      </c>
      <c r="L133" s="20">
        <v>16.0</v>
      </c>
      <c r="N133" s="24"/>
      <c r="O133" s="19">
        <v>5.0</v>
      </c>
      <c r="P133" s="40">
        <v>0.02179196370706416</v>
      </c>
      <c r="Q133" s="40">
        <v>0.03223117532647958</v>
      </c>
      <c r="R133" s="40">
        <v>0.03272727272727273</v>
      </c>
      <c r="S133" s="40">
        <v>0.051118210862619806</v>
      </c>
      <c r="T133" s="40">
        <v>0.028119507908611598</v>
      </c>
    </row>
    <row r="134" ht="15.75" customHeight="1">
      <c r="F134" s="24"/>
      <c r="G134" s="19">
        <v>6.0</v>
      </c>
      <c r="H134" s="20">
        <v>548.0</v>
      </c>
      <c r="I134" s="20">
        <v>196.0</v>
      </c>
      <c r="J134" s="20">
        <v>36.0</v>
      </c>
      <c r="K134" s="20">
        <v>26.0</v>
      </c>
      <c r="L134" s="20">
        <v>35.0</v>
      </c>
      <c r="N134" s="24"/>
      <c r="O134" s="19">
        <v>6.0</v>
      </c>
      <c r="P134" s="40">
        <v>0.04439403758911212</v>
      </c>
      <c r="Q134" s="40">
        <v>0.054459572103362046</v>
      </c>
      <c r="R134" s="40">
        <v>0.13090909090909092</v>
      </c>
      <c r="S134" s="40">
        <v>0.08306709265175719</v>
      </c>
      <c r="T134" s="40">
        <v>0.061511423550087874</v>
      </c>
    </row>
    <row r="135" ht="15.75" customHeight="1">
      <c r="F135" s="24"/>
      <c r="G135" s="19">
        <v>7.0</v>
      </c>
      <c r="H135" s="20">
        <v>892.0</v>
      </c>
      <c r="I135" s="20">
        <v>270.0</v>
      </c>
      <c r="J135" s="20">
        <v>71.0</v>
      </c>
      <c r="K135" s="20">
        <v>32.0</v>
      </c>
      <c r="L135" s="20">
        <v>44.0</v>
      </c>
      <c r="N135" s="24"/>
      <c r="O135" s="19">
        <v>7.0</v>
      </c>
      <c r="P135" s="40">
        <v>0.07226182760855476</v>
      </c>
      <c r="Q135" s="40">
        <v>0.07502083912197832</v>
      </c>
      <c r="R135" s="40">
        <v>0.2581818181818182</v>
      </c>
      <c r="S135" s="40">
        <v>0.10223642172523961</v>
      </c>
      <c r="T135" s="40">
        <v>0.0773286467486819</v>
      </c>
    </row>
    <row r="136" ht="15.75" customHeight="1">
      <c r="F136" s="24"/>
      <c r="G136" s="19">
        <v>8.0</v>
      </c>
      <c r="H136" s="20">
        <v>1167.0</v>
      </c>
      <c r="I136" s="20">
        <v>366.0</v>
      </c>
      <c r="J136" s="20">
        <v>36.0</v>
      </c>
      <c r="K136" s="20">
        <v>21.0</v>
      </c>
      <c r="L136" s="20">
        <v>54.0</v>
      </c>
      <c r="N136" s="24"/>
      <c r="O136" s="19">
        <v>8.0</v>
      </c>
      <c r="P136" s="40">
        <v>0.0945398574206092</v>
      </c>
      <c r="Q136" s="40">
        <v>0.1016949152542373</v>
      </c>
      <c r="R136" s="40">
        <v>0.13090909090909092</v>
      </c>
      <c r="S136" s="40">
        <v>0.0670926517571885</v>
      </c>
      <c r="T136" s="40">
        <v>0.09490333919156414</v>
      </c>
    </row>
    <row r="137" ht="15.75" customHeight="1">
      <c r="F137" s="24"/>
      <c r="G137" s="19">
        <v>9.0</v>
      </c>
      <c r="H137" s="20">
        <v>1282.0</v>
      </c>
      <c r="I137" s="20">
        <v>347.0</v>
      </c>
      <c r="J137" s="20">
        <v>23.0</v>
      </c>
      <c r="K137" s="20">
        <v>21.0</v>
      </c>
      <c r="L137" s="20">
        <v>61.0</v>
      </c>
      <c r="N137" s="24"/>
      <c r="O137" s="19">
        <v>9.0</v>
      </c>
      <c r="P137" s="40">
        <v>0.10385612443292287</v>
      </c>
      <c r="Q137" s="40">
        <v>0.0964156710197277</v>
      </c>
      <c r="R137" s="40">
        <v>0.08363636363636363</v>
      </c>
      <c r="S137" s="40">
        <v>0.0670926517571885</v>
      </c>
      <c r="T137" s="40">
        <v>0.10720562390158173</v>
      </c>
    </row>
    <row r="138" ht="15.75" customHeight="1">
      <c r="F138" s="24"/>
      <c r="G138" s="19">
        <v>10.0</v>
      </c>
      <c r="H138" s="20">
        <v>1195.0</v>
      </c>
      <c r="I138" s="20">
        <v>268.0</v>
      </c>
      <c r="J138" s="20">
        <v>11.0</v>
      </c>
      <c r="K138" s="20">
        <v>27.0</v>
      </c>
      <c r="L138" s="20">
        <v>53.0</v>
      </c>
      <c r="N138" s="24"/>
      <c r="O138" s="19">
        <v>10.0</v>
      </c>
      <c r="P138" s="40">
        <v>0.09680816591056383</v>
      </c>
      <c r="Q138" s="40">
        <v>0.07446512920255627</v>
      </c>
      <c r="R138" s="40">
        <v>0.04</v>
      </c>
      <c r="S138" s="40">
        <v>0.08626198083067092</v>
      </c>
      <c r="T138" s="40">
        <v>0.09314586994727592</v>
      </c>
    </row>
    <row r="139" ht="15.75" customHeight="1">
      <c r="F139" s="24"/>
      <c r="G139" s="19">
        <v>11.0</v>
      </c>
      <c r="H139" s="20">
        <v>691.0</v>
      </c>
      <c r="I139" s="20">
        <v>213.0</v>
      </c>
      <c r="J139" s="20">
        <v>8.0</v>
      </c>
      <c r="K139" s="20">
        <v>13.0</v>
      </c>
      <c r="L139" s="20">
        <v>53.0</v>
      </c>
      <c r="N139" s="24"/>
      <c r="O139" s="19">
        <v>11.0</v>
      </c>
      <c r="P139" s="40">
        <v>0.05597861309138043</v>
      </c>
      <c r="Q139" s="40">
        <v>0.059183106418449566</v>
      </c>
      <c r="R139" s="40">
        <v>0.02909090909090909</v>
      </c>
      <c r="S139" s="40">
        <v>0.04153354632587859</v>
      </c>
      <c r="T139" s="40">
        <v>0.09314586994727592</v>
      </c>
    </row>
    <row r="140" ht="15.75" customHeight="1">
      <c r="F140" s="24"/>
      <c r="G140" s="19">
        <v>12.0</v>
      </c>
      <c r="H140" s="20">
        <v>775.0</v>
      </c>
      <c r="I140" s="20">
        <v>200.0</v>
      </c>
      <c r="J140" s="20">
        <v>5.0</v>
      </c>
      <c r="K140" s="20">
        <v>17.0</v>
      </c>
      <c r="L140" s="20">
        <v>42.0</v>
      </c>
      <c r="N140" s="24"/>
      <c r="O140" s="19">
        <v>12.0</v>
      </c>
      <c r="P140" s="40">
        <v>0.06278353856124433</v>
      </c>
      <c r="Q140" s="40">
        <v>0.05557099194220617</v>
      </c>
      <c r="R140" s="40">
        <v>0.01818181818181818</v>
      </c>
      <c r="S140" s="40">
        <v>0.054313099041533544</v>
      </c>
      <c r="T140" s="40">
        <v>0.07381370826010544</v>
      </c>
    </row>
    <row r="141" ht="15.75" customHeight="1">
      <c r="F141" s="24"/>
      <c r="G141" s="19">
        <v>13.0</v>
      </c>
      <c r="H141" s="20">
        <v>855.0</v>
      </c>
      <c r="I141" s="20">
        <v>209.0</v>
      </c>
      <c r="J141" s="20">
        <v>16.0</v>
      </c>
      <c r="K141" s="20">
        <v>8.0</v>
      </c>
      <c r="L141" s="20">
        <v>31.0</v>
      </c>
      <c r="N141" s="24"/>
      <c r="O141" s="19">
        <v>13.0</v>
      </c>
      <c r="P141" s="40">
        <v>0.06926441996111471</v>
      </c>
      <c r="Q141" s="40">
        <v>0.058071686579605444</v>
      </c>
      <c r="R141" s="40">
        <v>0.05818181818181818</v>
      </c>
      <c r="S141" s="40">
        <v>0.025559105431309903</v>
      </c>
      <c r="T141" s="40">
        <v>0.054481546572934976</v>
      </c>
    </row>
    <row r="142" ht="15.75" customHeight="1">
      <c r="F142" s="24"/>
      <c r="G142" s="19">
        <v>14.0</v>
      </c>
      <c r="H142" s="20">
        <v>773.0</v>
      </c>
      <c r="I142" s="20">
        <v>207.0</v>
      </c>
      <c r="J142" s="20">
        <v>14.0</v>
      </c>
      <c r="K142" s="20">
        <v>14.0</v>
      </c>
      <c r="L142" s="20">
        <v>51.0</v>
      </c>
      <c r="N142" s="24"/>
      <c r="O142" s="19">
        <v>14.0</v>
      </c>
      <c r="P142" s="40">
        <v>0.06262151652624758</v>
      </c>
      <c r="Q142" s="40">
        <v>0.057515976660183384</v>
      </c>
      <c r="R142" s="40">
        <v>0.05090909090909091</v>
      </c>
      <c r="S142" s="40">
        <v>0.04472843450479233</v>
      </c>
      <c r="T142" s="40">
        <v>0.08963093145869948</v>
      </c>
    </row>
    <row r="143" ht="15.75" customHeight="1">
      <c r="F143" s="24"/>
      <c r="G143" s="19">
        <v>15.0</v>
      </c>
      <c r="H143" s="20">
        <v>674.0</v>
      </c>
      <c r="I143" s="20">
        <v>194.0</v>
      </c>
      <c r="J143" s="20">
        <v>18.0</v>
      </c>
      <c r="K143" s="20">
        <v>11.0</v>
      </c>
      <c r="L143" s="20">
        <v>25.0</v>
      </c>
      <c r="N143" s="24"/>
      <c r="O143" s="19">
        <v>15.0</v>
      </c>
      <c r="P143" s="40">
        <v>0.05460142579390797</v>
      </c>
      <c r="Q143" s="40">
        <v>0.053903862183939985</v>
      </c>
      <c r="R143" s="40">
        <v>0.06545454545454546</v>
      </c>
      <c r="S143" s="40">
        <v>0.03514376996805112</v>
      </c>
      <c r="T143" s="40">
        <v>0.043936731107205626</v>
      </c>
    </row>
    <row r="144" ht="15.75" customHeight="1">
      <c r="F144" s="24"/>
      <c r="G144" s="19">
        <v>16.0</v>
      </c>
      <c r="H144" s="20">
        <v>575.0</v>
      </c>
      <c r="I144" s="20">
        <v>192.0</v>
      </c>
      <c r="J144" s="20">
        <v>6.0</v>
      </c>
      <c r="K144" s="20">
        <v>14.0</v>
      </c>
      <c r="L144" s="20">
        <v>23.0</v>
      </c>
      <c r="N144" s="24"/>
      <c r="O144" s="19">
        <v>16.0</v>
      </c>
      <c r="P144" s="40">
        <v>0.04658133506156837</v>
      </c>
      <c r="Q144" s="40">
        <v>0.053348152264517924</v>
      </c>
      <c r="R144" s="40">
        <v>0.02181818181818182</v>
      </c>
      <c r="S144" s="40">
        <v>0.04472843450479233</v>
      </c>
      <c r="T144" s="40">
        <v>0.040421792618629174</v>
      </c>
    </row>
    <row r="145" ht="15.75" customHeight="1">
      <c r="F145" s="24"/>
      <c r="G145" s="19">
        <v>17.0</v>
      </c>
      <c r="H145" s="20">
        <v>499.0</v>
      </c>
      <c r="I145" s="20">
        <v>198.0</v>
      </c>
      <c r="J145" s="20">
        <v>4.0</v>
      </c>
      <c r="K145" s="20">
        <v>7.0</v>
      </c>
      <c r="L145" s="20">
        <v>4.0</v>
      </c>
      <c r="N145" s="24"/>
      <c r="O145" s="19">
        <v>17.0</v>
      </c>
      <c r="P145" s="40">
        <v>0.04042449773169151</v>
      </c>
      <c r="Q145" s="40">
        <v>0.05501528202278411</v>
      </c>
      <c r="R145" s="40">
        <v>0.014545454545454545</v>
      </c>
      <c r="S145" s="40">
        <v>0.022364217252396165</v>
      </c>
      <c r="T145" s="40">
        <v>0.007029876977152899</v>
      </c>
    </row>
    <row r="146" ht="15.75" customHeight="1">
      <c r="F146" s="24"/>
      <c r="G146" s="19">
        <v>18.0</v>
      </c>
      <c r="H146" s="20">
        <v>399.0</v>
      </c>
      <c r="I146" s="20">
        <v>125.0</v>
      </c>
      <c r="J146" s="20">
        <v>1.0</v>
      </c>
      <c r="K146" s="20">
        <v>4.0</v>
      </c>
      <c r="L146" s="20">
        <v>6.0</v>
      </c>
      <c r="N146" s="24"/>
      <c r="O146" s="19">
        <v>18.0</v>
      </c>
      <c r="P146" s="40">
        <v>0.032323395981853534</v>
      </c>
      <c r="Q146" s="40">
        <v>0.03473186996387886</v>
      </c>
      <c r="R146" s="40">
        <v>0.0036363636363636364</v>
      </c>
      <c r="S146" s="40">
        <v>0.012779552715654952</v>
      </c>
      <c r="T146" s="40">
        <v>0.01054481546572935</v>
      </c>
    </row>
    <row r="147" ht="15.75" customHeight="1">
      <c r="F147" s="24"/>
      <c r="G147" s="19">
        <v>19.0</v>
      </c>
      <c r="H147" s="20">
        <v>363.0</v>
      </c>
      <c r="I147" s="20">
        <v>91.0</v>
      </c>
      <c r="J147" s="20">
        <v>3.0</v>
      </c>
      <c r="K147" s="20">
        <v>9.0</v>
      </c>
      <c r="L147" s="20">
        <v>7.0</v>
      </c>
      <c r="N147" s="24"/>
      <c r="O147" s="19">
        <v>19.0</v>
      </c>
      <c r="P147" s="40">
        <v>0.02940699935191186</v>
      </c>
      <c r="Q147" s="40">
        <v>0.025284801333703807</v>
      </c>
      <c r="R147" s="40">
        <v>0.01090909090909091</v>
      </c>
      <c r="S147" s="40">
        <v>0.02875399361022364</v>
      </c>
      <c r="T147" s="40">
        <v>0.012302284710017574</v>
      </c>
    </row>
    <row r="148" ht="15.75" customHeight="1">
      <c r="F148" s="24"/>
      <c r="G148" s="19">
        <v>20.0</v>
      </c>
      <c r="H148" s="20">
        <v>262.0</v>
      </c>
      <c r="I148" s="20">
        <v>64.0</v>
      </c>
      <c r="J148" s="20">
        <v>5.0</v>
      </c>
      <c r="K148" s="20">
        <v>9.0</v>
      </c>
      <c r="L148" s="20">
        <v>1.0</v>
      </c>
      <c r="N148" s="24"/>
      <c r="O148" s="19">
        <v>20.0</v>
      </c>
      <c r="P148" s="40">
        <v>0.0212248865845755</v>
      </c>
      <c r="Q148" s="40">
        <v>0.017782717421505972</v>
      </c>
      <c r="R148" s="40">
        <v>0.01818181818181818</v>
      </c>
      <c r="S148" s="40">
        <v>0.02875399361022364</v>
      </c>
      <c r="T148" s="40">
        <v>0.0017574692442882249</v>
      </c>
    </row>
    <row r="149" ht="15.75" customHeight="1">
      <c r="F149" s="24"/>
      <c r="G149" s="19">
        <v>21.0</v>
      </c>
      <c r="H149" s="20">
        <v>277.0</v>
      </c>
      <c r="I149" s="20">
        <v>76.0</v>
      </c>
      <c r="J149" s="20">
        <v>3.0</v>
      </c>
      <c r="K149" s="20">
        <v>4.0</v>
      </c>
      <c r="L149" s="20">
        <v>2.0</v>
      </c>
      <c r="N149" s="24"/>
      <c r="O149" s="19">
        <v>21.0</v>
      </c>
      <c r="P149" s="40">
        <v>0.0224400518470512</v>
      </c>
      <c r="Q149" s="40">
        <v>0.021116976938038344</v>
      </c>
      <c r="R149" s="40">
        <v>0.01090909090909091</v>
      </c>
      <c r="S149" s="40">
        <v>0.012779552715654952</v>
      </c>
      <c r="T149" s="40">
        <v>0.0035149384885764497</v>
      </c>
    </row>
    <row r="150" ht="15.75" customHeight="1">
      <c r="F150" s="24"/>
      <c r="G150" s="19">
        <v>22.0</v>
      </c>
      <c r="H150" s="20">
        <v>198.0</v>
      </c>
      <c r="I150" s="20">
        <v>42.0</v>
      </c>
      <c r="J150" s="20">
        <v>1.0</v>
      </c>
      <c r="K150" s="20">
        <v>3.0</v>
      </c>
      <c r="L150" s="20">
        <v>3.0</v>
      </c>
      <c r="N150" s="24"/>
      <c r="O150" s="19">
        <v>22.0</v>
      </c>
      <c r="P150" s="40">
        <v>0.016040181464679195</v>
      </c>
      <c r="Q150" s="40">
        <v>0.011669908307863295</v>
      </c>
      <c r="R150" s="40">
        <v>0.0036363636363636364</v>
      </c>
      <c r="S150" s="40">
        <v>0.009584664536741214</v>
      </c>
      <c r="T150" s="40">
        <v>0.005272407732864675</v>
      </c>
    </row>
    <row r="151" ht="15.75" customHeight="1">
      <c r="F151" s="28"/>
      <c r="G151" s="19">
        <v>23.0</v>
      </c>
      <c r="H151" s="20">
        <v>153.0</v>
      </c>
      <c r="I151" s="20">
        <v>37.0</v>
      </c>
      <c r="J151" s="20">
        <v>1.0</v>
      </c>
      <c r="K151" s="20">
        <v>2.0</v>
      </c>
      <c r="L151" s="20">
        <v>4.0</v>
      </c>
      <c r="N151" s="28"/>
      <c r="O151" s="19">
        <v>23.0</v>
      </c>
      <c r="P151" s="40">
        <v>0.012394685677252106</v>
      </c>
      <c r="Q151" s="40">
        <v>0.010280633509308142</v>
      </c>
      <c r="R151" s="40">
        <v>0.0036363636363636364</v>
      </c>
      <c r="S151" s="40">
        <v>0.006389776357827476</v>
      </c>
      <c r="T151" s="40">
        <v>0.007029876977152899</v>
      </c>
    </row>
    <row r="152" ht="15.75" customHeight="1">
      <c r="F152" s="56">
        <v>45214.0</v>
      </c>
      <c r="G152" s="19">
        <v>0.0</v>
      </c>
      <c r="H152" s="20">
        <v>103.0</v>
      </c>
      <c r="I152" s="20">
        <v>17.0</v>
      </c>
      <c r="J152" s="20">
        <v>0.0</v>
      </c>
      <c r="K152" s="20">
        <v>4.0</v>
      </c>
      <c r="L152" s="20">
        <v>1.0</v>
      </c>
      <c r="N152" s="56">
        <v>45214.0</v>
      </c>
      <c r="O152" s="19">
        <v>0.0</v>
      </c>
      <c r="P152" s="40">
        <v>0.009675904180366368</v>
      </c>
      <c r="Q152" s="40">
        <v>0.005811965811965812</v>
      </c>
      <c r="R152" s="40">
        <v>0.0</v>
      </c>
      <c r="S152" s="40">
        <v>0.024390243902439025</v>
      </c>
      <c r="T152" s="40">
        <v>0.004132231404958678</v>
      </c>
    </row>
    <row r="153" ht="15.75" customHeight="1">
      <c r="F153" s="24"/>
      <c r="G153" s="19">
        <v>1.0</v>
      </c>
      <c r="H153" s="20">
        <v>60.0</v>
      </c>
      <c r="I153" s="20">
        <v>23.0</v>
      </c>
      <c r="J153" s="20">
        <v>2.0</v>
      </c>
      <c r="K153" s="20">
        <v>7.0</v>
      </c>
      <c r="L153" s="20">
        <v>3.0</v>
      </c>
      <c r="N153" s="24"/>
      <c r="O153" s="19">
        <v>1.0</v>
      </c>
      <c r="P153" s="40">
        <v>0.0056364490371066224</v>
      </c>
      <c r="Q153" s="40">
        <v>0.007863247863247864</v>
      </c>
      <c r="R153" s="40">
        <v>0.01092896174863388</v>
      </c>
      <c r="S153" s="40">
        <v>0.042682926829268296</v>
      </c>
      <c r="T153" s="40">
        <v>0.012396694214876033</v>
      </c>
    </row>
    <row r="154" ht="15.75" customHeight="1">
      <c r="F154" s="24"/>
      <c r="G154" s="19">
        <v>2.0</v>
      </c>
      <c r="H154" s="16">
        <v>59.0</v>
      </c>
      <c r="I154" s="16">
        <v>15.0</v>
      </c>
      <c r="J154" s="16">
        <v>0.0</v>
      </c>
      <c r="K154" s="16">
        <v>1.0</v>
      </c>
      <c r="L154" s="16">
        <v>2.0</v>
      </c>
      <c r="N154" s="24"/>
      <c r="O154" s="19">
        <v>2.0</v>
      </c>
      <c r="P154" s="40">
        <v>0.005542508219821512</v>
      </c>
      <c r="Q154" s="40">
        <v>0.005128205128205128</v>
      </c>
      <c r="R154" s="40">
        <v>0.0</v>
      </c>
      <c r="S154" s="40">
        <v>0.006097560975609756</v>
      </c>
      <c r="T154" s="40">
        <v>0.008264462809917356</v>
      </c>
    </row>
    <row r="155" ht="15.75" customHeight="1">
      <c r="F155" s="24"/>
      <c r="G155" s="19">
        <v>3.0</v>
      </c>
      <c r="H155" s="20">
        <v>54.0</v>
      </c>
      <c r="I155" s="20">
        <v>26.0</v>
      </c>
      <c r="J155" s="20">
        <v>1.0</v>
      </c>
      <c r="K155" s="20">
        <v>1.0</v>
      </c>
      <c r="L155" s="20">
        <v>4.0</v>
      </c>
      <c r="N155" s="24"/>
      <c r="O155" s="19">
        <v>3.0</v>
      </c>
      <c r="P155" s="40">
        <v>0.00507280413339596</v>
      </c>
      <c r="Q155" s="40">
        <v>0.008888888888888889</v>
      </c>
      <c r="R155" s="40">
        <v>0.00546448087431694</v>
      </c>
      <c r="S155" s="40">
        <v>0.006097560975609756</v>
      </c>
      <c r="T155" s="40">
        <v>0.01652892561983471</v>
      </c>
    </row>
    <row r="156" ht="15.75" customHeight="1">
      <c r="F156" s="24"/>
      <c r="G156" s="19">
        <v>4.0</v>
      </c>
      <c r="H156" s="20">
        <v>95.0</v>
      </c>
      <c r="I156" s="20">
        <v>37.0</v>
      </c>
      <c r="J156" s="20">
        <v>1.0</v>
      </c>
      <c r="K156" s="20">
        <v>6.0</v>
      </c>
      <c r="L156" s="20">
        <v>3.0</v>
      </c>
      <c r="N156" s="24"/>
      <c r="O156" s="19">
        <v>4.0</v>
      </c>
      <c r="P156" s="40">
        <v>0.008924377642085486</v>
      </c>
      <c r="Q156" s="40">
        <v>0.01264957264957265</v>
      </c>
      <c r="R156" s="40">
        <v>0.00546448087431694</v>
      </c>
      <c r="S156" s="40">
        <v>0.036585365853658534</v>
      </c>
      <c r="T156" s="40">
        <v>0.012396694214876033</v>
      </c>
    </row>
    <row r="157" ht="15.75" customHeight="1">
      <c r="F157" s="24"/>
      <c r="G157" s="19">
        <v>5.0</v>
      </c>
      <c r="H157" s="20">
        <v>150.0</v>
      </c>
      <c r="I157" s="20">
        <v>74.0</v>
      </c>
      <c r="J157" s="20">
        <v>7.0</v>
      </c>
      <c r="K157" s="20">
        <v>10.0</v>
      </c>
      <c r="L157" s="20">
        <v>11.0</v>
      </c>
      <c r="N157" s="24"/>
      <c r="O157" s="19">
        <v>5.0</v>
      </c>
      <c r="P157" s="40">
        <v>0.014091122592766557</v>
      </c>
      <c r="Q157" s="40">
        <v>0.0252991452991453</v>
      </c>
      <c r="R157" s="40">
        <v>0.03825136612021858</v>
      </c>
      <c r="S157" s="40">
        <v>0.06097560975609756</v>
      </c>
      <c r="T157" s="40">
        <v>0.045454545454545456</v>
      </c>
    </row>
    <row r="158" ht="15.75" customHeight="1">
      <c r="F158" s="24"/>
      <c r="G158" s="19">
        <v>6.0</v>
      </c>
      <c r="H158" s="20">
        <v>287.0</v>
      </c>
      <c r="I158" s="20">
        <v>107.0</v>
      </c>
      <c r="J158" s="20">
        <v>15.0</v>
      </c>
      <c r="K158" s="20">
        <v>10.0</v>
      </c>
      <c r="L158" s="20">
        <v>6.0</v>
      </c>
      <c r="N158" s="24"/>
      <c r="O158" s="19">
        <v>6.0</v>
      </c>
      <c r="P158" s="40">
        <v>0.02696101456082668</v>
      </c>
      <c r="Q158" s="40">
        <v>0.03658119658119658</v>
      </c>
      <c r="R158" s="40">
        <v>0.08196721311475409</v>
      </c>
      <c r="S158" s="40">
        <v>0.06097560975609756</v>
      </c>
      <c r="T158" s="40">
        <v>0.024793388429752067</v>
      </c>
    </row>
    <row r="159" ht="15.75" customHeight="1">
      <c r="F159" s="24"/>
      <c r="G159" s="19">
        <v>7.0</v>
      </c>
      <c r="H159" s="20">
        <v>530.0</v>
      </c>
      <c r="I159" s="20">
        <v>154.0</v>
      </c>
      <c r="J159" s="20">
        <v>37.0</v>
      </c>
      <c r="K159" s="20">
        <v>9.0</v>
      </c>
      <c r="L159" s="20">
        <v>9.0</v>
      </c>
      <c r="N159" s="24"/>
      <c r="O159" s="19">
        <v>7.0</v>
      </c>
      <c r="P159" s="40">
        <v>0.0497886331611085</v>
      </c>
      <c r="Q159" s="40">
        <v>0.05264957264957265</v>
      </c>
      <c r="R159" s="40">
        <v>0.20218579234972678</v>
      </c>
      <c r="S159" s="40">
        <v>0.054878048780487805</v>
      </c>
      <c r="T159" s="40">
        <v>0.0371900826446281</v>
      </c>
    </row>
    <row r="160" ht="15.75" customHeight="1">
      <c r="F160" s="24"/>
      <c r="G160" s="19">
        <v>8.0</v>
      </c>
      <c r="H160" s="20">
        <v>754.0</v>
      </c>
      <c r="I160" s="20">
        <v>221.0</v>
      </c>
      <c r="J160" s="20">
        <v>16.0</v>
      </c>
      <c r="K160" s="20">
        <v>10.0</v>
      </c>
      <c r="L160" s="20">
        <v>33.0</v>
      </c>
      <c r="N160" s="24"/>
      <c r="O160" s="19">
        <v>8.0</v>
      </c>
      <c r="P160" s="40">
        <v>0.07083137623297323</v>
      </c>
      <c r="Q160" s="40">
        <v>0.07555555555555556</v>
      </c>
      <c r="R160" s="40">
        <v>0.08743169398907104</v>
      </c>
      <c r="S160" s="40">
        <v>0.06097560975609756</v>
      </c>
      <c r="T160" s="40">
        <v>0.13636363636363635</v>
      </c>
    </row>
    <row r="161" ht="15.75" customHeight="1">
      <c r="F161" s="24"/>
      <c r="G161" s="19">
        <v>9.0</v>
      </c>
      <c r="H161" s="20">
        <v>1024.0</v>
      </c>
      <c r="I161" s="20">
        <v>279.0</v>
      </c>
      <c r="J161" s="20">
        <v>12.0</v>
      </c>
      <c r="K161" s="20">
        <v>9.0</v>
      </c>
      <c r="L161" s="20">
        <v>30.0</v>
      </c>
      <c r="N161" s="24"/>
      <c r="O161" s="19">
        <v>9.0</v>
      </c>
      <c r="P161" s="40">
        <v>0.09619539689995303</v>
      </c>
      <c r="Q161" s="40">
        <v>0.09538461538461539</v>
      </c>
      <c r="R161" s="40">
        <v>0.06557377049180328</v>
      </c>
      <c r="S161" s="40">
        <v>0.054878048780487805</v>
      </c>
      <c r="T161" s="40">
        <v>0.12396694214876033</v>
      </c>
    </row>
    <row r="162" ht="15.75" customHeight="1">
      <c r="F162" s="24"/>
      <c r="G162" s="19">
        <v>10.0</v>
      </c>
      <c r="H162" s="20">
        <v>952.0</v>
      </c>
      <c r="I162" s="20">
        <v>247.0</v>
      </c>
      <c r="J162" s="20">
        <v>5.0</v>
      </c>
      <c r="K162" s="20">
        <v>14.0</v>
      </c>
      <c r="L162" s="20">
        <v>28.0</v>
      </c>
      <c r="N162" s="24"/>
      <c r="O162" s="19">
        <v>10.0</v>
      </c>
      <c r="P162" s="40">
        <v>0.08943165805542508</v>
      </c>
      <c r="Q162" s="40">
        <v>0.08444444444444445</v>
      </c>
      <c r="R162" s="40">
        <v>0.0273224043715847</v>
      </c>
      <c r="S162" s="40">
        <v>0.08536585365853659</v>
      </c>
      <c r="T162" s="40">
        <v>0.11570247933884298</v>
      </c>
    </row>
    <row r="163" ht="15.75" customHeight="1">
      <c r="F163" s="24"/>
      <c r="G163" s="19">
        <v>11.0</v>
      </c>
      <c r="H163" s="20">
        <v>874.0</v>
      </c>
      <c r="I163" s="20">
        <v>204.0</v>
      </c>
      <c r="J163" s="20">
        <v>7.0</v>
      </c>
      <c r="K163" s="20">
        <v>4.0</v>
      </c>
      <c r="L163" s="20">
        <v>17.0</v>
      </c>
      <c r="N163" s="24"/>
      <c r="O163" s="19">
        <v>11.0</v>
      </c>
      <c r="P163" s="40">
        <v>0.08210427430718648</v>
      </c>
      <c r="Q163" s="40">
        <v>0.06974358974358974</v>
      </c>
      <c r="R163" s="40">
        <v>0.03825136612021858</v>
      </c>
      <c r="S163" s="40">
        <v>0.024390243902439025</v>
      </c>
      <c r="T163" s="40">
        <v>0.07024793388429752</v>
      </c>
    </row>
    <row r="164" ht="15.75" customHeight="1">
      <c r="F164" s="24"/>
      <c r="G164" s="19">
        <v>12.0</v>
      </c>
      <c r="H164" s="20">
        <v>692.0</v>
      </c>
      <c r="I164" s="20">
        <v>167.0</v>
      </c>
      <c r="J164" s="20">
        <v>7.0</v>
      </c>
      <c r="K164" s="20">
        <v>11.0</v>
      </c>
      <c r="L164" s="20">
        <v>19.0</v>
      </c>
      <c r="N164" s="24"/>
      <c r="O164" s="19">
        <v>12.0</v>
      </c>
      <c r="P164" s="40">
        <v>0.06500704556129638</v>
      </c>
      <c r="Q164" s="40">
        <v>0.0570940170940171</v>
      </c>
      <c r="R164" s="40">
        <v>0.03825136612021858</v>
      </c>
      <c r="S164" s="40">
        <v>0.06707317073170732</v>
      </c>
      <c r="T164" s="40">
        <v>0.07851239669421488</v>
      </c>
    </row>
    <row r="165" ht="15.75" customHeight="1">
      <c r="F165" s="24"/>
      <c r="G165" s="19">
        <v>13.0</v>
      </c>
      <c r="H165" s="20">
        <v>700.0</v>
      </c>
      <c r="I165" s="20">
        <v>193.0</v>
      </c>
      <c r="J165" s="20">
        <v>11.0</v>
      </c>
      <c r="K165" s="20">
        <v>12.0</v>
      </c>
      <c r="L165" s="20">
        <v>12.0</v>
      </c>
      <c r="N165" s="24"/>
      <c r="O165" s="19">
        <v>13.0</v>
      </c>
      <c r="P165" s="40">
        <v>0.06575857209957726</v>
      </c>
      <c r="Q165" s="40">
        <v>0.06598290598290599</v>
      </c>
      <c r="R165" s="40">
        <v>0.060109289617486336</v>
      </c>
      <c r="S165" s="40">
        <v>0.07317073170731707</v>
      </c>
      <c r="T165" s="40">
        <v>0.049586776859504134</v>
      </c>
    </row>
    <row r="166" ht="15.75" customHeight="1">
      <c r="F166" s="24"/>
      <c r="G166" s="19">
        <v>14.0</v>
      </c>
      <c r="H166" s="20">
        <v>736.0</v>
      </c>
      <c r="I166" s="20">
        <v>196.0</v>
      </c>
      <c r="J166" s="20">
        <v>9.0</v>
      </c>
      <c r="K166" s="20">
        <v>7.0</v>
      </c>
      <c r="L166" s="20">
        <v>19.0</v>
      </c>
      <c r="N166" s="24"/>
      <c r="O166" s="19">
        <v>14.0</v>
      </c>
      <c r="P166" s="40">
        <v>0.06914044152184123</v>
      </c>
      <c r="Q166" s="40">
        <v>0.06700854700854701</v>
      </c>
      <c r="R166" s="40">
        <v>0.04918032786885246</v>
      </c>
      <c r="S166" s="40">
        <v>0.042682926829268296</v>
      </c>
      <c r="T166" s="40">
        <v>0.07851239669421488</v>
      </c>
    </row>
    <row r="167" ht="15.75" customHeight="1">
      <c r="F167" s="24"/>
      <c r="G167" s="19">
        <v>15.0</v>
      </c>
      <c r="H167" s="20">
        <v>643.0</v>
      </c>
      <c r="I167" s="20">
        <v>175.0</v>
      </c>
      <c r="J167" s="20">
        <v>7.0</v>
      </c>
      <c r="K167" s="20">
        <v>7.0</v>
      </c>
      <c r="L167" s="20">
        <v>8.0</v>
      </c>
      <c r="N167" s="24"/>
      <c r="O167" s="19">
        <v>15.0</v>
      </c>
      <c r="P167" s="40">
        <v>0.06040394551432597</v>
      </c>
      <c r="Q167" s="40">
        <v>0.05982905982905983</v>
      </c>
      <c r="R167" s="40">
        <v>0.03825136612021858</v>
      </c>
      <c r="S167" s="40">
        <v>0.042682926829268296</v>
      </c>
      <c r="T167" s="40">
        <v>0.03305785123966942</v>
      </c>
    </row>
    <row r="168" ht="15.75" customHeight="1">
      <c r="F168" s="24"/>
      <c r="G168" s="19">
        <v>16.0</v>
      </c>
      <c r="H168" s="20">
        <v>530.0</v>
      </c>
      <c r="I168" s="20">
        <v>166.0</v>
      </c>
      <c r="J168" s="20">
        <v>9.0</v>
      </c>
      <c r="K168" s="20">
        <v>7.0</v>
      </c>
      <c r="L168" s="20">
        <v>3.0</v>
      </c>
      <c r="N168" s="24"/>
      <c r="O168" s="19">
        <v>16.0</v>
      </c>
      <c r="P168" s="40">
        <v>0.0497886331611085</v>
      </c>
      <c r="Q168" s="40">
        <v>0.05675213675213675</v>
      </c>
      <c r="R168" s="40">
        <v>0.04918032786885246</v>
      </c>
      <c r="S168" s="40">
        <v>0.042682926829268296</v>
      </c>
      <c r="T168" s="40">
        <v>0.012396694214876033</v>
      </c>
    </row>
    <row r="169" ht="15.75" customHeight="1">
      <c r="F169" s="24"/>
      <c r="G169" s="19">
        <v>17.0</v>
      </c>
      <c r="H169" s="20">
        <v>493.0</v>
      </c>
      <c r="I169" s="20">
        <v>156.0</v>
      </c>
      <c r="J169" s="20">
        <v>13.0</v>
      </c>
      <c r="K169" s="20">
        <v>3.0</v>
      </c>
      <c r="L169" s="20">
        <v>5.0</v>
      </c>
      <c r="N169" s="24"/>
      <c r="O169" s="19">
        <v>17.0</v>
      </c>
      <c r="P169" s="40">
        <v>0.046312822921559416</v>
      </c>
      <c r="Q169" s="40">
        <v>0.05333333333333334</v>
      </c>
      <c r="R169" s="40">
        <v>0.07103825136612021</v>
      </c>
      <c r="S169" s="40">
        <v>0.018292682926829267</v>
      </c>
      <c r="T169" s="40">
        <v>0.02066115702479339</v>
      </c>
    </row>
    <row r="170" ht="15.75" customHeight="1">
      <c r="F170" s="24"/>
      <c r="G170" s="19">
        <v>18.0</v>
      </c>
      <c r="H170" s="20">
        <v>421.0</v>
      </c>
      <c r="I170" s="20">
        <v>101.0</v>
      </c>
      <c r="J170" s="20">
        <v>9.0</v>
      </c>
      <c r="K170" s="20">
        <v>7.0</v>
      </c>
      <c r="L170" s="20">
        <v>3.0</v>
      </c>
      <c r="N170" s="24"/>
      <c r="O170" s="19">
        <v>18.0</v>
      </c>
      <c r="P170" s="40">
        <v>0.03954908407703147</v>
      </c>
      <c r="Q170" s="40">
        <v>0.03452991452991453</v>
      </c>
      <c r="R170" s="40">
        <v>0.04918032786885246</v>
      </c>
      <c r="S170" s="40">
        <v>0.042682926829268296</v>
      </c>
      <c r="T170" s="40">
        <v>0.012396694214876033</v>
      </c>
    </row>
    <row r="171" ht="15.75" customHeight="1">
      <c r="F171" s="24"/>
      <c r="G171" s="19">
        <v>19.0</v>
      </c>
      <c r="H171" s="20">
        <v>434.0</v>
      </c>
      <c r="I171" s="20">
        <v>106.0</v>
      </c>
      <c r="J171" s="20">
        <v>8.0</v>
      </c>
      <c r="K171" s="20">
        <v>5.0</v>
      </c>
      <c r="L171" s="20">
        <v>2.0</v>
      </c>
      <c r="N171" s="24"/>
      <c r="O171" s="19">
        <v>19.0</v>
      </c>
      <c r="P171" s="40">
        <v>0.040770314701737906</v>
      </c>
      <c r="Q171" s="40">
        <v>0.03623931623931624</v>
      </c>
      <c r="R171" s="40">
        <v>0.04371584699453552</v>
      </c>
      <c r="S171" s="40">
        <v>0.03048780487804878</v>
      </c>
      <c r="T171" s="40">
        <v>0.008264462809917356</v>
      </c>
    </row>
    <row r="172" ht="15.75" customHeight="1">
      <c r="F172" s="24"/>
      <c r="G172" s="19">
        <v>20.0</v>
      </c>
      <c r="H172" s="20">
        <v>409.0</v>
      </c>
      <c r="I172" s="20">
        <v>105.0</v>
      </c>
      <c r="J172" s="20">
        <v>1.0</v>
      </c>
      <c r="K172" s="20">
        <v>7.0</v>
      </c>
      <c r="L172" s="20">
        <v>4.0</v>
      </c>
      <c r="N172" s="24"/>
      <c r="O172" s="19">
        <v>20.0</v>
      </c>
      <c r="P172" s="40">
        <v>0.03842179426961015</v>
      </c>
      <c r="Q172" s="40">
        <v>0.035897435897435895</v>
      </c>
      <c r="R172" s="40">
        <v>0.00546448087431694</v>
      </c>
      <c r="S172" s="40">
        <v>0.042682926829268296</v>
      </c>
      <c r="T172" s="40">
        <v>0.01652892561983471</v>
      </c>
    </row>
    <row r="173" ht="15.75" customHeight="1">
      <c r="F173" s="24"/>
      <c r="G173" s="19">
        <v>21.0</v>
      </c>
      <c r="H173" s="20">
        <v>330.0</v>
      </c>
      <c r="I173" s="20">
        <v>76.0</v>
      </c>
      <c r="J173" s="20">
        <v>3.0</v>
      </c>
      <c r="K173" s="20">
        <v>4.0</v>
      </c>
      <c r="L173" s="20">
        <v>6.0</v>
      </c>
      <c r="N173" s="24"/>
      <c r="O173" s="19">
        <v>21.0</v>
      </c>
      <c r="P173" s="40">
        <v>0.031000469704086424</v>
      </c>
      <c r="Q173" s="40">
        <v>0.025982905982905983</v>
      </c>
      <c r="R173" s="40">
        <v>0.01639344262295082</v>
      </c>
      <c r="S173" s="40">
        <v>0.024390243902439025</v>
      </c>
      <c r="T173" s="40">
        <v>0.024793388429752067</v>
      </c>
    </row>
    <row r="174" ht="15.75" customHeight="1">
      <c r="F174" s="24"/>
      <c r="G174" s="19">
        <v>22.0</v>
      </c>
      <c r="H174" s="20">
        <v>211.0</v>
      </c>
      <c r="I174" s="20">
        <v>52.0</v>
      </c>
      <c r="J174" s="20">
        <v>1.0</v>
      </c>
      <c r="K174" s="20">
        <v>1.0</v>
      </c>
      <c r="L174" s="20">
        <v>8.0</v>
      </c>
      <c r="N174" s="24"/>
      <c r="O174" s="19">
        <v>22.0</v>
      </c>
      <c r="P174" s="40">
        <v>0.01982151244715829</v>
      </c>
      <c r="Q174" s="40">
        <v>0.017777777777777778</v>
      </c>
      <c r="R174" s="40">
        <v>0.00546448087431694</v>
      </c>
      <c r="S174" s="40">
        <v>0.006097560975609756</v>
      </c>
      <c r="T174" s="40">
        <v>0.03305785123966942</v>
      </c>
    </row>
    <row r="175" ht="15.75" customHeight="1">
      <c r="F175" s="28"/>
      <c r="G175" s="19">
        <v>23.0</v>
      </c>
      <c r="H175" s="20">
        <v>104.0</v>
      </c>
      <c r="I175" s="20">
        <v>28.0</v>
      </c>
      <c r="J175" s="20">
        <v>2.0</v>
      </c>
      <c r="K175" s="20">
        <v>8.0</v>
      </c>
      <c r="L175" s="20">
        <v>6.0</v>
      </c>
      <c r="N175" s="28"/>
      <c r="O175" s="19">
        <v>23.0</v>
      </c>
      <c r="P175" s="40">
        <v>0.00976984499765148</v>
      </c>
      <c r="Q175" s="40">
        <v>0.009572649572649573</v>
      </c>
      <c r="R175" s="40">
        <v>0.01092896174863388</v>
      </c>
      <c r="S175" s="40">
        <v>0.04878048780487805</v>
      </c>
      <c r="T175" s="40">
        <v>0.024793388429752067</v>
      </c>
    </row>
    <row r="176" ht="15.75" customHeight="1">
      <c r="G176" s="16"/>
      <c r="H176" s="17">
        <v>31.0</v>
      </c>
      <c r="I176" s="17">
        <v>32.0</v>
      </c>
      <c r="J176" s="17">
        <v>41.0</v>
      </c>
      <c r="K176" s="17">
        <v>42.0</v>
      </c>
      <c r="L176" s="17">
        <v>5.0</v>
      </c>
      <c r="P176" s="17">
        <v>31.0</v>
      </c>
      <c r="Q176" s="17">
        <v>32.0</v>
      </c>
      <c r="R176" s="17">
        <v>41.0</v>
      </c>
      <c r="S176" s="17">
        <v>42.0</v>
      </c>
      <c r="T176" s="17">
        <v>5.0</v>
      </c>
      <c r="U176" s="17">
        <v>5.0</v>
      </c>
    </row>
    <row r="177" ht="15.75" customHeight="1">
      <c r="F177" s="56">
        <v>45215.0</v>
      </c>
      <c r="G177" s="19">
        <v>0.0</v>
      </c>
      <c r="H177" s="20">
        <v>70.0</v>
      </c>
      <c r="I177" s="20">
        <v>19.0</v>
      </c>
      <c r="J177" s="20"/>
      <c r="K177" s="20">
        <v>4.0</v>
      </c>
      <c r="L177" s="20">
        <v>3.0</v>
      </c>
      <c r="N177" s="56">
        <v>45215.0</v>
      </c>
      <c r="O177" s="19">
        <v>0.0</v>
      </c>
      <c r="P177" s="40">
        <v>0.00922266139657444</v>
      </c>
      <c r="Q177" s="40">
        <v>0.006365159128978224</v>
      </c>
      <c r="R177" s="40">
        <v>0.0</v>
      </c>
      <c r="S177" s="40">
        <v>0.007104795737122558</v>
      </c>
      <c r="T177" s="40">
        <v>0.004172461752433936</v>
      </c>
    </row>
    <row r="178" ht="15.75" customHeight="1">
      <c r="F178" s="24"/>
      <c r="G178" s="19">
        <v>1.0</v>
      </c>
      <c r="H178" s="20">
        <v>52.0</v>
      </c>
      <c r="I178" s="20">
        <v>16.0</v>
      </c>
      <c r="J178" s="20">
        <v>1.0</v>
      </c>
      <c r="K178" s="20">
        <v>6.0</v>
      </c>
      <c r="L178" s="20">
        <v>2.0</v>
      </c>
      <c r="N178" s="24"/>
      <c r="O178" s="19">
        <v>1.0</v>
      </c>
      <c r="P178" s="40">
        <v>0.006851119894598155</v>
      </c>
      <c r="Q178" s="40">
        <v>0.005360134003350084</v>
      </c>
      <c r="R178" s="40">
        <v>0.0072992700729927005</v>
      </c>
      <c r="S178" s="40">
        <v>0.010657193605683837</v>
      </c>
      <c r="T178" s="40">
        <v>0.0027816411682892906</v>
      </c>
    </row>
    <row r="179" ht="15.75" customHeight="1">
      <c r="F179" s="24"/>
      <c r="G179" s="19">
        <v>2.0</v>
      </c>
      <c r="H179" s="16">
        <v>39.0</v>
      </c>
      <c r="I179" s="16">
        <v>11.0</v>
      </c>
      <c r="J179" s="16">
        <v>1.0</v>
      </c>
      <c r="K179" s="16">
        <v>4.0</v>
      </c>
      <c r="L179" s="16">
        <v>6.0</v>
      </c>
      <c r="N179" s="24"/>
      <c r="O179" s="19">
        <v>2.0</v>
      </c>
      <c r="P179" s="40">
        <v>0.005138339920948616</v>
      </c>
      <c r="Q179" s="40">
        <v>0.0036850921273031824</v>
      </c>
      <c r="R179" s="40">
        <v>0.0072992700729927005</v>
      </c>
      <c r="S179" s="40">
        <v>0.007104795737122558</v>
      </c>
      <c r="T179" s="40">
        <v>0.008344923504867872</v>
      </c>
    </row>
    <row r="180" ht="15.75" customHeight="1">
      <c r="F180" s="24"/>
      <c r="G180" s="19">
        <v>3.0</v>
      </c>
      <c r="H180" s="20">
        <v>52.0</v>
      </c>
      <c r="I180" s="20">
        <v>16.0</v>
      </c>
      <c r="J180" s="20"/>
      <c r="K180" s="20">
        <v>11.0</v>
      </c>
      <c r="L180" s="20">
        <v>2.0</v>
      </c>
      <c r="N180" s="24"/>
      <c r="O180" s="19">
        <v>3.0</v>
      </c>
      <c r="P180" s="40">
        <v>0.006851119894598155</v>
      </c>
      <c r="Q180" s="40">
        <v>0.005360134003350084</v>
      </c>
      <c r="R180" s="40">
        <v>0.0</v>
      </c>
      <c r="S180" s="40">
        <v>0.019538188277087035</v>
      </c>
      <c r="T180" s="40">
        <v>0.0027816411682892906</v>
      </c>
    </row>
    <row r="181" ht="15.75" customHeight="1">
      <c r="F181" s="24"/>
      <c r="G181" s="19">
        <v>4.0</v>
      </c>
      <c r="H181" s="20">
        <v>70.0</v>
      </c>
      <c r="I181" s="20">
        <v>52.0</v>
      </c>
      <c r="J181" s="20"/>
      <c r="K181" s="20">
        <v>18.0</v>
      </c>
      <c r="L181" s="20">
        <v>10.0</v>
      </c>
      <c r="N181" s="24"/>
      <c r="O181" s="19">
        <v>4.0</v>
      </c>
      <c r="P181" s="40">
        <v>0.00922266139657444</v>
      </c>
      <c r="Q181" s="40">
        <v>0.01742043551088777</v>
      </c>
      <c r="R181" s="40">
        <v>0.0</v>
      </c>
      <c r="S181" s="40">
        <v>0.03197158081705151</v>
      </c>
      <c r="T181" s="40">
        <v>0.013908205841446454</v>
      </c>
    </row>
    <row r="182" ht="15.75" customHeight="1">
      <c r="F182" s="24"/>
      <c r="G182" s="19">
        <v>5.0</v>
      </c>
      <c r="H182" s="20">
        <v>181.0</v>
      </c>
      <c r="I182" s="20">
        <v>82.0</v>
      </c>
      <c r="J182" s="20">
        <v>4.0</v>
      </c>
      <c r="K182" s="20">
        <v>20.0</v>
      </c>
      <c r="L182" s="20">
        <v>18.0</v>
      </c>
      <c r="N182" s="24"/>
      <c r="O182" s="19">
        <v>5.0</v>
      </c>
      <c r="P182" s="40">
        <v>0.023847167325428194</v>
      </c>
      <c r="Q182" s="40">
        <v>0.02747068676716918</v>
      </c>
      <c r="R182" s="40">
        <v>0.029197080291970802</v>
      </c>
      <c r="S182" s="40">
        <v>0.035523978685612786</v>
      </c>
      <c r="T182" s="40">
        <v>0.025034770514603615</v>
      </c>
    </row>
    <row r="183" ht="15.75" customHeight="1">
      <c r="F183" s="24"/>
      <c r="G183" s="19">
        <v>6.0</v>
      </c>
      <c r="H183" s="20">
        <v>423.0</v>
      </c>
      <c r="I183" s="20">
        <v>146.0</v>
      </c>
      <c r="J183" s="20">
        <v>14.0</v>
      </c>
      <c r="K183" s="20">
        <v>34.0</v>
      </c>
      <c r="L183" s="20">
        <v>30.0</v>
      </c>
      <c r="N183" s="24"/>
      <c r="O183" s="19">
        <v>6.0</v>
      </c>
      <c r="P183" s="40">
        <v>0.055731225296442685</v>
      </c>
      <c r="Q183" s="40">
        <v>0.048911222780569516</v>
      </c>
      <c r="R183" s="40">
        <v>0.10218978102189781</v>
      </c>
      <c r="S183" s="40">
        <v>0.06039076376554174</v>
      </c>
      <c r="T183" s="40">
        <v>0.04172461752433936</v>
      </c>
    </row>
    <row r="184" ht="15.75" customHeight="1">
      <c r="F184" s="24"/>
      <c r="G184" s="19">
        <v>7.0</v>
      </c>
      <c r="H184" s="20">
        <v>637.0</v>
      </c>
      <c r="I184" s="20">
        <v>243.0</v>
      </c>
      <c r="J184" s="20">
        <v>25.0</v>
      </c>
      <c r="K184" s="20">
        <v>46.0</v>
      </c>
      <c r="L184" s="20">
        <v>35.0</v>
      </c>
      <c r="N184" s="24"/>
      <c r="O184" s="19">
        <v>7.0</v>
      </c>
      <c r="P184" s="40">
        <v>0.08392621870882741</v>
      </c>
      <c r="Q184" s="40">
        <v>0.0814070351758794</v>
      </c>
      <c r="R184" s="40">
        <v>0.18248175182481752</v>
      </c>
      <c r="S184" s="40">
        <v>0.08170515097690942</v>
      </c>
      <c r="T184" s="40">
        <v>0.048678720445062586</v>
      </c>
    </row>
    <row r="185" ht="15.75" customHeight="1">
      <c r="F185" s="24"/>
      <c r="G185" s="19">
        <v>8.0</v>
      </c>
      <c r="H185" s="20">
        <v>620.0</v>
      </c>
      <c r="I185" s="20">
        <v>281.0</v>
      </c>
      <c r="J185" s="20">
        <v>17.0</v>
      </c>
      <c r="K185" s="20">
        <v>55.0</v>
      </c>
      <c r="L185" s="20">
        <v>56.0</v>
      </c>
      <c r="N185" s="24"/>
      <c r="O185" s="19">
        <v>8.0</v>
      </c>
      <c r="P185" s="40">
        <v>0.08168642951251646</v>
      </c>
      <c r="Q185" s="40">
        <v>0.09413735343383585</v>
      </c>
      <c r="R185" s="40">
        <v>0.12408759124087591</v>
      </c>
      <c r="S185" s="40">
        <v>0.09769094138543517</v>
      </c>
      <c r="T185" s="40">
        <v>0.07788595271210014</v>
      </c>
    </row>
    <row r="186" ht="15.75" customHeight="1">
      <c r="F186" s="24"/>
      <c r="G186" s="19">
        <v>9.0</v>
      </c>
      <c r="H186" s="20">
        <v>709.0</v>
      </c>
      <c r="I186" s="20">
        <v>312.0</v>
      </c>
      <c r="J186" s="20">
        <v>15.0</v>
      </c>
      <c r="K186" s="20">
        <v>50.0</v>
      </c>
      <c r="L186" s="20">
        <v>73.0</v>
      </c>
      <c r="N186" s="24"/>
      <c r="O186" s="19">
        <v>9.0</v>
      </c>
      <c r="P186" s="40">
        <v>0.09341238471673255</v>
      </c>
      <c r="Q186" s="40">
        <v>0.10452261306532663</v>
      </c>
      <c r="R186" s="40">
        <v>0.10948905109489052</v>
      </c>
      <c r="S186" s="40">
        <v>0.08880994671403197</v>
      </c>
      <c r="T186" s="40">
        <v>0.10152990264255911</v>
      </c>
    </row>
    <row r="187" ht="15.75" customHeight="1">
      <c r="F187" s="24"/>
      <c r="G187" s="19">
        <v>10.0</v>
      </c>
      <c r="H187" s="20">
        <v>636.0</v>
      </c>
      <c r="I187" s="20">
        <v>244.0</v>
      </c>
      <c r="J187" s="20">
        <v>7.0</v>
      </c>
      <c r="K187" s="20">
        <v>33.0</v>
      </c>
      <c r="L187" s="20">
        <v>64.0</v>
      </c>
      <c r="N187" s="24"/>
      <c r="O187" s="19">
        <v>10.0</v>
      </c>
      <c r="P187" s="40">
        <v>0.08379446640316206</v>
      </c>
      <c r="Q187" s="40">
        <v>0.08174204355108877</v>
      </c>
      <c r="R187" s="40">
        <v>0.051094890510948905</v>
      </c>
      <c r="S187" s="40">
        <v>0.0586145648312611</v>
      </c>
      <c r="T187" s="40">
        <v>0.0890125173852573</v>
      </c>
    </row>
    <row r="188" ht="15.75" customHeight="1">
      <c r="F188" s="24"/>
      <c r="G188" s="19">
        <v>11.0</v>
      </c>
      <c r="H188" s="20">
        <v>528.0</v>
      </c>
      <c r="I188" s="20">
        <v>204.0</v>
      </c>
      <c r="J188" s="20">
        <v>5.0</v>
      </c>
      <c r="K188" s="20">
        <v>38.0</v>
      </c>
      <c r="L188" s="20">
        <v>70.0</v>
      </c>
      <c r="N188" s="24"/>
      <c r="O188" s="19">
        <v>11.0</v>
      </c>
      <c r="P188" s="40">
        <v>0.06956521739130435</v>
      </c>
      <c r="Q188" s="40">
        <v>0.06834170854271357</v>
      </c>
      <c r="R188" s="40">
        <v>0.0364963503649635</v>
      </c>
      <c r="S188" s="40">
        <v>0.0674955595026643</v>
      </c>
      <c r="T188" s="40">
        <v>0.09735744089012517</v>
      </c>
    </row>
    <row r="189" ht="15.75" customHeight="1">
      <c r="F189" s="24"/>
      <c r="G189" s="19">
        <v>12.0</v>
      </c>
      <c r="H189" s="20">
        <v>391.0</v>
      </c>
      <c r="I189" s="20">
        <v>159.0</v>
      </c>
      <c r="J189" s="20">
        <v>10.0</v>
      </c>
      <c r="K189" s="20">
        <v>30.0</v>
      </c>
      <c r="L189" s="20">
        <v>56.0</v>
      </c>
      <c r="N189" s="24"/>
      <c r="O189" s="19">
        <v>12.0</v>
      </c>
      <c r="P189" s="40">
        <v>0.051515151515151514</v>
      </c>
      <c r="Q189" s="40">
        <v>0.053266331658291456</v>
      </c>
      <c r="R189" s="40">
        <v>0.072992700729927</v>
      </c>
      <c r="S189" s="40">
        <v>0.05328596802841918</v>
      </c>
      <c r="T189" s="40">
        <v>0.07788595271210014</v>
      </c>
    </row>
    <row r="190" ht="15.75" customHeight="1">
      <c r="F190" s="24"/>
      <c r="G190" s="19">
        <v>13.0</v>
      </c>
      <c r="H190" s="20">
        <v>406.0</v>
      </c>
      <c r="I190" s="20">
        <v>154.0</v>
      </c>
      <c r="J190" s="20">
        <v>7.0</v>
      </c>
      <c r="K190" s="20">
        <v>29.0</v>
      </c>
      <c r="L190" s="20">
        <v>62.0</v>
      </c>
      <c r="N190" s="24"/>
      <c r="O190" s="19">
        <v>13.0</v>
      </c>
      <c r="P190" s="40">
        <v>0.05349143610013175</v>
      </c>
      <c r="Q190" s="40">
        <v>0.05159128978224456</v>
      </c>
      <c r="R190" s="40">
        <v>0.051094890510948905</v>
      </c>
      <c r="S190" s="40">
        <v>0.05150976909413854</v>
      </c>
      <c r="T190" s="40">
        <v>0.08623087621696801</v>
      </c>
    </row>
    <row r="191" ht="15.75" customHeight="1">
      <c r="F191" s="24"/>
      <c r="G191" s="19">
        <v>14.0</v>
      </c>
      <c r="H191" s="20">
        <v>404.0</v>
      </c>
      <c r="I191" s="20">
        <v>152.0</v>
      </c>
      <c r="J191" s="20">
        <v>8.0</v>
      </c>
      <c r="K191" s="20">
        <v>32.0</v>
      </c>
      <c r="L191" s="20">
        <v>57.0</v>
      </c>
      <c r="N191" s="24"/>
      <c r="O191" s="19">
        <v>14.0</v>
      </c>
      <c r="P191" s="40">
        <v>0.053227931488801054</v>
      </c>
      <c r="Q191" s="40">
        <v>0.050921273031825795</v>
      </c>
      <c r="R191" s="40">
        <v>0.058394160583941604</v>
      </c>
      <c r="S191" s="40">
        <v>0.056838365896980464</v>
      </c>
      <c r="T191" s="40">
        <v>0.07927677329624479</v>
      </c>
    </row>
    <row r="192" ht="15.75" customHeight="1">
      <c r="F192" s="24"/>
      <c r="G192" s="19">
        <v>15.0</v>
      </c>
      <c r="H192" s="20">
        <v>399.0</v>
      </c>
      <c r="I192" s="20">
        <v>167.0</v>
      </c>
      <c r="J192" s="20">
        <v>10.0</v>
      </c>
      <c r="K192" s="20">
        <v>24.0</v>
      </c>
      <c r="L192" s="20">
        <v>43.0</v>
      </c>
      <c r="N192" s="24"/>
      <c r="O192" s="19">
        <v>15.0</v>
      </c>
      <c r="P192" s="40">
        <v>0.05256916996047431</v>
      </c>
      <c r="Q192" s="40">
        <v>0.0559463986599665</v>
      </c>
      <c r="R192" s="40">
        <v>0.072992700729927</v>
      </c>
      <c r="S192" s="40">
        <v>0.04262877442273535</v>
      </c>
      <c r="T192" s="40">
        <v>0.059805285118219746</v>
      </c>
    </row>
    <row r="193" ht="15.75" customHeight="1">
      <c r="F193" s="24"/>
      <c r="G193" s="19">
        <v>16.0</v>
      </c>
      <c r="H193" s="20">
        <v>356.0</v>
      </c>
      <c r="I193" s="20">
        <v>176.0</v>
      </c>
      <c r="J193" s="20">
        <v>2.0</v>
      </c>
      <c r="K193" s="20">
        <v>36.0</v>
      </c>
      <c r="L193" s="20">
        <v>43.0</v>
      </c>
      <c r="N193" s="24"/>
      <c r="O193" s="19">
        <v>16.0</v>
      </c>
      <c r="P193" s="40">
        <v>0.0469038208168643</v>
      </c>
      <c r="Q193" s="40">
        <v>0.05896147403685092</v>
      </c>
      <c r="R193" s="40">
        <v>0.014598540145985401</v>
      </c>
      <c r="S193" s="40">
        <v>0.06394316163410302</v>
      </c>
      <c r="T193" s="40">
        <v>0.059805285118219746</v>
      </c>
    </row>
    <row r="194" ht="15.75" customHeight="1">
      <c r="F194" s="24"/>
      <c r="G194" s="19">
        <v>17.0</v>
      </c>
      <c r="H194" s="20">
        <v>410.0</v>
      </c>
      <c r="I194" s="20">
        <v>221.0</v>
      </c>
      <c r="J194" s="20">
        <v>2.0</v>
      </c>
      <c r="K194" s="20">
        <v>18.0</v>
      </c>
      <c r="L194" s="20">
        <v>25.0</v>
      </c>
      <c r="N194" s="24"/>
      <c r="O194" s="19">
        <v>17.0</v>
      </c>
      <c r="P194" s="40">
        <v>0.05401844532279315</v>
      </c>
      <c r="Q194" s="40">
        <v>0.07403685092127303</v>
      </c>
      <c r="R194" s="40">
        <v>0.014598540145985401</v>
      </c>
      <c r="S194" s="40">
        <v>0.03197158081705151</v>
      </c>
      <c r="T194" s="40">
        <v>0.03477051460361613</v>
      </c>
    </row>
    <row r="195" ht="15.75" customHeight="1">
      <c r="F195" s="24"/>
      <c r="G195" s="19">
        <v>18.0</v>
      </c>
      <c r="H195" s="20">
        <v>287.0</v>
      </c>
      <c r="I195" s="20">
        <v>82.0</v>
      </c>
      <c r="J195" s="20"/>
      <c r="K195" s="20">
        <v>18.0</v>
      </c>
      <c r="L195" s="20">
        <v>13.0</v>
      </c>
      <c r="N195" s="24"/>
      <c r="O195" s="19">
        <v>18.0</v>
      </c>
      <c r="P195" s="40">
        <v>0.0378129117259552</v>
      </c>
      <c r="Q195" s="40">
        <v>0.02747068676716918</v>
      </c>
      <c r="R195" s="40">
        <v>0.0</v>
      </c>
      <c r="S195" s="40">
        <v>0.03197158081705151</v>
      </c>
      <c r="T195" s="40">
        <v>0.01808066759388039</v>
      </c>
    </row>
    <row r="196" ht="15.75" customHeight="1">
      <c r="F196" s="24"/>
      <c r="G196" s="19">
        <v>19.0</v>
      </c>
      <c r="H196" s="20">
        <v>281.0</v>
      </c>
      <c r="I196" s="20">
        <v>65.0</v>
      </c>
      <c r="J196" s="20">
        <v>5.0</v>
      </c>
      <c r="K196" s="20">
        <v>23.0</v>
      </c>
      <c r="L196" s="20">
        <v>18.0</v>
      </c>
      <c r="N196" s="24"/>
      <c r="O196" s="19">
        <v>19.0</v>
      </c>
      <c r="P196" s="40">
        <v>0.037022397891963106</v>
      </c>
      <c r="Q196" s="40">
        <v>0.021775544388609715</v>
      </c>
      <c r="R196" s="40">
        <v>0.0364963503649635</v>
      </c>
      <c r="S196" s="40">
        <v>0.04085257548845471</v>
      </c>
      <c r="T196" s="40">
        <v>0.025034770514603615</v>
      </c>
    </row>
    <row r="197" ht="15.75" customHeight="1">
      <c r="F197" s="24"/>
      <c r="G197" s="19">
        <v>20.0</v>
      </c>
      <c r="H197" s="20">
        <v>214.0</v>
      </c>
      <c r="I197" s="20">
        <v>64.0</v>
      </c>
      <c r="J197" s="20"/>
      <c r="K197" s="20">
        <v>10.0</v>
      </c>
      <c r="L197" s="20">
        <v>11.0</v>
      </c>
      <c r="N197" s="24"/>
      <c r="O197" s="19">
        <v>20.0</v>
      </c>
      <c r="P197" s="40">
        <v>0.028194993412384718</v>
      </c>
      <c r="Q197" s="40">
        <v>0.021440536013400336</v>
      </c>
      <c r="R197" s="40">
        <v>0.0</v>
      </c>
      <c r="S197" s="40">
        <v>0.017761989342806393</v>
      </c>
      <c r="T197" s="40">
        <v>0.015299026425591099</v>
      </c>
    </row>
    <row r="198" ht="15.75" customHeight="1">
      <c r="F198" s="24"/>
      <c r="G198" s="19">
        <v>21.0</v>
      </c>
      <c r="H198" s="20">
        <v>194.0</v>
      </c>
      <c r="I198" s="20">
        <v>45.0</v>
      </c>
      <c r="J198" s="20">
        <v>1.0</v>
      </c>
      <c r="K198" s="20">
        <v>5.0</v>
      </c>
      <c r="L198" s="20">
        <v>9.0</v>
      </c>
      <c r="N198" s="24"/>
      <c r="O198" s="19">
        <v>21.0</v>
      </c>
      <c r="P198" s="40">
        <v>0.025559947299077734</v>
      </c>
      <c r="Q198" s="40">
        <v>0.01507537688442211</v>
      </c>
      <c r="R198" s="40">
        <v>0.0072992700729927005</v>
      </c>
      <c r="S198" s="40">
        <v>0.008880994671403197</v>
      </c>
      <c r="T198" s="40">
        <v>0.012517385257301807</v>
      </c>
    </row>
    <row r="199" ht="15.75" customHeight="1">
      <c r="F199" s="24"/>
      <c r="G199" s="19">
        <v>22.0</v>
      </c>
      <c r="H199" s="20">
        <v>145.0</v>
      </c>
      <c r="I199" s="20">
        <v>47.0</v>
      </c>
      <c r="J199" s="20">
        <v>2.0</v>
      </c>
      <c r="K199" s="20">
        <v>11.0</v>
      </c>
      <c r="L199" s="20">
        <v>4.0</v>
      </c>
      <c r="N199" s="24"/>
      <c r="O199" s="19">
        <v>22.0</v>
      </c>
      <c r="P199" s="40">
        <v>0.019104084321475624</v>
      </c>
      <c r="Q199" s="40">
        <v>0.01574539363484087</v>
      </c>
      <c r="R199" s="40">
        <v>0.014598540145985401</v>
      </c>
      <c r="S199" s="40">
        <v>0.019538188277087035</v>
      </c>
      <c r="T199" s="40">
        <v>0.005563282336578581</v>
      </c>
    </row>
    <row r="200" ht="15.75" customHeight="1">
      <c r="F200" s="28"/>
      <c r="G200" s="19">
        <v>23.0</v>
      </c>
      <c r="H200" s="20">
        <v>86.0</v>
      </c>
      <c r="I200" s="20">
        <v>27.0</v>
      </c>
      <c r="J200" s="20">
        <v>1.0</v>
      </c>
      <c r="K200" s="20">
        <v>8.0</v>
      </c>
      <c r="L200" s="20">
        <v>9.0</v>
      </c>
      <c r="N200" s="28"/>
      <c r="O200" s="19">
        <v>23.0</v>
      </c>
      <c r="P200" s="40">
        <v>0.011330698287220026</v>
      </c>
      <c r="Q200" s="40">
        <v>0.009045226130653266</v>
      </c>
      <c r="R200" s="40">
        <v>0.0072992700729927005</v>
      </c>
      <c r="S200" s="40">
        <v>0.014209591474245116</v>
      </c>
      <c r="T200" s="40">
        <v>0.012517385257301807</v>
      </c>
    </row>
    <row r="201" ht="15.75" customHeight="1">
      <c r="F201" s="56">
        <v>45216.0</v>
      </c>
      <c r="G201" s="19">
        <v>0.0</v>
      </c>
      <c r="H201" s="20">
        <v>54.0</v>
      </c>
      <c r="I201" s="20">
        <v>14.0</v>
      </c>
      <c r="J201" s="20"/>
      <c r="K201" s="20">
        <v>10.0</v>
      </c>
      <c r="L201" s="20">
        <v>11.0</v>
      </c>
      <c r="N201" s="56">
        <v>45216.0</v>
      </c>
      <c r="O201" s="19">
        <v>0.0</v>
      </c>
      <c r="P201" s="40">
        <v>0.007613139715212181</v>
      </c>
      <c r="Q201" s="40">
        <v>0.004883153121730032</v>
      </c>
      <c r="R201" s="40">
        <v>0.0</v>
      </c>
      <c r="S201" s="40">
        <v>0.017543859649122806</v>
      </c>
      <c r="T201" s="40">
        <v>0.013959390862944163</v>
      </c>
    </row>
    <row r="202" ht="15.75" customHeight="1">
      <c r="F202" s="24"/>
      <c r="G202" s="19">
        <v>1.0</v>
      </c>
      <c r="H202" s="20">
        <v>35.0</v>
      </c>
      <c r="I202" s="20">
        <v>15.0</v>
      </c>
      <c r="J202" s="20"/>
      <c r="K202" s="20">
        <v>7.0</v>
      </c>
      <c r="L202" s="20">
        <v>7.0</v>
      </c>
      <c r="N202" s="24"/>
      <c r="O202" s="19">
        <v>1.0</v>
      </c>
      <c r="P202" s="40">
        <v>0.0049344424080078955</v>
      </c>
      <c r="Q202" s="40">
        <v>0.005231949773282177</v>
      </c>
      <c r="R202" s="40">
        <v>0.0</v>
      </c>
      <c r="S202" s="40">
        <v>0.012280701754385965</v>
      </c>
      <c r="T202" s="40">
        <v>0.008883248730964468</v>
      </c>
    </row>
    <row r="203" ht="15.75" customHeight="1">
      <c r="F203" s="24"/>
      <c r="G203" s="19">
        <v>2.0</v>
      </c>
      <c r="H203" s="16">
        <v>30.0</v>
      </c>
      <c r="I203" s="16">
        <v>10.0</v>
      </c>
      <c r="J203" s="16"/>
      <c r="K203" s="16">
        <v>9.0</v>
      </c>
      <c r="L203" s="16">
        <v>19.0</v>
      </c>
      <c r="N203" s="24"/>
      <c r="O203" s="19">
        <v>2.0</v>
      </c>
      <c r="P203" s="40">
        <v>0.004229522064006767</v>
      </c>
      <c r="Q203" s="40">
        <v>0.003487966515521451</v>
      </c>
      <c r="R203" s="40">
        <v>0.0</v>
      </c>
      <c r="S203" s="40">
        <v>0.015789473684210527</v>
      </c>
      <c r="T203" s="40">
        <v>0.024111675126903553</v>
      </c>
    </row>
    <row r="204" ht="15.75" customHeight="1">
      <c r="F204" s="24"/>
      <c r="G204" s="19">
        <v>3.0</v>
      </c>
      <c r="H204" s="20">
        <v>31.0</v>
      </c>
      <c r="I204" s="20">
        <v>19.0</v>
      </c>
      <c r="J204" s="20">
        <v>2.0</v>
      </c>
      <c r="K204" s="20">
        <v>12.0</v>
      </c>
      <c r="L204" s="20">
        <v>9.0</v>
      </c>
      <c r="N204" s="24"/>
      <c r="O204" s="19">
        <v>3.0</v>
      </c>
      <c r="P204" s="40">
        <v>0.0043705061328069925</v>
      </c>
      <c r="Q204" s="40">
        <v>0.006627136379490757</v>
      </c>
      <c r="R204" s="40">
        <v>0.014705882352941176</v>
      </c>
      <c r="S204" s="40">
        <v>0.021052631578947368</v>
      </c>
      <c r="T204" s="40">
        <v>0.011421319796954314</v>
      </c>
    </row>
    <row r="205" ht="15.75" customHeight="1">
      <c r="F205" s="24"/>
      <c r="G205" s="19">
        <v>4.0</v>
      </c>
      <c r="H205" s="20">
        <v>80.0</v>
      </c>
      <c r="I205" s="20">
        <v>44.0</v>
      </c>
      <c r="J205" s="20">
        <v>3.0</v>
      </c>
      <c r="K205" s="20">
        <v>25.0</v>
      </c>
      <c r="L205" s="20">
        <v>34.0</v>
      </c>
      <c r="N205" s="24"/>
      <c r="O205" s="19">
        <v>4.0</v>
      </c>
      <c r="P205" s="40">
        <v>0.011278725504018046</v>
      </c>
      <c r="Q205" s="40">
        <v>0.015347052668294385</v>
      </c>
      <c r="R205" s="40">
        <v>0.022058823529411766</v>
      </c>
      <c r="S205" s="40">
        <v>0.043859649122807015</v>
      </c>
      <c r="T205" s="40">
        <v>0.04314720812182741</v>
      </c>
    </row>
    <row r="206" ht="15.75" customHeight="1">
      <c r="F206" s="24"/>
      <c r="G206" s="19">
        <v>5.0</v>
      </c>
      <c r="H206" s="20">
        <v>137.0</v>
      </c>
      <c r="I206" s="20">
        <v>64.0</v>
      </c>
      <c r="J206" s="20">
        <v>6.0</v>
      </c>
      <c r="K206" s="20">
        <v>23.0</v>
      </c>
      <c r="L206" s="20">
        <v>24.0</v>
      </c>
      <c r="N206" s="24"/>
      <c r="O206" s="19">
        <v>5.0</v>
      </c>
      <c r="P206" s="40">
        <v>0.019314817425630904</v>
      </c>
      <c r="Q206" s="40">
        <v>0.022322985699337286</v>
      </c>
      <c r="R206" s="40">
        <v>0.04411764705882353</v>
      </c>
      <c r="S206" s="40">
        <v>0.04035087719298246</v>
      </c>
      <c r="T206" s="40">
        <v>0.030456852791878174</v>
      </c>
    </row>
    <row r="207" ht="15.75" customHeight="1">
      <c r="F207" s="24"/>
      <c r="G207" s="19">
        <v>6.0</v>
      </c>
      <c r="H207" s="20">
        <v>321.0</v>
      </c>
      <c r="I207" s="20">
        <v>129.0</v>
      </c>
      <c r="J207" s="20">
        <v>13.0</v>
      </c>
      <c r="K207" s="20">
        <v>38.0</v>
      </c>
      <c r="L207" s="20">
        <v>36.0</v>
      </c>
      <c r="N207" s="24"/>
      <c r="O207" s="19">
        <v>6.0</v>
      </c>
      <c r="P207" s="40">
        <v>0.04525588608487241</v>
      </c>
      <c r="Q207" s="40">
        <v>0.044994768050226716</v>
      </c>
      <c r="R207" s="40">
        <v>0.09558823529411764</v>
      </c>
      <c r="S207" s="40">
        <v>0.06666666666666667</v>
      </c>
      <c r="T207" s="40">
        <v>0.04568527918781726</v>
      </c>
    </row>
    <row r="208" ht="15.75" customHeight="1">
      <c r="F208" s="24"/>
      <c r="G208" s="19">
        <v>7.0</v>
      </c>
      <c r="H208" s="20">
        <v>562.0</v>
      </c>
      <c r="I208" s="20">
        <v>243.0</v>
      </c>
      <c r="J208" s="20">
        <v>25.0</v>
      </c>
      <c r="K208" s="20">
        <v>48.0</v>
      </c>
      <c r="L208" s="20">
        <v>38.0</v>
      </c>
      <c r="N208" s="24"/>
      <c r="O208" s="19">
        <v>7.0</v>
      </c>
      <c r="P208" s="40">
        <v>0.07923304666572677</v>
      </c>
      <c r="Q208" s="40">
        <v>0.08475758632717126</v>
      </c>
      <c r="R208" s="40">
        <v>0.18382352941176472</v>
      </c>
      <c r="S208" s="40">
        <v>0.08421052631578947</v>
      </c>
      <c r="T208" s="40">
        <v>0.048223350253807105</v>
      </c>
    </row>
    <row r="209" ht="15.75" customHeight="1">
      <c r="F209" s="24"/>
      <c r="G209" s="19">
        <v>8.0</v>
      </c>
      <c r="H209" s="20">
        <v>554.0</v>
      </c>
      <c r="I209" s="20">
        <v>299.0</v>
      </c>
      <c r="J209" s="20">
        <v>23.0</v>
      </c>
      <c r="K209" s="20">
        <v>35.0</v>
      </c>
      <c r="L209" s="20">
        <v>46.0</v>
      </c>
      <c r="N209" s="24"/>
      <c r="O209" s="19">
        <v>8.0</v>
      </c>
      <c r="P209" s="40">
        <v>0.07810517411532497</v>
      </c>
      <c r="Q209" s="40">
        <v>0.10429019881409138</v>
      </c>
      <c r="R209" s="40">
        <v>0.16911764705882354</v>
      </c>
      <c r="S209" s="40">
        <v>0.06140350877192982</v>
      </c>
      <c r="T209" s="40">
        <v>0.0583756345177665</v>
      </c>
    </row>
    <row r="210" ht="15.75" customHeight="1">
      <c r="F210" s="24"/>
      <c r="G210" s="19">
        <v>9.0</v>
      </c>
      <c r="H210" s="20">
        <v>647.0</v>
      </c>
      <c r="I210" s="20">
        <v>306.0</v>
      </c>
      <c r="J210" s="20">
        <v>14.0</v>
      </c>
      <c r="K210" s="20">
        <v>48.0</v>
      </c>
      <c r="L210" s="20">
        <v>79.0</v>
      </c>
      <c r="N210" s="24"/>
      <c r="O210" s="19">
        <v>9.0</v>
      </c>
      <c r="P210" s="40">
        <v>0.09121669251374595</v>
      </c>
      <c r="Q210" s="40">
        <v>0.1067317753749564</v>
      </c>
      <c r="R210" s="40">
        <v>0.10294117647058823</v>
      </c>
      <c r="S210" s="40">
        <v>0.08421052631578947</v>
      </c>
      <c r="T210" s="40">
        <v>0.10025380710659898</v>
      </c>
    </row>
    <row r="211" ht="15.75" customHeight="1">
      <c r="F211" s="24"/>
      <c r="G211" s="19">
        <v>10.0</v>
      </c>
      <c r="H211" s="20">
        <v>613.0</v>
      </c>
      <c r="I211" s="20">
        <v>256.0</v>
      </c>
      <c r="J211" s="20">
        <v>3.0</v>
      </c>
      <c r="K211" s="20">
        <v>43.0</v>
      </c>
      <c r="L211" s="20">
        <v>62.0</v>
      </c>
      <c r="N211" s="24"/>
      <c r="O211" s="19">
        <v>10.0</v>
      </c>
      <c r="P211" s="40">
        <v>0.08642323417453827</v>
      </c>
      <c r="Q211" s="40">
        <v>0.08929194279734914</v>
      </c>
      <c r="R211" s="40">
        <v>0.022058823529411766</v>
      </c>
      <c r="S211" s="40">
        <v>0.07543859649122807</v>
      </c>
      <c r="T211" s="40">
        <v>0.07868020304568528</v>
      </c>
    </row>
    <row r="212" ht="15.75" customHeight="1">
      <c r="F212" s="24"/>
      <c r="G212" s="19">
        <v>11.0</v>
      </c>
      <c r="H212" s="20">
        <v>477.0</v>
      </c>
      <c r="I212" s="20">
        <v>152.0</v>
      </c>
      <c r="J212" s="20">
        <v>5.0</v>
      </c>
      <c r="K212" s="20">
        <v>35.0</v>
      </c>
      <c r="L212" s="20">
        <v>68.0</v>
      </c>
      <c r="N212" s="24"/>
      <c r="O212" s="19">
        <v>11.0</v>
      </c>
      <c r="P212" s="40">
        <v>0.0672494008177076</v>
      </c>
      <c r="Q212" s="40">
        <v>0.053017091035926056</v>
      </c>
      <c r="R212" s="40">
        <v>0.03676470588235294</v>
      </c>
      <c r="S212" s="40">
        <v>0.06140350877192982</v>
      </c>
      <c r="T212" s="40">
        <v>0.08629441624365482</v>
      </c>
    </row>
    <row r="213" ht="15.75" customHeight="1">
      <c r="F213" s="24"/>
      <c r="G213" s="19">
        <v>12.0</v>
      </c>
      <c r="H213" s="20">
        <v>401.0</v>
      </c>
      <c r="I213" s="20">
        <v>165.0</v>
      </c>
      <c r="J213" s="20">
        <v>5.0</v>
      </c>
      <c r="K213" s="20">
        <v>26.0</v>
      </c>
      <c r="L213" s="20">
        <v>82.0</v>
      </c>
      <c r="N213" s="24"/>
      <c r="O213" s="19">
        <v>12.0</v>
      </c>
      <c r="P213" s="40">
        <v>0.056534611588890456</v>
      </c>
      <c r="Q213" s="40">
        <v>0.05755144750610394</v>
      </c>
      <c r="R213" s="40">
        <v>0.03676470588235294</v>
      </c>
      <c r="S213" s="40">
        <v>0.0456140350877193</v>
      </c>
      <c r="T213" s="40">
        <v>0.10406091370558376</v>
      </c>
    </row>
    <row r="214" ht="15.75" customHeight="1">
      <c r="F214" s="24"/>
      <c r="G214" s="19">
        <v>13.0</v>
      </c>
      <c r="H214" s="20">
        <v>374.0</v>
      </c>
      <c r="I214" s="20">
        <v>174.0</v>
      </c>
      <c r="J214" s="20">
        <v>9.0</v>
      </c>
      <c r="K214" s="20">
        <v>35.0</v>
      </c>
      <c r="L214" s="20">
        <v>41.0</v>
      </c>
      <c r="N214" s="24"/>
      <c r="O214" s="19">
        <v>13.0</v>
      </c>
      <c r="P214" s="40">
        <v>0.05272804173128436</v>
      </c>
      <c r="Q214" s="40">
        <v>0.060690617370073245</v>
      </c>
      <c r="R214" s="40">
        <v>0.0661764705882353</v>
      </c>
      <c r="S214" s="40">
        <v>0.06140350877192982</v>
      </c>
      <c r="T214" s="40">
        <v>0.05203045685279188</v>
      </c>
    </row>
    <row r="215" ht="15.75" customHeight="1">
      <c r="F215" s="24"/>
      <c r="G215" s="19">
        <v>14.0</v>
      </c>
      <c r="H215" s="20">
        <v>370.0</v>
      </c>
      <c r="I215" s="20">
        <v>175.0</v>
      </c>
      <c r="J215" s="20">
        <v>6.0</v>
      </c>
      <c r="K215" s="20">
        <v>28.0</v>
      </c>
      <c r="L215" s="20">
        <v>73.0</v>
      </c>
      <c r="N215" s="24"/>
      <c r="O215" s="19">
        <v>14.0</v>
      </c>
      <c r="P215" s="40">
        <v>0.052164105456083465</v>
      </c>
      <c r="Q215" s="40">
        <v>0.06103941402162539</v>
      </c>
      <c r="R215" s="40">
        <v>0.04411764705882353</v>
      </c>
      <c r="S215" s="40">
        <v>0.04912280701754386</v>
      </c>
      <c r="T215" s="40">
        <v>0.09263959390862944</v>
      </c>
    </row>
    <row r="216" ht="15.75" customHeight="1">
      <c r="F216" s="24"/>
      <c r="G216" s="19">
        <v>15.0</v>
      </c>
      <c r="H216" s="20">
        <v>373.0</v>
      </c>
      <c r="I216" s="20">
        <v>141.0</v>
      </c>
      <c r="J216" s="20">
        <v>10.0</v>
      </c>
      <c r="K216" s="20">
        <v>35.0</v>
      </c>
      <c r="L216" s="20">
        <v>39.0</v>
      </c>
      <c r="N216" s="24"/>
      <c r="O216" s="19">
        <v>15.0</v>
      </c>
      <c r="P216" s="40">
        <v>0.05258705766248414</v>
      </c>
      <c r="Q216" s="40">
        <v>0.04918032786885246</v>
      </c>
      <c r="R216" s="40">
        <v>0.07352941176470588</v>
      </c>
      <c r="S216" s="40">
        <v>0.06140350877192982</v>
      </c>
      <c r="T216" s="40">
        <v>0.04949238578680203</v>
      </c>
    </row>
    <row r="217" ht="15.75" customHeight="1">
      <c r="F217" s="24"/>
      <c r="G217" s="19">
        <v>16.0</v>
      </c>
      <c r="H217" s="20">
        <v>414.0</v>
      </c>
      <c r="I217" s="20">
        <v>172.0</v>
      </c>
      <c r="J217" s="20">
        <v>5.0</v>
      </c>
      <c r="K217" s="20">
        <v>34.0</v>
      </c>
      <c r="L217" s="20">
        <v>36.0</v>
      </c>
      <c r="N217" s="24"/>
      <c r="O217" s="19">
        <v>16.0</v>
      </c>
      <c r="P217" s="40">
        <v>0.05836740448329339</v>
      </c>
      <c r="Q217" s="40">
        <v>0.05999302406696896</v>
      </c>
      <c r="R217" s="40">
        <v>0.03676470588235294</v>
      </c>
      <c r="S217" s="40">
        <v>0.05964912280701754</v>
      </c>
      <c r="T217" s="40">
        <v>0.04568527918781726</v>
      </c>
    </row>
    <row r="218" ht="15.75" customHeight="1">
      <c r="F218" s="24"/>
      <c r="G218" s="19">
        <v>17.0</v>
      </c>
      <c r="H218" s="20">
        <v>469.0</v>
      </c>
      <c r="I218" s="20">
        <v>202.0</v>
      </c>
      <c r="J218" s="20">
        <v>1.0</v>
      </c>
      <c r="K218" s="20">
        <v>14.0</v>
      </c>
      <c r="L218" s="20">
        <v>22.0</v>
      </c>
      <c r="N218" s="24"/>
      <c r="O218" s="19">
        <v>17.0</v>
      </c>
      <c r="P218" s="40">
        <v>0.0661215282673058</v>
      </c>
      <c r="Q218" s="40">
        <v>0.07045692361353331</v>
      </c>
      <c r="R218" s="40">
        <v>0.007352941176470588</v>
      </c>
      <c r="S218" s="40">
        <v>0.02456140350877193</v>
      </c>
      <c r="T218" s="40">
        <v>0.027918781725888325</v>
      </c>
    </row>
    <row r="219" ht="15.75" customHeight="1">
      <c r="F219" s="24"/>
      <c r="G219" s="19">
        <v>18.0</v>
      </c>
      <c r="H219" s="20">
        <v>277.0</v>
      </c>
      <c r="I219" s="20">
        <v>87.0</v>
      </c>
      <c r="J219" s="20"/>
      <c r="K219" s="20">
        <v>9.0</v>
      </c>
      <c r="L219" s="20">
        <v>17.0</v>
      </c>
      <c r="N219" s="24"/>
      <c r="O219" s="19">
        <v>18.0</v>
      </c>
      <c r="P219" s="40">
        <v>0.039052587057662486</v>
      </c>
      <c r="Q219" s="40">
        <v>0.030345308685036623</v>
      </c>
      <c r="R219" s="40">
        <v>0.0</v>
      </c>
      <c r="S219" s="40">
        <v>0.015789473684210527</v>
      </c>
      <c r="T219" s="40">
        <v>0.021573604060913704</v>
      </c>
    </row>
    <row r="220" ht="15.75" customHeight="1">
      <c r="F220" s="24"/>
      <c r="G220" s="19">
        <v>19.0</v>
      </c>
      <c r="H220" s="20">
        <v>241.0</v>
      </c>
      <c r="I220" s="20">
        <v>58.0</v>
      </c>
      <c r="J220" s="20">
        <v>2.0</v>
      </c>
      <c r="K220" s="20">
        <v>17.0</v>
      </c>
      <c r="L220" s="20">
        <v>7.0</v>
      </c>
      <c r="N220" s="24"/>
      <c r="O220" s="19">
        <v>19.0</v>
      </c>
      <c r="P220" s="40">
        <v>0.033977160580854364</v>
      </c>
      <c r="Q220" s="40">
        <v>0.020230205790024415</v>
      </c>
      <c r="R220" s="40">
        <v>0.014705882352941176</v>
      </c>
      <c r="S220" s="40">
        <v>0.02982456140350877</v>
      </c>
      <c r="T220" s="40">
        <v>0.008883248730964468</v>
      </c>
    </row>
    <row r="221" ht="15.75" customHeight="1">
      <c r="F221" s="24"/>
      <c r="G221" s="19">
        <v>20.0</v>
      </c>
      <c r="H221" s="20">
        <v>233.0</v>
      </c>
      <c r="I221" s="20">
        <v>55.0</v>
      </c>
      <c r="J221" s="20">
        <v>1.0</v>
      </c>
      <c r="K221" s="20">
        <v>19.0</v>
      </c>
      <c r="L221" s="20">
        <v>12.0</v>
      </c>
      <c r="N221" s="24"/>
      <c r="O221" s="19">
        <v>20.0</v>
      </c>
      <c r="P221" s="40">
        <v>0.03284928803045256</v>
      </c>
      <c r="Q221" s="40">
        <v>0.01918381583536798</v>
      </c>
      <c r="R221" s="40">
        <v>0.007352941176470588</v>
      </c>
      <c r="S221" s="40">
        <v>0.03333333333333333</v>
      </c>
      <c r="T221" s="40">
        <v>0.015228426395939087</v>
      </c>
    </row>
    <row r="222" ht="15.75" customHeight="1">
      <c r="F222" s="24"/>
      <c r="G222" s="19">
        <v>21.0</v>
      </c>
      <c r="H222" s="20">
        <v>189.0</v>
      </c>
      <c r="I222" s="20">
        <v>28.0</v>
      </c>
      <c r="J222" s="20">
        <v>2.0</v>
      </c>
      <c r="K222" s="20">
        <v>9.0</v>
      </c>
      <c r="L222" s="20">
        <v>5.0</v>
      </c>
      <c r="N222" s="24"/>
      <c r="O222" s="19">
        <v>21.0</v>
      </c>
      <c r="P222" s="40">
        <v>0.026645989003242634</v>
      </c>
      <c r="Q222" s="40">
        <v>0.009766306243460064</v>
      </c>
      <c r="R222" s="40">
        <v>0.014705882352941176</v>
      </c>
      <c r="S222" s="40">
        <v>0.015789473684210527</v>
      </c>
      <c r="T222" s="40">
        <v>0.006345177664974619</v>
      </c>
    </row>
    <row r="223" ht="15.75" customHeight="1">
      <c r="F223" s="24"/>
      <c r="G223" s="19">
        <v>22.0</v>
      </c>
      <c r="H223" s="20">
        <v>143.0</v>
      </c>
      <c r="I223" s="20">
        <v>39.0</v>
      </c>
      <c r="J223" s="20"/>
      <c r="K223" s="20">
        <v>3.0</v>
      </c>
      <c r="L223" s="20">
        <v>9.0</v>
      </c>
      <c r="N223" s="24"/>
      <c r="O223" s="19">
        <v>22.0</v>
      </c>
      <c r="P223" s="40">
        <v>0.020160721838432257</v>
      </c>
      <c r="Q223" s="40">
        <v>0.013603069410533658</v>
      </c>
      <c r="R223" s="40">
        <v>0.0</v>
      </c>
      <c r="S223" s="40">
        <v>0.005263157894736842</v>
      </c>
      <c r="T223" s="40">
        <v>0.011421319796954314</v>
      </c>
    </row>
    <row r="224" ht="15.75" customHeight="1">
      <c r="F224" s="28"/>
      <c r="G224" s="19">
        <v>23.0</v>
      </c>
      <c r="H224" s="20">
        <v>68.0</v>
      </c>
      <c r="I224" s="20">
        <v>20.0</v>
      </c>
      <c r="J224" s="20">
        <v>1.0</v>
      </c>
      <c r="K224" s="20">
        <v>8.0</v>
      </c>
      <c r="L224" s="20">
        <v>12.0</v>
      </c>
      <c r="N224" s="28"/>
      <c r="O224" s="19">
        <v>23.0</v>
      </c>
      <c r="P224" s="40">
        <v>0.009586916678415339</v>
      </c>
      <c r="Q224" s="40">
        <v>0.006975933031042902</v>
      </c>
      <c r="R224" s="40">
        <v>0.007352941176470588</v>
      </c>
      <c r="S224" s="40">
        <v>0.014035087719298246</v>
      </c>
      <c r="T224" s="40">
        <v>0.015228426395939087</v>
      </c>
    </row>
    <row r="225" ht="15.75" customHeight="1">
      <c r="F225" s="56">
        <v>45217.0</v>
      </c>
      <c r="G225" s="19">
        <v>0.0</v>
      </c>
      <c r="H225" s="20">
        <v>55.0</v>
      </c>
      <c r="I225" s="20">
        <v>16.0</v>
      </c>
      <c r="J225" s="20"/>
      <c r="K225" s="20">
        <v>11.0</v>
      </c>
      <c r="L225" s="20">
        <v>9.0</v>
      </c>
      <c r="N225" s="56">
        <v>45217.0</v>
      </c>
      <c r="O225" s="19">
        <v>0.0</v>
      </c>
      <c r="P225" s="40">
        <v>0.007922788821665225</v>
      </c>
      <c r="Q225" s="40">
        <v>0.005326231691078562</v>
      </c>
      <c r="R225" s="40">
        <v>0.0</v>
      </c>
      <c r="S225" s="40">
        <v>0.019230769230769232</v>
      </c>
      <c r="T225" s="40">
        <v>0.00909090909090909</v>
      </c>
    </row>
    <row r="226" ht="15.75" customHeight="1">
      <c r="F226" s="24"/>
      <c r="G226" s="19">
        <v>1.0</v>
      </c>
      <c r="H226" s="20">
        <v>46.0</v>
      </c>
      <c r="I226" s="20">
        <v>14.0</v>
      </c>
      <c r="J226" s="20"/>
      <c r="K226" s="20">
        <v>9.0</v>
      </c>
      <c r="L226" s="20">
        <v>17.0</v>
      </c>
      <c r="N226" s="24"/>
      <c r="O226" s="19">
        <v>1.0</v>
      </c>
      <c r="P226" s="40">
        <v>0.006626332469029098</v>
      </c>
      <c r="Q226" s="40">
        <v>0.004660452729693742</v>
      </c>
      <c r="R226" s="40">
        <v>0.0</v>
      </c>
      <c r="S226" s="40">
        <v>0.015734265734265736</v>
      </c>
      <c r="T226" s="40">
        <v>0.01717171717171717</v>
      </c>
    </row>
    <row r="227" ht="15.75" customHeight="1">
      <c r="F227" s="24"/>
      <c r="G227" s="19">
        <v>2.0</v>
      </c>
      <c r="H227" s="16">
        <v>25.0</v>
      </c>
      <c r="I227" s="16">
        <v>16.0</v>
      </c>
      <c r="J227" s="16"/>
      <c r="K227" s="16">
        <v>6.0</v>
      </c>
      <c r="L227" s="16">
        <v>6.0</v>
      </c>
      <c r="N227" s="24"/>
      <c r="O227" s="19">
        <v>2.0</v>
      </c>
      <c r="P227" s="40">
        <v>0.0036012676462114663</v>
      </c>
      <c r="Q227" s="40">
        <v>0.005326231691078562</v>
      </c>
      <c r="R227" s="40">
        <v>0.0</v>
      </c>
      <c r="S227" s="40">
        <v>0.01048951048951049</v>
      </c>
      <c r="T227" s="40">
        <v>0.006060606060606061</v>
      </c>
    </row>
    <row r="228" ht="15.75" customHeight="1">
      <c r="F228" s="24"/>
      <c r="G228" s="19">
        <v>3.0</v>
      </c>
      <c r="H228" s="20">
        <v>37.0</v>
      </c>
      <c r="I228" s="20">
        <v>31.0</v>
      </c>
      <c r="J228" s="20"/>
      <c r="K228" s="20">
        <v>17.0</v>
      </c>
      <c r="L228" s="20">
        <v>24.0</v>
      </c>
      <c r="N228" s="24"/>
      <c r="O228" s="19">
        <v>3.0</v>
      </c>
      <c r="P228" s="40">
        <v>0.005329876116392971</v>
      </c>
      <c r="Q228" s="40">
        <v>0.010319573901464714</v>
      </c>
      <c r="R228" s="40">
        <v>0.0</v>
      </c>
      <c r="S228" s="40">
        <v>0.02972027972027972</v>
      </c>
      <c r="T228" s="40">
        <v>0.024242424242424242</v>
      </c>
    </row>
    <row r="229" ht="15.75" customHeight="1">
      <c r="F229" s="24"/>
      <c r="G229" s="19">
        <v>4.0</v>
      </c>
      <c r="H229" s="20">
        <v>75.0</v>
      </c>
      <c r="I229" s="20">
        <v>47.0</v>
      </c>
      <c r="J229" s="20">
        <v>2.0</v>
      </c>
      <c r="K229" s="20">
        <v>30.0</v>
      </c>
      <c r="L229" s="20">
        <v>22.0</v>
      </c>
      <c r="N229" s="24"/>
      <c r="O229" s="19">
        <v>4.0</v>
      </c>
      <c r="P229" s="40">
        <v>0.010803802938634399</v>
      </c>
      <c r="Q229" s="40">
        <v>0.015645805592543277</v>
      </c>
      <c r="R229" s="40">
        <v>0.015503875968992248</v>
      </c>
      <c r="S229" s="40">
        <v>0.05244755244755245</v>
      </c>
      <c r="T229" s="40">
        <v>0.022222222222222223</v>
      </c>
    </row>
    <row r="230" ht="15.75" customHeight="1">
      <c r="F230" s="24"/>
      <c r="G230" s="19">
        <v>5.0</v>
      </c>
      <c r="H230" s="20">
        <v>179.0</v>
      </c>
      <c r="I230" s="20">
        <v>98.0</v>
      </c>
      <c r="J230" s="20">
        <v>3.0</v>
      </c>
      <c r="K230" s="20">
        <v>16.0</v>
      </c>
      <c r="L230" s="20">
        <v>37.0</v>
      </c>
      <c r="N230" s="24"/>
      <c r="O230" s="19">
        <v>5.0</v>
      </c>
      <c r="P230" s="40">
        <v>0.0257850763468741</v>
      </c>
      <c r="Q230" s="40">
        <v>0.03262316910785619</v>
      </c>
      <c r="R230" s="40">
        <v>0.023255813953488372</v>
      </c>
      <c r="S230" s="40">
        <v>0.027972027972027972</v>
      </c>
      <c r="T230" s="40">
        <v>0.03737373737373737</v>
      </c>
    </row>
    <row r="231" ht="15.75" customHeight="1">
      <c r="F231" s="24"/>
      <c r="G231" s="19">
        <v>6.0</v>
      </c>
      <c r="H231" s="20">
        <v>334.0</v>
      </c>
      <c r="I231" s="20">
        <v>119.0</v>
      </c>
      <c r="J231" s="20">
        <v>12.0</v>
      </c>
      <c r="K231" s="20">
        <v>29.0</v>
      </c>
      <c r="L231" s="20">
        <v>53.0</v>
      </c>
      <c r="N231" s="24"/>
      <c r="O231" s="19">
        <v>6.0</v>
      </c>
      <c r="P231" s="40">
        <v>0.04811293575338519</v>
      </c>
      <c r="Q231" s="40">
        <v>0.0396138482023968</v>
      </c>
      <c r="R231" s="40">
        <v>0.09302325581395349</v>
      </c>
      <c r="S231" s="40">
        <v>0.050699300699300696</v>
      </c>
      <c r="T231" s="40">
        <v>0.05353535353535353</v>
      </c>
    </row>
    <row r="232" ht="15.75" customHeight="1">
      <c r="F232" s="24"/>
      <c r="G232" s="19">
        <v>7.0</v>
      </c>
      <c r="H232" s="20">
        <v>582.0</v>
      </c>
      <c r="I232" s="20">
        <v>237.0</v>
      </c>
      <c r="J232" s="20">
        <v>20.0</v>
      </c>
      <c r="K232" s="20">
        <v>47.0</v>
      </c>
      <c r="L232" s="20">
        <v>57.0</v>
      </c>
      <c r="N232" s="24"/>
      <c r="O232" s="19">
        <v>7.0</v>
      </c>
      <c r="P232" s="40">
        <v>0.08383751080380294</v>
      </c>
      <c r="Q232" s="40">
        <v>0.0788948069241012</v>
      </c>
      <c r="R232" s="40">
        <v>0.15503875968992248</v>
      </c>
      <c r="S232" s="40">
        <v>0.08216783216783216</v>
      </c>
      <c r="T232" s="40">
        <v>0.05757575757575758</v>
      </c>
    </row>
    <row r="233" ht="15.75" customHeight="1">
      <c r="F233" s="24"/>
      <c r="G233" s="19">
        <v>8.0</v>
      </c>
      <c r="H233" s="20">
        <v>584.0</v>
      </c>
      <c r="I233" s="20">
        <v>314.0</v>
      </c>
      <c r="J233" s="20">
        <v>19.0</v>
      </c>
      <c r="K233" s="20">
        <v>49.0</v>
      </c>
      <c r="L233" s="20">
        <v>68.0</v>
      </c>
      <c r="N233" s="24"/>
      <c r="O233" s="19">
        <v>8.0</v>
      </c>
      <c r="P233" s="40">
        <v>0.08412561221549986</v>
      </c>
      <c r="Q233" s="40">
        <v>0.10452729693741677</v>
      </c>
      <c r="R233" s="40">
        <v>0.14728682170542637</v>
      </c>
      <c r="S233" s="40">
        <v>0.08566433566433566</v>
      </c>
      <c r="T233" s="40">
        <v>0.06868686868686869</v>
      </c>
    </row>
    <row r="234" ht="15.75" customHeight="1">
      <c r="F234" s="24"/>
      <c r="G234" s="19">
        <v>9.0</v>
      </c>
      <c r="H234" s="20">
        <v>603.0</v>
      </c>
      <c r="I234" s="20">
        <v>310.0</v>
      </c>
      <c r="J234" s="20">
        <v>14.0</v>
      </c>
      <c r="K234" s="20">
        <v>54.0</v>
      </c>
      <c r="L234" s="20">
        <v>82.0</v>
      </c>
      <c r="N234" s="24"/>
      <c r="O234" s="19">
        <v>9.0</v>
      </c>
      <c r="P234" s="40">
        <v>0.08686257562662057</v>
      </c>
      <c r="Q234" s="40">
        <v>0.10319573901464714</v>
      </c>
      <c r="R234" s="40">
        <v>0.10852713178294573</v>
      </c>
      <c r="S234" s="40">
        <v>0.0944055944055944</v>
      </c>
      <c r="T234" s="40">
        <v>0.08282828282828283</v>
      </c>
    </row>
    <row r="235" ht="15.75" customHeight="1">
      <c r="F235" s="24"/>
      <c r="G235" s="19">
        <v>10.0</v>
      </c>
      <c r="H235" s="20">
        <v>550.0</v>
      </c>
      <c r="I235" s="20">
        <v>242.0</v>
      </c>
      <c r="J235" s="20">
        <v>2.0</v>
      </c>
      <c r="K235" s="20">
        <v>51.0</v>
      </c>
      <c r="L235" s="20">
        <v>88.0</v>
      </c>
      <c r="N235" s="24"/>
      <c r="O235" s="19">
        <v>10.0</v>
      </c>
      <c r="P235" s="40">
        <v>0.07922788821665226</v>
      </c>
      <c r="Q235" s="40">
        <v>0.08055925432756325</v>
      </c>
      <c r="R235" s="40">
        <v>0.015503875968992248</v>
      </c>
      <c r="S235" s="40">
        <v>0.08916083916083917</v>
      </c>
      <c r="T235" s="40">
        <v>0.08888888888888889</v>
      </c>
    </row>
    <row r="236" ht="15.75" customHeight="1">
      <c r="F236" s="24"/>
      <c r="G236" s="19">
        <v>11.0</v>
      </c>
      <c r="H236" s="20">
        <v>472.0</v>
      </c>
      <c r="I236" s="20">
        <v>188.0</v>
      </c>
      <c r="J236" s="20">
        <v>11.0</v>
      </c>
      <c r="K236" s="20">
        <v>31.0</v>
      </c>
      <c r="L236" s="20">
        <v>87.0</v>
      </c>
      <c r="N236" s="24"/>
      <c r="O236" s="19">
        <v>11.0</v>
      </c>
      <c r="P236" s="40">
        <v>0.06799193316047249</v>
      </c>
      <c r="Q236" s="40">
        <v>0.06258322237017311</v>
      </c>
      <c r="R236" s="40">
        <v>0.08527131782945736</v>
      </c>
      <c r="S236" s="40">
        <v>0.05419580419580419</v>
      </c>
      <c r="T236" s="40">
        <v>0.08787878787878788</v>
      </c>
    </row>
    <row r="237" ht="15.75" customHeight="1">
      <c r="F237" s="24"/>
      <c r="G237" s="19">
        <v>12.0</v>
      </c>
      <c r="H237" s="20">
        <v>403.0</v>
      </c>
      <c r="I237" s="20">
        <v>160.0</v>
      </c>
      <c r="J237" s="20">
        <v>5.0</v>
      </c>
      <c r="K237" s="20">
        <v>24.0</v>
      </c>
      <c r="L237" s="20">
        <v>71.0</v>
      </c>
      <c r="N237" s="24"/>
      <c r="O237" s="19">
        <v>12.0</v>
      </c>
      <c r="P237" s="40">
        <v>0.05805243445692884</v>
      </c>
      <c r="Q237" s="40">
        <v>0.05326231691078562</v>
      </c>
      <c r="R237" s="40">
        <v>0.03875968992248062</v>
      </c>
      <c r="S237" s="40">
        <v>0.04195804195804196</v>
      </c>
      <c r="T237" s="40">
        <v>0.07171717171717172</v>
      </c>
    </row>
    <row r="238" ht="15.75" customHeight="1">
      <c r="F238" s="24"/>
      <c r="G238" s="19">
        <v>13.0</v>
      </c>
      <c r="H238" s="20">
        <v>382.0</v>
      </c>
      <c r="I238" s="20">
        <v>186.0</v>
      </c>
      <c r="J238" s="20">
        <v>3.0</v>
      </c>
      <c r="K238" s="20">
        <v>30.0</v>
      </c>
      <c r="L238" s="20">
        <v>72.0</v>
      </c>
      <c r="N238" s="24"/>
      <c r="O238" s="19">
        <v>13.0</v>
      </c>
      <c r="P238" s="40">
        <v>0.05502736963411121</v>
      </c>
      <c r="Q238" s="40">
        <v>0.061917443408788284</v>
      </c>
      <c r="R238" s="40">
        <v>0.023255813953488372</v>
      </c>
      <c r="S238" s="40">
        <v>0.05244755244755245</v>
      </c>
      <c r="T238" s="40">
        <v>0.07272727272727272</v>
      </c>
    </row>
    <row r="239" ht="15.75" customHeight="1">
      <c r="F239" s="24"/>
      <c r="G239" s="19">
        <v>14.0</v>
      </c>
      <c r="H239" s="20">
        <v>376.0</v>
      </c>
      <c r="I239" s="20">
        <v>150.0</v>
      </c>
      <c r="J239" s="20">
        <v>13.0</v>
      </c>
      <c r="K239" s="20">
        <v>34.0</v>
      </c>
      <c r="L239" s="20">
        <v>78.0</v>
      </c>
      <c r="N239" s="24"/>
      <c r="O239" s="19">
        <v>14.0</v>
      </c>
      <c r="P239" s="40">
        <v>0.05416306539902045</v>
      </c>
      <c r="Q239" s="40">
        <v>0.049933422103861515</v>
      </c>
      <c r="R239" s="40">
        <v>0.10077519379844961</v>
      </c>
      <c r="S239" s="40">
        <v>0.05944055944055944</v>
      </c>
      <c r="T239" s="40">
        <v>0.07878787878787878</v>
      </c>
    </row>
    <row r="240" ht="15.75" customHeight="1">
      <c r="F240" s="24"/>
      <c r="G240" s="19">
        <v>15.0</v>
      </c>
      <c r="H240" s="20">
        <v>367.0</v>
      </c>
      <c r="I240" s="20">
        <v>140.0</v>
      </c>
      <c r="J240" s="20">
        <v>9.0</v>
      </c>
      <c r="K240" s="20">
        <v>39.0</v>
      </c>
      <c r="L240" s="20">
        <v>71.0</v>
      </c>
      <c r="N240" s="24"/>
      <c r="O240" s="19">
        <v>15.0</v>
      </c>
      <c r="P240" s="40">
        <v>0.05286660904638433</v>
      </c>
      <c r="Q240" s="40">
        <v>0.04660452729693742</v>
      </c>
      <c r="R240" s="40">
        <v>0.06976744186046512</v>
      </c>
      <c r="S240" s="40">
        <v>0.06818181818181818</v>
      </c>
      <c r="T240" s="40">
        <v>0.07171717171717172</v>
      </c>
    </row>
    <row r="241" ht="15.75" customHeight="1">
      <c r="F241" s="24"/>
      <c r="G241" s="19">
        <v>16.0</v>
      </c>
      <c r="H241" s="20">
        <v>352.0</v>
      </c>
      <c r="I241" s="20">
        <v>183.0</v>
      </c>
      <c r="J241" s="20">
        <v>8.0</v>
      </c>
      <c r="K241" s="20">
        <v>36.0</v>
      </c>
      <c r="L241" s="20">
        <v>47.0</v>
      </c>
      <c r="N241" s="24"/>
      <c r="O241" s="19">
        <v>16.0</v>
      </c>
      <c r="P241" s="40">
        <v>0.05070584845865745</v>
      </c>
      <c r="Q241" s="40">
        <v>0.06091877496671105</v>
      </c>
      <c r="R241" s="40">
        <v>0.06201550387596899</v>
      </c>
      <c r="S241" s="40">
        <v>0.06293706293706294</v>
      </c>
      <c r="T241" s="40">
        <v>0.047474747474747475</v>
      </c>
    </row>
    <row r="242" ht="15.75" customHeight="1">
      <c r="F242" s="24"/>
      <c r="G242" s="19">
        <v>17.0</v>
      </c>
      <c r="H242" s="20">
        <v>450.0</v>
      </c>
      <c r="I242" s="20">
        <v>203.0</v>
      </c>
      <c r="J242" s="20">
        <v>2.0</v>
      </c>
      <c r="K242" s="20">
        <v>17.0</v>
      </c>
      <c r="L242" s="20">
        <v>31.0</v>
      </c>
      <c r="N242" s="24"/>
      <c r="O242" s="19">
        <v>17.0</v>
      </c>
      <c r="P242" s="40">
        <v>0.06482281763180639</v>
      </c>
      <c r="Q242" s="40">
        <v>0.06757656458055926</v>
      </c>
      <c r="R242" s="40">
        <v>0.015503875968992248</v>
      </c>
      <c r="S242" s="40">
        <v>0.02972027972027972</v>
      </c>
      <c r="T242" s="40">
        <v>0.031313131313131314</v>
      </c>
    </row>
    <row r="243" ht="15.75" customHeight="1">
      <c r="F243" s="24"/>
      <c r="G243" s="19">
        <v>18.0</v>
      </c>
      <c r="H243" s="20">
        <v>281.0</v>
      </c>
      <c r="I243" s="20">
        <v>104.0</v>
      </c>
      <c r="J243" s="20">
        <v>2.0</v>
      </c>
      <c r="K243" s="20">
        <v>11.0</v>
      </c>
      <c r="L243" s="20">
        <v>15.0</v>
      </c>
      <c r="N243" s="24"/>
      <c r="O243" s="19">
        <v>18.0</v>
      </c>
      <c r="P243" s="40">
        <v>0.04047824834341688</v>
      </c>
      <c r="Q243" s="40">
        <v>0.03462050599201065</v>
      </c>
      <c r="R243" s="40">
        <v>0.015503875968992248</v>
      </c>
      <c r="S243" s="40">
        <v>0.019230769230769232</v>
      </c>
      <c r="T243" s="40">
        <v>0.015151515151515152</v>
      </c>
    </row>
    <row r="244" ht="15.75" customHeight="1">
      <c r="F244" s="24"/>
      <c r="G244" s="19">
        <v>19.0</v>
      </c>
      <c r="H244" s="20">
        <v>214.0</v>
      </c>
      <c r="I244" s="20">
        <v>67.0</v>
      </c>
      <c r="J244" s="20">
        <v>1.0</v>
      </c>
      <c r="K244" s="20">
        <v>11.0</v>
      </c>
      <c r="L244" s="20">
        <v>6.0</v>
      </c>
      <c r="N244" s="24"/>
      <c r="O244" s="19">
        <v>19.0</v>
      </c>
      <c r="P244" s="40">
        <v>0.030826851051570153</v>
      </c>
      <c r="Q244" s="40">
        <v>0.02230359520639148</v>
      </c>
      <c r="R244" s="40">
        <v>0.007751937984496124</v>
      </c>
      <c r="S244" s="40">
        <v>0.019230769230769232</v>
      </c>
      <c r="T244" s="40">
        <v>0.006060606060606061</v>
      </c>
    </row>
    <row r="245" ht="15.75" customHeight="1">
      <c r="F245" s="24"/>
      <c r="G245" s="19">
        <v>20.0</v>
      </c>
      <c r="H245" s="20">
        <v>179.0</v>
      </c>
      <c r="I245" s="20">
        <v>49.0</v>
      </c>
      <c r="J245" s="20"/>
      <c r="K245" s="20">
        <v>6.0</v>
      </c>
      <c r="L245" s="20">
        <v>16.0</v>
      </c>
      <c r="N245" s="24"/>
      <c r="O245" s="19">
        <v>20.0</v>
      </c>
      <c r="P245" s="40">
        <v>0.0257850763468741</v>
      </c>
      <c r="Q245" s="40">
        <v>0.016311584553928095</v>
      </c>
      <c r="R245" s="40">
        <v>0.0</v>
      </c>
      <c r="S245" s="40">
        <v>0.01048951048951049</v>
      </c>
      <c r="T245" s="40">
        <v>0.01616161616161616</v>
      </c>
    </row>
    <row r="246" ht="15.75" customHeight="1">
      <c r="F246" s="24"/>
      <c r="G246" s="19">
        <v>21.0</v>
      </c>
      <c r="H246" s="20">
        <v>188.0</v>
      </c>
      <c r="I246" s="20">
        <v>50.0</v>
      </c>
      <c r="J246" s="20"/>
      <c r="K246" s="20">
        <v>6.0</v>
      </c>
      <c r="L246" s="20">
        <v>7.0</v>
      </c>
      <c r="N246" s="24"/>
      <c r="O246" s="19">
        <v>21.0</v>
      </c>
      <c r="P246" s="40">
        <v>0.027081532699510226</v>
      </c>
      <c r="Q246" s="40">
        <v>0.016644474034620507</v>
      </c>
      <c r="R246" s="40">
        <v>0.0</v>
      </c>
      <c r="S246" s="40">
        <v>0.01048951048951049</v>
      </c>
      <c r="T246" s="40">
        <v>0.007070707070707071</v>
      </c>
    </row>
    <row r="247" ht="15.75" customHeight="1">
      <c r="F247" s="24"/>
      <c r="G247" s="19">
        <v>22.0</v>
      </c>
      <c r="H247" s="20">
        <v>140.0</v>
      </c>
      <c r="I247" s="20">
        <v>56.0</v>
      </c>
      <c r="J247" s="20">
        <v>2.0</v>
      </c>
      <c r="K247" s="20">
        <v>2.0</v>
      </c>
      <c r="L247" s="20">
        <v>10.0</v>
      </c>
      <c r="N247" s="24"/>
      <c r="O247" s="19">
        <v>22.0</v>
      </c>
      <c r="P247" s="40">
        <v>0.020167098818784212</v>
      </c>
      <c r="Q247" s="40">
        <v>0.018641810918774968</v>
      </c>
      <c r="R247" s="40">
        <v>0.015503875968992248</v>
      </c>
      <c r="S247" s="40">
        <v>0.0034965034965034965</v>
      </c>
      <c r="T247" s="40">
        <v>0.010101010101010102</v>
      </c>
    </row>
    <row r="248" ht="15.75" customHeight="1">
      <c r="F248" s="28"/>
      <c r="G248" s="19">
        <v>23.0</v>
      </c>
      <c r="H248" s="20">
        <v>68.0</v>
      </c>
      <c r="I248" s="20">
        <v>24.0</v>
      </c>
      <c r="J248" s="20">
        <v>1.0</v>
      </c>
      <c r="K248" s="20">
        <v>6.0</v>
      </c>
      <c r="L248" s="20">
        <v>16.0</v>
      </c>
      <c r="N248" s="28"/>
      <c r="O248" s="19">
        <v>23.0</v>
      </c>
      <c r="P248" s="40">
        <v>0.00979544799769519</v>
      </c>
      <c r="Q248" s="40">
        <v>0.007989347536617843</v>
      </c>
      <c r="R248" s="40">
        <v>0.007751937984496124</v>
      </c>
      <c r="S248" s="40">
        <v>0.01048951048951049</v>
      </c>
      <c r="T248" s="40">
        <v>0.01616161616161616</v>
      </c>
    </row>
    <row r="249" ht="15.75" customHeight="1">
      <c r="F249" s="56">
        <v>45218.0</v>
      </c>
      <c r="G249" s="19">
        <v>0.0</v>
      </c>
      <c r="H249" s="19">
        <v>46.0</v>
      </c>
      <c r="I249" s="60">
        <v>22.0</v>
      </c>
      <c r="J249" s="60">
        <v>1.0</v>
      </c>
      <c r="K249" s="60">
        <v>6.0</v>
      </c>
      <c r="L249" s="60">
        <v>8.0</v>
      </c>
      <c r="N249" s="56">
        <v>45218.0</v>
      </c>
      <c r="O249" s="19">
        <v>0.0</v>
      </c>
      <c r="P249" s="44">
        <v>0.006650281914124621</v>
      </c>
      <c r="Q249" s="44">
        <v>0.007787610619469027</v>
      </c>
      <c r="R249" s="44">
        <v>0.005813953488372093</v>
      </c>
      <c r="S249" s="44">
        <v>0.009538950715421303</v>
      </c>
      <c r="T249" s="44">
        <v>0.008307372793354102</v>
      </c>
    </row>
    <row r="250" ht="15.75" customHeight="1">
      <c r="F250" s="24"/>
      <c r="G250" s="19">
        <v>1.0</v>
      </c>
      <c r="H250" s="45">
        <v>33.0</v>
      </c>
      <c r="I250" s="31">
        <v>12.0</v>
      </c>
      <c r="J250" s="31">
        <v>1.0</v>
      </c>
      <c r="K250" s="31">
        <v>3.0</v>
      </c>
      <c r="L250" s="31">
        <v>8.0</v>
      </c>
      <c r="N250" s="24"/>
      <c r="O250" s="19">
        <v>1.0</v>
      </c>
      <c r="P250" s="44">
        <v>0.004770854416654619</v>
      </c>
      <c r="Q250" s="44">
        <v>0.004247787610619469</v>
      </c>
      <c r="R250" s="44">
        <v>0.005813953488372093</v>
      </c>
      <c r="S250" s="44">
        <v>0.0047694753577106515</v>
      </c>
      <c r="T250" s="44">
        <v>0.008307372793354102</v>
      </c>
    </row>
    <row r="251" ht="15.75" customHeight="1">
      <c r="F251" s="24"/>
      <c r="G251" s="19">
        <v>2.0</v>
      </c>
      <c r="H251" s="45">
        <v>34.0</v>
      </c>
      <c r="I251" s="31">
        <v>9.0</v>
      </c>
      <c r="J251" s="20"/>
      <c r="K251" s="31">
        <v>14.0</v>
      </c>
      <c r="L251" s="31">
        <v>13.0</v>
      </c>
      <c r="N251" s="24"/>
      <c r="O251" s="19">
        <v>2.0</v>
      </c>
      <c r="P251" s="44">
        <v>0.00491542576261385</v>
      </c>
      <c r="Q251" s="44">
        <v>0.003185840707964602</v>
      </c>
      <c r="R251" s="44">
        <v>0.0</v>
      </c>
      <c r="S251" s="44">
        <v>0.022257551669316374</v>
      </c>
      <c r="T251" s="44">
        <v>0.013499480789200415</v>
      </c>
    </row>
    <row r="252" ht="15.75" customHeight="1">
      <c r="F252" s="24"/>
      <c r="G252" s="19">
        <v>3.0</v>
      </c>
      <c r="H252" s="45">
        <v>27.0</v>
      </c>
      <c r="I252" s="31">
        <v>18.0</v>
      </c>
      <c r="J252" s="20"/>
      <c r="K252" s="31">
        <v>7.0</v>
      </c>
      <c r="L252" s="31">
        <v>15.0</v>
      </c>
      <c r="N252" s="24"/>
      <c r="O252" s="19">
        <v>3.0</v>
      </c>
      <c r="P252" s="44">
        <v>0.003903426340899234</v>
      </c>
      <c r="Q252" s="44">
        <v>0.006371681415929204</v>
      </c>
      <c r="R252" s="44">
        <v>0.0</v>
      </c>
      <c r="S252" s="44">
        <v>0.011128775834658187</v>
      </c>
      <c r="T252" s="44">
        <v>0.01557632398753894</v>
      </c>
    </row>
    <row r="253" ht="15.75" customHeight="1">
      <c r="F253" s="24"/>
      <c r="G253" s="19">
        <v>4.0</v>
      </c>
      <c r="H253" s="45">
        <v>65.0</v>
      </c>
      <c r="I253" s="31">
        <v>42.0</v>
      </c>
      <c r="J253" s="31">
        <v>2.0</v>
      </c>
      <c r="K253" s="31">
        <v>25.0</v>
      </c>
      <c r="L253" s="31">
        <v>24.0</v>
      </c>
      <c r="N253" s="24"/>
      <c r="O253" s="19">
        <v>4.0</v>
      </c>
      <c r="P253" s="44">
        <v>0.009397137487350007</v>
      </c>
      <c r="Q253" s="44">
        <v>0.014867256637168142</v>
      </c>
      <c r="R253" s="44">
        <v>0.011627906976744186</v>
      </c>
      <c r="S253" s="44">
        <v>0.0397456279809221</v>
      </c>
      <c r="T253" s="44">
        <v>0.024922118380062305</v>
      </c>
    </row>
    <row r="254" ht="15.75" customHeight="1">
      <c r="F254" s="24"/>
      <c r="G254" s="19">
        <v>5.0</v>
      </c>
      <c r="H254" s="45">
        <v>147.0</v>
      </c>
      <c r="I254" s="31">
        <v>76.0</v>
      </c>
      <c r="J254" s="31">
        <v>7.0</v>
      </c>
      <c r="K254" s="31">
        <v>27.0</v>
      </c>
      <c r="L254" s="31">
        <v>33.0</v>
      </c>
      <c r="N254" s="24"/>
      <c r="O254" s="19">
        <v>5.0</v>
      </c>
      <c r="P254" s="44">
        <v>0.02125198785600694</v>
      </c>
      <c r="Q254" s="44">
        <v>0.026902654867256636</v>
      </c>
      <c r="R254" s="44">
        <v>0.040697674418604654</v>
      </c>
      <c r="S254" s="44">
        <v>0.04292527821939587</v>
      </c>
      <c r="T254" s="44">
        <v>0.03426791277258567</v>
      </c>
    </row>
    <row r="255" ht="15.75" customHeight="1">
      <c r="F255" s="24"/>
      <c r="G255" s="19">
        <v>6.0</v>
      </c>
      <c r="H255" s="45">
        <v>36.0</v>
      </c>
      <c r="I255" s="31">
        <v>145.0</v>
      </c>
      <c r="J255" s="31">
        <v>11.0</v>
      </c>
      <c r="K255" s="31">
        <v>40.0</v>
      </c>
      <c r="L255" s="31">
        <v>49.0</v>
      </c>
      <c r="N255" s="24"/>
      <c r="O255" s="19">
        <v>6.0</v>
      </c>
      <c r="P255" s="44">
        <v>0.005204568454532312</v>
      </c>
      <c r="Q255" s="44">
        <v>0.05132743362831858</v>
      </c>
      <c r="R255" s="44">
        <v>0.06395348837209303</v>
      </c>
      <c r="S255" s="44">
        <v>0.06359300476947535</v>
      </c>
      <c r="T255" s="44">
        <v>0.05088265835929388</v>
      </c>
    </row>
    <row r="256" ht="15.75" customHeight="1">
      <c r="F256" s="24"/>
      <c r="G256" s="19">
        <v>7.0</v>
      </c>
      <c r="H256" s="45">
        <v>624.0</v>
      </c>
      <c r="I256" s="31">
        <v>220.0</v>
      </c>
      <c r="J256" s="31">
        <v>22.0</v>
      </c>
      <c r="K256" s="31">
        <v>54.0</v>
      </c>
      <c r="L256" s="31">
        <v>67.0</v>
      </c>
      <c r="N256" s="24"/>
      <c r="O256" s="19">
        <v>7.0</v>
      </c>
      <c r="P256" s="44">
        <v>0.09021251987856006</v>
      </c>
      <c r="Q256" s="44">
        <v>0.07787610619469026</v>
      </c>
      <c r="R256" s="44">
        <v>0.12790697674418605</v>
      </c>
      <c r="S256" s="44">
        <v>0.08585055643879173</v>
      </c>
      <c r="T256" s="44">
        <v>0.0695742471443406</v>
      </c>
    </row>
    <row r="257" ht="15.75" customHeight="1">
      <c r="F257" s="24"/>
      <c r="G257" s="19">
        <v>8.0</v>
      </c>
      <c r="H257" s="45">
        <v>596.0</v>
      </c>
      <c r="I257" s="31">
        <v>305.0</v>
      </c>
      <c r="J257" s="31">
        <v>14.0</v>
      </c>
      <c r="K257" s="31">
        <v>48.0</v>
      </c>
      <c r="L257" s="31">
        <v>91.0</v>
      </c>
      <c r="N257" s="24"/>
      <c r="O257" s="19">
        <v>8.0</v>
      </c>
      <c r="P257" s="44">
        <v>0.0861645221917016</v>
      </c>
      <c r="Q257" s="44">
        <v>0.1079646017699115</v>
      </c>
      <c r="R257" s="44">
        <v>0.08139534883720931</v>
      </c>
      <c r="S257" s="44">
        <v>0.07631160572337042</v>
      </c>
      <c r="T257" s="44">
        <v>0.09449636552440291</v>
      </c>
    </row>
    <row r="258" ht="15.75" customHeight="1">
      <c r="F258" s="24"/>
      <c r="G258" s="19">
        <v>9.0</v>
      </c>
      <c r="H258" s="45">
        <v>637.0</v>
      </c>
      <c r="I258" s="31">
        <v>280.0</v>
      </c>
      <c r="J258" s="31">
        <v>19.0</v>
      </c>
      <c r="K258" s="31">
        <v>66.0</v>
      </c>
      <c r="L258" s="31">
        <v>91.0</v>
      </c>
      <c r="N258" s="24"/>
      <c r="O258" s="19">
        <v>9.0</v>
      </c>
      <c r="P258" s="44">
        <v>0.09209194737603008</v>
      </c>
      <c r="Q258" s="44">
        <v>0.09911504424778761</v>
      </c>
      <c r="R258" s="44">
        <v>0.11046511627906977</v>
      </c>
      <c r="S258" s="44">
        <v>0.10492845786963434</v>
      </c>
      <c r="T258" s="44">
        <v>0.09449636552440291</v>
      </c>
    </row>
    <row r="259" ht="15.75" customHeight="1">
      <c r="F259" s="24"/>
      <c r="G259" s="19">
        <v>10.0</v>
      </c>
      <c r="H259" s="45">
        <v>610.0</v>
      </c>
      <c r="I259" s="31">
        <v>230.0</v>
      </c>
      <c r="J259" s="31">
        <v>7.0</v>
      </c>
      <c r="K259" s="31">
        <v>50.0</v>
      </c>
      <c r="L259" s="31">
        <v>96.0</v>
      </c>
      <c r="N259" s="24"/>
      <c r="O259" s="19">
        <v>10.0</v>
      </c>
      <c r="P259" s="44">
        <v>0.08818852103513083</v>
      </c>
      <c r="Q259" s="44">
        <v>0.08141592920353982</v>
      </c>
      <c r="R259" s="44">
        <v>0.040697674418604654</v>
      </c>
      <c r="S259" s="44">
        <v>0.0794912559618442</v>
      </c>
      <c r="T259" s="44">
        <v>0.09968847352024922</v>
      </c>
    </row>
    <row r="260" ht="15.75" customHeight="1">
      <c r="F260" s="24"/>
      <c r="G260" s="19">
        <v>11.0</v>
      </c>
      <c r="H260" s="45">
        <v>480.0</v>
      </c>
      <c r="I260" s="31">
        <v>157.0</v>
      </c>
      <c r="J260" s="31">
        <v>20.0</v>
      </c>
      <c r="K260" s="31">
        <v>40.0</v>
      </c>
      <c r="L260" s="31">
        <v>76.0</v>
      </c>
      <c r="N260" s="24"/>
      <c r="O260" s="19">
        <v>11.0</v>
      </c>
      <c r="P260" s="44">
        <v>0.06939424606043082</v>
      </c>
      <c r="Q260" s="44">
        <v>0.05557522123893805</v>
      </c>
      <c r="R260" s="44">
        <v>0.11627906976744186</v>
      </c>
      <c r="S260" s="44">
        <v>0.06359300476947535</v>
      </c>
      <c r="T260" s="44">
        <v>0.07892004153686397</v>
      </c>
    </row>
    <row r="261" ht="15.75" customHeight="1">
      <c r="F261" s="24"/>
      <c r="G261" s="19">
        <v>12.0</v>
      </c>
      <c r="H261" s="45">
        <v>389.0</v>
      </c>
      <c r="I261" s="31">
        <v>136.0</v>
      </c>
      <c r="J261" s="31">
        <v>7.0</v>
      </c>
      <c r="K261" s="31">
        <v>34.0</v>
      </c>
      <c r="L261" s="31">
        <v>77.0</v>
      </c>
      <c r="N261" s="24"/>
      <c r="O261" s="19">
        <v>12.0</v>
      </c>
      <c r="P261" s="44">
        <v>0.056238253578140815</v>
      </c>
      <c r="Q261" s="44">
        <v>0.048141592920353984</v>
      </c>
      <c r="R261" s="44">
        <v>0.040697674418604654</v>
      </c>
      <c r="S261" s="44">
        <v>0.05405405405405406</v>
      </c>
      <c r="T261" s="44">
        <v>0.07995846313603323</v>
      </c>
    </row>
    <row r="262" ht="15.75" customHeight="1">
      <c r="F262" s="24"/>
      <c r="G262" s="19">
        <v>13.0</v>
      </c>
      <c r="H262" s="45">
        <v>395.0</v>
      </c>
      <c r="I262" s="31">
        <v>135.0</v>
      </c>
      <c r="J262" s="31">
        <v>11.0</v>
      </c>
      <c r="K262" s="31">
        <v>36.0</v>
      </c>
      <c r="L262" s="31">
        <v>83.0</v>
      </c>
      <c r="N262" s="24"/>
      <c r="O262" s="19">
        <v>13.0</v>
      </c>
      <c r="P262" s="44">
        <v>0.0571056816538962</v>
      </c>
      <c r="Q262" s="44">
        <v>0.047787610619469026</v>
      </c>
      <c r="R262" s="44">
        <v>0.06395348837209303</v>
      </c>
      <c r="S262" s="44">
        <v>0.057233704292527825</v>
      </c>
      <c r="T262" s="44">
        <v>0.08618899273104881</v>
      </c>
    </row>
    <row r="263" ht="15.75" customHeight="1">
      <c r="F263" s="24"/>
      <c r="G263" s="19">
        <v>14.0</v>
      </c>
      <c r="H263" s="45">
        <v>416.0</v>
      </c>
      <c r="I263" s="31">
        <v>155.0</v>
      </c>
      <c r="J263" s="31">
        <v>13.0</v>
      </c>
      <c r="K263" s="31">
        <v>35.0</v>
      </c>
      <c r="L263" s="31">
        <v>63.0</v>
      </c>
      <c r="N263" s="24"/>
      <c r="O263" s="19">
        <v>14.0</v>
      </c>
      <c r="P263" s="44">
        <v>0.06014167991904005</v>
      </c>
      <c r="Q263" s="44">
        <v>0.05486725663716814</v>
      </c>
      <c r="R263" s="44">
        <v>0.0755813953488372</v>
      </c>
      <c r="S263" s="44">
        <v>0.05564387917329094</v>
      </c>
      <c r="T263" s="44">
        <v>0.06542056074766354</v>
      </c>
    </row>
    <row r="264" ht="15.75" customHeight="1">
      <c r="F264" s="24"/>
      <c r="G264" s="19">
        <v>15.0</v>
      </c>
      <c r="H264" s="45">
        <v>395.0</v>
      </c>
      <c r="I264" s="31">
        <v>151.0</v>
      </c>
      <c r="J264" s="31">
        <v>17.0</v>
      </c>
      <c r="K264" s="31">
        <v>33.0</v>
      </c>
      <c r="L264" s="31">
        <v>51.0</v>
      </c>
      <c r="N264" s="24"/>
      <c r="O264" s="19">
        <v>15.0</v>
      </c>
      <c r="P264" s="44">
        <v>0.0571056816538962</v>
      </c>
      <c r="Q264" s="44">
        <v>0.05345132743362832</v>
      </c>
      <c r="R264" s="44">
        <v>0.09883720930232558</v>
      </c>
      <c r="S264" s="44">
        <v>0.05246422893481717</v>
      </c>
      <c r="T264" s="44">
        <v>0.0529595015576324</v>
      </c>
    </row>
    <row r="265" ht="15.75" customHeight="1">
      <c r="F265" s="24"/>
      <c r="G265" s="19">
        <v>16.0</v>
      </c>
      <c r="H265" s="45">
        <v>375.0</v>
      </c>
      <c r="I265" s="31">
        <v>168.0</v>
      </c>
      <c r="J265" s="31">
        <v>10.0</v>
      </c>
      <c r="K265" s="31">
        <v>28.0</v>
      </c>
      <c r="L265" s="31">
        <v>34.0</v>
      </c>
      <c r="N265" s="24"/>
      <c r="O265" s="19">
        <v>16.0</v>
      </c>
      <c r="P265" s="44">
        <v>0.05421425473471158</v>
      </c>
      <c r="Q265" s="44">
        <v>0.05946902654867257</v>
      </c>
      <c r="R265" s="44">
        <v>0.05813953488372093</v>
      </c>
      <c r="S265" s="44">
        <v>0.04451510333863275</v>
      </c>
      <c r="T265" s="44">
        <v>0.035306334371754934</v>
      </c>
    </row>
    <row r="266" ht="15.75" customHeight="1">
      <c r="F266" s="24"/>
      <c r="G266" s="19">
        <v>17.0</v>
      </c>
      <c r="H266" s="45">
        <v>414.0</v>
      </c>
      <c r="I266" s="31">
        <v>179.0</v>
      </c>
      <c r="J266" s="31">
        <v>1.0</v>
      </c>
      <c r="K266" s="31">
        <v>19.0</v>
      </c>
      <c r="L266" s="31">
        <v>17.0</v>
      </c>
      <c r="N266" s="24"/>
      <c r="O266" s="19">
        <v>17.0</v>
      </c>
      <c r="P266" s="44">
        <v>0.05985253722712158</v>
      </c>
      <c r="Q266" s="44">
        <v>0.06336283185840708</v>
      </c>
      <c r="R266" s="44">
        <v>0.005813953488372093</v>
      </c>
      <c r="S266" s="44">
        <v>0.030206677265500796</v>
      </c>
      <c r="T266" s="44">
        <v>0.017653167185877467</v>
      </c>
    </row>
    <row r="267" ht="15.75" customHeight="1">
      <c r="F267" s="24"/>
      <c r="G267" s="19">
        <v>18.0</v>
      </c>
      <c r="H267" s="45">
        <v>336.0</v>
      </c>
      <c r="I267" s="31">
        <v>120.0</v>
      </c>
      <c r="J267" s="31">
        <v>2.0</v>
      </c>
      <c r="K267" s="31">
        <v>9.0</v>
      </c>
      <c r="L267" s="31">
        <v>12.0</v>
      </c>
      <c r="N267" s="24"/>
      <c r="O267" s="19">
        <v>18.0</v>
      </c>
      <c r="P267" s="44">
        <v>0.04857597224230158</v>
      </c>
      <c r="Q267" s="44">
        <v>0.04247787610619469</v>
      </c>
      <c r="R267" s="44">
        <v>0.011627906976744186</v>
      </c>
      <c r="S267" s="44">
        <v>0.014308426073131956</v>
      </c>
      <c r="T267" s="44">
        <v>0.012461059190031152</v>
      </c>
    </row>
    <row r="268" ht="15.75" customHeight="1">
      <c r="F268" s="24"/>
      <c r="G268" s="19">
        <v>19.0</v>
      </c>
      <c r="H268" s="45">
        <v>243.0</v>
      </c>
      <c r="I268" s="31">
        <v>83.0</v>
      </c>
      <c r="J268" s="31">
        <v>5.0</v>
      </c>
      <c r="K268" s="31">
        <v>18.0</v>
      </c>
      <c r="L268" s="31">
        <v>13.0</v>
      </c>
      <c r="N268" s="24"/>
      <c r="O268" s="19">
        <v>19.0</v>
      </c>
      <c r="P268" s="44">
        <v>0.035130837068093106</v>
      </c>
      <c r="Q268" s="44">
        <v>0.02938053097345133</v>
      </c>
      <c r="R268" s="44">
        <v>0.029069767441860465</v>
      </c>
      <c r="S268" s="44">
        <v>0.028616852146263912</v>
      </c>
      <c r="T268" s="44">
        <v>0.013499480789200415</v>
      </c>
    </row>
    <row r="269" ht="15.75" customHeight="1">
      <c r="F269" s="24"/>
      <c r="G269" s="19">
        <v>20.0</v>
      </c>
      <c r="H269" s="45">
        <v>225.0</v>
      </c>
      <c r="I269" s="31">
        <v>62.0</v>
      </c>
      <c r="J269" s="20"/>
      <c r="K269" s="31">
        <v>10.0</v>
      </c>
      <c r="L269" s="31">
        <v>10.0</v>
      </c>
      <c r="N269" s="24"/>
      <c r="O269" s="19">
        <v>20.0</v>
      </c>
      <c r="P269" s="44">
        <v>0.032528552840826945</v>
      </c>
      <c r="Q269" s="44">
        <v>0.021946902654867255</v>
      </c>
      <c r="R269" s="44">
        <v>0.0</v>
      </c>
      <c r="S269" s="44">
        <v>0.01589825119236884</v>
      </c>
      <c r="T269" s="44">
        <v>0.010384215991692628</v>
      </c>
    </row>
    <row r="270" ht="15.75" customHeight="1">
      <c r="F270" s="24"/>
      <c r="G270" s="19">
        <v>21.0</v>
      </c>
      <c r="H270" s="45">
        <v>192.0</v>
      </c>
      <c r="I270" s="31">
        <v>58.0</v>
      </c>
      <c r="J270" s="20"/>
      <c r="K270" s="31">
        <v>4.0</v>
      </c>
      <c r="L270" s="31">
        <v>14.0</v>
      </c>
      <c r="N270" s="24"/>
      <c r="O270" s="19">
        <v>21.0</v>
      </c>
      <c r="P270" s="44">
        <v>0.02775769842417233</v>
      </c>
      <c r="Q270" s="44">
        <v>0.020530973451327435</v>
      </c>
      <c r="R270" s="44">
        <v>0.0</v>
      </c>
      <c r="S270" s="44">
        <v>0.006359300476947536</v>
      </c>
      <c r="T270" s="44">
        <v>0.014537902388369679</v>
      </c>
    </row>
    <row r="271" ht="15.75" customHeight="1">
      <c r="F271" s="24"/>
      <c r="G271" s="19">
        <v>22.0</v>
      </c>
      <c r="H271" s="45">
        <v>137.0</v>
      </c>
      <c r="I271" s="31">
        <v>38.0</v>
      </c>
      <c r="J271" s="31">
        <v>2.0</v>
      </c>
      <c r="K271" s="31">
        <v>9.0</v>
      </c>
      <c r="L271" s="31">
        <v>10.0</v>
      </c>
      <c r="N271" s="24"/>
      <c r="O271" s="19">
        <v>22.0</v>
      </c>
      <c r="P271" s="44">
        <v>0.01980627439641463</v>
      </c>
      <c r="Q271" s="44">
        <v>0.013451327433628318</v>
      </c>
      <c r="R271" s="44">
        <v>0.011627906976744186</v>
      </c>
      <c r="S271" s="44">
        <v>0.014308426073131956</v>
      </c>
      <c r="T271" s="44">
        <v>0.010384215991692628</v>
      </c>
    </row>
    <row r="272" ht="15.75" customHeight="1">
      <c r="F272" s="28"/>
      <c r="G272" s="19">
        <v>23.0</v>
      </c>
      <c r="H272" s="46">
        <v>65.0</v>
      </c>
      <c r="I272" s="61">
        <v>24.0</v>
      </c>
      <c r="J272" s="20"/>
      <c r="K272" s="61">
        <v>14.0</v>
      </c>
      <c r="L272" s="61">
        <v>8.0</v>
      </c>
      <c r="N272" s="28"/>
      <c r="O272" s="19">
        <v>23.0</v>
      </c>
      <c r="P272" s="44">
        <v>0.009397137487350007</v>
      </c>
      <c r="Q272" s="44">
        <v>0.008495575221238939</v>
      </c>
      <c r="R272" s="44">
        <v>0.0</v>
      </c>
      <c r="S272" s="44">
        <v>0.022257551669316374</v>
      </c>
      <c r="T272" s="44">
        <v>0.008307372793354102</v>
      </c>
    </row>
    <row r="273" ht="15.75" customHeight="1">
      <c r="F273" s="56">
        <v>45219.0</v>
      </c>
      <c r="G273" s="19">
        <v>0.0</v>
      </c>
      <c r="H273" s="20">
        <v>61.0</v>
      </c>
      <c r="I273" s="20">
        <v>18.0</v>
      </c>
      <c r="J273" s="20"/>
      <c r="K273" s="20">
        <v>9.0</v>
      </c>
      <c r="L273" s="20">
        <v>6.0</v>
      </c>
      <c r="N273" s="56">
        <v>45219.0</v>
      </c>
      <c r="O273" s="19">
        <v>0.0</v>
      </c>
      <c r="P273" s="40">
        <v>0.006552798367171555</v>
      </c>
      <c r="Q273" s="40">
        <v>0.0053475935828877</v>
      </c>
      <c r="R273" s="40">
        <v>0.0</v>
      </c>
      <c r="S273" s="40">
        <v>0.015706806282722512</v>
      </c>
      <c r="T273" s="40">
        <v>0.006507592190889371</v>
      </c>
    </row>
    <row r="274" ht="15.75" customHeight="1">
      <c r="F274" s="24"/>
      <c r="G274" s="19">
        <v>1.0</v>
      </c>
      <c r="H274" s="20">
        <v>48.0</v>
      </c>
      <c r="I274" s="20">
        <v>19.0</v>
      </c>
      <c r="J274" s="20"/>
      <c r="K274" s="20">
        <v>12.0</v>
      </c>
      <c r="L274" s="20">
        <v>4.0</v>
      </c>
      <c r="N274" s="24"/>
      <c r="O274" s="19">
        <v>1.0</v>
      </c>
      <c r="P274" s="40">
        <v>0.00515630035449565</v>
      </c>
      <c r="Q274" s="40">
        <v>0.00564468211527035</v>
      </c>
      <c r="R274" s="40">
        <v>0.0</v>
      </c>
      <c r="S274" s="40">
        <v>0.020942408376963352</v>
      </c>
      <c r="T274" s="40">
        <v>0.004338394793926247</v>
      </c>
    </row>
    <row r="275" ht="15.75" customHeight="1">
      <c r="F275" s="24"/>
      <c r="G275" s="19">
        <v>2.0</v>
      </c>
      <c r="H275" s="16">
        <v>40.0</v>
      </c>
      <c r="I275" s="16">
        <v>18.0</v>
      </c>
      <c r="J275" s="16"/>
      <c r="K275" s="16">
        <v>11.0</v>
      </c>
      <c r="L275" s="16">
        <v>14.0</v>
      </c>
      <c r="N275" s="24"/>
      <c r="O275" s="19">
        <v>2.0</v>
      </c>
      <c r="P275" s="40">
        <v>0.004296916962079708</v>
      </c>
      <c r="Q275" s="40">
        <v>0.0053475935828877</v>
      </c>
      <c r="R275" s="40">
        <v>0.0</v>
      </c>
      <c r="S275" s="40">
        <v>0.019197207678883072</v>
      </c>
      <c r="T275" s="40">
        <v>0.015184381778741865</v>
      </c>
    </row>
    <row r="276" ht="15.75" customHeight="1">
      <c r="F276" s="24"/>
      <c r="G276" s="19">
        <v>3.0</v>
      </c>
      <c r="H276" s="20">
        <v>41.0</v>
      </c>
      <c r="I276" s="20">
        <v>22.0</v>
      </c>
      <c r="J276" s="20"/>
      <c r="K276" s="20">
        <v>11.0</v>
      </c>
      <c r="L276" s="20">
        <v>21.0</v>
      </c>
      <c r="N276" s="24"/>
      <c r="O276" s="19">
        <v>3.0</v>
      </c>
      <c r="P276" s="40">
        <v>0.0044043398861317</v>
      </c>
      <c r="Q276" s="40">
        <v>0.006535947712418301</v>
      </c>
      <c r="R276" s="40">
        <v>0.0</v>
      </c>
      <c r="S276" s="40">
        <v>0.019197207678883072</v>
      </c>
      <c r="T276" s="40">
        <v>0.0227765726681128</v>
      </c>
    </row>
    <row r="277" ht="15.75" customHeight="1">
      <c r="F277" s="24"/>
      <c r="G277" s="19">
        <v>4.0</v>
      </c>
      <c r="H277" s="20">
        <v>84.0</v>
      </c>
      <c r="I277" s="20">
        <v>40.0</v>
      </c>
      <c r="J277" s="20">
        <v>1.0</v>
      </c>
      <c r="K277" s="20">
        <v>32.0</v>
      </c>
      <c r="L277" s="20">
        <v>22.0</v>
      </c>
      <c r="N277" s="24"/>
      <c r="O277" s="19">
        <v>4.0</v>
      </c>
      <c r="P277" s="40">
        <v>0.009023525620367387</v>
      </c>
      <c r="Q277" s="40">
        <v>0.011883541295306001</v>
      </c>
      <c r="R277" s="40">
        <v>0.0047169811320754715</v>
      </c>
      <c r="S277" s="40">
        <v>0.055846422338568937</v>
      </c>
      <c r="T277" s="40">
        <v>0.02386117136659436</v>
      </c>
    </row>
    <row r="278" ht="15.75" customHeight="1">
      <c r="F278" s="24"/>
      <c r="G278" s="19">
        <v>5.0</v>
      </c>
      <c r="H278" s="20">
        <v>143.0</v>
      </c>
      <c r="I278" s="20">
        <v>87.0</v>
      </c>
      <c r="J278" s="20">
        <v>6.0</v>
      </c>
      <c r="K278" s="20">
        <v>28.0</v>
      </c>
      <c r="L278" s="20">
        <v>40.0</v>
      </c>
      <c r="N278" s="24"/>
      <c r="O278" s="19">
        <v>5.0</v>
      </c>
      <c r="P278" s="40">
        <v>0.015361478139434956</v>
      </c>
      <c r="Q278" s="40">
        <v>0.025846702317290554</v>
      </c>
      <c r="R278" s="40">
        <v>0.02830188679245283</v>
      </c>
      <c r="S278" s="40">
        <v>0.04886561954624782</v>
      </c>
      <c r="T278" s="40">
        <v>0.04338394793926247</v>
      </c>
    </row>
    <row r="279" ht="15.75" customHeight="1">
      <c r="F279" s="24"/>
      <c r="G279" s="19">
        <v>6.0</v>
      </c>
      <c r="H279" s="20">
        <v>326.0</v>
      </c>
      <c r="I279" s="20">
        <v>156.0</v>
      </c>
      <c r="J279" s="20">
        <v>18.0</v>
      </c>
      <c r="K279" s="20">
        <v>32.0</v>
      </c>
      <c r="L279" s="20">
        <v>48.0</v>
      </c>
      <c r="N279" s="24"/>
      <c r="O279" s="19">
        <v>6.0</v>
      </c>
      <c r="P279" s="40">
        <v>0.03501987324094962</v>
      </c>
      <c r="Q279" s="40">
        <v>0.04634581105169341</v>
      </c>
      <c r="R279" s="40">
        <v>0.08490566037735849</v>
      </c>
      <c r="S279" s="40">
        <v>0.055846422338568937</v>
      </c>
      <c r="T279" s="40">
        <v>0.052060737527114966</v>
      </c>
    </row>
    <row r="280" ht="15.75" customHeight="1">
      <c r="F280" s="24"/>
      <c r="G280" s="19">
        <v>7.0</v>
      </c>
      <c r="H280" s="20">
        <v>625.0</v>
      </c>
      <c r="I280" s="20">
        <v>234.0</v>
      </c>
      <c r="J280" s="20">
        <v>28.0</v>
      </c>
      <c r="K280" s="20">
        <v>41.0</v>
      </c>
      <c r="L280" s="20">
        <v>45.0</v>
      </c>
      <c r="N280" s="24"/>
      <c r="O280" s="19">
        <v>7.0</v>
      </c>
      <c r="P280" s="40">
        <v>0.06713932753249544</v>
      </c>
      <c r="Q280" s="40">
        <v>0.06951871657754011</v>
      </c>
      <c r="R280" s="40">
        <v>0.1320754716981132</v>
      </c>
      <c r="S280" s="40">
        <v>0.07155322862129145</v>
      </c>
      <c r="T280" s="40">
        <v>0.04880694143167028</v>
      </c>
    </row>
    <row r="281" ht="15.75" customHeight="1">
      <c r="F281" s="24"/>
      <c r="G281" s="19">
        <v>8.0</v>
      </c>
      <c r="H281" s="20">
        <v>649.0</v>
      </c>
      <c r="I281" s="20">
        <v>290.0</v>
      </c>
      <c r="J281" s="20">
        <v>26.0</v>
      </c>
      <c r="K281" s="20">
        <v>48.0</v>
      </c>
      <c r="L281" s="20">
        <v>77.0</v>
      </c>
      <c r="N281" s="24"/>
      <c r="O281" s="19">
        <v>8.0</v>
      </c>
      <c r="P281" s="40">
        <v>0.06971747770974326</v>
      </c>
      <c r="Q281" s="40">
        <v>0.08615567439096851</v>
      </c>
      <c r="R281" s="40">
        <v>0.12264150943396226</v>
      </c>
      <c r="S281" s="40">
        <v>0.08376963350785341</v>
      </c>
      <c r="T281" s="40">
        <v>0.08351409978308026</v>
      </c>
    </row>
    <row r="282" ht="15.75" customHeight="1">
      <c r="F282" s="24"/>
      <c r="G282" s="19">
        <v>9.0</v>
      </c>
      <c r="H282" s="20">
        <v>618.0</v>
      </c>
      <c r="I282" s="20">
        <v>314.0</v>
      </c>
      <c r="J282" s="20">
        <v>23.0</v>
      </c>
      <c r="K282" s="20">
        <v>56.0</v>
      </c>
      <c r="L282" s="20">
        <v>72.0</v>
      </c>
      <c r="N282" s="24"/>
      <c r="O282" s="19">
        <v>9.0</v>
      </c>
      <c r="P282" s="40">
        <v>0.06638736706413148</v>
      </c>
      <c r="Q282" s="40">
        <v>0.0932857991681521</v>
      </c>
      <c r="R282" s="40">
        <v>0.10849056603773585</v>
      </c>
      <c r="S282" s="40">
        <v>0.09773123909249563</v>
      </c>
      <c r="T282" s="40">
        <v>0.07809110629067245</v>
      </c>
    </row>
    <row r="283" ht="15.75" customHeight="1">
      <c r="F283" s="24"/>
      <c r="G283" s="19">
        <v>10.0</v>
      </c>
      <c r="H283" s="20">
        <v>683.0</v>
      </c>
      <c r="I283" s="20">
        <v>220.0</v>
      </c>
      <c r="J283" s="20">
        <v>17.0</v>
      </c>
      <c r="K283" s="20">
        <v>45.0</v>
      </c>
      <c r="L283" s="20">
        <v>83.0</v>
      </c>
      <c r="N283" s="24"/>
      <c r="O283" s="19">
        <v>10.0</v>
      </c>
      <c r="P283" s="40">
        <v>0.07336985712751101</v>
      </c>
      <c r="Q283" s="40">
        <v>0.06535947712418301</v>
      </c>
      <c r="R283" s="40">
        <v>0.08018867924528301</v>
      </c>
      <c r="S283" s="40">
        <v>0.07853403141361257</v>
      </c>
      <c r="T283" s="40">
        <v>0.09002169197396963</v>
      </c>
    </row>
    <row r="284" ht="15.75" customHeight="1">
      <c r="F284" s="24"/>
      <c r="G284" s="19">
        <v>11.0</v>
      </c>
      <c r="H284" s="20">
        <v>556.0</v>
      </c>
      <c r="I284" s="20">
        <v>174.0</v>
      </c>
      <c r="J284" s="20">
        <v>18.0</v>
      </c>
      <c r="K284" s="20">
        <v>25.0</v>
      </c>
      <c r="L284" s="20">
        <v>84.0</v>
      </c>
      <c r="N284" s="24"/>
      <c r="O284" s="19">
        <v>11.0</v>
      </c>
      <c r="P284" s="40">
        <v>0.05972714577290794</v>
      </c>
      <c r="Q284" s="40">
        <v>0.05169340463458111</v>
      </c>
      <c r="R284" s="40">
        <v>0.08490566037735849</v>
      </c>
      <c r="S284" s="40">
        <v>0.04363001745200698</v>
      </c>
      <c r="T284" s="40">
        <v>0.0911062906724512</v>
      </c>
    </row>
    <row r="285" ht="15.75" customHeight="1">
      <c r="F285" s="24"/>
      <c r="G285" s="19">
        <v>12.0</v>
      </c>
      <c r="H285" s="20">
        <v>466.0</v>
      </c>
      <c r="I285" s="20">
        <v>166.0</v>
      </c>
      <c r="J285" s="20">
        <v>7.0</v>
      </c>
      <c r="K285" s="20">
        <v>37.0</v>
      </c>
      <c r="L285" s="20">
        <v>79.0</v>
      </c>
      <c r="N285" s="24"/>
      <c r="O285" s="19">
        <v>12.0</v>
      </c>
      <c r="P285" s="40">
        <v>0.0500590826082286</v>
      </c>
      <c r="Q285" s="40">
        <v>0.04931669637551991</v>
      </c>
      <c r="R285" s="40">
        <v>0.0330188679245283</v>
      </c>
      <c r="S285" s="40">
        <v>0.06457242582897033</v>
      </c>
      <c r="T285" s="40">
        <v>0.08568329718004339</v>
      </c>
    </row>
    <row r="286" ht="15.75" customHeight="1">
      <c r="F286" s="24"/>
      <c r="G286" s="19">
        <v>13.0</v>
      </c>
      <c r="H286" s="20">
        <v>524.0</v>
      </c>
      <c r="I286" s="20">
        <v>189.0</v>
      </c>
      <c r="J286" s="20">
        <v>15.0</v>
      </c>
      <c r="K286" s="20">
        <v>31.0</v>
      </c>
      <c r="L286" s="20">
        <v>86.0</v>
      </c>
      <c r="N286" s="24"/>
      <c r="O286" s="19">
        <v>13.0</v>
      </c>
      <c r="P286" s="40">
        <v>0.056289612203244174</v>
      </c>
      <c r="Q286" s="40">
        <v>0.05614973262032086</v>
      </c>
      <c r="R286" s="40">
        <v>0.07075471698113207</v>
      </c>
      <c r="S286" s="40">
        <v>0.05410122164048865</v>
      </c>
      <c r="T286" s="40">
        <v>0.09327548806941431</v>
      </c>
    </row>
    <row r="287" ht="15.75" customHeight="1">
      <c r="F287" s="24"/>
      <c r="G287" s="19">
        <v>14.0</v>
      </c>
      <c r="H287" s="20">
        <v>546.0</v>
      </c>
      <c r="I287" s="20">
        <v>199.0</v>
      </c>
      <c r="J287" s="20">
        <v>11.0</v>
      </c>
      <c r="K287" s="20">
        <v>33.0</v>
      </c>
      <c r="L287" s="20">
        <v>76.0</v>
      </c>
      <c r="N287" s="24"/>
      <c r="O287" s="19">
        <v>14.0</v>
      </c>
      <c r="P287" s="40">
        <v>0.058652916532388015</v>
      </c>
      <c r="Q287" s="40">
        <v>0.05912061794414736</v>
      </c>
      <c r="R287" s="40">
        <v>0.05188679245283019</v>
      </c>
      <c r="S287" s="40">
        <v>0.05759162303664921</v>
      </c>
      <c r="T287" s="40">
        <v>0.0824295010845987</v>
      </c>
    </row>
    <row r="288" ht="15.75" customHeight="1">
      <c r="F288" s="24"/>
      <c r="G288" s="19">
        <v>15.0</v>
      </c>
      <c r="H288" s="20">
        <v>511.0</v>
      </c>
      <c r="I288" s="20">
        <v>167.0</v>
      </c>
      <c r="J288" s="20">
        <v>10.0</v>
      </c>
      <c r="K288" s="20">
        <v>28.0</v>
      </c>
      <c r="L288" s="20">
        <v>60.0</v>
      </c>
      <c r="N288" s="24"/>
      <c r="O288" s="19">
        <v>15.0</v>
      </c>
      <c r="P288" s="40">
        <v>0.05489311419056827</v>
      </c>
      <c r="Q288" s="40">
        <v>0.04961378490790255</v>
      </c>
      <c r="R288" s="40">
        <v>0.04716981132075472</v>
      </c>
      <c r="S288" s="40">
        <v>0.04886561954624782</v>
      </c>
      <c r="T288" s="40">
        <v>0.0650759219088937</v>
      </c>
    </row>
    <row r="289" ht="15.75" customHeight="1">
      <c r="F289" s="24"/>
      <c r="G289" s="19">
        <v>16.0</v>
      </c>
      <c r="H289" s="20">
        <v>542.0</v>
      </c>
      <c r="I289" s="20">
        <v>202.0</v>
      </c>
      <c r="J289" s="20">
        <v>11.0</v>
      </c>
      <c r="K289" s="20">
        <v>18.0</v>
      </c>
      <c r="L289" s="20">
        <v>34.0</v>
      </c>
      <c r="N289" s="24"/>
      <c r="O289" s="19">
        <v>16.0</v>
      </c>
      <c r="P289" s="40">
        <v>0.05822322483618004</v>
      </c>
      <c r="Q289" s="40">
        <v>0.06001188354129531</v>
      </c>
      <c r="R289" s="40">
        <v>0.05188679245283019</v>
      </c>
      <c r="S289" s="40">
        <v>0.031413612565445025</v>
      </c>
      <c r="T289" s="40">
        <v>0.0368763557483731</v>
      </c>
    </row>
    <row r="290" ht="15.75" customHeight="1">
      <c r="F290" s="24"/>
      <c r="G290" s="19">
        <v>17.0</v>
      </c>
      <c r="H290" s="20">
        <v>569.0</v>
      </c>
      <c r="I290" s="20">
        <v>230.0</v>
      </c>
      <c r="J290" s="20">
        <v>7.0</v>
      </c>
      <c r="K290" s="20">
        <v>13.0</v>
      </c>
      <c r="L290" s="20">
        <v>15.0</v>
      </c>
      <c r="N290" s="24"/>
      <c r="O290" s="19">
        <v>17.0</v>
      </c>
      <c r="P290" s="40">
        <v>0.061123643785583846</v>
      </c>
      <c r="Q290" s="40">
        <v>0.06833036244800951</v>
      </c>
      <c r="R290" s="40">
        <v>0.0330188679245283</v>
      </c>
      <c r="S290" s="40">
        <v>0.02268760907504363</v>
      </c>
      <c r="T290" s="40">
        <v>0.016268980477223426</v>
      </c>
    </row>
    <row r="291" ht="15.75" customHeight="1">
      <c r="F291" s="24"/>
      <c r="G291" s="19">
        <v>18.0</v>
      </c>
      <c r="H291" s="20">
        <v>559.0</v>
      </c>
      <c r="I291" s="20">
        <v>160.0</v>
      </c>
      <c r="J291" s="20">
        <v>4.0</v>
      </c>
      <c r="K291" s="20">
        <v>15.0</v>
      </c>
      <c r="L291" s="20">
        <v>9.0</v>
      </c>
      <c r="N291" s="24"/>
      <c r="O291" s="19">
        <v>18.0</v>
      </c>
      <c r="P291" s="40">
        <v>0.06004941454506392</v>
      </c>
      <c r="Q291" s="40">
        <v>0.047534165181224004</v>
      </c>
      <c r="R291" s="40">
        <v>0.018867924528301886</v>
      </c>
      <c r="S291" s="40">
        <v>0.02617801047120419</v>
      </c>
      <c r="T291" s="40">
        <v>0.009761388286334056</v>
      </c>
    </row>
    <row r="292" ht="15.75" customHeight="1">
      <c r="F292" s="24"/>
      <c r="G292" s="19">
        <v>19.0</v>
      </c>
      <c r="H292" s="20">
        <v>507.0</v>
      </c>
      <c r="I292" s="20">
        <v>152.0</v>
      </c>
      <c r="J292" s="20">
        <v>3.0</v>
      </c>
      <c r="K292" s="20">
        <v>23.0</v>
      </c>
      <c r="L292" s="20">
        <v>11.0</v>
      </c>
      <c r="N292" s="24"/>
      <c r="O292" s="19">
        <v>19.0</v>
      </c>
      <c r="P292" s="40">
        <v>0.05446342249436029</v>
      </c>
      <c r="Q292" s="40">
        <v>0.0451574569221628</v>
      </c>
      <c r="R292" s="40">
        <v>0.014150943396226415</v>
      </c>
      <c r="S292" s="40">
        <v>0.04013961605584642</v>
      </c>
      <c r="T292" s="40">
        <v>0.01193058568329718</v>
      </c>
    </row>
    <row r="293" ht="15.75" customHeight="1">
      <c r="F293" s="24"/>
      <c r="G293" s="19">
        <v>20.0</v>
      </c>
      <c r="H293" s="20">
        <v>402.0</v>
      </c>
      <c r="I293" s="20">
        <v>94.0</v>
      </c>
      <c r="J293" s="20">
        <v>1.0</v>
      </c>
      <c r="K293" s="20">
        <v>4.0</v>
      </c>
      <c r="L293" s="20">
        <v>14.0</v>
      </c>
      <c r="N293" s="24"/>
      <c r="O293" s="19">
        <v>20.0</v>
      </c>
      <c r="P293" s="40">
        <v>0.04318401546890106</v>
      </c>
      <c r="Q293" s="40">
        <v>0.027926322043969103</v>
      </c>
      <c r="R293" s="40">
        <v>0.0047169811320754715</v>
      </c>
      <c r="S293" s="40">
        <v>0.006980802792321117</v>
      </c>
      <c r="T293" s="40">
        <v>0.015184381778741865</v>
      </c>
    </row>
    <row r="294" ht="15.75" customHeight="1">
      <c r="F294" s="24"/>
      <c r="G294" s="19">
        <v>21.0</v>
      </c>
      <c r="H294" s="20">
        <v>347.0</v>
      </c>
      <c r="I294" s="20">
        <v>99.0</v>
      </c>
      <c r="J294" s="20">
        <v>4.0</v>
      </c>
      <c r="K294" s="20">
        <v>6.0</v>
      </c>
      <c r="L294" s="20">
        <v>5.0</v>
      </c>
      <c r="N294" s="24"/>
      <c r="O294" s="19">
        <v>21.0</v>
      </c>
      <c r="P294" s="40">
        <v>0.037275754646041465</v>
      </c>
      <c r="Q294" s="40">
        <v>0.029411764705882353</v>
      </c>
      <c r="R294" s="40">
        <v>0.018867924528301886</v>
      </c>
      <c r="S294" s="40">
        <v>0.010471204188481676</v>
      </c>
      <c r="T294" s="40">
        <v>0.005422993492407809</v>
      </c>
    </row>
    <row r="295" ht="15.75" customHeight="1">
      <c r="F295" s="24"/>
      <c r="G295" s="19">
        <v>22.0</v>
      </c>
      <c r="H295" s="20">
        <v>289.0</v>
      </c>
      <c r="I295" s="20">
        <v>67.0</v>
      </c>
      <c r="J295" s="20">
        <v>1.0</v>
      </c>
      <c r="K295" s="20">
        <v>9.0</v>
      </c>
      <c r="L295" s="20">
        <v>7.0</v>
      </c>
      <c r="N295" s="24"/>
      <c r="O295" s="19">
        <v>22.0</v>
      </c>
      <c r="P295" s="40">
        <v>0.031045225051025888</v>
      </c>
      <c r="Q295" s="40">
        <v>0.01990493166963755</v>
      </c>
      <c r="R295" s="40">
        <v>0.0047169811320754715</v>
      </c>
      <c r="S295" s="40">
        <v>0.015706806282722512</v>
      </c>
      <c r="T295" s="40">
        <v>0.007592190889370932</v>
      </c>
    </row>
    <row r="296" ht="15.75" customHeight="1">
      <c r="F296" s="28"/>
      <c r="G296" s="19">
        <v>23.0</v>
      </c>
      <c r="H296" s="20">
        <v>173.0</v>
      </c>
      <c r="I296" s="20">
        <v>49.0</v>
      </c>
      <c r="J296" s="20">
        <v>1.0</v>
      </c>
      <c r="K296" s="20">
        <v>6.0</v>
      </c>
      <c r="L296" s="20">
        <v>10.0</v>
      </c>
      <c r="N296" s="28"/>
      <c r="O296" s="19">
        <v>23.0</v>
      </c>
      <c r="P296" s="40">
        <v>0.018584165860994737</v>
      </c>
      <c r="Q296" s="40">
        <v>0.014557338086749852</v>
      </c>
      <c r="R296" s="40">
        <v>0.0047169811320754715</v>
      </c>
      <c r="S296" s="40">
        <v>0.010471204188481676</v>
      </c>
      <c r="T296" s="40">
        <v>0.010845986984815618</v>
      </c>
    </row>
    <row r="297" ht="15.75" customHeight="1">
      <c r="F297" s="56">
        <v>45220.0</v>
      </c>
      <c r="G297" s="19">
        <v>0.0</v>
      </c>
      <c r="H297" s="105">
        <v>101.0</v>
      </c>
      <c r="I297" s="105">
        <v>36.0</v>
      </c>
      <c r="J297" s="105">
        <v>2.0</v>
      </c>
      <c r="K297" s="105">
        <v>15.0</v>
      </c>
      <c r="L297" s="105">
        <v>6.0</v>
      </c>
      <c r="N297" s="56">
        <v>45220.0</v>
      </c>
      <c r="O297" s="19">
        <v>0.0</v>
      </c>
      <c r="P297" s="106">
        <v>0.007847098127573615</v>
      </c>
      <c r="Q297" s="106">
        <v>0.009577015163607342</v>
      </c>
      <c r="R297" s="106">
        <v>0.00847457627118644</v>
      </c>
      <c r="S297" s="106">
        <v>0.049342105263157895</v>
      </c>
      <c r="T297" s="106">
        <v>0.015789473684210527</v>
      </c>
    </row>
    <row r="298" ht="15.75" customHeight="1">
      <c r="F298" s="24"/>
      <c r="G298" s="19">
        <v>1.0</v>
      </c>
      <c r="H298" s="34">
        <v>86.0</v>
      </c>
      <c r="I298" s="34">
        <v>21.0</v>
      </c>
      <c r="J298" s="34"/>
      <c r="K298" s="34">
        <v>8.0</v>
      </c>
      <c r="L298" s="34">
        <v>9.0</v>
      </c>
      <c r="N298" s="24"/>
      <c r="O298" s="19">
        <v>1.0</v>
      </c>
      <c r="P298" s="106">
        <v>0.006681687514567633</v>
      </c>
      <c r="Q298" s="106">
        <v>0.00558659217877095</v>
      </c>
      <c r="R298" s="106">
        <v>0.0</v>
      </c>
      <c r="S298" s="106">
        <v>0.02631578947368421</v>
      </c>
      <c r="T298" s="106">
        <v>0.02368421052631579</v>
      </c>
    </row>
    <row r="299" ht="15.75" customHeight="1">
      <c r="F299" s="24"/>
      <c r="G299" s="19">
        <v>2.0</v>
      </c>
      <c r="H299" s="34">
        <v>56.0</v>
      </c>
      <c r="I299" s="34">
        <v>27.0</v>
      </c>
      <c r="J299" s="34"/>
      <c r="K299" s="34">
        <v>10.0</v>
      </c>
      <c r="L299" s="34">
        <v>6.0</v>
      </c>
      <c r="N299" s="24"/>
      <c r="O299" s="19">
        <v>2.0</v>
      </c>
      <c r="P299" s="106">
        <v>0.004350866288555668</v>
      </c>
      <c r="Q299" s="106">
        <v>0.007182761372705506</v>
      </c>
      <c r="R299" s="106">
        <v>0.0</v>
      </c>
      <c r="S299" s="106">
        <v>0.03289473684210526</v>
      </c>
      <c r="T299" s="106">
        <v>0.015789473684210527</v>
      </c>
    </row>
    <row r="300" ht="15.75" customHeight="1">
      <c r="F300" s="24"/>
      <c r="G300" s="19">
        <v>3.0</v>
      </c>
      <c r="H300" s="34">
        <v>96.0</v>
      </c>
      <c r="I300" s="34">
        <v>39.0</v>
      </c>
      <c r="J300" s="34">
        <v>1.0</v>
      </c>
      <c r="K300" s="34">
        <v>8.0</v>
      </c>
      <c r="L300" s="34">
        <v>8.0</v>
      </c>
      <c r="N300" s="24"/>
      <c r="O300" s="19">
        <v>3.0</v>
      </c>
      <c r="P300" s="106">
        <v>0.007458627923238288</v>
      </c>
      <c r="Q300" s="106">
        <v>0.010375099760574621</v>
      </c>
      <c r="R300" s="106">
        <v>0.00423728813559322</v>
      </c>
      <c r="S300" s="106">
        <v>0.02631578947368421</v>
      </c>
      <c r="T300" s="106">
        <v>0.021052631578947368</v>
      </c>
    </row>
    <row r="301" ht="15.75" customHeight="1">
      <c r="F301" s="24"/>
      <c r="G301" s="19">
        <v>4.0</v>
      </c>
      <c r="H301" s="34">
        <v>142.0</v>
      </c>
      <c r="I301" s="34">
        <v>68.0</v>
      </c>
      <c r="J301" s="34">
        <v>3.0</v>
      </c>
      <c r="K301" s="34">
        <v>16.0</v>
      </c>
      <c r="L301" s="34">
        <v>8.0</v>
      </c>
      <c r="N301" s="24"/>
      <c r="O301" s="19">
        <v>4.0</v>
      </c>
      <c r="P301" s="106">
        <v>0.011032553803123301</v>
      </c>
      <c r="Q301" s="106">
        <v>0.018089917531258312</v>
      </c>
      <c r="R301" s="106">
        <v>0.012711864406779662</v>
      </c>
      <c r="S301" s="106">
        <v>0.05263157894736842</v>
      </c>
      <c r="T301" s="106">
        <v>0.021052631578947368</v>
      </c>
    </row>
    <row r="302" ht="15.75" customHeight="1">
      <c r="F302" s="24"/>
      <c r="G302" s="19">
        <v>5.0</v>
      </c>
      <c r="H302" s="20">
        <v>251.0</v>
      </c>
      <c r="I302" s="20">
        <v>137.0</v>
      </c>
      <c r="J302" s="20">
        <v>9.0</v>
      </c>
      <c r="K302" s="20">
        <v>13.0</v>
      </c>
      <c r="L302" s="20">
        <v>15.0</v>
      </c>
      <c r="N302" s="24"/>
      <c r="O302" s="19">
        <v>5.0</v>
      </c>
      <c r="P302" s="106">
        <v>0.01950120425763344</v>
      </c>
      <c r="Q302" s="106">
        <v>0.03644586326150572</v>
      </c>
      <c r="R302" s="106">
        <v>0.038135593220338986</v>
      </c>
      <c r="S302" s="106">
        <v>0.04276315789473684</v>
      </c>
      <c r="T302" s="106">
        <v>0.039473684210526314</v>
      </c>
    </row>
    <row r="303" ht="15.75" customHeight="1">
      <c r="F303" s="24"/>
      <c r="G303" s="19">
        <v>6.0</v>
      </c>
      <c r="H303" s="20">
        <v>545.0</v>
      </c>
      <c r="I303" s="20">
        <v>193.0</v>
      </c>
      <c r="J303" s="20">
        <v>23.0</v>
      </c>
      <c r="K303" s="20">
        <v>17.0</v>
      </c>
      <c r="L303" s="20">
        <v>11.0</v>
      </c>
      <c r="N303" s="24"/>
      <c r="O303" s="19">
        <v>6.0</v>
      </c>
      <c r="P303" s="106">
        <v>0.042343252272550695</v>
      </c>
      <c r="Q303" s="106">
        <v>0.05134344240489492</v>
      </c>
      <c r="R303" s="106">
        <v>0.09745762711864407</v>
      </c>
      <c r="S303" s="106">
        <v>0.05592105263157895</v>
      </c>
      <c r="T303" s="106">
        <v>0.02894736842105263</v>
      </c>
    </row>
    <row r="304" ht="15.75" customHeight="1">
      <c r="F304" s="24"/>
      <c r="G304" s="19">
        <v>7.0</v>
      </c>
      <c r="H304" s="20">
        <v>854.0</v>
      </c>
      <c r="I304" s="20">
        <v>311.0</v>
      </c>
      <c r="J304" s="20">
        <v>54.0</v>
      </c>
      <c r="K304" s="20">
        <v>32.0</v>
      </c>
      <c r="L304" s="20">
        <v>41.0</v>
      </c>
      <c r="N304" s="24"/>
      <c r="O304" s="19">
        <v>7.0</v>
      </c>
      <c r="P304" s="106">
        <v>0.06635071090047394</v>
      </c>
      <c r="Q304" s="106">
        <v>0.08273476988560788</v>
      </c>
      <c r="R304" s="106">
        <v>0.2288135593220339</v>
      </c>
      <c r="S304" s="106">
        <v>0.10526315789473684</v>
      </c>
      <c r="T304" s="106">
        <v>0.10789473684210527</v>
      </c>
    </row>
    <row r="305" ht="15.75" customHeight="1">
      <c r="F305" s="24"/>
      <c r="G305" s="19">
        <v>8.0</v>
      </c>
      <c r="H305" s="20">
        <v>1160.0</v>
      </c>
      <c r="I305" s="20">
        <v>373.0</v>
      </c>
      <c r="J305" s="20">
        <v>42.0</v>
      </c>
      <c r="K305" s="20">
        <v>22.0</v>
      </c>
      <c r="L305" s="20">
        <v>27.0</v>
      </c>
      <c r="N305" s="24"/>
      <c r="O305" s="19">
        <v>8.0</v>
      </c>
      <c r="P305" s="106">
        <v>0.09012508740579597</v>
      </c>
      <c r="Q305" s="106">
        <v>0.09922851822293163</v>
      </c>
      <c r="R305" s="106">
        <v>0.17796610169491525</v>
      </c>
      <c r="S305" s="106">
        <v>0.07236842105263158</v>
      </c>
      <c r="T305" s="106">
        <v>0.07105263157894737</v>
      </c>
    </row>
    <row r="306" ht="15.75" customHeight="1">
      <c r="F306" s="24"/>
      <c r="G306" s="19">
        <v>9.0</v>
      </c>
      <c r="H306" s="20">
        <v>1310.0</v>
      </c>
      <c r="I306" s="20">
        <v>354.0</v>
      </c>
      <c r="J306" s="20">
        <v>17.0</v>
      </c>
      <c r="K306" s="20">
        <v>22.0</v>
      </c>
      <c r="L306" s="20">
        <v>27.0</v>
      </c>
      <c r="N306" s="24"/>
      <c r="O306" s="19">
        <v>9.0</v>
      </c>
      <c r="P306" s="106">
        <v>0.1017791935358558</v>
      </c>
      <c r="Q306" s="106">
        <v>0.09417398244213887</v>
      </c>
      <c r="R306" s="106">
        <v>0.07203389830508475</v>
      </c>
      <c r="S306" s="106">
        <v>0.07236842105263158</v>
      </c>
      <c r="T306" s="106">
        <v>0.07105263157894737</v>
      </c>
    </row>
    <row r="307" ht="15.75" customHeight="1">
      <c r="F307" s="24"/>
      <c r="G307" s="19">
        <v>10.0</v>
      </c>
      <c r="H307" s="20">
        <v>1282.0</v>
      </c>
      <c r="I307" s="20">
        <v>309.0</v>
      </c>
      <c r="J307" s="20">
        <v>11.0</v>
      </c>
      <c r="K307" s="20">
        <v>15.0</v>
      </c>
      <c r="L307" s="20">
        <v>21.0</v>
      </c>
      <c r="N307" s="24"/>
      <c r="O307" s="19">
        <v>10.0</v>
      </c>
      <c r="P307" s="106">
        <v>0.09960376039157796</v>
      </c>
      <c r="Q307" s="106">
        <v>0.08220271348762968</v>
      </c>
      <c r="R307" s="106">
        <v>0.046610169491525424</v>
      </c>
      <c r="S307" s="106">
        <v>0.049342105263157895</v>
      </c>
      <c r="T307" s="106">
        <v>0.05526315789473684</v>
      </c>
    </row>
    <row r="308" ht="15.75" customHeight="1">
      <c r="F308" s="24"/>
      <c r="G308" s="19">
        <v>11.0</v>
      </c>
      <c r="H308" s="20">
        <v>1043.0</v>
      </c>
      <c r="I308" s="20">
        <v>230.0</v>
      </c>
      <c r="J308" s="20">
        <v>8.0</v>
      </c>
      <c r="K308" s="20">
        <v>15.0</v>
      </c>
      <c r="L308" s="20">
        <v>33.0</v>
      </c>
      <c r="N308" s="24"/>
      <c r="O308" s="19">
        <v>11.0</v>
      </c>
      <c r="P308" s="106">
        <v>0.08103488462434931</v>
      </c>
      <c r="Q308" s="106">
        <v>0.061186485767491354</v>
      </c>
      <c r="R308" s="106">
        <v>0.03389830508474576</v>
      </c>
      <c r="S308" s="106">
        <v>0.049342105263157895</v>
      </c>
      <c r="T308" s="106">
        <v>0.0868421052631579</v>
      </c>
    </row>
    <row r="309" ht="15.75" customHeight="1">
      <c r="F309" s="24"/>
      <c r="G309" s="19">
        <v>12.0</v>
      </c>
      <c r="H309" s="20">
        <v>793.0</v>
      </c>
      <c r="I309" s="20">
        <v>188.0</v>
      </c>
      <c r="J309" s="20">
        <v>12.0</v>
      </c>
      <c r="K309" s="20">
        <v>14.0</v>
      </c>
      <c r="L309" s="20">
        <v>30.0</v>
      </c>
      <c r="N309" s="24"/>
      <c r="O309" s="19">
        <v>12.0</v>
      </c>
      <c r="P309" s="106">
        <v>0.061611374407582936</v>
      </c>
      <c r="Q309" s="106">
        <v>0.05001330140994945</v>
      </c>
      <c r="R309" s="106">
        <v>0.05084745762711865</v>
      </c>
      <c r="S309" s="106">
        <v>0.046052631578947366</v>
      </c>
      <c r="T309" s="106">
        <v>0.07894736842105263</v>
      </c>
    </row>
    <row r="310" ht="15.75" customHeight="1">
      <c r="F310" s="24"/>
      <c r="G310" s="19">
        <v>13.0</v>
      </c>
      <c r="H310" s="20">
        <v>895.0</v>
      </c>
      <c r="I310" s="20">
        <v>246.0</v>
      </c>
      <c r="J310" s="20">
        <v>5.0</v>
      </c>
      <c r="K310" s="20">
        <v>12.0</v>
      </c>
      <c r="L310" s="20">
        <v>30.0</v>
      </c>
      <c r="N310" s="24"/>
      <c r="O310" s="19">
        <v>13.0</v>
      </c>
      <c r="P310" s="106">
        <v>0.06953616657602361</v>
      </c>
      <c r="Q310" s="106">
        <v>0.06544293695131684</v>
      </c>
      <c r="R310" s="106">
        <v>0.0211864406779661</v>
      </c>
      <c r="S310" s="106">
        <v>0.039473684210526314</v>
      </c>
      <c r="T310" s="106">
        <v>0.07894736842105263</v>
      </c>
    </row>
    <row r="311" ht="15.75" customHeight="1">
      <c r="F311" s="24"/>
      <c r="G311" s="19">
        <v>14.0</v>
      </c>
      <c r="H311" s="20">
        <v>792.0</v>
      </c>
      <c r="I311" s="20">
        <v>193.0</v>
      </c>
      <c r="J311" s="20">
        <v>24.0</v>
      </c>
      <c r="K311" s="20">
        <v>20.0</v>
      </c>
      <c r="L311" s="20">
        <v>23.0</v>
      </c>
      <c r="N311" s="24"/>
      <c r="O311" s="19">
        <v>14.0</v>
      </c>
      <c r="P311" s="106">
        <v>0.06153368036671587</v>
      </c>
      <c r="Q311" s="106">
        <v>0.05134344240489492</v>
      </c>
      <c r="R311" s="106">
        <v>0.1016949152542373</v>
      </c>
      <c r="S311" s="106">
        <v>0.06578947368421052</v>
      </c>
      <c r="T311" s="106">
        <v>0.060526315789473685</v>
      </c>
    </row>
    <row r="312" ht="15.75" customHeight="1">
      <c r="F312" s="24"/>
      <c r="G312" s="19">
        <v>15.0</v>
      </c>
      <c r="H312" s="20">
        <v>646.0</v>
      </c>
      <c r="I312" s="20">
        <v>204.0</v>
      </c>
      <c r="J312" s="20">
        <v>9.0</v>
      </c>
      <c r="K312" s="20">
        <v>13.0</v>
      </c>
      <c r="L312" s="20">
        <v>22.0</v>
      </c>
      <c r="N312" s="24"/>
      <c r="O312" s="19">
        <v>15.0</v>
      </c>
      <c r="P312" s="106">
        <v>0.05019035040012431</v>
      </c>
      <c r="Q312" s="106">
        <v>0.05426975259377494</v>
      </c>
      <c r="R312" s="106">
        <v>0.038135593220338986</v>
      </c>
      <c r="S312" s="106">
        <v>0.04276315789473684</v>
      </c>
      <c r="T312" s="106">
        <v>0.05789473684210526</v>
      </c>
    </row>
    <row r="313" ht="15.75" customHeight="1">
      <c r="F313" s="24"/>
      <c r="G313" s="19">
        <v>16.0</v>
      </c>
      <c r="H313" s="20">
        <v>558.0</v>
      </c>
      <c r="I313" s="20">
        <v>184.0</v>
      </c>
      <c r="J313" s="20">
        <v>4.0</v>
      </c>
      <c r="K313" s="20">
        <v>10.0</v>
      </c>
      <c r="L313" s="20">
        <v>21.0</v>
      </c>
      <c r="N313" s="24"/>
      <c r="O313" s="19">
        <v>16.0</v>
      </c>
      <c r="P313" s="106">
        <v>0.04335327480382255</v>
      </c>
      <c r="Q313" s="106">
        <v>0.04894918861399308</v>
      </c>
      <c r="R313" s="106">
        <v>0.01694915254237288</v>
      </c>
      <c r="S313" s="106">
        <v>0.03289473684210526</v>
      </c>
      <c r="T313" s="106">
        <v>0.05526315789473684</v>
      </c>
    </row>
    <row r="314" ht="15.75" customHeight="1">
      <c r="F314" s="24"/>
      <c r="G314" s="19">
        <v>17.0</v>
      </c>
      <c r="H314" s="20">
        <v>523.0</v>
      </c>
      <c r="I314" s="20">
        <v>182.0</v>
      </c>
      <c r="J314" s="20">
        <v>2.0</v>
      </c>
      <c r="K314" s="20">
        <v>11.0</v>
      </c>
      <c r="L314" s="20">
        <v>12.0</v>
      </c>
      <c r="N314" s="24"/>
      <c r="O314" s="19">
        <v>17.0</v>
      </c>
      <c r="P314" s="106">
        <v>0.040633983373475256</v>
      </c>
      <c r="Q314" s="106">
        <v>0.048417132216014895</v>
      </c>
      <c r="R314" s="106">
        <v>0.00847457627118644</v>
      </c>
      <c r="S314" s="106">
        <v>0.03618421052631579</v>
      </c>
      <c r="T314" s="106">
        <v>0.031578947368421054</v>
      </c>
    </row>
    <row r="315" ht="15.75" customHeight="1">
      <c r="F315" s="24"/>
      <c r="G315" s="19">
        <v>18.0</v>
      </c>
      <c r="H315" s="20">
        <v>421.0</v>
      </c>
      <c r="I315" s="20">
        <v>134.0</v>
      </c>
      <c r="J315" s="20">
        <v>2.0</v>
      </c>
      <c r="K315" s="20">
        <v>5.0</v>
      </c>
      <c r="L315" s="20">
        <v>12.0</v>
      </c>
      <c r="N315" s="24"/>
      <c r="O315" s="19">
        <v>18.0</v>
      </c>
      <c r="P315" s="106">
        <v>0.03270919120503457</v>
      </c>
      <c r="Q315" s="106">
        <v>0.03564777866453844</v>
      </c>
      <c r="R315" s="106">
        <v>0.00847457627118644</v>
      </c>
      <c r="S315" s="106">
        <v>0.01644736842105263</v>
      </c>
      <c r="T315" s="106">
        <v>0.031578947368421054</v>
      </c>
    </row>
    <row r="316" ht="15.75" customHeight="1">
      <c r="F316" s="24"/>
      <c r="G316" s="19">
        <v>19.0</v>
      </c>
      <c r="H316" s="20">
        <v>376.0</v>
      </c>
      <c r="I316" s="20">
        <v>95.0</v>
      </c>
      <c r="J316" s="20">
        <v>4.0</v>
      </c>
      <c r="K316" s="20">
        <v>9.0</v>
      </c>
      <c r="L316" s="20">
        <v>9.0</v>
      </c>
      <c r="N316" s="24"/>
      <c r="O316" s="19">
        <v>19.0</v>
      </c>
      <c r="P316" s="106">
        <v>0.029212959366016627</v>
      </c>
      <c r="Q316" s="106">
        <v>0.02527267890396382</v>
      </c>
      <c r="R316" s="106">
        <v>0.01694915254237288</v>
      </c>
      <c r="S316" s="106">
        <v>0.029605263157894735</v>
      </c>
      <c r="T316" s="106">
        <v>0.02368421052631579</v>
      </c>
    </row>
    <row r="317" ht="15.75" customHeight="1">
      <c r="F317" s="24"/>
      <c r="G317" s="19">
        <v>20.0</v>
      </c>
      <c r="H317" s="20">
        <v>303.0</v>
      </c>
      <c r="I317" s="20">
        <v>68.0</v>
      </c>
      <c r="J317" s="20">
        <v>2.0</v>
      </c>
      <c r="K317" s="20">
        <v>4.0</v>
      </c>
      <c r="L317" s="20">
        <v>3.0</v>
      </c>
      <c r="N317" s="24"/>
      <c r="O317" s="19">
        <v>20.0</v>
      </c>
      <c r="P317" s="106">
        <v>0.023541294382720845</v>
      </c>
      <c r="Q317" s="106">
        <v>0.018089917531258312</v>
      </c>
      <c r="R317" s="106">
        <v>0.00847457627118644</v>
      </c>
      <c r="S317" s="106">
        <v>0.013157894736842105</v>
      </c>
      <c r="T317" s="106">
        <v>0.007894736842105263</v>
      </c>
    </row>
    <row r="318" ht="15.75" customHeight="1">
      <c r="F318" s="24"/>
      <c r="G318" s="19">
        <v>21.0</v>
      </c>
      <c r="H318" s="20">
        <v>261.0</v>
      </c>
      <c r="I318" s="20">
        <v>81.0</v>
      </c>
      <c r="J318" s="20">
        <v>1.0</v>
      </c>
      <c r="K318" s="20">
        <v>4.0</v>
      </c>
      <c r="L318" s="20">
        <v>3.0</v>
      </c>
      <c r="N318" s="24"/>
      <c r="O318" s="19">
        <v>21.0</v>
      </c>
      <c r="P318" s="106">
        <v>0.020278144666304093</v>
      </c>
      <c r="Q318" s="106">
        <v>0.02154828411811652</v>
      </c>
      <c r="R318" s="106">
        <v>0.00423728813559322</v>
      </c>
      <c r="S318" s="106">
        <v>0.013157894736842105</v>
      </c>
      <c r="T318" s="106">
        <v>0.007894736842105263</v>
      </c>
    </row>
    <row r="319" ht="15.75" customHeight="1">
      <c r="F319" s="24"/>
      <c r="G319" s="19">
        <v>22.0</v>
      </c>
      <c r="H319" s="20">
        <v>224.0</v>
      </c>
      <c r="I319" s="20">
        <v>49.0</v>
      </c>
      <c r="J319" s="20"/>
      <c r="K319" s="20">
        <v>6.0</v>
      </c>
      <c r="L319" s="20">
        <v>2.0</v>
      </c>
      <c r="N319" s="24"/>
      <c r="O319" s="19">
        <v>22.0</v>
      </c>
      <c r="P319" s="106">
        <v>0.017403465154222673</v>
      </c>
      <c r="Q319" s="106">
        <v>0.01303538175046555</v>
      </c>
      <c r="R319" s="106">
        <v>0.0</v>
      </c>
      <c r="S319" s="106">
        <v>0.019736842105263157</v>
      </c>
      <c r="T319" s="106">
        <v>0.005263157894736842</v>
      </c>
    </row>
    <row r="320" ht="15.75" customHeight="1">
      <c r="F320" s="28"/>
      <c r="G320" s="19">
        <v>23.0</v>
      </c>
      <c r="H320" s="20">
        <v>153.0</v>
      </c>
      <c r="I320" s="20">
        <v>37.0</v>
      </c>
      <c r="J320" s="20">
        <v>1.0</v>
      </c>
      <c r="K320" s="20">
        <v>3.0</v>
      </c>
      <c r="L320" s="20">
        <v>1.0</v>
      </c>
      <c r="N320" s="28"/>
      <c r="O320" s="19">
        <v>23.0</v>
      </c>
      <c r="P320" s="106">
        <v>0.01188718825266102</v>
      </c>
      <c r="Q320" s="106">
        <v>0.009843043362596435</v>
      </c>
      <c r="R320" s="106">
        <v>0.00423728813559322</v>
      </c>
      <c r="S320" s="106">
        <v>0.009868421052631578</v>
      </c>
      <c r="T320" s="106">
        <v>0.002631578947368421</v>
      </c>
    </row>
    <row r="321" ht="15.75" customHeight="1">
      <c r="F321" s="56">
        <v>45221.0</v>
      </c>
      <c r="G321" s="19">
        <v>0.0</v>
      </c>
      <c r="H321" s="20">
        <v>98.0</v>
      </c>
      <c r="I321" s="20">
        <v>38.0</v>
      </c>
      <c r="J321" s="20">
        <v>2.0</v>
      </c>
      <c r="K321" s="20">
        <v>4.0</v>
      </c>
      <c r="L321" s="20">
        <v>2.0</v>
      </c>
      <c r="N321" s="56">
        <v>45221.0</v>
      </c>
      <c r="O321" s="19">
        <v>0.0</v>
      </c>
      <c r="P321" s="40">
        <v>0.008891308292505897</v>
      </c>
      <c r="Q321" s="40">
        <v>0.012422360248447204</v>
      </c>
      <c r="R321" s="40">
        <v>0.010416666666666666</v>
      </c>
      <c r="S321" s="40">
        <v>0.024539877300613498</v>
      </c>
      <c r="T321" s="40">
        <v>0.014084507042253521</v>
      </c>
    </row>
    <row r="322" ht="15.75" customHeight="1">
      <c r="F322" s="24"/>
      <c r="G322" s="19">
        <v>1.0</v>
      </c>
      <c r="H322" s="20">
        <v>84.0</v>
      </c>
      <c r="I322" s="20">
        <v>22.0</v>
      </c>
      <c r="J322" s="20">
        <v>2.0</v>
      </c>
      <c r="K322" s="20">
        <v>5.0</v>
      </c>
      <c r="L322" s="20">
        <v>2.0</v>
      </c>
      <c r="N322" s="24"/>
      <c r="O322" s="19">
        <v>1.0</v>
      </c>
      <c r="P322" s="40">
        <v>0.007621121393576484</v>
      </c>
      <c r="Q322" s="40">
        <v>0.007191892775416803</v>
      </c>
      <c r="R322" s="40">
        <v>0.010416666666666666</v>
      </c>
      <c r="S322" s="40">
        <v>0.03067484662576687</v>
      </c>
      <c r="T322" s="40">
        <v>0.014084507042253521</v>
      </c>
    </row>
    <row r="323" ht="15.75" customHeight="1">
      <c r="F323" s="24"/>
      <c r="G323" s="19">
        <v>2.0</v>
      </c>
      <c r="H323" s="16">
        <v>58.0</v>
      </c>
      <c r="I323" s="16">
        <v>19.0</v>
      </c>
      <c r="J323" s="16"/>
      <c r="K323" s="16">
        <v>2.0</v>
      </c>
      <c r="L323" s="16">
        <v>2.0</v>
      </c>
      <c r="N323" s="24"/>
      <c r="O323" s="19">
        <v>2.0</v>
      </c>
      <c r="P323" s="40">
        <v>0.005262202866993286</v>
      </c>
      <c r="Q323" s="40">
        <v>0.006211180124223602</v>
      </c>
      <c r="R323" s="40">
        <v>0.0</v>
      </c>
      <c r="S323" s="40">
        <v>0.012269938650306749</v>
      </c>
      <c r="T323" s="40">
        <v>0.014084507042253521</v>
      </c>
    </row>
    <row r="324" ht="15.75" customHeight="1">
      <c r="F324" s="24"/>
      <c r="G324" s="19">
        <v>3.0</v>
      </c>
      <c r="H324" s="20">
        <v>69.0</v>
      </c>
      <c r="I324" s="20">
        <v>22.0</v>
      </c>
      <c r="J324" s="20">
        <v>1.0</v>
      </c>
      <c r="K324" s="20">
        <v>3.0</v>
      </c>
      <c r="L324" s="20">
        <v>2.0</v>
      </c>
      <c r="N324" s="24"/>
      <c r="O324" s="19">
        <v>3.0</v>
      </c>
      <c r="P324" s="40">
        <v>0.006260206859009254</v>
      </c>
      <c r="Q324" s="40">
        <v>0.007191892775416803</v>
      </c>
      <c r="R324" s="40">
        <v>0.005208333333333333</v>
      </c>
      <c r="S324" s="40">
        <v>0.018404907975460124</v>
      </c>
      <c r="T324" s="40">
        <v>0.014084507042253521</v>
      </c>
    </row>
    <row r="325" ht="15.75" customHeight="1">
      <c r="F325" s="24"/>
      <c r="G325" s="19">
        <v>4.0</v>
      </c>
      <c r="H325" s="20">
        <v>87.0</v>
      </c>
      <c r="I325" s="20">
        <v>53.0</v>
      </c>
      <c r="J325" s="20">
        <v>1.0</v>
      </c>
      <c r="K325" s="20">
        <v>2.0</v>
      </c>
      <c r="L325" s="20">
        <v>2.0</v>
      </c>
      <c r="N325" s="24"/>
      <c r="O325" s="19">
        <v>4.0</v>
      </c>
      <c r="P325" s="40">
        <v>0.007893304300489928</v>
      </c>
      <c r="Q325" s="40">
        <v>0.017325923504413206</v>
      </c>
      <c r="R325" s="40">
        <v>0.005208333333333333</v>
      </c>
      <c r="S325" s="40">
        <v>0.012269938650306749</v>
      </c>
      <c r="T325" s="40">
        <v>0.014084507042253521</v>
      </c>
    </row>
    <row r="326" ht="15.75" customHeight="1">
      <c r="F326" s="24"/>
      <c r="G326" s="19">
        <v>5.0</v>
      </c>
      <c r="H326" s="20">
        <v>154.0</v>
      </c>
      <c r="I326" s="20">
        <v>79.0</v>
      </c>
      <c r="J326" s="20">
        <v>7.0</v>
      </c>
      <c r="K326" s="20">
        <v>9.0</v>
      </c>
      <c r="L326" s="20">
        <v>8.0</v>
      </c>
      <c r="N326" s="24"/>
      <c r="O326" s="19">
        <v>5.0</v>
      </c>
      <c r="P326" s="40">
        <v>0.013972055888223553</v>
      </c>
      <c r="Q326" s="40">
        <v>0.02582543314808761</v>
      </c>
      <c r="R326" s="40">
        <v>0.036458333333333336</v>
      </c>
      <c r="S326" s="40">
        <v>0.05521472392638037</v>
      </c>
      <c r="T326" s="40">
        <v>0.056338028169014086</v>
      </c>
    </row>
    <row r="327" ht="15.75" customHeight="1">
      <c r="F327" s="24"/>
      <c r="G327" s="19">
        <v>6.0</v>
      </c>
      <c r="H327" s="20">
        <v>301.0</v>
      </c>
      <c r="I327" s="20">
        <v>107.0</v>
      </c>
      <c r="J327" s="20">
        <v>8.0</v>
      </c>
      <c r="K327" s="20">
        <v>14.0</v>
      </c>
      <c r="L327" s="20">
        <v>10.0</v>
      </c>
      <c r="N327" s="24"/>
      <c r="O327" s="19">
        <v>6.0</v>
      </c>
      <c r="P327" s="40">
        <v>0.0273090183269824</v>
      </c>
      <c r="Q327" s="40">
        <v>0.034978751225890815</v>
      </c>
      <c r="R327" s="40">
        <v>0.041666666666666664</v>
      </c>
      <c r="S327" s="40">
        <v>0.08588957055214724</v>
      </c>
      <c r="T327" s="40">
        <v>0.07042253521126761</v>
      </c>
    </row>
    <row r="328" ht="15.75" customHeight="1">
      <c r="F328" s="24"/>
      <c r="G328" s="19">
        <v>7.0</v>
      </c>
      <c r="H328" s="20">
        <v>527.0</v>
      </c>
      <c r="I328" s="20">
        <v>182.0</v>
      </c>
      <c r="J328" s="20">
        <v>35.0</v>
      </c>
      <c r="K328" s="20">
        <v>18.0</v>
      </c>
      <c r="L328" s="20">
        <v>6.0</v>
      </c>
      <c r="N328" s="24"/>
      <c r="O328" s="19">
        <v>7.0</v>
      </c>
      <c r="P328" s="40">
        <v>0.04781346398112865</v>
      </c>
      <c r="Q328" s="40">
        <v>0.059496567505720827</v>
      </c>
      <c r="R328" s="40">
        <v>0.18229166666666666</v>
      </c>
      <c r="S328" s="40">
        <v>0.11042944785276074</v>
      </c>
      <c r="T328" s="40">
        <v>0.04225352112676056</v>
      </c>
    </row>
    <row r="329" ht="15.75" customHeight="1">
      <c r="F329" s="24"/>
      <c r="G329" s="19">
        <v>8.0</v>
      </c>
      <c r="H329" s="20">
        <v>784.0</v>
      </c>
      <c r="I329" s="20">
        <v>239.0</v>
      </c>
      <c r="J329" s="20">
        <v>24.0</v>
      </c>
      <c r="K329" s="20">
        <v>17.0</v>
      </c>
      <c r="L329" s="20">
        <v>13.0</v>
      </c>
      <c r="N329" s="24"/>
      <c r="O329" s="19">
        <v>8.0</v>
      </c>
      <c r="P329" s="40">
        <v>0.07113046634004717</v>
      </c>
      <c r="Q329" s="40">
        <v>0.07813010787839163</v>
      </c>
      <c r="R329" s="40">
        <v>0.125</v>
      </c>
      <c r="S329" s="40">
        <v>0.10429447852760736</v>
      </c>
      <c r="T329" s="40">
        <v>0.09154929577464789</v>
      </c>
    </row>
    <row r="330" ht="15.75" customHeight="1">
      <c r="F330" s="24"/>
      <c r="G330" s="19">
        <v>9.0</v>
      </c>
      <c r="H330" s="20">
        <v>1005.0</v>
      </c>
      <c r="I330" s="20">
        <v>260.0</v>
      </c>
      <c r="J330" s="20">
        <v>12.0</v>
      </c>
      <c r="K330" s="20">
        <v>11.0</v>
      </c>
      <c r="L330" s="20">
        <v>6.0</v>
      </c>
      <c r="N330" s="24"/>
      <c r="O330" s="19">
        <v>9.0</v>
      </c>
      <c r="P330" s="40">
        <v>0.09118127381600435</v>
      </c>
      <c r="Q330" s="40">
        <v>0.08499509643674404</v>
      </c>
      <c r="R330" s="40">
        <v>0.0625</v>
      </c>
      <c r="S330" s="40">
        <v>0.06748466257668712</v>
      </c>
      <c r="T330" s="40">
        <v>0.04225352112676056</v>
      </c>
    </row>
    <row r="331" ht="15.75" customHeight="1">
      <c r="F331" s="24"/>
      <c r="G331" s="19">
        <v>10.0</v>
      </c>
      <c r="H331" s="20">
        <v>984.0</v>
      </c>
      <c r="I331" s="20">
        <v>251.0</v>
      </c>
      <c r="J331" s="20">
        <v>7.0</v>
      </c>
      <c r="K331" s="20">
        <v>14.0</v>
      </c>
      <c r="L331" s="20">
        <v>6.0</v>
      </c>
      <c r="N331" s="24"/>
      <c r="O331" s="19">
        <v>10.0</v>
      </c>
      <c r="P331" s="40">
        <v>0.08927599346761024</v>
      </c>
      <c r="Q331" s="40">
        <v>0.08205295848316443</v>
      </c>
      <c r="R331" s="40">
        <v>0.036458333333333336</v>
      </c>
      <c r="S331" s="40">
        <v>0.08588957055214724</v>
      </c>
      <c r="T331" s="40">
        <v>0.04225352112676056</v>
      </c>
    </row>
    <row r="332" ht="15.75" customHeight="1">
      <c r="F332" s="24"/>
      <c r="G332" s="19">
        <v>11.0</v>
      </c>
      <c r="H332" s="20">
        <v>836.0</v>
      </c>
      <c r="I332" s="20">
        <v>179.0</v>
      </c>
      <c r="J332" s="20">
        <v>8.0</v>
      </c>
      <c r="K332" s="20">
        <v>2.0</v>
      </c>
      <c r="L332" s="20">
        <v>9.0</v>
      </c>
      <c r="N332" s="24"/>
      <c r="O332" s="19">
        <v>11.0</v>
      </c>
      <c r="P332" s="40">
        <v>0.07584830339321358</v>
      </c>
      <c r="Q332" s="40">
        <v>0.05851585485452762</v>
      </c>
      <c r="R332" s="40">
        <v>0.041666666666666664</v>
      </c>
      <c r="S332" s="40">
        <v>0.012269938650306749</v>
      </c>
      <c r="T332" s="40">
        <v>0.06338028169014084</v>
      </c>
    </row>
    <row r="333" ht="15.75" customHeight="1">
      <c r="F333" s="24"/>
      <c r="G333" s="19">
        <v>12.0</v>
      </c>
      <c r="H333" s="20">
        <v>639.0</v>
      </c>
      <c r="I333" s="20">
        <v>196.0</v>
      </c>
      <c r="J333" s="20">
        <v>11.0</v>
      </c>
      <c r="K333" s="20">
        <v>10.0</v>
      </c>
      <c r="L333" s="20">
        <v>6.0</v>
      </c>
      <c r="N333" s="24"/>
      <c r="O333" s="19">
        <v>12.0</v>
      </c>
      <c r="P333" s="40">
        <v>0.05797495917256396</v>
      </c>
      <c r="Q333" s="40">
        <v>0.06407322654462243</v>
      </c>
      <c r="R333" s="40">
        <v>0.057291666666666664</v>
      </c>
      <c r="S333" s="40">
        <v>0.06134969325153374</v>
      </c>
      <c r="T333" s="40">
        <v>0.04225352112676056</v>
      </c>
    </row>
    <row r="334" ht="15.75" customHeight="1">
      <c r="F334" s="24"/>
      <c r="G334" s="19">
        <v>13.0</v>
      </c>
      <c r="H334" s="20">
        <v>796.0</v>
      </c>
      <c r="I334" s="20">
        <v>170.0</v>
      </c>
      <c r="J334" s="20">
        <v>10.0</v>
      </c>
      <c r="K334" s="20">
        <v>5.0</v>
      </c>
      <c r="L334" s="20">
        <v>4.0</v>
      </c>
      <c r="N334" s="24"/>
      <c r="O334" s="19">
        <v>13.0</v>
      </c>
      <c r="P334" s="40">
        <v>0.07221919796770096</v>
      </c>
      <c r="Q334" s="40">
        <v>0.05557371690094802</v>
      </c>
      <c r="R334" s="40">
        <v>0.052083333333333336</v>
      </c>
      <c r="S334" s="40">
        <v>0.03067484662576687</v>
      </c>
      <c r="T334" s="40">
        <v>0.028169014084507043</v>
      </c>
    </row>
    <row r="335" ht="15.75" customHeight="1">
      <c r="F335" s="24"/>
      <c r="G335" s="19">
        <v>14.0</v>
      </c>
      <c r="H335" s="20">
        <v>714.0</v>
      </c>
      <c r="I335" s="20">
        <v>219.0</v>
      </c>
      <c r="J335" s="20">
        <v>14.0</v>
      </c>
      <c r="K335" s="20">
        <v>11.0</v>
      </c>
      <c r="L335" s="20">
        <v>6.0</v>
      </c>
      <c r="N335" s="24"/>
      <c r="O335" s="19">
        <v>14.0</v>
      </c>
      <c r="P335" s="40">
        <v>0.06477953184540011</v>
      </c>
      <c r="Q335" s="40">
        <v>0.07159202353710363</v>
      </c>
      <c r="R335" s="40">
        <v>0.07291666666666667</v>
      </c>
      <c r="S335" s="40">
        <v>0.06748466257668712</v>
      </c>
      <c r="T335" s="40">
        <v>0.04225352112676056</v>
      </c>
    </row>
    <row r="336" ht="15.75" customHeight="1">
      <c r="F336" s="24"/>
      <c r="G336" s="19">
        <v>15.0</v>
      </c>
      <c r="H336" s="20">
        <v>653.0</v>
      </c>
      <c r="I336" s="20">
        <v>175.0</v>
      </c>
      <c r="J336" s="20">
        <v>10.0</v>
      </c>
      <c r="K336" s="20">
        <v>5.0</v>
      </c>
      <c r="L336" s="20">
        <v>9.0</v>
      </c>
      <c r="N336" s="24"/>
      <c r="O336" s="19">
        <v>15.0</v>
      </c>
      <c r="P336" s="40">
        <v>0.05924514607149338</v>
      </c>
      <c r="Q336" s="40">
        <v>0.057208237986270026</v>
      </c>
      <c r="R336" s="40">
        <v>0.052083333333333336</v>
      </c>
      <c r="S336" s="40">
        <v>0.03067484662576687</v>
      </c>
      <c r="T336" s="40">
        <v>0.06338028169014084</v>
      </c>
    </row>
    <row r="337" ht="15.75" customHeight="1">
      <c r="F337" s="24"/>
      <c r="G337" s="19">
        <v>16.0</v>
      </c>
      <c r="H337" s="20">
        <v>628.0</v>
      </c>
      <c r="I337" s="20">
        <v>154.0</v>
      </c>
      <c r="J337" s="20">
        <v>11.0</v>
      </c>
      <c r="K337" s="20">
        <v>4.0</v>
      </c>
      <c r="L337" s="20">
        <v>7.0</v>
      </c>
      <c r="N337" s="24"/>
      <c r="O337" s="19">
        <v>16.0</v>
      </c>
      <c r="P337" s="40">
        <v>0.056976955180547996</v>
      </c>
      <c r="Q337" s="40">
        <v>0.05034324942791762</v>
      </c>
      <c r="R337" s="40">
        <v>0.057291666666666664</v>
      </c>
      <c r="S337" s="40">
        <v>0.024539877300613498</v>
      </c>
      <c r="T337" s="40">
        <v>0.04929577464788732</v>
      </c>
    </row>
    <row r="338" ht="15.75" customHeight="1">
      <c r="F338" s="24"/>
      <c r="G338" s="19">
        <v>17.0</v>
      </c>
      <c r="H338" s="20">
        <v>558.0</v>
      </c>
      <c r="I338" s="20">
        <v>151.0</v>
      </c>
      <c r="J338" s="20">
        <v>8.0</v>
      </c>
      <c r="K338" s="20">
        <v>1.0</v>
      </c>
      <c r="L338" s="20">
        <v>3.0</v>
      </c>
      <c r="N338" s="24"/>
      <c r="O338" s="19">
        <v>17.0</v>
      </c>
      <c r="P338" s="40">
        <v>0.05062602068590093</v>
      </c>
      <c r="Q338" s="40">
        <v>0.04936253677672442</v>
      </c>
      <c r="R338" s="40">
        <v>0.041666666666666664</v>
      </c>
      <c r="S338" s="40">
        <v>0.006134969325153374</v>
      </c>
      <c r="T338" s="40">
        <v>0.02112676056338028</v>
      </c>
    </row>
    <row r="339" ht="15.75" customHeight="1">
      <c r="F339" s="24"/>
      <c r="G339" s="19">
        <v>18.0</v>
      </c>
      <c r="H339" s="20">
        <v>450.0</v>
      </c>
      <c r="I339" s="20">
        <v>143.0</v>
      </c>
      <c r="J339" s="20">
        <v>4.0</v>
      </c>
      <c r="K339" s="20">
        <v>3.0</v>
      </c>
      <c r="L339" s="20">
        <v>5.0</v>
      </c>
      <c r="N339" s="24"/>
      <c r="O339" s="19">
        <v>18.0</v>
      </c>
      <c r="P339" s="40">
        <v>0.04082743603701688</v>
      </c>
      <c r="Q339" s="40">
        <v>0.04674730304020922</v>
      </c>
      <c r="R339" s="40">
        <v>0.020833333333333332</v>
      </c>
      <c r="S339" s="40">
        <v>0.018404907975460124</v>
      </c>
      <c r="T339" s="40">
        <v>0.035211267605633804</v>
      </c>
    </row>
    <row r="340" ht="15.75" customHeight="1">
      <c r="F340" s="24"/>
      <c r="G340" s="19">
        <v>19.0</v>
      </c>
      <c r="H340" s="20">
        <v>459.0</v>
      </c>
      <c r="I340" s="20">
        <v>105.0</v>
      </c>
      <c r="J340" s="20">
        <v>6.0</v>
      </c>
      <c r="K340" s="20">
        <v>7.0</v>
      </c>
      <c r="L340" s="20">
        <v>5.0</v>
      </c>
      <c r="N340" s="24"/>
      <c r="O340" s="19">
        <v>19.0</v>
      </c>
      <c r="P340" s="40">
        <v>0.04164398475775721</v>
      </c>
      <c r="Q340" s="40">
        <v>0.034324942791762014</v>
      </c>
      <c r="R340" s="40">
        <v>0.03125</v>
      </c>
      <c r="S340" s="40">
        <v>0.04294478527607362</v>
      </c>
      <c r="T340" s="40">
        <v>0.035211267605633804</v>
      </c>
    </row>
    <row r="341" ht="15.75" customHeight="1">
      <c r="F341" s="24"/>
      <c r="G341" s="19">
        <v>20.0</v>
      </c>
      <c r="H341" s="20">
        <v>455.0</v>
      </c>
      <c r="I341" s="20">
        <v>101.0</v>
      </c>
      <c r="J341" s="20">
        <v>3.0</v>
      </c>
      <c r="K341" s="20">
        <v>4.0</v>
      </c>
      <c r="L341" s="20">
        <v>4.0</v>
      </c>
      <c r="N341" s="24"/>
      <c r="O341" s="19">
        <v>20.0</v>
      </c>
      <c r="P341" s="40">
        <v>0.04128107421520595</v>
      </c>
      <c r="Q341" s="40">
        <v>0.03301732592350441</v>
      </c>
      <c r="R341" s="40">
        <v>0.015625</v>
      </c>
      <c r="S341" s="40">
        <v>0.024539877300613498</v>
      </c>
      <c r="T341" s="40">
        <v>0.028169014084507043</v>
      </c>
    </row>
    <row r="342" ht="15.75" customHeight="1">
      <c r="F342" s="24"/>
      <c r="G342" s="19">
        <v>21.0</v>
      </c>
      <c r="H342" s="20">
        <v>362.0</v>
      </c>
      <c r="I342" s="20">
        <v>105.0</v>
      </c>
      <c r="J342" s="20">
        <v>5.0</v>
      </c>
      <c r="K342" s="20">
        <v>2.0</v>
      </c>
      <c r="L342" s="20">
        <v>6.0</v>
      </c>
      <c r="N342" s="24"/>
      <c r="O342" s="19">
        <v>21.0</v>
      </c>
      <c r="P342" s="40">
        <v>0.03284340410088913</v>
      </c>
      <c r="Q342" s="40">
        <v>0.034324942791762014</v>
      </c>
      <c r="R342" s="40">
        <v>0.026041666666666668</v>
      </c>
      <c r="S342" s="40">
        <v>0.012269938650306749</v>
      </c>
      <c r="T342" s="40">
        <v>0.04225352112676056</v>
      </c>
    </row>
    <row r="343" ht="15.75" customHeight="1">
      <c r="F343" s="24"/>
      <c r="G343" s="19">
        <v>22.0</v>
      </c>
      <c r="H343" s="20">
        <v>220.0</v>
      </c>
      <c r="I343" s="20">
        <v>63.0</v>
      </c>
      <c r="J343" s="20">
        <v>1.0</v>
      </c>
      <c r="K343" s="20">
        <v>8.0</v>
      </c>
      <c r="L343" s="20">
        <v>13.0</v>
      </c>
      <c r="N343" s="24"/>
      <c r="O343" s="19">
        <v>22.0</v>
      </c>
      <c r="P343" s="40">
        <v>0.01996007984031936</v>
      </c>
      <c r="Q343" s="40">
        <v>0.020594965675057208</v>
      </c>
      <c r="R343" s="40">
        <v>0.005208333333333333</v>
      </c>
      <c r="S343" s="40">
        <v>0.049079754601226995</v>
      </c>
      <c r="T343" s="40">
        <v>0.09154929577464789</v>
      </c>
    </row>
    <row r="344" ht="15.75" customHeight="1">
      <c r="F344" s="28"/>
      <c r="G344" s="19">
        <v>23.0</v>
      </c>
      <c r="H344" s="20">
        <v>101.0</v>
      </c>
      <c r="I344" s="20">
        <v>26.0</v>
      </c>
      <c r="J344" s="20">
        <v>2.0</v>
      </c>
      <c r="K344" s="20">
        <v>2.0</v>
      </c>
      <c r="L344" s="20">
        <v>6.0</v>
      </c>
      <c r="N344" s="28"/>
      <c r="O344" s="19">
        <v>23.0</v>
      </c>
      <c r="P344" s="40">
        <v>0.009163491199419343</v>
      </c>
      <c r="Q344" s="40">
        <v>0.008499509643674403</v>
      </c>
      <c r="R344" s="40">
        <v>0.010416666666666666</v>
      </c>
      <c r="S344" s="40">
        <v>0.012269938650306749</v>
      </c>
      <c r="T344" s="40">
        <v>0.04225352112676056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3:C3"/>
    <mergeCell ref="D3:E3"/>
    <mergeCell ref="H3:L3"/>
    <mergeCell ref="H4:L4"/>
    <mergeCell ref="H6:L6"/>
    <mergeCell ref="F8:F31"/>
    <mergeCell ref="F32:F55"/>
    <mergeCell ref="N177:N200"/>
    <mergeCell ref="N201:N224"/>
    <mergeCell ref="N225:N248"/>
    <mergeCell ref="N249:N272"/>
    <mergeCell ref="N273:N296"/>
    <mergeCell ref="N297:N320"/>
    <mergeCell ref="N321:N344"/>
    <mergeCell ref="N8:N31"/>
    <mergeCell ref="N32:N55"/>
    <mergeCell ref="N56:N79"/>
    <mergeCell ref="N80:N103"/>
    <mergeCell ref="N104:N127"/>
    <mergeCell ref="N128:N151"/>
    <mergeCell ref="N152:N175"/>
    <mergeCell ref="F225:F248"/>
    <mergeCell ref="F249:F272"/>
    <mergeCell ref="F273:F296"/>
    <mergeCell ref="F297:F320"/>
    <mergeCell ref="F321:F344"/>
    <mergeCell ref="F56:F79"/>
    <mergeCell ref="F80:F103"/>
    <mergeCell ref="F104:F127"/>
    <mergeCell ref="F128:F151"/>
    <mergeCell ref="F152:F175"/>
    <mergeCell ref="F177:F200"/>
    <mergeCell ref="F201:F22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1" width="8.88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180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181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2" t="s">
        <v>13</v>
      </c>
      <c r="E5" s="101" t="s">
        <v>14</v>
      </c>
    </row>
    <row r="6" ht="15.75" customHeight="1"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21">
        <v>45194.0</v>
      </c>
      <c r="G8" s="19">
        <v>0.0</v>
      </c>
      <c r="H8" s="20">
        <v>1.0</v>
      </c>
      <c r="I8" s="20">
        <v>2.0</v>
      </c>
      <c r="J8" s="20">
        <v>0.0</v>
      </c>
      <c r="K8" s="20">
        <v>0.0</v>
      </c>
      <c r="L8" s="20">
        <v>0.0</v>
      </c>
      <c r="N8" s="18">
        <v>45194.0</v>
      </c>
      <c r="O8" s="19">
        <v>0.0</v>
      </c>
      <c r="P8" s="40">
        <v>0.0037174721189591076</v>
      </c>
      <c r="Q8" s="40">
        <v>0.017241379310344827</v>
      </c>
      <c r="R8" s="40">
        <v>0.0</v>
      </c>
      <c r="S8" s="40">
        <v>0.0</v>
      </c>
      <c r="T8" s="40">
        <v>0.0</v>
      </c>
    </row>
    <row r="9" ht="15.75" customHeight="1">
      <c r="F9" s="24"/>
      <c r="G9" s="19">
        <v>1.0</v>
      </c>
      <c r="H9" s="20">
        <v>4.0</v>
      </c>
      <c r="I9" s="20">
        <v>0.0</v>
      </c>
      <c r="J9" s="20">
        <v>0.0</v>
      </c>
      <c r="K9" s="20">
        <v>0.0</v>
      </c>
      <c r="L9" s="20">
        <v>0.0</v>
      </c>
      <c r="N9" s="23"/>
      <c r="O9" s="19">
        <v>1.0</v>
      </c>
      <c r="P9" s="40">
        <v>0.01486988847583643</v>
      </c>
      <c r="Q9" s="40">
        <v>0.0</v>
      </c>
      <c r="R9" s="40">
        <v>0.0</v>
      </c>
      <c r="S9" s="40">
        <v>0.0</v>
      </c>
      <c r="T9" s="40">
        <v>0.0</v>
      </c>
    </row>
    <row r="10" ht="15.75" customHeight="1">
      <c r="F10" s="24"/>
      <c r="G10" s="19">
        <v>2.0</v>
      </c>
      <c r="H10" s="20">
        <v>1.0</v>
      </c>
      <c r="I10" s="20">
        <v>0.0</v>
      </c>
      <c r="J10" s="20">
        <v>0.0</v>
      </c>
      <c r="K10" s="20">
        <v>0.0</v>
      </c>
      <c r="L10" s="20">
        <v>0.0</v>
      </c>
      <c r="N10" s="23"/>
      <c r="O10" s="19">
        <v>2.0</v>
      </c>
      <c r="P10" s="40">
        <v>0.0037174721189591076</v>
      </c>
      <c r="Q10" s="40">
        <v>0.0</v>
      </c>
      <c r="R10" s="40">
        <v>0.0</v>
      </c>
      <c r="S10" s="40">
        <v>0.0</v>
      </c>
      <c r="T10" s="40">
        <v>0.0</v>
      </c>
    </row>
    <row r="11" ht="15.75" customHeight="1">
      <c r="F11" s="24"/>
      <c r="G11" s="19">
        <v>3.0</v>
      </c>
      <c r="H11" s="20">
        <v>1.0</v>
      </c>
      <c r="I11" s="20">
        <v>0.0</v>
      </c>
      <c r="J11" s="20">
        <v>0.0</v>
      </c>
      <c r="K11" s="20">
        <v>0.0</v>
      </c>
      <c r="L11" s="20">
        <v>0.0</v>
      </c>
      <c r="N11" s="23"/>
      <c r="O11" s="19">
        <v>3.0</v>
      </c>
      <c r="P11" s="40">
        <v>0.0037174721189591076</v>
      </c>
      <c r="Q11" s="40">
        <v>0.0</v>
      </c>
      <c r="R11" s="40">
        <v>0.0</v>
      </c>
      <c r="S11" s="40">
        <v>0.0</v>
      </c>
      <c r="T11" s="40">
        <v>0.0</v>
      </c>
    </row>
    <row r="12" ht="15.75" customHeight="1">
      <c r="F12" s="24"/>
      <c r="G12" s="19">
        <v>4.0</v>
      </c>
      <c r="H12" s="20">
        <v>2.0</v>
      </c>
      <c r="I12" s="20">
        <v>0.0</v>
      </c>
      <c r="J12" s="20">
        <v>0.0</v>
      </c>
      <c r="K12" s="20">
        <v>0.0</v>
      </c>
      <c r="L12" s="20">
        <v>0.0</v>
      </c>
      <c r="N12" s="23"/>
      <c r="O12" s="19">
        <v>4.0</v>
      </c>
      <c r="P12" s="40">
        <v>0.007434944237918215</v>
      </c>
      <c r="Q12" s="40">
        <v>0.0</v>
      </c>
      <c r="R12" s="40">
        <v>0.0</v>
      </c>
      <c r="S12" s="40">
        <v>0.0</v>
      </c>
      <c r="T12" s="40">
        <v>0.0</v>
      </c>
    </row>
    <row r="13" ht="15.75" customHeight="1">
      <c r="F13" s="24"/>
      <c r="G13" s="19">
        <v>5.0</v>
      </c>
      <c r="H13" s="20">
        <v>0.0</v>
      </c>
      <c r="I13" s="20">
        <v>1.0</v>
      </c>
      <c r="J13" s="20">
        <v>0.0</v>
      </c>
      <c r="K13" s="20">
        <v>0.0</v>
      </c>
      <c r="L13" s="20">
        <v>1.0</v>
      </c>
      <c r="N13" s="23"/>
      <c r="O13" s="19">
        <v>5.0</v>
      </c>
      <c r="P13" s="40">
        <v>0.0</v>
      </c>
      <c r="Q13" s="40">
        <v>0.008620689655172414</v>
      </c>
      <c r="R13" s="40">
        <v>0.0</v>
      </c>
      <c r="S13" s="40">
        <v>0.0</v>
      </c>
      <c r="T13" s="40">
        <v>0.058823529411764705</v>
      </c>
    </row>
    <row r="14" ht="15.75" customHeight="1">
      <c r="F14" s="24"/>
      <c r="G14" s="19">
        <v>6.0</v>
      </c>
      <c r="H14" s="20">
        <v>13.0</v>
      </c>
      <c r="I14" s="20">
        <v>4.0</v>
      </c>
      <c r="J14" s="20">
        <v>0.0</v>
      </c>
      <c r="K14" s="20">
        <v>0.0</v>
      </c>
      <c r="L14" s="20">
        <v>0.0</v>
      </c>
      <c r="N14" s="23"/>
      <c r="O14" s="19">
        <v>6.0</v>
      </c>
      <c r="P14" s="40">
        <v>0.048327137546468404</v>
      </c>
      <c r="Q14" s="40">
        <v>0.034482758620689655</v>
      </c>
      <c r="R14" s="40">
        <v>0.0</v>
      </c>
      <c r="S14" s="40">
        <v>0.0</v>
      </c>
      <c r="T14" s="40">
        <v>0.0</v>
      </c>
    </row>
    <row r="15" ht="15.75" customHeight="1">
      <c r="F15" s="24"/>
      <c r="G15" s="19">
        <v>7.0</v>
      </c>
      <c r="H15" s="20">
        <v>27.0</v>
      </c>
      <c r="I15" s="20">
        <v>9.0</v>
      </c>
      <c r="J15" s="20">
        <v>1.0</v>
      </c>
      <c r="K15" s="20">
        <v>1.0</v>
      </c>
      <c r="L15" s="20">
        <v>0.0</v>
      </c>
      <c r="N15" s="23"/>
      <c r="O15" s="19">
        <v>7.0</v>
      </c>
      <c r="P15" s="40">
        <v>0.10037174721189591</v>
      </c>
      <c r="Q15" s="40">
        <v>0.07758620689655173</v>
      </c>
      <c r="R15" s="40">
        <v>0.5</v>
      </c>
      <c r="S15" s="40">
        <v>0.043478260869565216</v>
      </c>
      <c r="T15" s="40">
        <v>0.0</v>
      </c>
    </row>
    <row r="16" ht="15.75" customHeight="1">
      <c r="F16" s="24"/>
      <c r="G16" s="19">
        <v>8.0</v>
      </c>
      <c r="H16" s="20">
        <v>14.0</v>
      </c>
      <c r="I16" s="20">
        <v>8.0</v>
      </c>
      <c r="J16" s="20">
        <v>0.0</v>
      </c>
      <c r="K16" s="20">
        <v>0.0</v>
      </c>
      <c r="L16" s="20">
        <v>2.0</v>
      </c>
      <c r="N16" s="23"/>
      <c r="O16" s="19">
        <v>8.0</v>
      </c>
      <c r="P16" s="40">
        <v>0.05204460966542751</v>
      </c>
      <c r="Q16" s="40">
        <v>0.06896551724137931</v>
      </c>
      <c r="R16" s="40">
        <v>0.0</v>
      </c>
      <c r="S16" s="40">
        <v>0.0</v>
      </c>
      <c r="T16" s="40">
        <v>0.11764705882352941</v>
      </c>
    </row>
    <row r="17" ht="15.75" customHeight="1">
      <c r="F17" s="24"/>
      <c r="G17" s="19">
        <v>9.0</v>
      </c>
      <c r="H17" s="20">
        <v>21.0</v>
      </c>
      <c r="I17" s="20">
        <v>7.0</v>
      </c>
      <c r="J17" s="20">
        <v>0.0</v>
      </c>
      <c r="K17" s="20">
        <v>3.0</v>
      </c>
      <c r="L17" s="20">
        <v>2.0</v>
      </c>
      <c r="N17" s="23"/>
      <c r="O17" s="19">
        <v>9.0</v>
      </c>
      <c r="P17" s="40">
        <v>0.07806691449814127</v>
      </c>
      <c r="Q17" s="40">
        <v>0.0603448275862069</v>
      </c>
      <c r="R17" s="40">
        <v>0.0</v>
      </c>
      <c r="S17" s="40">
        <v>0.13043478260869565</v>
      </c>
      <c r="T17" s="40">
        <v>0.11764705882352941</v>
      </c>
    </row>
    <row r="18" ht="15.75" customHeight="1">
      <c r="F18" s="24"/>
      <c r="G18" s="19">
        <v>10.0</v>
      </c>
      <c r="H18" s="20">
        <v>14.0</v>
      </c>
      <c r="I18" s="20">
        <v>7.0</v>
      </c>
      <c r="J18" s="20">
        <v>0.0</v>
      </c>
      <c r="K18" s="20">
        <v>2.0</v>
      </c>
      <c r="L18" s="20">
        <v>3.0</v>
      </c>
      <c r="N18" s="23"/>
      <c r="O18" s="19">
        <v>10.0</v>
      </c>
      <c r="P18" s="40">
        <v>0.05204460966542751</v>
      </c>
      <c r="Q18" s="40">
        <v>0.0603448275862069</v>
      </c>
      <c r="R18" s="40">
        <v>0.0</v>
      </c>
      <c r="S18" s="40">
        <v>0.08695652173913043</v>
      </c>
      <c r="T18" s="40">
        <v>0.17647058823529413</v>
      </c>
    </row>
    <row r="19" ht="15.75" customHeight="1">
      <c r="F19" s="24"/>
      <c r="G19" s="19">
        <v>11.0</v>
      </c>
      <c r="H19" s="20">
        <v>13.0</v>
      </c>
      <c r="I19" s="20">
        <v>13.0</v>
      </c>
      <c r="J19" s="20">
        <v>1.0</v>
      </c>
      <c r="K19" s="20">
        <v>2.0</v>
      </c>
      <c r="L19" s="20">
        <v>1.0</v>
      </c>
      <c r="N19" s="23"/>
      <c r="O19" s="19">
        <v>11.0</v>
      </c>
      <c r="P19" s="40">
        <v>0.048327137546468404</v>
      </c>
      <c r="Q19" s="40">
        <v>0.11206896551724138</v>
      </c>
      <c r="R19" s="40">
        <v>0.5</v>
      </c>
      <c r="S19" s="40">
        <v>0.08695652173913043</v>
      </c>
      <c r="T19" s="40">
        <v>0.058823529411764705</v>
      </c>
    </row>
    <row r="20" ht="15.75" customHeight="1">
      <c r="F20" s="24"/>
      <c r="G20" s="19">
        <v>12.0</v>
      </c>
      <c r="H20" s="20">
        <v>12.0</v>
      </c>
      <c r="I20" s="20">
        <v>3.0</v>
      </c>
      <c r="J20" s="20">
        <v>0.0</v>
      </c>
      <c r="K20" s="20">
        <v>1.0</v>
      </c>
      <c r="L20" s="20">
        <v>2.0</v>
      </c>
      <c r="N20" s="23"/>
      <c r="O20" s="19">
        <v>12.0</v>
      </c>
      <c r="P20" s="40">
        <v>0.04460966542750929</v>
      </c>
      <c r="Q20" s="40">
        <v>0.02586206896551724</v>
      </c>
      <c r="R20" s="40">
        <v>0.0</v>
      </c>
      <c r="S20" s="40">
        <v>0.043478260869565216</v>
      </c>
      <c r="T20" s="40">
        <v>0.11764705882352941</v>
      </c>
    </row>
    <row r="21" ht="15.75" customHeight="1">
      <c r="F21" s="24"/>
      <c r="G21" s="19">
        <v>13.0</v>
      </c>
      <c r="H21" s="20">
        <v>9.0</v>
      </c>
      <c r="I21" s="20">
        <v>4.0</v>
      </c>
      <c r="J21" s="20">
        <v>0.0</v>
      </c>
      <c r="K21" s="20">
        <v>2.0</v>
      </c>
      <c r="L21" s="20">
        <v>1.0</v>
      </c>
      <c r="N21" s="23"/>
      <c r="O21" s="19">
        <v>13.0</v>
      </c>
      <c r="P21" s="40">
        <v>0.03345724907063197</v>
      </c>
      <c r="Q21" s="40">
        <v>0.034482758620689655</v>
      </c>
      <c r="R21" s="40">
        <v>0.0</v>
      </c>
      <c r="S21" s="40">
        <v>0.08695652173913043</v>
      </c>
      <c r="T21" s="40">
        <v>0.058823529411764705</v>
      </c>
    </row>
    <row r="22" ht="15.75" customHeight="1">
      <c r="F22" s="24"/>
      <c r="G22" s="19">
        <v>14.0</v>
      </c>
      <c r="H22" s="20">
        <v>15.0</v>
      </c>
      <c r="I22" s="20">
        <v>6.0</v>
      </c>
      <c r="J22" s="20">
        <v>0.0</v>
      </c>
      <c r="K22" s="20">
        <v>0.0</v>
      </c>
      <c r="L22" s="20">
        <v>3.0</v>
      </c>
      <c r="N22" s="23"/>
      <c r="O22" s="19">
        <v>14.0</v>
      </c>
      <c r="P22" s="40">
        <v>0.055762081784386616</v>
      </c>
      <c r="Q22" s="40">
        <v>0.05172413793103448</v>
      </c>
      <c r="R22" s="40">
        <v>0.0</v>
      </c>
      <c r="S22" s="40">
        <v>0.0</v>
      </c>
      <c r="T22" s="40">
        <v>0.17647058823529413</v>
      </c>
    </row>
    <row r="23" ht="15.75" customHeight="1">
      <c r="F23" s="24"/>
      <c r="G23" s="19">
        <v>15.0</v>
      </c>
      <c r="H23" s="20">
        <v>17.0</v>
      </c>
      <c r="I23" s="20">
        <v>10.0</v>
      </c>
      <c r="J23" s="20">
        <v>0.0</v>
      </c>
      <c r="K23" s="20">
        <v>0.0</v>
      </c>
      <c r="L23" s="20">
        <v>0.0</v>
      </c>
      <c r="N23" s="23"/>
      <c r="O23" s="19">
        <v>15.0</v>
      </c>
      <c r="P23" s="40">
        <v>0.06319702602230483</v>
      </c>
      <c r="Q23" s="40">
        <v>0.08620689655172414</v>
      </c>
      <c r="R23" s="40">
        <v>0.0</v>
      </c>
      <c r="S23" s="40">
        <v>0.0</v>
      </c>
      <c r="T23" s="40">
        <v>0.0</v>
      </c>
    </row>
    <row r="24" ht="15.75" customHeight="1">
      <c r="F24" s="24"/>
      <c r="G24" s="19">
        <v>16.0</v>
      </c>
      <c r="H24" s="20">
        <v>27.0</v>
      </c>
      <c r="I24" s="20">
        <v>6.0</v>
      </c>
      <c r="J24" s="20">
        <v>0.0</v>
      </c>
      <c r="K24" s="20">
        <v>1.0</v>
      </c>
      <c r="L24" s="20">
        <v>1.0</v>
      </c>
      <c r="N24" s="23"/>
      <c r="O24" s="19">
        <v>16.0</v>
      </c>
      <c r="P24" s="40">
        <v>0.10037174721189591</v>
      </c>
      <c r="Q24" s="40">
        <v>0.05172413793103448</v>
      </c>
      <c r="R24" s="40">
        <v>0.0</v>
      </c>
      <c r="S24" s="40">
        <v>0.043478260869565216</v>
      </c>
      <c r="T24" s="40">
        <v>0.058823529411764705</v>
      </c>
    </row>
    <row r="25" ht="15.75" customHeight="1">
      <c r="F25" s="24"/>
      <c r="G25" s="19">
        <v>17.0</v>
      </c>
      <c r="H25" s="20">
        <v>23.0</v>
      </c>
      <c r="I25" s="20">
        <v>14.0</v>
      </c>
      <c r="J25" s="20">
        <v>0.0</v>
      </c>
      <c r="K25" s="20">
        <v>1.0</v>
      </c>
      <c r="L25" s="20">
        <v>0.0</v>
      </c>
      <c r="N25" s="23"/>
      <c r="O25" s="19">
        <v>17.0</v>
      </c>
      <c r="P25" s="40">
        <v>0.08550185873605948</v>
      </c>
      <c r="Q25" s="40">
        <v>0.1206896551724138</v>
      </c>
      <c r="R25" s="40">
        <v>0.0</v>
      </c>
      <c r="S25" s="40">
        <v>0.043478260869565216</v>
      </c>
      <c r="T25" s="40">
        <v>0.0</v>
      </c>
    </row>
    <row r="26" ht="15.75" customHeight="1">
      <c r="F26" s="24"/>
      <c r="G26" s="19">
        <v>18.0</v>
      </c>
      <c r="H26" s="20">
        <v>17.0</v>
      </c>
      <c r="I26" s="20">
        <v>6.0</v>
      </c>
      <c r="J26" s="20">
        <v>0.0</v>
      </c>
      <c r="K26" s="20">
        <v>1.0</v>
      </c>
      <c r="L26" s="20">
        <v>0.0</v>
      </c>
      <c r="N26" s="23"/>
      <c r="O26" s="19">
        <v>18.0</v>
      </c>
      <c r="P26" s="40">
        <v>0.06319702602230483</v>
      </c>
      <c r="Q26" s="40">
        <v>0.05172413793103448</v>
      </c>
      <c r="R26" s="40">
        <v>0.0</v>
      </c>
      <c r="S26" s="40">
        <v>0.043478260869565216</v>
      </c>
      <c r="T26" s="40">
        <v>0.0</v>
      </c>
    </row>
    <row r="27" ht="15.75" customHeight="1">
      <c r="F27" s="24"/>
      <c r="G27" s="19">
        <v>19.0</v>
      </c>
      <c r="H27" s="20">
        <v>12.0</v>
      </c>
      <c r="I27" s="20">
        <v>4.0</v>
      </c>
      <c r="J27" s="20">
        <v>0.0</v>
      </c>
      <c r="K27" s="20">
        <v>1.0</v>
      </c>
      <c r="L27" s="20">
        <v>0.0</v>
      </c>
      <c r="N27" s="23"/>
      <c r="O27" s="19">
        <v>19.0</v>
      </c>
      <c r="P27" s="40">
        <v>0.04460966542750929</v>
      </c>
      <c r="Q27" s="40">
        <v>0.034482758620689655</v>
      </c>
      <c r="R27" s="40">
        <v>0.0</v>
      </c>
      <c r="S27" s="40">
        <v>0.043478260869565216</v>
      </c>
      <c r="T27" s="40">
        <v>0.0</v>
      </c>
    </row>
    <row r="28" ht="15.75" customHeight="1">
      <c r="F28" s="24"/>
      <c r="G28" s="19">
        <v>20.0</v>
      </c>
      <c r="H28" s="20">
        <v>11.0</v>
      </c>
      <c r="I28" s="20">
        <v>5.0</v>
      </c>
      <c r="J28" s="20">
        <v>0.0</v>
      </c>
      <c r="K28" s="20">
        <v>4.0</v>
      </c>
      <c r="L28" s="20">
        <v>1.0</v>
      </c>
      <c r="N28" s="23"/>
      <c r="O28" s="19">
        <v>20.0</v>
      </c>
      <c r="P28" s="40">
        <v>0.040892193308550186</v>
      </c>
      <c r="Q28" s="40">
        <v>0.04310344827586207</v>
      </c>
      <c r="R28" s="40">
        <v>0.0</v>
      </c>
      <c r="S28" s="40">
        <v>0.17391304347826086</v>
      </c>
      <c r="T28" s="40">
        <v>0.058823529411764705</v>
      </c>
    </row>
    <row r="29" ht="15.75" customHeight="1">
      <c r="F29" s="24"/>
      <c r="G29" s="19">
        <v>21.0</v>
      </c>
      <c r="H29" s="20">
        <v>7.0</v>
      </c>
      <c r="I29" s="20">
        <v>4.0</v>
      </c>
      <c r="J29" s="20">
        <v>0.0</v>
      </c>
      <c r="K29" s="20">
        <v>3.0</v>
      </c>
      <c r="L29" s="20">
        <v>0.0</v>
      </c>
      <c r="N29" s="23"/>
      <c r="O29" s="19">
        <v>21.0</v>
      </c>
      <c r="P29" s="40">
        <v>0.026022304832713755</v>
      </c>
      <c r="Q29" s="40">
        <v>0.034482758620689655</v>
      </c>
      <c r="R29" s="40">
        <v>0.0</v>
      </c>
      <c r="S29" s="40">
        <v>0.13043478260869565</v>
      </c>
      <c r="T29" s="40">
        <v>0.0</v>
      </c>
    </row>
    <row r="30" ht="15.75" customHeight="1">
      <c r="F30" s="24"/>
      <c r="G30" s="19">
        <v>22.0</v>
      </c>
      <c r="H30" s="20">
        <v>5.0</v>
      </c>
      <c r="I30" s="20">
        <v>1.0</v>
      </c>
      <c r="J30" s="20">
        <v>0.0</v>
      </c>
      <c r="K30" s="20">
        <v>0.0</v>
      </c>
      <c r="L30" s="20">
        <v>0.0</v>
      </c>
      <c r="N30" s="23"/>
      <c r="O30" s="19">
        <v>22.0</v>
      </c>
      <c r="P30" s="40">
        <v>0.01858736059479554</v>
      </c>
      <c r="Q30" s="40">
        <v>0.008620689655172414</v>
      </c>
      <c r="R30" s="40">
        <v>0.0</v>
      </c>
      <c r="S30" s="40">
        <v>0.0</v>
      </c>
      <c r="T30" s="40">
        <v>0.0</v>
      </c>
    </row>
    <row r="31" ht="15.75" customHeight="1">
      <c r="F31" s="28"/>
      <c r="G31" s="19">
        <v>23.0</v>
      </c>
      <c r="H31" s="20">
        <v>3.0</v>
      </c>
      <c r="I31" s="20">
        <v>2.0</v>
      </c>
      <c r="J31" s="20">
        <v>0.0</v>
      </c>
      <c r="K31" s="20">
        <v>1.0</v>
      </c>
      <c r="L31" s="20">
        <v>0.0</v>
      </c>
      <c r="N31" s="27"/>
      <c r="O31" s="19">
        <v>23.0</v>
      </c>
      <c r="P31" s="40">
        <v>0.011152416356877323</v>
      </c>
      <c r="Q31" s="40">
        <v>0.017241379310344827</v>
      </c>
      <c r="R31" s="40">
        <v>0.0</v>
      </c>
      <c r="S31" s="40">
        <v>0.043478260869565216</v>
      </c>
      <c r="T31" s="40">
        <v>0.0</v>
      </c>
    </row>
    <row r="32" ht="15.75" customHeight="1">
      <c r="A32" s="16" t="s">
        <v>182</v>
      </c>
      <c r="F32" s="108">
        <v>45195.0</v>
      </c>
      <c r="G32" s="19">
        <v>0.0</v>
      </c>
      <c r="H32" s="20">
        <v>4.0</v>
      </c>
      <c r="I32" s="20">
        <v>0.0</v>
      </c>
      <c r="J32" s="20">
        <v>0.0</v>
      </c>
      <c r="K32" s="20">
        <v>0.0</v>
      </c>
      <c r="L32" s="20">
        <v>0.0</v>
      </c>
      <c r="N32" s="29">
        <v>45195.0</v>
      </c>
      <c r="O32" s="19">
        <v>0.0</v>
      </c>
      <c r="P32" s="40">
        <v>0.014336917562724014</v>
      </c>
      <c r="Q32" s="40">
        <v>0.0</v>
      </c>
      <c r="R32" s="40">
        <v>0.0</v>
      </c>
      <c r="S32" s="40">
        <v>0.0</v>
      </c>
      <c r="T32" s="40">
        <v>0.0</v>
      </c>
    </row>
    <row r="33" ht="15.75" customHeight="1">
      <c r="A33" s="16" t="s">
        <v>113</v>
      </c>
      <c r="F33" s="24"/>
      <c r="G33" s="19">
        <v>1.0</v>
      </c>
      <c r="H33" s="20">
        <v>3.0</v>
      </c>
      <c r="I33" s="20">
        <v>0.0</v>
      </c>
      <c r="J33" s="20">
        <v>0.0</v>
      </c>
      <c r="K33" s="20">
        <v>0.0</v>
      </c>
      <c r="L33" s="20">
        <v>0.0</v>
      </c>
      <c r="N33" s="23"/>
      <c r="O33" s="19">
        <v>1.0</v>
      </c>
      <c r="P33" s="40">
        <v>0.010752688172043012</v>
      </c>
      <c r="Q33" s="40">
        <v>0.0</v>
      </c>
      <c r="R33" s="40">
        <v>0.0</v>
      </c>
      <c r="S33" s="40">
        <v>0.0</v>
      </c>
      <c r="T33" s="40">
        <v>0.0</v>
      </c>
    </row>
    <row r="34" ht="15.75" customHeight="1">
      <c r="A34" s="16" t="s">
        <v>183</v>
      </c>
      <c r="F34" s="24"/>
      <c r="G34" s="19">
        <v>2.0</v>
      </c>
      <c r="H34" s="16">
        <v>1.0</v>
      </c>
      <c r="I34" s="16">
        <v>1.0</v>
      </c>
      <c r="J34" s="16">
        <v>0.0</v>
      </c>
      <c r="K34" s="16">
        <v>0.0</v>
      </c>
      <c r="L34" s="16">
        <v>0.0</v>
      </c>
      <c r="N34" s="23"/>
      <c r="O34" s="19">
        <v>2.0</v>
      </c>
      <c r="P34" s="40">
        <v>0.0035842293906810036</v>
      </c>
      <c r="Q34" s="40">
        <v>0.0072992700729927005</v>
      </c>
      <c r="R34" s="40">
        <v>0.0</v>
      </c>
      <c r="S34" s="40">
        <v>0.0</v>
      </c>
      <c r="T34" s="40">
        <v>0.0</v>
      </c>
    </row>
    <row r="35" ht="15.75" customHeight="1">
      <c r="A35" s="16" t="s">
        <v>184</v>
      </c>
      <c r="F35" s="24"/>
      <c r="G35" s="19">
        <v>3.0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N35" s="23"/>
      <c r="O35" s="19">
        <v>3.0</v>
      </c>
      <c r="P35" s="40">
        <v>0.0</v>
      </c>
      <c r="Q35" s="40">
        <v>0.0</v>
      </c>
      <c r="R35" s="40">
        <v>0.0</v>
      </c>
      <c r="S35" s="40">
        <v>0.0</v>
      </c>
      <c r="T35" s="40">
        <v>0.0</v>
      </c>
    </row>
    <row r="36" ht="15.75" customHeight="1">
      <c r="A36" s="16" t="s">
        <v>185</v>
      </c>
      <c r="F36" s="24"/>
      <c r="G36" s="19">
        <v>4.0</v>
      </c>
      <c r="H36" s="20">
        <v>2.0</v>
      </c>
      <c r="I36" s="20">
        <v>0.0</v>
      </c>
      <c r="J36" s="20">
        <v>0.0</v>
      </c>
      <c r="K36" s="20">
        <v>0.0</v>
      </c>
      <c r="L36" s="20">
        <v>0.0</v>
      </c>
      <c r="N36" s="23"/>
      <c r="O36" s="19">
        <v>4.0</v>
      </c>
      <c r="P36" s="40">
        <v>0.007168458781362007</v>
      </c>
      <c r="Q36" s="40">
        <v>0.0</v>
      </c>
      <c r="R36" s="40">
        <v>0.0</v>
      </c>
      <c r="S36" s="40">
        <v>0.0</v>
      </c>
      <c r="T36" s="40">
        <v>0.0</v>
      </c>
    </row>
    <row r="37" ht="15.75" customHeight="1">
      <c r="A37" s="16" t="s">
        <v>69</v>
      </c>
      <c r="F37" s="24"/>
      <c r="G37" s="19">
        <v>5.0</v>
      </c>
      <c r="H37" s="20">
        <v>5.0</v>
      </c>
      <c r="I37" s="20">
        <v>1.0</v>
      </c>
      <c r="J37" s="20">
        <v>0.0</v>
      </c>
      <c r="K37" s="20">
        <v>0.0</v>
      </c>
      <c r="L37" s="20">
        <v>1.0</v>
      </c>
      <c r="N37" s="23"/>
      <c r="O37" s="19">
        <v>5.0</v>
      </c>
      <c r="P37" s="40">
        <v>0.017921146953405017</v>
      </c>
      <c r="Q37" s="40">
        <v>0.0072992700729927005</v>
      </c>
      <c r="R37" s="40">
        <v>0.0</v>
      </c>
      <c r="S37" s="40">
        <v>0.0</v>
      </c>
      <c r="T37" s="40">
        <v>0.05</v>
      </c>
    </row>
    <row r="38" ht="15.75" customHeight="1">
      <c r="A38" s="16" t="s">
        <v>186</v>
      </c>
      <c r="F38" s="24"/>
      <c r="G38" s="19">
        <v>6.0</v>
      </c>
      <c r="H38" s="20">
        <v>8.0</v>
      </c>
      <c r="I38" s="20">
        <v>4.0</v>
      </c>
      <c r="J38" s="20">
        <v>0.0</v>
      </c>
      <c r="K38" s="20">
        <v>1.0</v>
      </c>
      <c r="L38" s="20">
        <v>1.0</v>
      </c>
      <c r="N38" s="23"/>
      <c r="O38" s="19">
        <v>6.0</v>
      </c>
      <c r="P38" s="40">
        <v>0.02867383512544803</v>
      </c>
      <c r="Q38" s="40">
        <v>0.029197080291970802</v>
      </c>
      <c r="R38" s="40">
        <v>0.0</v>
      </c>
      <c r="S38" s="40">
        <v>0.058823529411764705</v>
      </c>
      <c r="T38" s="40">
        <v>0.05</v>
      </c>
    </row>
    <row r="39" ht="15.75" customHeight="1">
      <c r="A39" s="16" t="s">
        <v>187</v>
      </c>
      <c r="F39" s="24"/>
      <c r="G39" s="19">
        <v>7.0</v>
      </c>
      <c r="H39" s="20">
        <v>35.0</v>
      </c>
      <c r="I39" s="20">
        <v>6.0</v>
      </c>
      <c r="J39" s="20">
        <v>1.0</v>
      </c>
      <c r="K39" s="20">
        <v>1.0</v>
      </c>
      <c r="L39" s="20">
        <v>0.0</v>
      </c>
      <c r="N39" s="23"/>
      <c r="O39" s="19">
        <v>7.0</v>
      </c>
      <c r="P39" s="40">
        <v>0.12544802867383512</v>
      </c>
      <c r="Q39" s="40">
        <v>0.043795620437956206</v>
      </c>
      <c r="R39" s="40">
        <v>0.3333333333333333</v>
      </c>
      <c r="S39" s="40">
        <v>0.058823529411764705</v>
      </c>
      <c r="T39" s="40">
        <v>0.0</v>
      </c>
    </row>
    <row r="40" ht="15.75" customHeight="1">
      <c r="A40" s="16" t="s">
        <v>188</v>
      </c>
      <c r="F40" s="24"/>
      <c r="G40" s="19">
        <v>8.0</v>
      </c>
      <c r="H40" s="20">
        <v>22.0</v>
      </c>
      <c r="I40" s="20">
        <v>5.0</v>
      </c>
      <c r="J40" s="20">
        <v>1.0</v>
      </c>
      <c r="K40" s="20">
        <v>1.0</v>
      </c>
      <c r="L40" s="20">
        <v>5.0</v>
      </c>
      <c r="N40" s="23"/>
      <c r="O40" s="19">
        <v>8.0</v>
      </c>
      <c r="P40" s="40">
        <v>0.07885304659498207</v>
      </c>
      <c r="Q40" s="40">
        <v>0.0364963503649635</v>
      </c>
      <c r="R40" s="40">
        <v>0.3333333333333333</v>
      </c>
      <c r="S40" s="40">
        <v>0.058823529411764705</v>
      </c>
      <c r="T40" s="40">
        <v>0.25</v>
      </c>
    </row>
    <row r="41" ht="15.75" customHeight="1">
      <c r="A41" s="16" t="s">
        <v>189</v>
      </c>
      <c r="F41" s="24"/>
      <c r="G41" s="19">
        <v>9.0</v>
      </c>
      <c r="H41" s="20">
        <v>20.0</v>
      </c>
      <c r="I41" s="20">
        <v>7.0</v>
      </c>
      <c r="J41" s="20">
        <v>0.0</v>
      </c>
      <c r="K41" s="20">
        <v>0.0</v>
      </c>
      <c r="L41" s="20">
        <v>2.0</v>
      </c>
      <c r="N41" s="23"/>
      <c r="O41" s="19">
        <v>9.0</v>
      </c>
      <c r="P41" s="40">
        <v>0.07168458781362007</v>
      </c>
      <c r="Q41" s="40">
        <v>0.051094890510948905</v>
      </c>
      <c r="R41" s="40">
        <v>0.0</v>
      </c>
      <c r="S41" s="40">
        <v>0.0</v>
      </c>
      <c r="T41" s="40">
        <v>0.1</v>
      </c>
    </row>
    <row r="42" ht="15.75" customHeight="1">
      <c r="A42" s="16" t="s">
        <v>190</v>
      </c>
      <c r="F42" s="24"/>
      <c r="G42" s="19">
        <v>10.0</v>
      </c>
      <c r="H42" s="20">
        <v>16.0</v>
      </c>
      <c r="I42" s="20">
        <v>11.0</v>
      </c>
      <c r="J42" s="20">
        <v>0.0</v>
      </c>
      <c r="K42" s="20">
        <v>1.0</v>
      </c>
      <c r="L42" s="20">
        <v>2.0</v>
      </c>
      <c r="N42" s="23"/>
      <c r="O42" s="19">
        <v>10.0</v>
      </c>
      <c r="P42" s="40">
        <v>0.05734767025089606</v>
      </c>
      <c r="Q42" s="40">
        <v>0.08029197080291971</v>
      </c>
      <c r="R42" s="40">
        <v>0.0</v>
      </c>
      <c r="S42" s="40">
        <v>0.058823529411764705</v>
      </c>
      <c r="T42" s="40">
        <v>0.1</v>
      </c>
    </row>
    <row r="43" ht="15.75" customHeight="1">
      <c r="A43" s="16" t="s">
        <v>191</v>
      </c>
      <c r="F43" s="24"/>
      <c r="G43" s="19">
        <v>11.0</v>
      </c>
      <c r="H43" s="20">
        <v>13.0</v>
      </c>
      <c r="I43" s="20">
        <v>13.0</v>
      </c>
      <c r="J43" s="20">
        <v>0.0</v>
      </c>
      <c r="K43" s="20">
        <v>2.0</v>
      </c>
      <c r="L43" s="20">
        <v>3.0</v>
      </c>
      <c r="N43" s="23"/>
      <c r="O43" s="19">
        <v>11.0</v>
      </c>
      <c r="P43" s="40">
        <v>0.04659498207885305</v>
      </c>
      <c r="Q43" s="40">
        <v>0.0948905109489051</v>
      </c>
      <c r="R43" s="40">
        <v>0.0</v>
      </c>
      <c r="S43" s="40">
        <v>0.11764705882352941</v>
      </c>
      <c r="T43" s="40">
        <v>0.15</v>
      </c>
    </row>
    <row r="44" ht="15.75" customHeight="1">
      <c r="A44" s="16" t="s">
        <v>192</v>
      </c>
      <c r="F44" s="24"/>
      <c r="G44" s="19">
        <v>12.0</v>
      </c>
      <c r="H44" s="20">
        <v>9.0</v>
      </c>
      <c r="I44" s="20">
        <v>11.0</v>
      </c>
      <c r="J44" s="20">
        <v>0.0</v>
      </c>
      <c r="K44" s="20">
        <v>0.0</v>
      </c>
      <c r="L44" s="20">
        <v>2.0</v>
      </c>
      <c r="N44" s="23"/>
      <c r="O44" s="19">
        <v>12.0</v>
      </c>
      <c r="P44" s="40">
        <v>0.03225806451612903</v>
      </c>
      <c r="Q44" s="40">
        <v>0.08029197080291971</v>
      </c>
      <c r="R44" s="40">
        <v>0.0</v>
      </c>
      <c r="S44" s="40">
        <v>0.0</v>
      </c>
      <c r="T44" s="40">
        <v>0.1</v>
      </c>
    </row>
    <row r="45" ht="15.75" customHeight="1">
      <c r="A45" s="16" t="s">
        <v>193</v>
      </c>
      <c r="F45" s="24"/>
      <c r="G45" s="19">
        <v>13.0</v>
      </c>
      <c r="H45" s="20">
        <v>7.0</v>
      </c>
      <c r="I45" s="20">
        <v>12.0</v>
      </c>
      <c r="J45" s="20">
        <v>0.0</v>
      </c>
      <c r="K45" s="20">
        <v>1.0</v>
      </c>
      <c r="L45" s="20">
        <v>1.0</v>
      </c>
      <c r="N45" s="23"/>
      <c r="O45" s="19">
        <v>13.0</v>
      </c>
      <c r="P45" s="40">
        <v>0.025089605734767026</v>
      </c>
      <c r="Q45" s="40">
        <v>0.08759124087591241</v>
      </c>
      <c r="R45" s="40">
        <v>0.0</v>
      </c>
      <c r="S45" s="40">
        <v>0.058823529411764705</v>
      </c>
      <c r="T45" s="40">
        <v>0.05</v>
      </c>
    </row>
    <row r="46" ht="15.75" customHeight="1">
      <c r="A46" s="16" t="s">
        <v>194</v>
      </c>
      <c r="F46" s="24"/>
      <c r="G46" s="19">
        <v>14.0</v>
      </c>
      <c r="H46" s="20">
        <v>16.0</v>
      </c>
      <c r="I46" s="20">
        <v>7.0</v>
      </c>
      <c r="J46" s="20">
        <v>0.0</v>
      </c>
      <c r="K46" s="20">
        <v>2.0</v>
      </c>
      <c r="L46" s="20">
        <v>2.0</v>
      </c>
      <c r="N46" s="23"/>
      <c r="O46" s="19">
        <v>14.0</v>
      </c>
      <c r="P46" s="40">
        <v>0.05734767025089606</v>
      </c>
      <c r="Q46" s="40">
        <v>0.051094890510948905</v>
      </c>
      <c r="R46" s="40">
        <v>0.0</v>
      </c>
      <c r="S46" s="40">
        <v>0.11764705882352941</v>
      </c>
      <c r="T46" s="40">
        <v>0.1</v>
      </c>
    </row>
    <row r="47" ht="15.75" customHeight="1">
      <c r="A47" s="16" t="s">
        <v>195</v>
      </c>
      <c r="F47" s="24"/>
      <c r="G47" s="19">
        <v>15.0</v>
      </c>
      <c r="H47" s="20">
        <v>12.0</v>
      </c>
      <c r="I47" s="20">
        <v>9.0</v>
      </c>
      <c r="J47" s="20">
        <v>0.0</v>
      </c>
      <c r="K47" s="20">
        <v>1.0</v>
      </c>
      <c r="L47" s="20">
        <v>0.0</v>
      </c>
      <c r="N47" s="23"/>
      <c r="O47" s="19">
        <v>15.0</v>
      </c>
      <c r="P47" s="40">
        <v>0.043010752688172046</v>
      </c>
      <c r="Q47" s="40">
        <v>0.06569343065693431</v>
      </c>
      <c r="R47" s="40">
        <v>0.0</v>
      </c>
      <c r="S47" s="40">
        <v>0.058823529411764705</v>
      </c>
      <c r="T47" s="40">
        <v>0.0</v>
      </c>
    </row>
    <row r="48" ht="15.75" customHeight="1">
      <c r="A48" s="16" t="s">
        <v>196</v>
      </c>
      <c r="F48" s="24"/>
      <c r="G48" s="19">
        <v>16.0</v>
      </c>
      <c r="H48" s="20">
        <v>24.0</v>
      </c>
      <c r="I48" s="20">
        <v>14.0</v>
      </c>
      <c r="J48" s="20">
        <v>1.0</v>
      </c>
      <c r="K48" s="20">
        <v>0.0</v>
      </c>
      <c r="L48" s="20">
        <v>1.0</v>
      </c>
      <c r="N48" s="23"/>
      <c r="O48" s="19">
        <v>16.0</v>
      </c>
      <c r="P48" s="40">
        <v>0.08602150537634409</v>
      </c>
      <c r="Q48" s="40">
        <v>0.10218978102189781</v>
      </c>
      <c r="R48" s="40">
        <v>0.3333333333333333</v>
      </c>
      <c r="S48" s="40">
        <v>0.0</v>
      </c>
      <c r="T48" s="40">
        <v>0.05</v>
      </c>
    </row>
    <row r="49" ht="15.75" customHeight="1">
      <c r="A49" s="16" t="s">
        <v>197</v>
      </c>
      <c r="F49" s="24"/>
      <c r="G49" s="19">
        <v>17.0</v>
      </c>
      <c r="H49" s="20">
        <v>24.0</v>
      </c>
      <c r="I49" s="20">
        <v>5.0</v>
      </c>
      <c r="J49" s="20">
        <v>0.0</v>
      </c>
      <c r="K49" s="20">
        <v>0.0</v>
      </c>
      <c r="L49" s="20">
        <v>0.0</v>
      </c>
      <c r="N49" s="23"/>
      <c r="O49" s="19">
        <v>17.0</v>
      </c>
      <c r="P49" s="40">
        <v>0.08602150537634409</v>
      </c>
      <c r="Q49" s="40">
        <v>0.0364963503649635</v>
      </c>
      <c r="R49" s="40">
        <v>0.0</v>
      </c>
      <c r="S49" s="40">
        <v>0.0</v>
      </c>
      <c r="T49" s="40">
        <v>0.0</v>
      </c>
    </row>
    <row r="50" ht="15.75" customHeight="1">
      <c r="A50" s="16" t="s">
        <v>198</v>
      </c>
      <c r="F50" s="24"/>
      <c r="G50" s="19">
        <v>18.0</v>
      </c>
      <c r="H50" s="20">
        <v>17.0</v>
      </c>
      <c r="I50" s="20">
        <v>9.0</v>
      </c>
      <c r="J50" s="20">
        <v>0.0</v>
      </c>
      <c r="K50" s="20">
        <v>2.0</v>
      </c>
      <c r="L50" s="20">
        <v>0.0</v>
      </c>
      <c r="N50" s="23"/>
      <c r="O50" s="19">
        <v>18.0</v>
      </c>
      <c r="P50" s="40">
        <v>0.06093189964157706</v>
      </c>
      <c r="Q50" s="40">
        <v>0.06569343065693431</v>
      </c>
      <c r="R50" s="40">
        <v>0.0</v>
      </c>
      <c r="S50" s="40">
        <v>0.11764705882352941</v>
      </c>
      <c r="T50" s="40">
        <v>0.0</v>
      </c>
    </row>
    <row r="51" ht="15.75" customHeight="1">
      <c r="A51" s="16" t="s">
        <v>199</v>
      </c>
      <c r="F51" s="24"/>
      <c r="G51" s="19">
        <v>19.0</v>
      </c>
      <c r="H51" s="20">
        <v>9.0</v>
      </c>
      <c r="I51" s="20">
        <v>7.0</v>
      </c>
      <c r="J51" s="20">
        <v>0.0</v>
      </c>
      <c r="K51" s="20">
        <v>2.0</v>
      </c>
      <c r="L51" s="20">
        <v>0.0</v>
      </c>
      <c r="N51" s="23"/>
      <c r="O51" s="19">
        <v>19.0</v>
      </c>
      <c r="P51" s="40">
        <v>0.03225806451612903</v>
      </c>
      <c r="Q51" s="40">
        <v>0.051094890510948905</v>
      </c>
      <c r="R51" s="40">
        <v>0.0</v>
      </c>
      <c r="S51" s="40">
        <v>0.11764705882352941</v>
      </c>
      <c r="T51" s="40">
        <v>0.0</v>
      </c>
    </row>
    <row r="52" ht="15.75" customHeight="1">
      <c r="A52" s="16" t="s">
        <v>126</v>
      </c>
      <c r="F52" s="24"/>
      <c r="G52" s="19">
        <v>20.0</v>
      </c>
      <c r="H52" s="20">
        <v>13.0</v>
      </c>
      <c r="I52" s="20">
        <v>8.0</v>
      </c>
      <c r="J52" s="20">
        <v>0.0</v>
      </c>
      <c r="K52" s="20">
        <v>1.0</v>
      </c>
      <c r="L52" s="20">
        <v>0.0</v>
      </c>
      <c r="N52" s="23"/>
      <c r="O52" s="19">
        <v>20.0</v>
      </c>
      <c r="P52" s="40">
        <v>0.04659498207885305</v>
      </c>
      <c r="Q52" s="40">
        <v>0.058394160583941604</v>
      </c>
      <c r="R52" s="40">
        <v>0.0</v>
      </c>
      <c r="S52" s="40">
        <v>0.058823529411764705</v>
      </c>
      <c r="T52" s="40">
        <v>0.0</v>
      </c>
    </row>
    <row r="53" ht="15.75" customHeight="1">
      <c r="A53" s="16" t="s">
        <v>89</v>
      </c>
      <c r="F53" s="24"/>
      <c r="G53" s="19">
        <v>21.0</v>
      </c>
      <c r="H53" s="20">
        <v>9.0</v>
      </c>
      <c r="I53" s="20">
        <v>3.0</v>
      </c>
      <c r="J53" s="20">
        <v>0.0</v>
      </c>
      <c r="K53" s="20">
        <v>1.0</v>
      </c>
      <c r="L53" s="20">
        <v>0.0</v>
      </c>
      <c r="N53" s="23"/>
      <c r="O53" s="19">
        <v>21.0</v>
      </c>
      <c r="P53" s="40">
        <v>0.03225806451612903</v>
      </c>
      <c r="Q53" s="40">
        <v>0.021897810218978103</v>
      </c>
      <c r="R53" s="40">
        <v>0.0</v>
      </c>
      <c r="S53" s="40">
        <v>0.058823529411764705</v>
      </c>
      <c r="T53" s="40">
        <v>0.0</v>
      </c>
    </row>
    <row r="54" ht="15.75" customHeight="1">
      <c r="A54" s="16" t="s">
        <v>200</v>
      </c>
      <c r="F54" s="24"/>
      <c r="G54" s="19">
        <v>22.0</v>
      </c>
      <c r="H54" s="20">
        <v>8.0</v>
      </c>
      <c r="I54" s="20">
        <v>2.0</v>
      </c>
      <c r="J54" s="20">
        <v>0.0</v>
      </c>
      <c r="K54" s="20">
        <v>0.0</v>
      </c>
      <c r="L54" s="20">
        <v>0.0</v>
      </c>
      <c r="N54" s="23"/>
      <c r="O54" s="19">
        <v>22.0</v>
      </c>
      <c r="P54" s="40">
        <v>0.02867383512544803</v>
      </c>
      <c r="Q54" s="40">
        <v>0.014598540145985401</v>
      </c>
      <c r="R54" s="40">
        <v>0.0</v>
      </c>
      <c r="S54" s="40">
        <v>0.0</v>
      </c>
      <c r="T54" s="40">
        <v>0.0</v>
      </c>
    </row>
    <row r="55" ht="15.75" customHeight="1">
      <c r="A55" s="16" t="s">
        <v>201</v>
      </c>
      <c r="F55" s="28"/>
      <c r="G55" s="19">
        <v>23.0</v>
      </c>
      <c r="H55" s="20">
        <v>2.0</v>
      </c>
      <c r="I55" s="20">
        <v>2.0</v>
      </c>
      <c r="J55" s="20">
        <v>0.0</v>
      </c>
      <c r="K55" s="20">
        <v>1.0</v>
      </c>
      <c r="L55" s="20">
        <v>0.0</v>
      </c>
      <c r="N55" s="27"/>
      <c r="O55" s="19">
        <v>23.0</v>
      </c>
      <c r="P55" s="40">
        <v>0.007168458781362007</v>
      </c>
      <c r="Q55" s="40">
        <v>0.014598540145985401</v>
      </c>
      <c r="R55" s="40">
        <v>0.0</v>
      </c>
      <c r="S55" s="40">
        <v>0.058823529411764705</v>
      </c>
      <c r="T55" s="40">
        <v>0.0</v>
      </c>
    </row>
    <row r="56" ht="15.75" customHeight="1">
      <c r="A56" s="16" t="s">
        <v>202</v>
      </c>
      <c r="F56" s="21">
        <v>45196.0</v>
      </c>
      <c r="G56" s="19">
        <v>0.0</v>
      </c>
      <c r="H56" s="20">
        <v>2.0</v>
      </c>
      <c r="I56" s="20">
        <v>0.0</v>
      </c>
      <c r="J56" s="20">
        <v>0.0</v>
      </c>
      <c r="K56" s="20">
        <v>0.0</v>
      </c>
      <c r="L56" s="20">
        <v>0.0</v>
      </c>
      <c r="N56" s="18">
        <v>45196.0</v>
      </c>
      <c r="O56" s="19">
        <v>0.0</v>
      </c>
      <c r="P56" s="40">
        <v>0.006493506493506494</v>
      </c>
      <c r="Q56" s="40">
        <v>0.0</v>
      </c>
      <c r="R56" s="40">
        <v>0.0</v>
      </c>
      <c r="S56" s="40">
        <v>0.0</v>
      </c>
      <c r="T56" s="40">
        <v>0.0</v>
      </c>
    </row>
    <row r="57" ht="15.75" customHeight="1">
      <c r="A57" s="16" t="s">
        <v>69</v>
      </c>
      <c r="F57" s="24"/>
      <c r="G57" s="19">
        <v>1.0</v>
      </c>
      <c r="H57" s="20">
        <v>1.0</v>
      </c>
      <c r="I57" s="20">
        <v>1.0</v>
      </c>
      <c r="J57" s="20">
        <v>0.0</v>
      </c>
      <c r="K57" s="20">
        <v>0.0</v>
      </c>
      <c r="L57" s="20">
        <v>0.0</v>
      </c>
      <c r="N57" s="23"/>
      <c r="O57" s="19">
        <v>1.0</v>
      </c>
      <c r="P57" s="40">
        <v>0.003246753246753247</v>
      </c>
      <c r="Q57" s="40">
        <v>0.008849557522123894</v>
      </c>
      <c r="R57" s="40">
        <v>0.0</v>
      </c>
      <c r="S57" s="40">
        <v>0.0</v>
      </c>
      <c r="T57" s="40">
        <v>0.0</v>
      </c>
    </row>
    <row r="58" ht="15.75" customHeight="1">
      <c r="A58" s="16" t="s">
        <v>94</v>
      </c>
      <c r="F58" s="24"/>
      <c r="G58" s="19">
        <v>2.0</v>
      </c>
      <c r="H58" s="16">
        <v>0.0</v>
      </c>
      <c r="I58" s="16">
        <v>0.0</v>
      </c>
      <c r="J58" s="16">
        <v>0.0</v>
      </c>
      <c r="K58" s="16">
        <v>0.0</v>
      </c>
      <c r="L58" s="16">
        <v>0.0</v>
      </c>
      <c r="N58" s="23"/>
      <c r="O58" s="19">
        <v>2.0</v>
      </c>
      <c r="P58" s="40">
        <v>0.0</v>
      </c>
      <c r="Q58" s="40">
        <v>0.0</v>
      </c>
      <c r="R58" s="40">
        <v>0.0</v>
      </c>
      <c r="S58" s="40">
        <v>0.0</v>
      </c>
      <c r="T58" s="40">
        <v>0.0</v>
      </c>
    </row>
    <row r="59" ht="15.75" customHeight="1">
      <c r="A59" s="16" t="s">
        <v>70</v>
      </c>
      <c r="F59" s="24"/>
      <c r="G59" s="19">
        <v>3.0</v>
      </c>
      <c r="H59" s="16">
        <v>1.0</v>
      </c>
      <c r="I59" s="16">
        <v>0.0</v>
      </c>
      <c r="J59" s="16">
        <v>0.0</v>
      </c>
      <c r="K59" s="16">
        <v>0.0</v>
      </c>
      <c r="L59" s="16">
        <v>0.0</v>
      </c>
      <c r="N59" s="23"/>
      <c r="O59" s="19">
        <v>3.0</v>
      </c>
      <c r="P59" s="40">
        <v>0.003246753246753247</v>
      </c>
      <c r="Q59" s="40">
        <v>0.0</v>
      </c>
      <c r="R59" s="40">
        <v>0.0</v>
      </c>
      <c r="S59" s="40">
        <v>0.0</v>
      </c>
      <c r="T59" s="40">
        <v>0.0</v>
      </c>
    </row>
    <row r="60" ht="15.75" customHeight="1">
      <c r="A60" s="16" t="s">
        <v>94</v>
      </c>
      <c r="F60" s="24"/>
      <c r="G60" s="19">
        <v>4.0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N60" s="23"/>
      <c r="O60" s="19">
        <v>4.0</v>
      </c>
      <c r="P60" s="40">
        <v>0.0</v>
      </c>
      <c r="Q60" s="40">
        <v>0.0</v>
      </c>
      <c r="R60" s="40">
        <v>0.0</v>
      </c>
      <c r="S60" s="40">
        <v>0.0</v>
      </c>
      <c r="T60" s="40">
        <v>0.0</v>
      </c>
    </row>
    <row r="61" ht="15.75" customHeight="1">
      <c r="A61" s="16" t="s">
        <v>203</v>
      </c>
      <c r="F61" s="24"/>
      <c r="G61" s="19">
        <v>5.0</v>
      </c>
      <c r="H61" s="16">
        <v>4.0</v>
      </c>
      <c r="I61" s="16">
        <v>4.0</v>
      </c>
      <c r="J61" s="16">
        <v>0.0</v>
      </c>
      <c r="K61" s="16">
        <v>1.0</v>
      </c>
      <c r="L61" s="16">
        <v>0.0</v>
      </c>
      <c r="N61" s="23"/>
      <c r="O61" s="19">
        <v>5.0</v>
      </c>
      <c r="P61" s="40">
        <v>0.012987012987012988</v>
      </c>
      <c r="Q61" s="40">
        <v>0.035398230088495575</v>
      </c>
      <c r="R61" s="40">
        <v>0.0</v>
      </c>
      <c r="S61" s="40">
        <v>0.07692307692307693</v>
      </c>
      <c r="T61" s="40">
        <v>0.0</v>
      </c>
    </row>
    <row r="62" ht="15.75" customHeight="1">
      <c r="A62" s="16" t="s">
        <v>204</v>
      </c>
      <c r="F62" s="24"/>
      <c r="G62" s="19">
        <v>6.0</v>
      </c>
      <c r="H62" s="20">
        <v>8.0</v>
      </c>
      <c r="I62" s="20">
        <v>3.0</v>
      </c>
      <c r="J62" s="20">
        <v>0.0</v>
      </c>
      <c r="K62" s="20">
        <v>0.0</v>
      </c>
      <c r="L62" s="20">
        <v>3.0</v>
      </c>
      <c r="N62" s="23"/>
      <c r="O62" s="19">
        <v>6.0</v>
      </c>
      <c r="P62" s="40">
        <v>0.025974025974025976</v>
      </c>
      <c r="Q62" s="40">
        <v>0.02654867256637168</v>
      </c>
      <c r="R62" s="40">
        <v>0.0</v>
      </c>
      <c r="S62" s="40">
        <v>0.0</v>
      </c>
      <c r="T62" s="40">
        <v>0.12</v>
      </c>
    </row>
    <row r="63" ht="15.75" customHeight="1">
      <c r="A63" s="16" t="s">
        <v>205</v>
      </c>
      <c r="F63" s="24"/>
      <c r="G63" s="19">
        <v>7.0</v>
      </c>
      <c r="H63" s="20">
        <v>28.0</v>
      </c>
      <c r="I63" s="20">
        <v>6.0</v>
      </c>
      <c r="J63" s="20">
        <v>1.0</v>
      </c>
      <c r="K63" s="20">
        <v>2.0</v>
      </c>
      <c r="L63" s="20">
        <v>2.0</v>
      </c>
      <c r="N63" s="23"/>
      <c r="O63" s="19">
        <v>7.0</v>
      </c>
      <c r="P63" s="40">
        <v>0.09090909090909091</v>
      </c>
      <c r="Q63" s="40">
        <v>0.05309734513274336</v>
      </c>
      <c r="R63" s="40">
        <v>0.0</v>
      </c>
      <c r="S63" s="40">
        <v>0.15384615384615385</v>
      </c>
      <c r="T63" s="40">
        <v>0.08</v>
      </c>
    </row>
    <row r="64" ht="15.75" customHeight="1">
      <c r="A64" s="16" t="s">
        <v>206</v>
      </c>
      <c r="F64" s="24"/>
      <c r="G64" s="19">
        <v>8.0</v>
      </c>
      <c r="H64" s="20">
        <v>20.0</v>
      </c>
      <c r="I64" s="20">
        <v>7.0</v>
      </c>
      <c r="J64" s="20">
        <v>0.0</v>
      </c>
      <c r="K64" s="20">
        <v>1.0</v>
      </c>
      <c r="L64" s="20">
        <v>2.0</v>
      </c>
      <c r="N64" s="23"/>
      <c r="O64" s="19">
        <v>8.0</v>
      </c>
      <c r="P64" s="40">
        <v>0.06493506493506493</v>
      </c>
      <c r="Q64" s="40">
        <v>0.061946902654867256</v>
      </c>
      <c r="R64" s="40">
        <v>0.0</v>
      </c>
      <c r="S64" s="40">
        <v>0.07692307692307693</v>
      </c>
      <c r="T64" s="40">
        <v>0.08</v>
      </c>
    </row>
    <row r="65" ht="15.75" customHeight="1">
      <c r="A65" s="16" t="s">
        <v>207</v>
      </c>
      <c r="F65" s="24"/>
      <c r="G65" s="19">
        <v>9.0</v>
      </c>
      <c r="H65" s="20">
        <v>17.0</v>
      </c>
      <c r="I65" s="20">
        <v>6.0</v>
      </c>
      <c r="J65" s="20">
        <v>0.0</v>
      </c>
      <c r="K65" s="20">
        <v>0.0</v>
      </c>
      <c r="L65" s="20">
        <v>2.0</v>
      </c>
      <c r="N65" s="23"/>
      <c r="O65" s="19">
        <v>9.0</v>
      </c>
      <c r="P65" s="40">
        <v>0.05519480519480519</v>
      </c>
      <c r="Q65" s="40">
        <v>0.05309734513274336</v>
      </c>
      <c r="R65" s="40">
        <v>0.0</v>
      </c>
      <c r="S65" s="40">
        <v>0.0</v>
      </c>
      <c r="T65" s="40">
        <v>0.08</v>
      </c>
    </row>
    <row r="66" ht="15.75" customHeight="1">
      <c r="A66" s="16" t="s">
        <v>208</v>
      </c>
      <c r="F66" s="24"/>
      <c r="G66" s="19">
        <v>10.0</v>
      </c>
      <c r="H66" s="20">
        <v>14.0</v>
      </c>
      <c r="I66" s="20">
        <v>6.0</v>
      </c>
      <c r="J66" s="20">
        <v>0.0</v>
      </c>
      <c r="K66" s="20">
        <v>1.0</v>
      </c>
      <c r="L66" s="20">
        <v>5.0</v>
      </c>
      <c r="N66" s="23"/>
      <c r="O66" s="19">
        <v>10.0</v>
      </c>
      <c r="P66" s="40">
        <v>0.045454545454545456</v>
      </c>
      <c r="Q66" s="40">
        <v>0.05309734513274336</v>
      </c>
      <c r="R66" s="40">
        <v>0.0</v>
      </c>
      <c r="S66" s="40">
        <v>0.07692307692307693</v>
      </c>
      <c r="T66" s="40">
        <v>0.2</v>
      </c>
    </row>
    <row r="67" ht="15.75" customHeight="1">
      <c r="A67" s="16" t="s">
        <v>209</v>
      </c>
      <c r="F67" s="24"/>
      <c r="G67" s="19">
        <v>11.0</v>
      </c>
      <c r="H67" s="20">
        <v>17.0</v>
      </c>
      <c r="I67" s="20">
        <v>10.0</v>
      </c>
      <c r="J67" s="20">
        <v>0.0</v>
      </c>
      <c r="K67" s="20">
        <v>0.0</v>
      </c>
      <c r="L67" s="20">
        <v>2.0</v>
      </c>
      <c r="N67" s="23"/>
      <c r="O67" s="19">
        <v>11.0</v>
      </c>
      <c r="P67" s="40">
        <v>0.05519480519480519</v>
      </c>
      <c r="Q67" s="40">
        <v>0.08849557522123894</v>
      </c>
      <c r="R67" s="40">
        <v>0.0</v>
      </c>
      <c r="S67" s="40">
        <v>0.0</v>
      </c>
      <c r="T67" s="40">
        <v>0.08</v>
      </c>
    </row>
    <row r="68" ht="15.75" customHeight="1">
      <c r="A68" s="16" t="s">
        <v>210</v>
      </c>
      <c r="F68" s="24"/>
      <c r="G68" s="19">
        <v>12.0</v>
      </c>
      <c r="H68" s="20">
        <v>15.0</v>
      </c>
      <c r="I68" s="20">
        <v>10.0</v>
      </c>
      <c r="J68" s="20">
        <v>1.0</v>
      </c>
      <c r="K68" s="20">
        <v>2.0</v>
      </c>
      <c r="L68" s="20">
        <v>4.0</v>
      </c>
      <c r="N68" s="23"/>
      <c r="O68" s="19">
        <v>12.0</v>
      </c>
      <c r="P68" s="40">
        <v>0.048701298701298704</v>
      </c>
      <c r="Q68" s="40">
        <v>0.08849557522123894</v>
      </c>
      <c r="R68" s="40">
        <v>0.0</v>
      </c>
      <c r="S68" s="40">
        <v>0.15384615384615385</v>
      </c>
      <c r="T68" s="40">
        <v>0.16</v>
      </c>
    </row>
    <row r="69" ht="15.75" customHeight="1">
      <c r="A69" s="16" t="s">
        <v>211</v>
      </c>
      <c r="F69" s="24"/>
      <c r="G69" s="19">
        <v>13.0</v>
      </c>
      <c r="H69" s="20">
        <v>11.0</v>
      </c>
      <c r="I69" s="20">
        <v>4.0</v>
      </c>
      <c r="J69" s="20">
        <v>0.0</v>
      </c>
      <c r="K69" s="20">
        <v>0.0</v>
      </c>
      <c r="L69" s="20">
        <v>2.0</v>
      </c>
      <c r="N69" s="23"/>
      <c r="O69" s="19">
        <v>13.0</v>
      </c>
      <c r="P69" s="40">
        <v>0.03571428571428571</v>
      </c>
      <c r="Q69" s="40">
        <v>0.035398230088495575</v>
      </c>
      <c r="R69" s="40">
        <v>0.0</v>
      </c>
      <c r="S69" s="40">
        <v>0.0</v>
      </c>
      <c r="T69" s="40">
        <v>0.08</v>
      </c>
    </row>
    <row r="70" ht="15.75" customHeight="1">
      <c r="A70" s="16" t="s">
        <v>212</v>
      </c>
      <c r="F70" s="24"/>
      <c r="G70" s="19">
        <v>14.0</v>
      </c>
      <c r="H70" s="20">
        <v>17.0</v>
      </c>
      <c r="I70" s="20">
        <v>9.0</v>
      </c>
      <c r="J70" s="20">
        <v>0.0</v>
      </c>
      <c r="K70" s="20">
        <v>1.0</v>
      </c>
      <c r="L70" s="20">
        <v>1.0</v>
      </c>
      <c r="N70" s="23"/>
      <c r="O70" s="19">
        <v>14.0</v>
      </c>
      <c r="P70" s="40">
        <v>0.05519480519480519</v>
      </c>
      <c r="Q70" s="40">
        <v>0.07964601769911504</v>
      </c>
      <c r="R70" s="40">
        <v>0.0</v>
      </c>
      <c r="S70" s="40">
        <v>0.07692307692307693</v>
      </c>
      <c r="T70" s="40">
        <v>0.04</v>
      </c>
    </row>
    <row r="71" ht="15.75" customHeight="1">
      <c r="A71" s="16" t="s">
        <v>213</v>
      </c>
      <c r="F71" s="24"/>
      <c r="G71" s="19">
        <v>15.0</v>
      </c>
      <c r="H71" s="20">
        <v>22.0</v>
      </c>
      <c r="I71" s="20">
        <v>11.0</v>
      </c>
      <c r="J71" s="20">
        <v>0.0</v>
      </c>
      <c r="K71" s="20">
        <v>3.0</v>
      </c>
      <c r="L71" s="20">
        <v>2.0</v>
      </c>
      <c r="N71" s="23"/>
      <c r="O71" s="19">
        <v>15.0</v>
      </c>
      <c r="P71" s="40">
        <v>0.07142857142857142</v>
      </c>
      <c r="Q71" s="40">
        <v>0.09734513274336283</v>
      </c>
      <c r="R71" s="40">
        <v>0.0</v>
      </c>
      <c r="S71" s="40">
        <v>0.23076923076923078</v>
      </c>
      <c r="T71" s="40">
        <v>0.08</v>
      </c>
    </row>
    <row r="72" ht="15.75" customHeight="1">
      <c r="A72" s="16" t="s">
        <v>214</v>
      </c>
      <c r="F72" s="24"/>
      <c r="G72" s="19">
        <v>16.0</v>
      </c>
      <c r="H72" s="20">
        <v>26.0</v>
      </c>
      <c r="I72" s="20">
        <v>10.0</v>
      </c>
      <c r="J72" s="20">
        <v>0.0</v>
      </c>
      <c r="K72" s="20">
        <v>0.0</v>
      </c>
      <c r="L72" s="20">
        <v>0.0</v>
      </c>
      <c r="N72" s="23"/>
      <c r="O72" s="19">
        <v>16.0</v>
      </c>
      <c r="P72" s="40">
        <v>0.08441558441558442</v>
      </c>
      <c r="Q72" s="40">
        <v>0.08849557522123894</v>
      </c>
      <c r="R72" s="40">
        <v>0.0</v>
      </c>
      <c r="S72" s="40">
        <v>0.0</v>
      </c>
      <c r="T72" s="40">
        <v>0.0</v>
      </c>
    </row>
    <row r="73" ht="15.75" customHeight="1">
      <c r="A73" s="16" t="s">
        <v>215</v>
      </c>
      <c r="F73" s="24"/>
      <c r="G73" s="19">
        <v>17.0</v>
      </c>
      <c r="H73" s="20">
        <v>33.0</v>
      </c>
      <c r="I73" s="20">
        <v>6.0</v>
      </c>
      <c r="J73" s="20">
        <v>0.0</v>
      </c>
      <c r="K73" s="20">
        <v>1.0</v>
      </c>
      <c r="L73" s="20">
        <v>0.0</v>
      </c>
      <c r="N73" s="23"/>
      <c r="O73" s="19">
        <v>17.0</v>
      </c>
      <c r="P73" s="40">
        <v>0.10714285714285714</v>
      </c>
      <c r="Q73" s="40">
        <v>0.05309734513274336</v>
      </c>
      <c r="R73" s="40">
        <v>0.0</v>
      </c>
      <c r="S73" s="40">
        <v>0.07692307692307693</v>
      </c>
      <c r="T73" s="40">
        <v>0.0</v>
      </c>
    </row>
    <row r="74" ht="15.75" customHeight="1">
      <c r="A74" s="16" t="s">
        <v>216</v>
      </c>
      <c r="F74" s="24"/>
      <c r="G74" s="19">
        <v>18.0</v>
      </c>
      <c r="H74" s="20">
        <v>24.0</v>
      </c>
      <c r="I74" s="20">
        <v>6.0</v>
      </c>
      <c r="J74" s="20">
        <v>0.0</v>
      </c>
      <c r="K74" s="20">
        <v>0.0</v>
      </c>
      <c r="L74" s="20">
        <v>0.0</v>
      </c>
      <c r="N74" s="23"/>
      <c r="O74" s="19">
        <v>18.0</v>
      </c>
      <c r="P74" s="40">
        <v>0.07792207792207792</v>
      </c>
      <c r="Q74" s="40">
        <v>0.05309734513274336</v>
      </c>
      <c r="R74" s="40">
        <v>0.0</v>
      </c>
      <c r="S74" s="40">
        <v>0.0</v>
      </c>
      <c r="T74" s="40">
        <v>0.0</v>
      </c>
    </row>
    <row r="75" ht="15.75" customHeight="1">
      <c r="A75" s="16" t="s">
        <v>217</v>
      </c>
      <c r="F75" s="24"/>
      <c r="G75" s="19">
        <v>19.0</v>
      </c>
      <c r="H75" s="20">
        <v>18.0</v>
      </c>
      <c r="I75" s="20">
        <v>3.0</v>
      </c>
      <c r="J75" s="20">
        <v>1.0</v>
      </c>
      <c r="K75" s="20">
        <v>0.0</v>
      </c>
      <c r="L75" s="20">
        <v>0.0</v>
      </c>
      <c r="N75" s="23"/>
      <c r="O75" s="19">
        <v>19.0</v>
      </c>
      <c r="P75" s="40">
        <v>0.05844155844155844</v>
      </c>
      <c r="Q75" s="40">
        <v>0.02654867256637168</v>
      </c>
      <c r="R75" s="40">
        <v>0.0</v>
      </c>
      <c r="S75" s="40">
        <v>0.0</v>
      </c>
      <c r="T75" s="40">
        <v>0.0</v>
      </c>
    </row>
    <row r="76" ht="15.75" customHeight="1">
      <c r="A76" s="16" t="s">
        <v>218</v>
      </c>
      <c r="F76" s="24"/>
      <c r="G76" s="19">
        <v>20.0</v>
      </c>
      <c r="H76" s="20">
        <v>15.0</v>
      </c>
      <c r="I76" s="20">
        <v>8.0</v>
      </c>
      <c r="J76" s="20">
        <v>0.0</v>
      </c>
      <c r="K76" s="20">
        <v>0.0</v>
      </c>
      <c r="L76" s="20">
        <v>0.0</v>
      </c>
      <c r="N76" s="23"/>
      <c r="O76" s="19">
        <v>20.0</v>
      </c>
      <c r="P76" s="40">
        <v>0.048701298701298704</v>
      </c>
      <c r="Q76" s="40">
        <v>0.07079646017699115</v>
      </c>
      <c r="R76" s="40">
        <v>0.0</v>
      </c>
      <c r="S76" s="40">
        <v>0.0</v>
      </c>
      <c r="T76" s="40">
        <v>0.0</v>
      </c>
    </row>
    <row r="77" ht="15.75" customHeight="1">
      <c r="A77" s="16" t="s">
        <v>219</v>
      </c>
      <c r="F77" s="24"/>
      <c r="G77" s="19">
        <v>21.0</v>
      </c>
      <c r="H77" s="20">
        <v>5.0</v>
      </c>
      <c r="I77" s="20">
        <v>0.0</v>
      </c>
      <c r="J77" s="20">
        <v>0.0</v>
      </c>
      <c r="K77" s="20">
        <v>0.0</v>
      </c>
      <c r="L77" s="20">
        <v>0.0</v>
      </c>
      <c r="N77" s="23"/>
      <c r="O77" s="19">
        <v>21.0</v>
      </c>
      <c r="P77" s="40">
        <v>0.016233766233766232</v>
      </c>
      <c r="Q77" s="40">
        <v>0.0</v>
      </c>
      <c r="R77" s="40">
        <v>0.0</v>
      </c>
      <c r="S77" s="40">
        <v>0.0</v>
      </c>
      <c r="T77" s="40">
        <v>0.0</v>
      </c>
    </row>
    <row r="78" ht="15.75" customHeight="1">
      <c r="A78" s="16" t="s">
        <v>157</v>
      </c>
      <c r="F78" s="24"/>
      <c r="G78" s="19">
        <v>22.0</v>
      </c>
      <c r="H78" s="20">
        <v>7.0</v>
      </c>
      <c r="I78" s="20">
        <v>1.0</v>
      </c>
      <c r="J78" s="20">
        <v>0.0</v>
      </c>
      <c r="K78" s="20">
        <v>0.0</v>
      </c>
      <c r="L78" s="20">
        <v>0.0</v>
      </c>
      <c r="N78" s="23"/>
      <c r="O78" s="19">
        <v>22.0</v>
      </c>
      <c r="P78" s="40">
        <v>0.022727272727272728</v>
      </c>
      <c r="Q78" s="40">
        <v>0.008849557522123894</v>
      </c>
      <c r="R78" s="40">
        <v>0.0</v>
      </c>
      <c r="S78" s="40">
        <v>0.0</v>
      </c>
      <c r="T78" s="40">
        <v>0.0</v>
      </c>
    </row>
    <row r="79" ht="15.75" customHeight="1">
      <c r="A79" s="16" t="s">
        <v>74</v>
      </c>
      <c r="F79" s="28"/>
      <c r="G79" s="19">
        <v>23.0</v>
      </c>
      <c r="H79" s="20">
        <v>3.0</v>
      </c>
      <c r="I79" s="20">
        <v>2.0</v>
      </c>
      <c r="J79" s="20">
        <v>0.0</v>
      </c>
      <c r="K79" s="20">
        <v>1.0</v>
      </c>
      <c r="L79" s="20">
        <v>0.0</v>
      </c>
      <c r="N79" s="27"/>
      <c r="O79" s="19">
        <v>23.0</v>
      </c>
      <c r="P79" s="40">
        <v>0.00974025974025974</v>
      </c>
      <c r="Q79" s="40">
        <v>0.017699115044247787</v>
      </c>
      <c r="R79" s="40">
        <v>0.0</v>
      </c>
      <c r="S79" s="40">
        <v>0.07692307692307693</v>
      </c>
      <c r="T79" s="40">
        <v>0.0</v>
      </c>
    </row>
    <row r="80" ht="15.75" customHeight="1">
      <c r="A80" s="16" t="s">
        <v>220</v>
      </c>
      <c r="F80" s="21">
        <v>45197.0</v>
      </c>
      <c r="G80" s="19">
        <v>0.0</v>
      </c>
      <c r="H80" s="34">
        <v>2.0</v>
      </c>
      <c r="I80" s="34">
        <v>2.0</v>
      </c>
      <c r="J80" s="34">
        <v>0.0</v>
      </c>
      <c r="K80" s="34">
        <v>0.0</v>
      </c>
      <c r="L80" s="34">
        <v>0.0</v>
      </c>
      <c r="N80" s="18">
        <v>45197.0</v>
      </c>
      <c r="O80" s="19">
        <v>0.0</v>
      </c>
      <c r="P80" s="40">
        <v>0.0058823529411764705</v>
      </c>
      <c r="Q80" s="40">
        <v>0.014705882352941176</v>
      </c>
      <c r="R80" s="40">
        <v>0.0</v>
      </c>
      <c r="S80" s="40">
        <v>0.0</v>
      </c>
      <c r="T80" s="40">
        <v>0.0</v>
      </c>
    </row>
    <row r="81" ht="15.75" customHeight="1">
      <c r="A81" s="16" t="s">
        <v>70</v>
      </c>
      <c r="F81" s="24"/>
      <c r="G81" s="19">
        <v>1.0</v>
      </c>
      <c r="H81" s="34">
        <v>1.0</v>
      </c>
      <c r="I81" s="34">
        <v>1.0</v>
      </c>
      <c r="J81" s="34">
        <v>0.0</v>
      </c>
      <c r="K81" s="34">
        <v>0.0</v>
      </c>
      <c r="L81" s="34">
        <v>0.0</v>
      </c>
      <c r="N81" s="23"/>
      <c r="O81" s="19">
        <v>1.0</v>
      </c>
      <c r="P81" s="40">
        <v>0.0029411764705882353</v>
      </c>
      <c r="Q81" s="40">
        <v>0.007352941176470588</v>
      </c>
      <c r="R81" s="40">
        <v>0.0</v>
      </c>
      <c r="S81" s="40">
        <v>0.0</v>
      </c>
      <c r="T81" s="40">
        <v>0.0</v>
      </c>
    </row>
    <row r="82" ht="15.75" customHeight="1">
      <c r="A82" s="16" t="s">
        <v>70</v>
      </c>
      <c r="F82" s="24"/>
      <c r="G82" s="19">
        <v>2.0</v>
      </c>
      <c r="H82" s="34">
        <v>2.0</v>
      </c>
      <c r="I82" s="34">
        <v>0.0</v>
      </c>
      <c r="J82" s="34">
        <v>0.0</v>
      </c>
      <c r="K82" s="34">
        <v>0.0</v>
      </c>
      <c r="L82" s="34">
        <v>0.0</v>
      </c>
      <c r="N82" s="23"/>
      <c r="O82" s="19">
        <v>2.0</v>
      </c>
      <c r="P82" s="40">
        <v>0.0058823529411764705</v>
      </c>
      <c r="Q82" s="40">
        <v>0.0</v>
      </c>
      <c r="R82" s="40">
        <v>0.0</v>
      </c>
      <c r="S82" s="40">
        <v>0.0</v>
      </c>
      <c r="T82" s="40">
        <v>0.0</v>
      </c>
    </row>
    <row r="83" ht="15.75" customHeight="1">
      <c r="A83" s="16" t="s">
        <v>220</v>
      </c>
      <c r="F83" s="24"/>
      <c r="G83" s="19">
        <v>3.0</v>
      </c>
      <c r="H83" s="34">
        <v>0.0</v>
      </c>
      <c r="I83" s="34">
        <v>1.0</v>
      </c>
      <c r="J83" s="34">
        <v>0.0</v>
      </c>
      <c r="K83" s="34">
        <v>0.0</v>
      </c>
      <c r="L83" s="34">
        <v>0.0</v>
      </c>
      <c r="N83" s="23"/>
      <c r="O83" s="19">
        <v>3.0</v>
      </c>
      <c r="P83" s="40">
        <v>0.0</v>
      </c>
      <c r="Q83" s="40">
        <v>0.007352941176470588</v>
      </c>
      <c r="R83" s="40">
        <v>0.0</v>
      </c>
      <c r="S83" s="40">
        <v>0.0</v>
      </c>
      <c r="T83" s="40">
        <v>0.0</v>
      </c>
    </row>
    <row r="84" ht="15.75" customHeight="1">
      <c r="A84" s="16" t="s">
        <v>221</v>
      </c>
      <c r="F84" s="24"/>
      <c r="G84" s="19">
        <v>4.0</v>
      </c>
      <c r="H84" s="34">
        <v>0.0</v>
      </c>
      <c r="I84" s="34">
        <v>0.0</v>
      </c>
      <c r="J84" s="34">
        <v>0.0</v>
      </c>
      <c r="K84" s="34">
        <v>0.0</v>
      </c>
      <c r="L84" s="34">
        <v>0.0</v>
      </c>
      <c r="N84" s="23"/>
      <c r="O84" s="19">
        <v>4.0</v>
      </c>
      <c r="P84" s="40">
        <v>0.0</v>
      </c>
      <c r="Q84" s="40">
        <v>0.0</v>
      </c>
      <c r="R84" s="40">
        <v>0.0</v>
      </c>
      <c r="S84" s="40">
        <v>0.0</v>
      </c>
      <c r="T84" s="40">
        <v>0.0</v>
      </c>
    </row>
    <row r="85" ht="15.75" customHeight="1">
      <c r="A85" s="16" t="s">
        <v>91</v>
      </c>
      <c r="F85" s="24"/>
      <c r="G85" s="19">
        <v>5.0</v>
      </c>
      <c r="H85" s="34">
        <v>5.0</v>
      </c>
      <c r="I85" s="34">
        <v>2.0</v>
      </c>
      <c r="J85" s="34">
        <v>0.0</v>
      </c>
      <c r="K85" s="34">
        <v>0.0</v>
      </c>
      <c r="L85" s="34">
        <v>0.0</v>
      </c>
      <c r="N85" s="23"/>
      <c r="O85" s="19">
        <v>5.0</v>
      </c>
      <c r="P85" s="40">
        <v>0.014705882352941176</v>
      </c>
      <c r="Q85" s="40">
        <v>0.014705882352941176</v>
      </c>
      <c r="R85" s="40">
        <v>0.0</v>
      </c>
      <c r="S85" s="40">
        <v>0.0</v>
      </c>
      <c r="T85" s="40">
        <v>0.0</v>
      </c>
    </row>
    <row r="86" ht="15.75" customHeight="1">
      <c r="A86" s="16" t="s">
        <v>222</v>
      </c>
      <c r="F86" s="24"/>
      <c r="G86" s="19">
        <v>6.0</v>
      </c>
      <c r="H86" s="34">
        <v>17.0</v>
      </c>
      <c r="I86" s="34">
        <v>2.0</v>
      </c>
      <c r="J86" s="34">
        <v>0.0</v>
      </c>
      <c r="K86" s="34">
        <v>1.0</v>
      </c>
      <c r="L86" s="34">
        <v>2.0</v>
      </c>
      <c r="N86" s="23"/>
      <c r="O86" s="19">
        <v>6.0</v>
      </c>
      <c r="P86" s="40">
        <v>0.05</v>
      </c>
      <c r="Q86" s="40">
        <v>0.014705882352941176</v>
      </c>
      <c r="R86" s="40">
        <v>0.0</v>
      </c>
      <c r="S86" s="40">
        <v>0.09090909090909091</v>
      </c>
      <c r="T86" s="40">
        <v>0.07692307692307693</v>
      </c>
    </row>
    <row r="87" ht="15.75" customHeight="1">
      <c r="A87" s="16" t="s">
        <v>223</v>
      </c>
      <c r="F87" s="24"/>
      <c r="G87" s="19">
        <v>7.0</v>
      </c>
      <c r="H87" s="34">
        <v>33.0</v>
      </c>
      <c r="I87" s="34">
        <v>7.0</v>
      </c>
      <c r="J87" s="34">
        <v>1.0</v>
      </c>
      <c r="K87" s="34">
        <v>1.0</v>
      </c>
      <c r="L87" s="34">
        <v>0.0</v>
      </c>
      <c r="N87" s="23"/>
      <c r="O87" s="19">
        <v>7.0</v>
      </c>
      <c r="P87" s="40">
        <v>0.09705882352941177</v>
      </c>
      <c r="Q87" s="40">
        <v>0.051470588235294115</v>
      </c>
      <c r="R87" s="40">
        <v>0.5</v>
      </c>
      <c r="S87" s="40">
        <v>0.09090909090909091</v>
      </c>
      <c r="T87" s="40">
        <v>0.0</v>
      </c>
    </row>
    <row r="88" ht="15.75" customHeight="1">
      <c r="A88" s="16" t="s">
        <v>224</v>
      </c>
      <c r="F88" s="24"/>
      <c r="G88" s="19">
        <v>8.0</v>
      </c>
      <c r="H88" s="34">
        <v>21.0</v>
      </c>
      <c r="I88" s="34">
        <v>9.0</v>
      </c>
      <c r="J88" s="34">
        <v>0.0</v>
      </c>
      <c r="K88" s="34">
        <v>0.0</v>
      </c>
      <c r="L88" s="34">
        <v>0.0</v>
      </c>
      <c r="N88" s="23"/>
      <c r="O88" s="19">
        <v>8.0</v>
      </c>
      <c r="P88" s="40">
        <v>0.061764705882352944</v>
      </c>
      <c r="Q88" s="40">
        <v>0.0661764705882353</v>
      </c>
      <c r="R88" s="40">
        <v>0.0</v>
      </c>
      <c r="S88" s="40">
        <v>0.0</v>
      </c>
      <c r="T88" s="40">
        <v>0.0</v>
      </c>
    </row>
    <row r="89" ht="15.75" customHeight="1">
      <c r="A89" s="16" t="s">
        <v>225</v>
      </c>
      <c r="F89" s="24"/>
      <c r="G89" s="19">
        <v>9.0</v>
      </c>
      <c r="H89" s="34">
        <v>16.0</v>
      </c>
      <c r="I89" s="34">
        <v>4.0</v>
      </c>
      <c r="J89" s="34">
        <v>0.0</v>
      </c>
      <c r="K89" s="34">
        <v>0.0</v>
      </c>
      <c r="L89" s="34">
        <v>4.0</v>
      </c>
      <c r="N89" s="23"/>
      <c r="O89" s="19">
        <v>9.0</v>
      </c>
      <c r="P89" s="40">
        <v>0.047058823529411764</v>
      </c>
      <c r="Q89" s="40">
        <v>0.029411764705882353</v>
      </c>
      <c r="R89" s="40">
        <v>0.0</v>
      </c>
      <c r="S89" s="40">
        <v>0.0</v>
      </c>
      <c r="T89" s="40">
        <v>0.15384615384615385</v>
      </c>
    </row>
    <row r="90" ht="15.75" customHeight="1">
      <c r="A90" s="16" t="s">
        <v>226</v>
      </c>
      <c r="F90" s="24"/>
      <c r="G90" s="19">
        <v>10.0</v>
      </c>
      <c r="H90" s="34">
        <v>14.0</v>
      </c>
      <c r="I90" s="34">
        <v>6.0</v>
      </c>
      <c r="J90" s="34">
        <v>0.0</v>
      </c>
      <c r="K90" s="34">
        <v>1.0</v>
      </c>
      <c r="L90" s="34">
        <v>5.0</v>
      </c>
      <c r="N90" s="23"/>
      <c r="O90" s="19">
        <v>10.0</v>
      </c>
      <c r="P90" s="40">
        <v>0.041176470588235294</v>
      </c>
      <c r="Q90" s="40">
        <v>0.04411764705882353</v>
      </c>
      <c r="R90" s="40">
        <v>0.0</v>
      </c>
      <c r="S90" s="40">
        <v>0.09090909090909091</v>
      </c>
      <c r="T90" s="40">
        <v>0.19230769230769232</v>
      </c>
    </row>
    <row r="91" ht="15.75" customHeight="1">
      <c r="A91" s="16" t="s">
        <v>227</v>
      </c>
      <c r="F91" s="24"/>
      <c r="G91" s="19">
        <v>11.0</v>
      </c>
      <c r="H91" s="34">
        <v>22.0</v>
      </c>
      <c r="I91" s="34">
        <v>15.0</v>
      </c>
      <c r="J91" s="34">
        <v>0.0</v>
      </c>
      <c r="K91" s="34">
        <v>0.0</v>
      </c>
      <c r="L91" s="34">
        <v>4.0</v>
      </c>
      <c r="N91" s="23"/>
      <c r="O91" s="19">
        <v>11.0</v>
      </c>
      <c r="P91" s="40">
        <v>0.06470588235294118</v>
      </c>
      <c r="Q91" s="40">
        <v>0.11029411764705882</v>
      </c>
      <c r="R91" s="40">
        <v>0.0</v>
      </c>
      <c r="S91" s="40">
        <v>0.0</v>
      </c>
      <c r="T91" s="40">
        <v>0.15384615384615385</v>
      </c>
    </row>
    <row r="92" ht="15.75" customHeight="1">
      <c r="A92" s="16" t="s">
        <v>228</v>
      </c>
      <c r="F92" s="24"/>
      <c r="G92" s="19">
        <v>12.0</v>
      </c>
      <c r="H92" s="34">
        <v>19.0</v>
      </c>
      <c r="I92" s="34">
        <v>12.0</v>
      </c>
      <c r="J92" s="34">
        <v>0.0</v>
      </c>
      <c r="K92" s="34">
        <v>1.0</v>
      </c>
      <c r="L92" s="34">
        <v>1.0</v>
      </c>
      <c r="N92" s="23"/>
      <c r="O92" s="19">
        <v>12.0</v>
      </c>
      <c r="P92" s="40">
        <v>0.05588235294117647</v>
      </c>
      <c r="Q92" s="40">
        <v>0.08823529411764706</v>
      </c>
      <c r="R92" s="40">
        <v>0.0</v>
      </c>
      <c r="S92" s="40">
        <v>0.09090909090909091</v>
      </c>
      <c r="T92" s="40">
        <v>0.038461538461538464</v>
      </c>
    </row>
    <row r="93" ht="15.75" customHeight="1">
      <c r="A93" s="16" t="s">
        <v>229</v>
      </c>
      <c r="F93" s="24"/>
      <c r="G93" s="19">
        <v>13.0</v>
      </c>
      <c r="H93" s="34">
        <v>16.0</v>
      </c>
      <c r="I93" s="34">
        <v>7.0</v>
      </c>
      <c r="J93" s="34">
        <v>0.0</v>
      </c>
      <c r="K93" s="34">
        <v>2.0</v>
      </c>
      <c r="L93" s="34">
        <v>1.0</v>
      </c>
      <c r="N93" s="23"/>
      <c r="O93" s="19">
        <v>13.0</v>
      </c>
      <c r="P93" s="40">
        <v>0.047058823529411764</v>
      </c>
      <c r="Q93" s="40">
        <v>0.051470588235294115</v>
      </c>
      <c r="R93" s="40">
        <v>0.0</v>
      </c>
      <c r="S93" s="40">
        <v>0.18181818181818182</v>
      </c>
      <c r="T93" s="40">
        <v>0.038461538461538464</v>
      </c>
    </row>
    <row r="94" ht="15.75" customHeight="1">
      <c r="A94" s="16" t="s">
        <v>230</v>
      </c>
      <c r="F94" s="24"/>
      <c r="G94" s="19">
        <v>14.0</v>
      </c>
      <c r="H94" s="34">
        <v>13.0</v>
      </c>
      <c r="I94" s="34">
        <v>14.0</v>
      </c>
      <c r="J94" s="34">
        <v>0.0</v>
      </c>
      <c r="K94" s="34">
        <v>1.0</v>
      </c>
      <c r="L94" s="34">
        <v>4.0</v>
      </c>
      <c r="N94" s="23"/>
      <c r="O94" s="19">
        <v>14.0</v>
      </c>
      <c r="P94" s="40">
        <v>0.03823529411764706</v>
      </c>
      <c r="Q94" s="40">
        <v>0.10294117647058823</v>
      </c>
      <c r="R94" s="40">
        <v>0.0</v>
      </c>
      <c r="S94" s="40">
        <v>0.09090909090909091</v>
      </c>
      <c r="T94" s="40">
        <v>0.15384615384615385</v>
      </c>
    </row>
    <row r="95" ht="15.75" customHeight="1">
      <c r="A95" s="16" t="s">
        <v>231</v>
      </c>
      <c r="F95" s="24"/>
      <c r="G95" s="19">
        <v>15.0</v>
      </c>
      <c r="H95" s="34">
        <v>18.0</v>
      </c>
      <c r="I95" s="34">
        <v>8.0</v>
      </c>
      <c r="J95" s="34">
        <v>0.0</v>
      </c>
      <c r="K95" s="34">
        <v>1.0</v>
      </c>
      <c r="L95" s="34">
        <v>2.0</v>
      </c>
      <c r="N95" s="23"/>
      <c r="O95" s="19">
        <v>15.0</v>
      </c>
      <c r="P95" s="40">
        <v>0.052941176470588235</v>
      </c>
      <c r="Q95" s="40">
        <v>0.058823529411764705</v>
      </c>
      <c r="R95" s="40">
        <v>0.0</v>
      </c>
      <c r="S95" s="40">
        <v>0.09090909090909091</v>
      </c>
      <c r="T95" s="40">
        <v>0.07692307692307693</v>
      </c>
    </row>
    <row r="96" ht="15.75" customHeight="1">
      <c r="A96" s="16" t="s">
        <v>232</v>
      </c>
      <c r="F96" s="24"/>
      <c r="G96" s="19">
        <v>16.0</v>
      </c>
      <c r="H96" s="34">
        <v>20.0</v>
      </c>
      <c r="I96" s="34">
        <v>8.0</v>
      </c>
      <c r="J96" s="34">
        <v>1.0</v>
      </c>
      <c r="K96" s="34">
        <v>0.0</v>
      </c>
      <c r="L96" s="34">
        <v>1.0</v>
      </c>
      <c r="N96" s="23"/>
      <c r="O96" s="19">
        <v>16.0</v>
      </c>
      <c r="P96" s="40">
        <v>0.058823529411764705</v>
      </c>
      <c r="Q96" s="40">
        <v>0.058823529411764705</v>
      </c>
      <c r="R96" s="40">
        <v>0.5</v>
      </c>
      <c r="S96" s="40">
        <v>0.0</v>
      </c>
      <c r="T96" s="40">
        <v>0.038461538461538464</v>
      </c>
    </row>
    <row r="97" ht="15.75" customHeight="1">
      <c r="A97" s="16" t="s">
        <v>233</v>
      </c>
      <c r="F97" s="24"/>
      <c r="G97" s="19">
        <v>17.0</v>
      </c>
      <c r="H97" s="34">
        <v>31.0</v>
      </c>
      <c r="I97" s="34">
        <v>9.0</v>
      </c>
      <c r="J97" s="34">
        <v>0.0</v>
      </c>
      <c r="K97" s="34">
        <v>1.0</v>
      </c>
      <c r="L97" s="34">
        <v>1.0</v>
      </c>
      <c r="N97" s="23"/>
      <c r="O97" s="19">
        <v>17.0</v>
      </c>
      <c r="P97" s="40">
        <v>0.09117647058823529</v>
      </c>
      <c r="Q97" s="40">
        <v>0.0661764705882353</v>
      </c>
      <c r="R97" s="40">
        <v>0.0</v>
      </c>
      <c r="S97" s="40">
        <v>0.09090909090909091</v>
      </c>
      <c r="T97" s="40">
        <v>0.038461538461538464</v>
      </c>
    </row>
    <row r="98" ht="15.75" customHeight="1">
      <c r="A98" s="16" t="s">
        <v>234</v>
      </c>
      <c r="F98" s="24"/>
      <c r="G98" s="19">
        <v>18.0</v>
      </c>
      <c r="H98" s="34">
        <v>29.0</v>
      </c>
      <c r="I98" s="34">
        <v>7.0</v>
      </c>
      <c r="J98" s="34">
        <v>0.0</v>
      </c>
      <c r="K98" s="34">
        <v>0.0</v>
      </c>
      <c r="L98" s="34">
        <v>0.0</v>
      </c>
      <c r="N98" s="23"/>
      <c r="O98" s="19">
        <v>18.0</v>
      </c>
      <c r="P98" s="40">
        <v>0.08529411764705883</v>
      </c>
      <c r="Q98" s="40">
        <v>0.051470588235294115</v>
      </c>
      <c r="R98" s="40">
        <v>0.0</v>
      </c>
      <c r="S98" s="40">
        <v>0.0</v>
      </c>
      <c r="T98" s="40">
        <v>0.0</v>
      </c>
    </row>
    <row r="99" ht="15.75" customHeight="1">
      <c r="A99" s="16" t="s">
        <v>205</v>
      </c>
      <c r="F99" s="24"/>
      <c r="G99" s="19">
        <v>19.0</v>
      </c>
      <c r="H99" s="34">
        <v>15.0</v>
      </c>
      <c r="I99" s="34">
        <v>9.0</v>
      </c>
      <c r="J99" s="34">
        <v>0.0</v>
      </c>
      <c r="K99" s="34">
        <v>1.0</v>
      </c>
      <c r="L99" s="34">
        <v>0.0</v>
      </c>
      <c r="N99" s="23"/>
      <c r="O99" s="19">
        <v>19.0</v>
      </c>
      <c r="P99" s="40">
        <v>0.04411764705882353</v>
      </c>
      <c r="Q99" s="40">
        <v>0.0661764705882353</v>
      </c>
      <c r="R99" s="40">
        <v>0.0</v>
      </c>
      <c r="S99" s="40">
        <v>0.09090909090909091</v>
      </c>
      <c r="T99" s="40">
        <v>0.0</v>
      </c>
    </row>
    <row r="100" ht="15.75" customHeight="1">
      <c r="A100" s="16" t="s">
        <v>235</v>
      </c>
      <c r="F100" s="24"/>
      <c r="G100" s="19">
        <v>20.0</v>
      </c>
      <c r="H100" s="34">
        <v>19.0</v>
      </c>
      <c r="I100" s="34">
        <v>9.0</v>
      </c>
      <c r="J100" s="34">
        <v>0.0</v>
      </c>
      <c r="K100" s="34">
        <v>0.0</v>
      </c>
      <c r="L100" s="34">
        <v>0.0</v>
      </c>
      <c r="N100" s="23"/>
      <c r="O100" s="19">
        <v>20.0</v>
      </c>
      <c r="P100" s="40">
        <v>0.05588235294117647</v>
      </c>
      <c r="Q100" s="40">
        <v>0.0661764705882353</v>
      </c>
      <c r="R100" s="40">
        <v>0.0</v>
      </c>
      <c r="S100" s="40">
        <v>0.0</v>
      </c>
      <c r="T100" s="40">
        <v>0.0</v>
      </c>
    </row>
    <row r="101" ht="15.75" customHeight="1">
      <c r="A101" s="16" t="s">
        <v>236</v>
      </c>
      <c r="F101" s="24"/>
      <c r="G101" s="19">
        <v>21.0</v>
      </c>
      <c r="H101" s="34">
        <v>8.0</v>
      </c>
      <c r="I101" s="34">
        <v>1.0</v>
      </c>
      <c r="J101" s="34">
        <v>0.0</v>
      </c>
      <c r="K101" s="34">
        <v>0.0</v>
      </c>
      <c r="L101" s="34">
        <v>0.0</v>
      </c>
      <c r="N101" s="23"/>
      <c r="O101" s="19">
        <v>21.0</v>
      </c>
      <c r="P101" s="40">
        <v>0.023529411764705882</v>
      </c>
      <c r="Q101" s="40">
        <v>0.007352941176470588</v>
      </c>
      <c r="R101" s="40">
        <v>0.0</v>
      </c>
      <c r="S101" s="40">
        <v>0.0</v>
      </c>
      <c r="T101" s="40">
        <v>0.0</v>
      </c>
    </row>
    <row r="102" ht="15.75" customHeight="1">
      <c r="A102" s="16" t="s">
        <v>184</v>
      </c>
      <c r="F102" s="24"/>
      <c r="G102" s="19">
        <v>22.0</v>
      </c>
      <c r="H102" s="34">
        <v>13.0</v>
      </c>
      <c r="I102" s="34">
        <v>2.0</v>
      </c>
      <c r="J102" s="34">
        <v>0.0</v>
      </c>
      <c r="K102" s="34">
        <v>0.0</v>
      </c>
      <c r="L102" s="34">
        <v>0.0</v>
      </c>
      <c r="N102" s="23"/>
      <c r="O102" s="19">
        <v>22.0</v>
      </c>
      <c r="P102" s="40">
        <v>0.03823529411764706</v>
      </c>
      <c r="Q102" s="40">
        <v>0.014705882352941176</v>
      </c>
      <c r="R102" s="40">
        <v>0.0</v>
      </c>
      <c r="S102" s="40">
        <v>0.0</v>
      </c>
      <c r="T102" s="40">
        <v>0.0</v>
      </c>
    </row>
    <row r="103" ht="15.75" customHeight="1">
      <c r="F103" s="28"/>
      <c r="G103" s="19">
        <v>23.0</v>
      </c>
      <c r="H103" s="34">
        <v>6.0</v>
      </c>
      <c r="I103" s="34">
        <v>1.0</v>
      </c>
      <c r="J103" s="34">
        <v>0.0</v>
      </c>
      <c r="K103" s="34">
        <v>1.0</v>
      </c>
      <c r="L103" s="34">
        <v>1.0</v>
      </c>
      <c r="N103" s="27"/>
      <c r="O103" s="19">
        <v>23.0</v>
      </c>
      <c r="P103" s="40">
        <v>0.01764705882352941</v>
      </c>
      <c r="Q103" s="40">
        <v>0.007352941176470588</v>
      </c>
      <c r="R103" s="40">
        <v>0.0</v>
      </c>
      <c r="S103" s="40">
        <v>0.09090909090909091</v>
      </c>
      <c r="T103" s="40">
        <v>0.038461538461538464</v>
      </c>
    </row>
    <row r="104" ht="15.75" customHeight="1">
      <c r="A104" s="16" t="s">
        <v>92</v>
      </c>
      <c r="F104" s="39">
        <v>45198.0</v>
      </c>
      <c r="G104" s="19">
        <v>0.0</v>
      </c>
      <c r="H104" s="20">
        <v>1.0</v>
      </c>
      <c r="I104" s="20">
        <v>1.0</v>
      </c>
      <c r="J104" s="20">
        <v>0.0</v>
      </c>
      <c r="K104" s="20">
        <v>0.0</v>
      </c>
      <c r="L104" s="20">
        <v>0.0</v>
      </c>
      <c r="N104" s="39">
        <v>45198.0</v>
      </c>
      <c r="O104" s="19">
        <v>0.0</v>
      </c>
      <c r="P104" s="40">
        <v>0.002551020408163265</v>
      </c>
      <c r="Q104" s="40">
        <v>0.008849557522123894</v>
      </c>
      <c r="R104" s="40">
        <v>0.0</v>
      </c>
      <c r="S104" s="40">
        <v>0.0</v>
      </c>
      <c r="T104" s="40">
        <v>0.0</v>
      </c>
    </row>
    <row r="105" ht="15.75" customHeight="1">
      <c r="A105" s="16" t="s">
        <v>94</v>
      </c>
      <c r="F105" s="24"/>
      <c r="G105" s="19">
        <v>1.0</v>
      </c>
      <c r="H105" s="20">
        <v>6.0</v>
      </c>
      <c r="I105" s="20">
        <v>1.0</v>
      </c>
      <c r="J105" s="20">
        <v>0.0</v>
      </c>
      <c r="K105" s="20">
        <v>0.0</v>
      </c>
      <c r="L105" s="20">
        <v>0.0</v>
      </c>
      <c r="N105" s="23"/>
      <c r="O105" s="19">
        <v>1.0</v>
      </c>
      <c r="P105" s="40">
        <v>0.015306122448979591</v>
      </c>
      <c r="Q105" s="40">
        <v>0.008849557522123894</v>
      </c>
      <c r="R105" s="40">
        <v>0.0</v>
      </c>
      <c r="S105" s="40">
        <v>0.0</v>
      </c>
      <c r="T105" s="40">
        <v>0.0</v>
      </c>
    </row>
    <row r="106" ht="15.75" customHeight="1">
      <c r="A106" s="16" t="s">
        <v>237</v>
      </c>
      <c r="F106" s="24"/>
      <c r="G106" s="19">
        <v>2.0</v>
      </c>
      <c r="H106" s="16">
        <v>3.0</v>
      </c>
      <c r="I106" s="16">
        <v>0.0</v>
      </c>
      <c r="J106" s="16">
        <v>0.0</v>
      </c>
      <c r="K106" s="16">
        <v>0.0</v>
      </c>
      <c r="L106" s="16">
        <v>0.0</v>
      </c>
      <c r="N106" s="23"/>
      <c r="O106" s="19">
        <v>2.0</v>
      </c>
      <c r="P106" s="40">
        <v>0.007653061224489796</v>
      </c>
      <c r="Q106" s="40">
        <v>0.0</v>
      </c>
      <c r="R106" s="40">
        <v>0.0</v>
      </c>
      <c r="S106" s="40">
        <v>0.0</v>
      </c>
      <c r="T106" s="40">
        <v>0.0</v>
      </c>
    </row>
    <row r="107" ht="15.75" customHeight="1">
      <c r="A107" s="16" t="s">
        <v>175</v>
      </c>
      <c r="F107" s="24"/>
      <c r="G107" s="19">
        <v>3.0</v>
      </c>
      <c r="H107" s="20">
        <v>2.0</v>
      </c>
      <c r="I107" s="20">
        <v>1.0</v>
      </c>
      <c r="J107" s="20">
        <v>0.0</v>
      </c>
      <c r="K107" s="20">
        <v>0.0</v>
      </c>
      <c r="L107" s="20">
        <v>0.0</v>
      </c>
      <c r="N107" s="23"/>
      <c r="O107" s="19">
        <v>3.0</v>
      </c>
      <c r="P107" s="40">
        <v>0.00510204081632653</v>
      </c>
      <c r="Q107" s="40">
        <v>0.008849557522123894</v>
      </c>
      <c r="R107" s="40">
        <v>0.0</v>
      </c>
      <c r="S107" s="40">
        <v>0.0</v>
      </c>
      <c r="T107" s="40">
        <v>0.0</v>
      </c>
    </row>
    <row r="108" ht="15.75" customHeight="1">
      <c r="A108" s="16" t="s">
        <v>238</v>
      </c>
      <c r="F108" s="24"/>
      <c r="G108" s="19">
        <v>4.0</v>
      </c>
      <c r="H108" s="20">
        <v>2.0</v>
      </c>
      <c r="I108" s="20">
        <v>1.0</v>
      </c>
      <c r="J108" s="20">
        <v>0.0</v>
      </c>
      <c r="K108" s="20">
        <v>0.0</v>
      </c>
      <c r="L108" s="20">
        <v>1.0</v>
      </c>
      <c r="N108" s="23"/>
      <c r="O108" s="19">
        <v>4.0</v>
      </c>
      <c r="P108" s="40">
        <v>0.00510204081632653</v>
      </c>
      <c r="Q108" s="40">
        <v>0.008849557522123894</v>
      </c>
      <c r="R108" s="40">
        <v>0.0</v>
      </c>
      <c r="S108" s="40">
        <v>0.0</v>
      </c>
      <c r="T108" s="40">
        <v>0.1</v>
      </c>
    </row>
    <row r="109" ht="15.75" customHeight="1">
      <c r="A109" s="16" t="s">
        <v>239</v>
      </c>
      <c r="F109" s="24"/>
      <c r="G109" s="19">
        <v>5.0</v>
      </c>
      <c r="H109" s="20">
        <v>5.0</v>
      </c>
      <c r="I109" s="20">
        <v>2.0</v>
      </c>
      <c r="J109" s="20">
        <v>0.0</v>
      </c>
      <c r="K109" s="20">
        <v>0.0</v>
      </c>
      <c r="L109" s="20">
        <v>1.0</v>
      </c>
      <c r="N109" s="23"/>
      <c r="O109" s="19">
        <v>5.0</v>
      </c>
      <c r="P109" s="40">
        <v>0.012755102040816327</v>
      </c>
      <c r="Q109" s="40">
        <v>0.017699115044247787</v>
      </c>
      <c r="R109" s="40">
        <v>0.0</v>
      </c>
      <c r="S109" s="40">
        <v>0.0</v>
      </c>
      <c r="T109" s="40">
        <v>0.1</v>
      </c>
    </row>
    <row r="110" ht="15.75" customHeight="1">
      <c r="A110" s="16" t="s">
        <v>240</v>
      </c>
      <c r="F110" s="24"/>
      <c r="G110" s="19">
        <v>6.0</v>
      </c>
      <c r="H110" s="20">
        <v>8.0</v>
      </c>
      <c r="I110" s="20">
        <v>1.0</v>
      </c>
      <c r="J110" s="20">
        <v>1.0</v>
      </c>
      <c r="K110" s="20">
        <v>0.0</v>
      </c>
      <c r="L110" s="20">
        <v>2.0</v>
      </c>
      <c r="N110" s="23"/>
      <c r="O110" s="19">
        <v>6.0</v>
      </c>
      <c r="P110" s="40">
        <v>0.02040816326530612</v>
      </c>
      <c r="Q110" s="40">
        <v>0.008849557522123894</v>
      </c>
      <c r="R110" s="40">
        <v>1.0</v>
      </c>
      <c r="S110" s="40">
        <v>0.0</v>
      </c>
      <c r="T110" s="40">
        <v>0.2</v>
      </c>
    </row>
    <row r="111" ht="15.75" customHeight="1">
      <c r="A111" s="16" t="s">
        <v>241</v>
      </c>
      <c r="F111" s="24"/>
      <c r="G111" s="19">
        <v>7.0</v>
      </c>
      <c r="H111" s="20">
        <v>9.0</v>
      </c>
      <c r="I111" s="20">
        <v>7.0</v>
      </c>
      <c r="J111" s="20">
        <v>0.0</v>
      </c>
      <c r="K111" s="20">
        <v>0.0</v>
      </c>
      <c r="L111" s="20">
        <v>1.0</v>
      </c>
      <c r="N111" s="23"/>
      <c r="O111" s="19">
        <v>7.0</v>
      </c>
      <c r="P111" s="40">
        <v>0.02295918367346939</v>
      </c>
      <c r="Q111" s="40">
        <v>0.061946902654867256</v>
      </c>
      <c r="R111" s="40">
        <v>0.0</v>
      </c>
      <c r="S111" s="40">
        <v>0.0</v>
      </c>
      <c r="T111" s="40">
        <v>0.1</v>
      </c>
    </row>
    <row r="112" ht="15.75" customHeight="1">
      <c r="A112" s="16" t="s">
        <v>242</v>
      </c>
      <c r="F112" s="24"/>
      <c r="G112" s="19">
        <v>8.0</v>
      </c>
      <c r="H112" s="20">
        <v>22.0</v>
      </c>
      <c r="I112" s="20">
        <v>8.0</v>
      </c>
      <c r="J112" s="20">
        <v>0.0</v>
      </c>
      <c r="K112" s="20">
        <v>0.0</v>
      </c>
      <c r="L112" s="20">
        <v>2.0</v>
      </c>
      <c r="N112" s="23"/>
      <c r="O112" s="19">
        <v>8.0</v>
      </c>
      <c r="P112" s="40">
        <v>0.05612244897959184</v>
      </c>
      <c r="Q112" s="40">
        <v>0.07079646017699115</v>
      </c>
      <c r="R112" s="40">
        <v>0.0</v>
      </c>
      <c r="S112" s="40">
        <v>0.0</v>
      </c>
      <c r="T112" s="40">
        <v>0.2</v>
      </c>
    </row>
    <row r="113" ht="15.75" customHeight="1">
      <c r="A113" s="16" t="s">
        <v>243</v>
      </c>
      <c r="F113" s="24"/>
      <c r="G113" s="19">
        <v>9.0</v>
      </c>
      <c r="H113" s="20">
        <v>22.0</v>
      </c>
      <c r="I113" s="20">
        <v>8.0</v>
      </c>
      <c r="J113" s="20">
        <v>0.0</v>
      </c>
      <c r="K113" s="20">
        <v>6.0</v>
      </c>
      <c r="L113" s="20">
        <v>0.0</v>
      </c>
      <c r="N113" s="23"/>
      <c r="O113" s="19">
        <v>9.0</v>
      </c>
      <c r="P113" s="40">
        <v>0.05612244897959184</v>
      </c>
      <c r="Q113" s="40">
        <v>0.07079646017699115</v>
      </c>
      <c r="R113" s="40">
        <v>0.0</v>
      </c>
      <c r="S113" s="40">
        <v>0.2222222222222222</v>
      </c>
      <c r="T113" s="40">
        <v>0.0</v>
      </c>
    </row>
    <row r="114" ht="15.75" customHeight="1">
      <c r="A114" s="16" t="s">
        <v>244</v>
      </c>
      <c r="F114" s="24"/>
      <c r="G114" s="19">
        <v>10.0</v>
      </c>
      <c r="H114" s="20">
        <v>25.0</v>
      </c>
      <c r="I114" s="20">
        <v>5.0</v>
      </c>
      <c r="J114" s="20">
        <v>0.0</v>
      </c>
      <c r="K114" s="20">
        <v>5.0</v>
      </c>
      <c r="L114" s="20">
        <v>1.0</v>
      </c>
      <c r="N114" s="23"/>
      <c r="O114" s="19">
        <v>10.0</v>
      </c>
      <c r="P114" s="40">
        <v>0.06377551020408163</v>
      </c>
      <c r="Q114" s="40">
        <v>0.04424778761061947</v>
      </c>
      <c r="R114" s="40">
        <v>0.0</v>
      </c>
      <c r="S114" s="40">
        <v>0.18518518518518517</v>
      </c>
      <c r="T114" s="40">
        <v>0.1</v>
      </c>
    </row>
    <row r="115" ht="15.75" customHeight="1">
      <c r="A115" s="16" t="s">
        <v>245</v>
      </c>
      <c r="F115" s="24"/>
      <c r="G115" s="19">
        <v>11.0</v>
      </c>
      <c r="H115" s="20">
        <v>30.0</v>
      </c>
      <c r="I115" s="20">
        <v>7.0</v>
      </c>
      <c r="J115" s="20">
        <v>0.0</v>
      </c>
      <c r="K115" s="20">
        <v>2.0</v>
      </c>
      <c r="L115" s="20">
        <v>0.0</v>
      </c>
      <c r="N115" s="23"/>
      <c r="O115" s="19">
        <v>11.0</v>
      </c>
      <c r="P115" s="40">
        <v>0.07653061224489796</v>
      </c>
      <c r="Q115" s="40">
        <v>0.061946902654867256</v>
      </c>
      <c r="R115" s="40">
        <v>0.0</v>
      </c>
      <c r="S115" s="40">
        <v>0.07407407407407407</v>
      </c>
      <c r="T115" s="40">
        <v>0.0</v>
      </c>
    </row>
    <row r="116" ht="15.75" customHeight="1">
      <c r="A116" s="16" t="s">
        <v>246</v>
      </c>
      <c r="F116" s="24"/>
      <c r="G116" s="19">
        <v>12.0</v>
      </c>
      <c r="H116" s="20">
        <v>16.0</v>
      </c>
      <c r="I116" s="20">
        <v>10.0</v>
      </c>
      <c r="J116" s="20">
        <v>0.0</v>
      </c>
      <c r="K116" s="20">
        <v>2.0</v>
      </c>
      <c r="L116" s="20">
        <v>0.0</v>
      </c>
      <c r="N116" s="23"/>
      <c r="O116" s="19">
        <v>12.0</v>
      </c>
      <c r="P116" s="40">
        <v>0.04081632653061224</v>
      </c>
      <c r="Q116" s="40">
        <v>0.08849557522123894</v>
      </c>
      <c r="R116" s="40">
        <v>0.0</v>
      </c>
      <c r="S116" s="40">
        <v>0.07407407407407407</v>
      </c>
      <c r="T116" s="40">
        <v>0.0</v>
      </c>
    </row>
    <row r="117" ht="15.75" customHeight="1">
      <c r="A117" s="16" t="s">
        <v>247</v>
      </c>
      <c r="F117" s="24"/>
      <c r="G117" s="19">
        <v>13.0</v>
      </c>
      <c r="H117" s="20">
        <v>25.0</v>
      </c>
      <c r="I117" s="20">
        <v>5.0</v>
      </c>
      <c r="J117" s="20">
        <v>0.0</v>
      </c>
      <c r="K117" s="20">
        <v>3.0</v>
      </c>
      <c r="L117" s="20">
        <v>0.0</v>
      </c>
      <c r="N117" s="23"/>
      <c r="O117" s="19">
        <v>13.0</v>
      </c>
      <c r="P117" s="40">
        <v>0.06377551020408163</v>
      </c>
      <c r="Q117" s="40">
        <v>0.04424778761061947</v>
      </c>
      <c r="R117" s="40">
        <v>0.0</v>
      </c>
      <c r="S117" s="40">
        <v>0.1111111111111111</v>
      </c>
      <c r="T117" s="40">
        <v>0.0</v>
      </c>
    </row>
    <row r="118" ht="15.75" customHeight="1">
      <c r="A118" s="16" t="s">
        <v>248</v>
      </c>
      <c r="F118" s="24"/>
      <c r="G118" s="19">
        <v>14.0</v>
      </c>
      <c r="H118" s="20">
        <v>33.0</v>
      </c>
      <c r="I118" s="20">
        <v>9.0</v>
      </c>
      <c r="J118" s="20">
        <v>0.0</v>
      </c>
      <c r="K118" s="20">
        <v>4.0</v>
      </c>
      <c r="L118" s="20">
        <v>0.0</v>
      </c>
      <c r="N118" s="23"/>
      <c r="O118" s="19">
        <v>14.0</v>
      </c>
      <c r="P118" s="40">
        <v>0.08418367346938775</v>
      </c>
      <c r="Q118" s="40">
        <v>0.07964601769911504</v>
      </c>
      <c r="R118" s="40">
        <v>0.0</v>
      </c>
      <c r="S118" s="40">
        <v>0.14814814814814814</v>
      </c>
      <c r="T118" s="40">
        <v>0.0</v>
      </c>
    </row>
    <row r="119" ht="15.75" customHeight="1">
      <c r="A119" s="16" t="s">
        <v>249</v>
      </c>
      <c r="F119" s="24"/>
      <c r="G119" s="19">
        <v>15.0</v>
      </c>
      <c r="H119" s="20">
        <v>28.0</v>
      </c>
      <c r="I119" s="20">
        <v>9.0</v>
      </c>
      <c r="J119" s="20">
        <v>0.0</v>
      </c>
      <c r="K119" s="20">
        <v>0.0</v>
      </c>
      <c r="L119" s="20">
        <v>1.0</v>
      </c>
      <c r="N119" s="23"/>
      <c r="O119" s="19">
        <v>15.0</v>
      </c>
      <c r="P119" s="40">
        <v>0.07142857142857142</v>
      </c>
      <c r="Q119" s="40">
        <v>0.07964601769911504</v>
      </c>
      <c r="R119" s="40">
        <v>0.0</v>
      </c>
      <c r="S119" s="40">
        <v>0.0</v>
      </c>
      <c r="T119" s="40">
        <v>0.1</v>
      </c>
    </row>
    <row r="120" ht="15.75" customHeight="1">
      <c r="A120" s="16" t="s">
        <v>250</v>
      </c>
      <c r="F120" s="24"/>
      <c r="G120" s="19">
        <v>16.0</v>
      </c>
      <c r="H120" s="20">
        <v>30.0</v>
      </c>
      <c r="I120" s="20">
        <v>7.0</v>
      </c>
      <c r="J120" s="20">
        <v>0.0</v>
      </c>
      <c r="K120" s="20">
        <v>1.0</v>
      </c>
      <c r="L120" s="20">
        <v>1.0</v>
      </c>
      <c r="N120" s="23"/>
      <c r="O120" s="19">
        <v>16.0</v>
      </c>
      <c r="P120" s="40">
        <v>0.07653061224489796</v>
      </c>
      <c r="Q120" s="40">
        <v>0.061946902654867256</v>
      </c>
      <c r="R120" s="40">
        <v>0.0</v>
      </c>
      <c r="S120" s="40">
        <v>0.037037037037037035</v>
      </c>
      <c r="T120" s="40">
        <v>0.1</v>
      </c>
    </row>
    <row r="121" ht="15.75" customHeight="1">
      <c r="A121" s="16" t="s">
        <v>217</v>
      </c>
      <c r="F121" s="24"/>
      <c r="G121" s="19">
        <v>17.0</v>
      </c>
      <c r="H121" s="20">
        <v>28.0</v>
      </c>
      <c r="I121" s="20">
        <v>4.0</v>
      </c>
      <c r="J121" s="20">
        <v>0.0</v>
      </c>
      <c r="K121" s="20">
        <v>0.0</v>
      </c>
      <c r="L121" s="20">
        <v>0.0</v>
      </c>
      <c r="N121" s="23"/>
      <c r="O121" s="19">
        <v>17.0</v>
      </c>
      <c r="P121" s="40">
        <v>0.07142857142857142</v>
      </c>
      <c r="Q121" s="40">
        <v>0.035398230088495575</v>
      </c>
      <c r="R121" s="40">
        <v>0.0</v>
      </c>
      <c r="S121" s="40">
        <v>0.0</v>
      </c>
      <c r="T121" s="40">
        <v>0.0</v>
      </c>
    </row>
    <row r="122" ht="15.75" customHeight="1">
      <c r="A122" s="16" t="s">
        <v>251</v>
      </c>
      <c r="F122" s="24"/>
      <c r="G122" s="19">
        <v>18.0</v>
      </c>
      <c r="H122" s="20">
        <v>29.0</v>
      </c>
      <c r="I122" s="20">
        <v>6.0</v>
      </c>
      <c r="J122" s="20">
        <v>0.0</v>
      </c>
      <c r="K122" s="20">
        <v>1.0</v>
      </c>
      <c r="L122" s="20">
        <v>0.0</v>
      </c>
      <c r="N122" s="23"/>
      <c r="O122" s="19">
        <v>18.0</v>
      </c>
      <c r="P122" s="40">
        <v>0.07397959183673469</v>
      </c>
      <c r="Q122" s="40">
        <v>0.05309734513274336</v>
      </c>
      <c r="R122" s="40">
        <v>0.0</v>
      </c>
      <c r="S122" s="40">
        <v>0.037037037037037035</v>
      </c>
      <c r="T122" s="40">
        <v>0.0</v>
      </c>
    </row>
    <row r="123" ht="15.75" customHeight="1">
      <c r="A123" s="16" t="s">
        <v>252</v>
      </c>
      <c r="F123" s="24"/>
      <c r="G123" s="19">
        <v>19.0</v>
      </c>
      <c r="H123" s="20">
        <v>17.0</v>
      </c>
      <c r="I123" s="20">
        <v>4.0</v>
      </c>
      <c r="J123" s="20">
        <v>0.0</v>
      </c>
      <c r="K123" s="20">
        <v>0.0</v>
      </c>
      <c r="L123" s="20">
        <v>0.0</v>
      </c>
      <c r="N123" s="23"/>
      <c r="O123" s="19">
        <v>19.0</v>
      </c>
      <c r="P123" s="40">
        <v>0.04336734693877551</v>
      </c>
      <c r="Q123" s="40">
        <v>0.035398230088495575</v>
      </c>
      <c r="R123" s="40">
        <v>0.0</v>
      </c>
      <c r="S123" s="40">
        <v>0.0</v>
      </c>
      <c r="T123" s="40">
        <v>0.0</v>
      </c>
    </row>
    <row r="124" ht="15.75" customHeight="1">
      <c r="A124" s="16" t="s">
        <v>253</v>
      </c>
      <c r="F124" s="24"/>
      <c r="G124" s="19">
        <v>20.0</v>
      </c>
      <c r="H124" s="20">
        <v>16.0</v>
      </c>
      <c r="I124" s="20">
        <v>9.0</v>
      </c>
      <c r="J124" s="20">
        <v>0.0</v>
      </c>
      <c r="K124" s="20">
        <v>1.0</v>
      </c>
      <c r="L124" s="20">
        <v>0.0</v>
      </c>
      <c r="N124" s="23"/>
      <c r="O124" s="19">
        <v>20.0</v>
      </c>
      <c r="P124" s="40">
        <v>0.04081632653061224</v>
      </c>
      <c r="Q124" s="40">
        <v>0.07964601769911504</v>
      </c>
      <c r="R124" s="40">
        <v>0.0</v>
      </c>
      <c r="S124" s="40">
        <v>0.037037037037037035</v>
      </c>
      <c r="T124" s="40">
        <v>0.0</v>
      </c>
    </row>
    <row r="125" ht="15.75" customHeight="1">
      <c r="A125" s="16" t="s">
        <v>184</v>
      </c>
      <c r="F125" s="24"/>
      <c r="G125" s="19">
        <v>21.0</v>
      </c>
      <c r="H125" s="20">
        <v>16.0</v>
      </c>
      <c r="I125" s="20">
        <v>4.0</v>
      </c>
      <c r="J125" s="20">
        <v>0.0</v>
      </c>
      <c r="K125" s="20">
        <v>2.0</v>
      </c>
      <c r="L125" s="20">
        <v>0.0</v>
      </c>
      <c r="N125" s="23"/>
      <c r="O125" s="19">
        <v>21.0</v>
      </c>
      <c r="P125" s="40">
        <v>0.04081632653061224</v>
      </c>
      <c r="Q125" s="40">
        <v>0.035398230088495575</v>
      </c>
      <c r="R125" s="40">
        <v>0.0</v>
      </c>
      <c r="S125" s="40">
        <v>0.07407407407407407</v>
      </c>
      <c r="T125" s="40">
        <v>0.0</v>
      </c>
    </row>
    <row r="126" ht="15.75" customHeight="1">
      <c r="A126" s="16" t="s">
        <v>157</v>
      </c>
      <c r="F126" s="24"/>
      <c r="G126" s="19">
        <v>22.0</v>
      </c>
      <c r="H126" s="20">
        <v>11.0</v>
      </c>
      <c r="I126" s="20">
        <v>3.0</v>
      </c>
      <c r="J126" s="20">
        <v>0.0</v>
      </c>
      <c r="K126" s="20">
        <v>0.0</v>
      </c>
      <c r="L126" s="20">
        <v>0.0</v>
      </c>
      <c r="N126" s="23"/>
      <c r="O126" s="19">
        <v>22.0</v>
      </c>
      <c r="P126" s="40">
        <v>0.02806122448979592</v>
      </c>
      <c r="Q126" s="40">
        <v>0.02654867256637168</v>
      </c>
      <c r="R126" s="40">
        <v>0.0</v>
      </c>
      <c r="S126" s="40">
        <v>0.0</v>
      </c>
      <c r="T126" s="40">
        <v>0.0</v>
      </c>
    </row>
    <row r="127" ht="15.75" customHeight="1">
      <c r="F127" s="28"/>
      <c r="G127" s="19">
        <v>23.0</v>
      </c>
      <c r="H127" s="20">
        <v>8.0</v>
      </c>
      <c r="I127" s="20">
        <v>1.0</v>
      </c>
      <c r="J127" s="20">
        <v>0.0</v>
      </c>
      <c r="K127" s="20">
        <v>0.0</v>
      </c>
      <c r="L127" s="20">
        <v>0.0</v>
      </c>
      <c r="N127" s="27"/>
      <c r="O127" s="19">
        <v>23.0</v>
      </c>
      <c r="P127" s="40">
        <v>0.02040816326530612</v>
      </c>
      <c r="Q127" s="40">
        <v>0.008849557522123894</v>
      </c>
      <c r="R127" s="40">
        <v>0.0</v>
      </c>
      <c r="S127" s="40">
        <v>0.0</v>
      </c>
      <c r="T127" s="40">
        <v>0.0</v>
      </c>
    </row>
    <row r="128" ht="15.75" customHeight="1">
      <c r="A128" s="16" t="s">
        <v>94</v>
      </c>
      <c r="F128" s="39">
        <v>45199.0</v>
      </c>
      <c r="G128" s="19">
        <v>0.0</v>
      </c>
      <c r="H128" s="20">
        <v>2.0</v>
      </c>
      <c r="I128" s="20">
        <v>4.0</v>
      </c>
      <c r="J128" s="20">
        <v>0.0</v>
      </c>
      <c r="K128" s="20">
        <v>0.0</v>
      </c>
      <c r="L128" s="20">
        <v>0.0</v>
      </c>
      <c r="N128" s="39">
        <v>45199.0</v>
      </c>
      <c r="O128" s="19">
        <v>0.0</v>
      </c>
      <c r="P128" s="40">
        <v>0.004761904761904762</v>
      </c>
      <c r="Q128" s="40">
        <v>0.038834951456310676</v>
      </c>
      <c r="R128" s="40">
        <v>0.0</v>
      </c>
      <c r="S128" s="40">
        <v>0.0</v>
      </c>
      <c r="T128" s="40">
        <v>0.0</v>
      </c>
    </row>
    <row r="129" ht="15.75" customHeight="1">
      <c r="A129" s="16" t="s">
        <v>254</v>
      </c>
      <c r="F129" s="24"/>
      <c r="G129" s="19">
        <v>1.0</v>
      </c>
      <c r="H129" s="20">
        <v>1.0</v>
      </c>
      <c r="I129" s="20">
        <v>0.0</v>
      </c>
      <c r="J129" s="20">
        <v>0.0</v>
      </c>
      <c r="K129" s="20">
        <v>0.0</v>
      </c>
      <c r="L129" s="20">
        <v>0.0</v>
      </c>
      <c r="N129" s="23"/>
      <c r="O129" s="19">
        <v>1.0</v>
      </c>
      <c r="P129" s="40">
        <v>0.002380952380952381</v>
      </c>
      <c r="Q129" s="40">
        <v>0.0</v>
      </c>
      <c r="R129" s="40">
        <v>0.0</v>
      </c>
      <c r="S129" s="40">
        <v>0.0</v>
      </c>
      <c r="T129" s="40">
        <v>0.0</v>
      </c>
    </row>
    <row r="130" ht="15.75" customHeight="1">
      <c r="A130" s="16" t="s">
        <v>94</v>
      </c>
      <c r="F130" s="24"/>
      <c r="G130" s="19">
        <v>2.0</v>
      </c>
      <c r="H130" s="16">
        <v>5.0</v>
      </c>
      <c r="I130" s="16">
        <v>0.0</v>
      </c>
      <c r="J130" s="16">
        <v>0.0</v>
      </c>
      <c r="K130" s="16">
        <v>0.0</v>
      </c>
      <c r="L130" s="16">
        <v>0.0</v>
      </c>
      <c r="N130" s="23"/>
      <c r="O130" s="19">
        <v>2.0</v>
      </c>
      <c r="P130" s="40">
        <v>0.011904761904761904</v>
      </c>
      <c r="Q130" s="40">
        <v>0.0</v>
      </c>
      <c r="R130" s="40">
        <v>0.0</v>
      </c>
      <c r="S130" s="40">
        <v>0.0</v>
      </c>
      <c r="T130" s="40">
        <v>0.0</v>
      </c>
    </row>
    <row r="131" ht="15.75" customHeight="1">
      <c r="A131" s="16" t="s">
        <v>255</v>
      </c>
      <c r="F131" s="24"/>
      <c r="G131" s="19">
        <v>3.0</v>
      </c>
      <c r="H131" s="20">
        <v>3.0</v>
      </c>
      <c r="I131" s="20">
        <v>1.0</v>
      </c>
      <c r="J131" s="20">
        <v>0.0</v>
      </c>
      <c r="K131" s="20">
        <v>0.0</v>
      </c>
      <c r="L131" s="20">
        <v>0.0</v>
      </c>
      <c r="N131" s="23"/>
      <c r="O131" s="19">
        <v>3.0</v>
      </c>
      <c r="P131" s="40">
        <v>0.007142857142857143</v>
      </c>
      <c r="Q131" s="40">
        <v>0.009708737864077669</v>
      </c>
      <c r="R131" s="40">
        <v>0.0</v>
      </c>
      <c r="S131" s="40">
        <v>0.0</v>
      </c>
      <c r="T131" s="40">
        <v>0.0</v>
      </c>
    </row>
    <row r="132" ht="15.75" customHeight="1">
      <c r="A132" s="16" t="s">
        <v>115</v>
      </c>
      <c r="F132" s="24"/>
      <c r="G132" s="19">
        <v>4.0</v>
      </c>
      <c r="H132" s="20">
        <v>2.0</v>
      </c>
      <c r="I132" s="20">
        <v>0.0</v>
      </c>
      <c r="J132" s="20">
        <v>0.0</v>
      </c>
      <c r="K132" s="20">
        <v>0.0</v>
      </c>
      <c r="L132" s="20">
        <v>0.0</v>
      </c>
      <c r="N132" s="23"/>
      <c r="O132" s="19">
        <v>4.0</v>
      </c>
      <c r="P132" s="40">
        <v>0.004761904761904762</v>
      </c>
      <c r="Q132" s="40">
        <v>0.0</v>
      </c>
      <c r="R132" s="40">
        <v>0.0</v>
      </c>
      <c r="S132" s="40">
        <v>0.0</v>
      </c>
      <c r="T132" s="40">
        <v>0.0</v>
      </c>
    </row>
    <row r="133" ht="15.75" customHeight="1">
      <c r="A133" s="16" t="s">
        <v>256</v>
      </c>
      <c r="F133" s="24"/>
      <c r="G133" s="19">
        <v>5.0</v>
      </c>
      <c r="H133" s="20">
        <v>3.0</v>
      </c>
      <c r="I133" s="20">
        <v>2.0</v>
      </c>
      <c r="J133" s="20">
        <v>0.0</v>
      </c>
      <c r="K133" s="20">
        <v>2.0</v>
      </c>
      <c r="L133" s="20">
        <v>0.0</v>
      </c>
      <c r="N133" s="23"/>
      <c r="O133" s="19">
        <v>5.0</v>
      </c>
      <c r="P133" s="40">
        <v>0.007142857142857143</v>
      </c>
      <c r="Q133" s="40">
        <v>0.019417475728155338</v>
      </c>
      <c r="R133" s="40">
        <v>0.0</v>
      </c>
      <c r="S133" s="40">
        <v>0.25</v>
      </c>
      <c r="T133" s="40">
        <v>0.0</v>
      </c>
    </row>
    <row r="134" ht="15.75" customHeight="1">
      <c r="A134" s="16" t="s">
        <v>257</v>
      </c>
      <c r="F134" s="24"/>
      <c r="G134" s="19">
        <v>6.0</v>
      </c>
      <c r="H134" s="20">
        <v>9.0</v>
      </c>
      <c r="I134" s="20">
        <v>1.0</v>
      </c>
      <c r="J134" s="20">
        <v>0.0</v>
      </c>
      <c r="K134" s="20">
        <v>0.0</v>
      </c>
      <c r="L134" s="20">
        <v>0.0</v>
      </c>
      <c r="N134" s="23"/>
      <c r="O134" s="19">
        <v>6.0</v>
      </c>
      <c r="P134" s="40">
        <v>0.02142857142857143</v>
      </c>
      <c r="Q134" s="40">
        <v>0.009708737864077669</v>
      </c>
      <c r="R134" s="40">
        <v>0.0</v>
      </c>
      <c r="S134" s="40">
        <v>0.0</v>
      </c>
      <c r="T134" s="40">
        <v>0.0</v>
      </c>
    </row>
    <row r="135" ht="15.75" customHeight="1">
      <c r="A135" s="16" t="s">
        <v>258</v>
      </c>
      <c r="F135" s="24"/>
      <c r="G135" s="19">
        <v>7.0</v>
      </c>
      <c r="H135" s="20">
        <v>5.0</v>
      </c>
      <c r="I135" s="20">
        <v>6.0</v>
      </c>
      <c r="J135" s="20">
        <v>1.0</v>
      </c>
      <c r="K135" s="20">
        <v>0.0</v>
      </c>
      <c r="L135" s="20">
        <v>0.0</v>
      </c>
      <c r="N135" s="23"/>
      <c r="O135" s="19">
        <v>7.0</v>
      </c>
      <c r="P135" s="40">
        <v>0.011904761904761904</v>
      </c>
      <c r="Q135" s="40">
        <v>0.05825242718446602</v>
      </c>
      <c r="R135" s="40">
        <v>0.5</v>
      </c>
      <c r="S135" s="40">
        <v>0.0</v>
      </c>
      <c r="T135" s="40">
        <v>0.0</v>
      </c>
    </row>
    <row r="136" ht="15.75" customHeight="1">
      <c r="A136" s="16" t="s">
        <v>259</v>
      </c>
      <c r="F136" s="24"/>
      <c r="G136" s="19">
        <v>8.0</v>
      </c>
      <c r="H136" s="20">
        <v>23.0</v>
      </c>
      <c r="I136" s="20">
        <v>6.0</v>
      </c>
      <c r="J136" s="20">
        <v>0.0</v>
      </c>
      <c r="K136" s="20">
        <v>1.0</v>
      </c>
      <c r="L136" s="20">
        <v>0.0</v>
      </c>
      <c r="N136" s="23"/>
      <c r="O136" s="19">
        <v>8.0</v>
      </c>
      <c r="P136" s="40">
        <v>0.05476190476190476</v>
      </c>
      <c r="Q136" s="40">
        <v>0.05825242718446602</v>
      </c>
      <c r="R136" s="40">
        <v>0.0</v>
      </c>
      <c r="S136" s="40">
        <v>0.125</v>
      </c>
      <c r="T136" s="40">
        <v>0.0</v>
      </c>
    </row>
    <row r="137" ht="15.75" customHeight="1">
      <c r="A137" s="16" t="s">
        <v>260</v>
      </c>
      <c r="F137" s="24"/>
      <c r="G137" s="19">
        <v>9.0</v>
      </c>
      <c r="H137" s="20">
        <v>35.0</v>
      </c>
      <c r="I137" s="20">
        <v>6.0</v>
      </c>
      <c r="J137" s="20">
        <v>0.0</v>
      </c>
      <c r="K137" s="20">
        <v>0.0</v>
      </c>
      <c r="L137" s="20">
        <v>0.0</v>
      </c>
      <c r="N137" s="23"/>
      <c r="O137" s="19">
        <v>9.0</v>
      </c>
      <c r="P137" s="40">
        <v>0.08333333333333333</v>
      </c>
      <c r="Q137" s="40">
        <v>0.05825242718446602</v>
      </c>
      <c r="R137" s="40">
        <v>0.0</v>
      </c>
      <c r="S137" s="40">
        <v>0.0</v>
      </c>
      <c r="T137" s="40">
        <v>0.0</v>
      </c>
    </row>
    <row r="138" ht="15.75" customHeight="1">
      <c r="A138" s="16" t="s">
        <v>261</v>
      </c>
      <c r="F138" s="24"/>
      <c r="G138" s="19">
        <v>10.0</v>
      </c>
      <c r="H138" s="20">
        <v>29.0</v>
      </c>
      <c r="I138" s="20">
        <v>8.0</v>
      </c>
      <c r="J138" s="20">
        <v>0.0</v>
      </c>
      <c r="K138" s="20">
        <v>0.0</v>
      </c>
      <c r="L138" s="20">
        <v>0.0</v>
      </c>
      <c r="N138" s="23"/>
      <c r="O138" s="19">
        <v>10.0</v>
      </c>
      <c r="P138" s="40">
        <v>0.06904761904761905</v>
      </c>
      <c r="Q138" s="40">
        <v>0.07766990291262135</v>
      </c>
      <c r="R138" s="40">
        <v>0.0</v>
      </c>
      <c r="S138" s="40">
        <v>0.0</v>
      </c>
      <c r="T138" s="40">
        <v>0.0</v>
      </c>
    </row>
    <row r="139" ht="15.75" customHeight="1">
      <c r="A139" s="16" t="s">
        <v>262</v>
      </c>
      <c r="F139" s="24"/>
      <c r="G139" s="19">
        <v>11.0</v>
      </c>
      <c r="H139" s="20">
        <v>23.0</v>
      </c>
      <c r="I139" s="20">
        <v>5.0</v>
      </c>
      <c r="J139" s="20">
        <v>0.0</v>
      </c>
      <c r="K139" s="20">
        <v>1.0</v>
      </c>
      <c r="L139" s="20">
        <v>1.0</v>
      </c>
      <c r="N139" s="23"/>
      <c r="O139" s="19">
        <v>11.0</v>
      </c>
      <c r="P139" s="40">
        <v>0.05476190476190476</v>
      </c>
      <c r="Q139" s="40">
        <v>0.04854368932038835</v>
      </c>
      <c r="R139" s="40">
        <v>0.0</v>
      </c>
      <c r="S139" s="40">
        <v>0.125</v>
      </c>
      <c r="T139" s="40">
        <v>0.14285714285714285</v>
      </c>
    </row>
    <row r="140" ht="15.75" customHeight="1">
      <c r="A140" s="16" t="s">
        <v>263</v>
      </c>
      <c r="F140" s="24"/>
      <c r="G140" s="19">
        <v>12.0</v>
      </c>
      <c r="H140" s="20">
        <v>25.0</v>
      </c>
      <c r="I140" s="20">
        <v>7.0</v>
      </c>
      <c r="J140" s="20">
        <v>0.0</v>
      </c>
      <c r="K140" s="20">
        <v>0.0</v>
      </c>
      <c r="L140" s="20">
        <v>1.0</v>
      </c>
      <c r="N140" s="23"/>
      <c r="O140" s="19">
        <v>12.0</v>
      </c>
      <c r="P140" s="40">
        <v>0.05952380952380952</v>
      </c>
      <c r="Q140" s="40">
        <v>0.06796116504854369</v>
      </c>
      <c r="R140" s="40">
        <v>0.0</v>
      </c>
      <c r="S140" s="40">
        <v>0.0</v>
      </c>
      <c r="T140" s="40">
        <v>0.14285714285714285</v>
      </c>
    </row>
    <row r="141" ht="15.75" customHeight="1">
      <c r="A141" s="16" t="s">
        <v>264</v>
      </c>
      <c r="F141" s="24"/>
      <c r="G141" s="19">
        <v>13.0</v>
      </c>
      <c r="H141" s="20">
        <v>30.0</v>
      </c>
      <c r="I141" s="20">
        <v>3.0</v>
      </c>
      <c r="J141" s="20">
        <v>1.0</v>
      </c>
      <c r="K141" s="20">
        <v>1.0</v>
      </c>
      <c r="L141" s="20">
        <v>0.0</v>
      </c>
      <c r="N141" s="23"/>
      <c r="O141" s="19">
        <v>13.0</v>
      </c>
      <c r="P141" s="40">
        <v>0.07142857142857142</v>
      </c>
      <c r="Q141" s="40">
        <v>0.02912621359223301</v>
      </c>
      <c r="R141" s="40">
        <v>0.5</v>
      </c>
      <c r="S141" s="40">
        <v>0.125</v>
      </c>
      <c r="T141" s="40">
        <v>0.0</v>
      </c>
    </row>
    <row r="142" ht="15.75" customHeight="1">
      <c r="A142" s="16" t="s">
        <v>265</v>
      </c>
      <c r="F142" s="24"/>
      <c r="G142" s="19">
        <v>14.0</v>
      </c>
      <c r="H142" s="20">
        <v>30.0</v>
      </c>
      <c r="I142" s="20">
        <v>5.0</v>
      </c>
      <c r="J142" s="20">
        <v>0.0</v>
      </c>
      <c r="K142" s="20">
        <v>2.0</v>
      </c>
      <c r="L142" s="20">
        <v>3.0</v>
      </c>
      <c r="N142" s="23"/>
      <c r="O142" s="19">
        <v>14.0</v>
      </c>
      <c r="P142" s="40">
        <v>0.07142857142857142</v>
      </c>
      <c r="Q142" s="40">
        <v>0.04854368932038835</v>
      </c>
      <c r="R142" s="40">
        <v>0.0</v>
      </c>
      <c r="S142" s="40">
        <v>0.25</v>
      </c>
      <c r="T142" s="40">
        <v>0.42857142857142855</v>
      </c>
    </row>
    <row r="143" ht="15.75" customHeight="1">
      <c r="A143" s="16" t="s">
        <v>266</v>
      </c>
      <c r="F143" s="24"/>
      <c r="G143" s="19">
        <v>15.0</v>
      </c>
      <c r="H143" s="20">
        <v>30.0</v>
      </c>
      <c r="I143" s="20">
        <v>10.0</v>
      </c>
      <c r="J143" s="20">
        <v>0.0</v>
      </c>
      <c r="K143" s="20">
        <v>0.0</v>
      </c>
      <c r="L143" s="20">
        <v>0.0</v>
      </c>
      <c r="N143" s="23"/>
      <c r="O143" s="19">
        <v>15.0</v>
      </c>
      <c r="P143" s="40">
        <v>0.07142857142857142</v>
      </c>
      <c r="Q143" s="40">
        <v>0.0970873786407767</v>
      </c>
      <c r="R143" s="40">
        <v>0.0</v>
      </c>
      <c r="S143" s="40">
        <v>0.0</v>
      </c>
      <c r="T143" s="40">
        <v>0.0</v>
      </c>
    </row>
    <row r="144" ht="15.75" customHeight="1">
      <c r="A144" s="16" t="s">
        <v>267</v>
      </c>
      <c r="F144" s="24"/>
      <c r="G144" s="19">
        <v>16.0</v>
      </c>
      <c r="H144" s="20">
        <v>24.0</v>
      </c>
      <c r="I144" s="20">
        <v>6.0</v>
      </c>
      <c r="J144" s="20">
        <v>0.0</v>
      </c>
      <c r="K144" s="20">
        <v>0.0</v>
      </c>
      <c r="L144" s="20">
        <v>2.0</v>
      </c>
      <c r="N144" s="23"/>
      <c r="O144" s="19">
        <v>16.0</v>
      </c>
      <c r="P144" s="40">
        <v>0.05714285714285714</v>
      </c>
      <c r="Q144" s="40">
        <v>0.05825242718446602</v>
      </c>
      <c r="R144" s="40">
        <v>0.0</v>
      </c>
      <c r="S144" s="40">
        <v>0.0</v>
      </c>
      <c r="T144" s="40">
        <v>0.2857142857142857</v>
      </c>
    </row>
    <row r="145" ht="15.75" customHeight="1">
      <c r="A145" s="16" t="s">
        <v>268</v>
      </c>
      <c r="F145" s="24"/>
      <c r="G145" s="19">
        <v>17.0</v>
      </c>
      <c r="H145" s="20">
        <v>28.0</v>
      </c>
      <c r="I145" s="20">
        <v>8.0</v>
      </c>
      <c r="J145" s="20">
        <v>0.0</v>
      </c>
      <c r="K145" s="20">
        <v>0.0</v>
      </c>
      <c r="L145" s="20">
        <v>0.0</v>
      </c>
      <c r="N145" s="23"/>
      <c r="O145" s="19">
        <v>17.0</v>
      </c>
      <c r="P145" s="40">
        <v>0.06666666666666667</v>
      </c>
      <c r="Q145" s="40">
        <v>0.07766990291262135</v>
      </c>
      <c r="R145" s="40">
        <v>0.0</v>
      </c>
      <c r="S145" s="40">
        <v>0.0</v>
      </c>
      <c r="T145" s="40">
        <v>0.0</v>
      </c>
    </row>
    <row r="146" ht="15.75" customHeight="1">
      <c r="A146" s="16" t="s">
        <v>269</v>
      </c>
      <c r="F146" s="24"/>
      <c r="G146" s="19">
        <v>18.0</v>
      </c>
      <c r="H146" s="20">
        <v>32.0</v>
      </c>
      <c r="I146" s="20">
        <v>6.0</v>
      </c>
      <c r="J146" s="20">
        <v>0.0</v>
      </c>
      <c r="K146" s="20">
        <v>0.0</v>
      </c>
      <c r="L146" s="20">
        <v>0.0</v>
      </c>
      <c r="N146" s="23"/>
      <c r="O146" s="19">
        <v>18.0</v>
      </c>
      <c r="P146" s="40">
        <v>0.0761904761904762</v>
      </c>
      <c r="Q146" s="40">
        <v>0.05825242718446602</v>
      </c>
      <c r="R146" s="40">
        <v>0.0</v>
      </c>
      <c r="S146" s="40">
        <v>0.0</v>
      </c>
      <c r="T146" s="40">
        <v>0.0</v>
      </c>
    </row>
    <row r="147" ht="15.75" customHeight="1">
      <c r="A147" s="16" t="s">
        <v>251</v>
      </c>
      <c r="F147" s="24"/>
      <c r="G147" s="19">
        <v>19.0</v>
      </c>
      <c r="H147" s="20">
        <v>16.0</v>
      </c>
      <c r="I147" s="20">
        <v>7.0</v>
      </c>
      <c r="J147" s="20">
        <v>0.0</v>
      </c>
      <c r="K147" s="20">
        <v>0.0</v>
      </c>
      <c r="L147" s="20">
        <v>0.0</v>
      </c>
      <c r="N147" s="23"/>
      <c r="O147" s="19">
        <v>19.0</v>
      </c>
      <c r="P147" s="40">
        <v>0.0380952380952381</v>
      </c>
      <c r="Q147" s="40">
        <v>0.06796116504854369</v>
      </c>
      <c r="R147" s="40">
        <v>0.0</v>
      </c>
      <c r="S147" s="40">
        <v>0.0</v>
      </c>
      <c r="T147" s="40">
        <v>0.0</v>
      </c>
    </row>
    <row r="148" ht="15.75" customHeight="1">
      <c r="A148" s="16" t="s">
        <v>270</v>
      </c>
      <c r="F148" s="24"/>
      <c r="G148" s="19">
        <v>20.0</v>
      </c>
      <c r="H148" s="20">
        <v>26.0</v>
      </c>
      <c r="I148" s="20">
        <v>4.0</v>
      </c>
      <c r="J148" s="20">
        <v>0.0</v>
      </c>
      <c r="K148" s="20">
        <v>0.0</v>
      </c>
      <c r="L148" s="20">
        <v>0.0</v>
      </c>
      <c r="N148" s="23"/>
      <c r="O148" s="19">
        <v>20.0</v>
      </c>
      <c r="P148" s="40">
        <v>0.06190476190476191</v>
      </c>
      <c r="Q148" s="40">
        <v>0.038834951456310676</v>
      </c>
      <c r="R148" s="40">
        <v>0.0</v>
      </c>
      <c r="S148" s="40">
        <v>0.0</v>
      </c>
      <c r="T148" s="40">
        <v>0.0</v>
      </c>
    </row>
    <row r="149" ht="15.75" customHeight="1">
      <c r="A149" s="16" t="s">
        <v>271</v>
      </c>
      <c r="F149" s="24"/>
      <c r="G149" s="19">
        <v>21.0</v>
      </c>
      <c r="H149" s="20">
        <v>21.0</v>
      </c>
      <c r="I149" s="20">
        <v>3.0</v>
      </c>
      <c r="J149" s="20">
        <v>0.0</v>
      </c>
      <c r="K149" s="20">
        <v>0.0</v>
      </c>
      <c r="L149" s="20">
        <v>0.0</v>
      </c>
      <c r="N149" s="23"/>
      <c r="O149" s="19">
        <v>21.0</v>
      </c>
      <c r="P149" s="40">
        <v>0.05</v>
      </c>
      <c r="Q149" s="40">
        <v>0.02912621359223301</v>
      </c>
      <c r="R149" s="40">
        <v>0.0</v>
      </c>
      <c r="S149" s="40">
        <v>0.0</v>
      </c>
      <c r="T149" s="40">
        <v>0.0</v>
      </c>
    </row>
    <row r="150" ht="15.75" customHeight="1">
      <c r="A150" s="16" t="s">
        <v>272</v>
      </c>
      <c r="F150" s="24"/>
      <c r="G150" s="19">
        <v>22.0</v>
      </c>
      <c r="H150" s="20">
        <v>12.0</v>
      </c>
      <c r="I150" s="20">
        <v>3.0</v>
      </c>
      <c r="J150" s="20">
        <v>0.0</v>
      </c>
      <c r="K150" s="20">
        <v>1.0</v>
      </c>
      <c r="L150" s="20">
        <v>0.0</v>
      </c>
      <c r="N150" s="23"/>
      <c r="O150" s="19">
        <v>22.0</v>
      </c>
      <c r="P150" s="40">
        <v>0.02857142857142857</v>
      </c>
      <c r="Q150" s="40">
        <v>0.02912621359223301</v>
      </c>
      <c r="R150" s="40">
        <v>0.0</v>
      </c>
      <c r="S150" s="40">
        <v>0.125</v>
      </c>
      <c r="T150" s="40">
        <v>0.0</v>
      </c>
    </row>
    <row r="151" ht="15.75" customHeight="1">
      <c r="F151" s="28"/>
      <c r="G151" s="19">
        <v>23.0</v>
      </c>
      <c r="H151" s="20">
        <v>6.0</v>
      </c>
      <c r="I151" s="20">
        <v>2.0</v>
      </c>
      <c r="J151" s="20">
        <v>0.0</v>
      </c>
      <c r="K151" s="20">
        <v>0.0</v>
      </c>
      <c r="L151" s="20">
        <v>0.0</v>
      </c>
      <c r="N151" s="27"/>
      <c r="O151" s="19">
        <v>23.0</v>
      </c>
      <c r="P151" s="40">
        <v>0.014285714285714285</v>
      </c>
      <c r="Q151" s="40">
        <v>0.019417475728155338</v>
      </c>
      <c r="R151" s="40">
        <v>0.0</v>
      </c>
      <c r="S151" s="40">
        <v>0.0</v>
      </c>
      <c r="T151" s="40">
        <v>0.0</v>
      </c>
    </row>
    <row r="152" ht="15.75" customHeight="1">
      <c r="A152" s="16" t="s">
        <v>273</v>
      </c>
      <c r="F152" s="108">
        <v>45200.0</v>
      </c>
      <c r="G152" s="19">
        <v>0.0</v>
      </c>
      <c r="H152" s="20">
        <v>8.0</v>
      </c>
      <c r="I152" s="20">
        <v>2.0</v>
      </c>
      <c r="J152" s="20">
        <v>1.0</v>
      </c>
      <c r="K152" s="20">
        <v>0.0</v>
      </c>
      <c r="L152" s="20">
        <v>0.0</v>
      </c>
      <c r="N152" s="29">
        <v>45200.0</v>
      </c>
      <c r="O152" s="19">
        <v>0.0</v>
      </c>
      <c r="P152" s="40">
        <v>0.022727272727272728</v>
      </c>
      <c r="Q152" s="40">
        <v>0.017094017094017096</v>
      </c>
      <c r="R152" s="40">
        <v>0.3333333333333333</v>
      </c>
      <c r="S152" s="40">
        <v>0.0</v>
      </c>
      <c r="T152" s="40">
        <v>0.0</v>
      </c>
    </row>
    <row r="153" ht="15.75" customHeight="1">
      <c r="A153" s="16" t="s">
        <v>274</v>
      </c>
      <c r="F153" s="24"/>
      <c r="G153" s="19">
        <v>1.0</v>
      </c>
      <c r="H153" s="20">
        <v>3.0</v>
      </c>
      <c r="I153" s="20">
        <v>0.0</v>
      </c>
      <c r="J153" s="20">
        <v>0.0</v>
      </c>
      <c r="K153" s="20">
        <v>0.0</v>
      </c>
      <c r="L153" s="20">
        <v>0.0</v>
      </c>
      <c r="N153" s="23"/>
      <c r="O153" s="19">
        <v>1.0</v>
      </c>
      <c r="P153" s="40">
        <v>0.008522727272727272</v>
      </c>
      <c r="Q153" s="40">
        <v>0.0</v>
      </c>
      <c r="R153" s="40">
        <v>0.0</v>
      </c>
      <c r="S153" s="40">
        <v>0.0</v>
      </c>
      <c r="T153" s="40">
        <v>0.0</v>
      </c>
    </row>
    <row r="154" ht="15.75" customHeight="1">
      <c r="A154" s="16" t="s">
        <v>94</v>
      </c>
      <c r="F154" s="24"/>
      <c r="G154" s="19">
        <v>2.0</v>
      </c>
      <c r="H154" s="16">
        <v>4.0</v>
      </c>
      <c r="I154" s="16">
        <v>0.0</v>
      </c>
      <c r="J154" s="16">
        <v>0.0</v>
      </c>
      <c r="K154" s="16">
        <v>0.0</v>
      </c>
      <c r="L154" s="16">
        <v>0.0</v>
      </c>
      <c r="N154" s="23"/>
      <c r="O154" s="19">
        <v>2.0</v>
      </c>
      <c r="P154" s="40">
        <v>0.011363636363636364</v>
      </c>
      <c r="Q154" s="40">
        <v>0.0</v>
      </c>
      <c r="R154" s="40">
        <v>0.0</v>
      </c>
      <c r="S154" s="40">
        <v>0.0</v>
      </c>
      <c r="T154" s="40">
        <v>0.0</v>
      </c>
    </row>
    <row r="155" ht="15.75" customHeight="1">
      <c r="A155" s="16" t="s">
        <v>275</v>
      </c>
      <c r="F155" s="24"/>
      <c r="G155" s="19">
        <v>3.0</v>
      </c>
      <c r="H155" s="20">
        <v>1.0</v>
      </c>
      <c r="I155" s="20">
        <v>0.0</v>
      </c>
      <c r="J155" s="20">
        <v>0.0</v>
      </c>
      <c r="K155" s="20">
        <v>0.0</v>
      </c>
      <c r="L155" s="20">
        <v>0.0</v>
      </c>
      <c r="N155" s="23"/>
      <c r="O155" s="19">
        <v>3.0</v>
      </c>
      <c r="P155" s="40">
        <v>0.002840909090909091</v>
      </c>
      <c r="Q155" s="40">
        <v>0.0</v>
      </c>
      <c r="R155" s="40">
        <v>0.0</v>
      </c>
      <c r="S155" s="40">
        <v>0.0</v>
      </c>
      <c r="T155" s="40">
        <v>0.0</v>
      </c>
    </row>
    <row r="156" ht="15.75" customHeight="1">
      <c r="A156" s="16" t="s">
        <v>276</v>
      </c>
      <c r="F156" s="24"/>
      <c r="G156" s="19">
        <v>4.0</v>
      </c>
      <c r="H156" s="20">
        <v>0.0</v>
      </c>
      <c r="I156" s="20">
        <v>0.0</v>
      </c>
      <c r="J156" s="20">
        <v>0.0</v>
      </c>
      <c r="K156" s="20">
        <v>0.0</v>
      </c>
      <c r="L156" s="20">
        <v>0.0</v>
      </c>
      <c r="N156" s="23"/>
      <c r="O156" s="19">
        <v>4.0</v>
      </c>
      <c r="P156" s="40">
        <v>0.0</v>
      </c>
      <c r="Q156" s="40">
        <v>0.0</v>
      </c>
      <c r="R156" s="40">
        <v>0.0</v>
      </c>
      <c r="S156" s="40">
        <v>0.0</v>
      </c>
      <c r="T156" s="40">
        <v>0.0</v>
      </c>
    </row>
    <row r="157" ht="15.75" customHeight="1">
      <c r="A157" s="16" t="s">
        <v>277</v>
      </c>
      <c r="F157" s="24"/>
      <c r="G157" s="19">
        <v>5.0</v>
      </c>
      <c r="H157" s="20">
        <v>1.0</v>
      </c>
      <c r="I157" s="20">
        <v>3.0</v>
      </c>
      <c r="J157" s="20">
        <v>0.0</v>
      </c>
      <c r="K157" s="20">
        <v>0.0</v>
      </c>
      <c r="L157" s="20">
        <v>1.0</v>
      </c>
      <c r="N157" s="23"/>
      <c r="O157" s="19">
        <v>5.0</v>
      </c>
      <c r="P157" s="40">
        <v>0.002840909090909091</v>
      </c>
      <c r="Q157" s="40">
        <v>0.02564102564102564</v>
      </c>
      <c r="R157" s="40">
        <v>0.0</v>
      </c>
      <c r="S157" s="40">
        <v>0.0</v>
      </c>
      <c r="T157" s="40">
        <v>0.3333333333333333</v>
      </c>
    </row>
    <row r="158" ht="15.75" customHeight="1">
      <c r="A158" s="16" t="s">
        <v>278</v>
      </c>
      <c r="F158" s="24"/>
      <c r="G158" s="19">
        <v>6.0</v>
      </c>
      <c r="H158" s="20">
        <v>1.0</v>
      </c>
      <c r="I158" s="20">
        <v>5.0</v>
      </c>
      <c r="J158" s="20">
        <v>0.0</v>
      </c>
      <c r="K158" s="20">
        <v>0.0</v>
      </c>
      <c r="L158" s="20">
        <v>0.0</v>
      </c>
      <c r="N158" s="23"/>
      <c r="O158" s="19">
        <v>6.0</v>
      </c>
      <c r="P158" s="40">
        <v>0.002840909090909091</v>
      </c>
      <c r="Q158" s="40">
        <v>0.042735042735042736</v>
      </c>
      <c r="R158" s="40">
        <v>0.0</v>
      </c>
      <c r="S158" s="40">
        <v>0.0</v>
      </c>
      <c r="T158" s="40">
        <v>0.0</v>
      </c>
    </row>
    <row r="159" ht="15.75" customHeight="1">
      <c r="A159" s="16" t="s">
        <v>86</v>
      </c>
      <c r="F159" s="24"/>
      <c r="G159" s="19">
        <v>7.0</v>
      </c>
      <c r="H159" s="20">
        <v>11.0</v>
      </c>
      <c r="I159" s="20">
        <v>6.0</v>
      </c>
      <c r="J159" s="20">
        <v>0.0</v>
      </c>
      <c r="K159" s="20">
        <v>0.0</v>
      </c>
      <c r="L159" s="20">
        <v>0.0</v>
      </c>
      <c r="N159" s="23"/>
      <c r="O159" s="19">
        <v>7.0</v>
      </c>
      <c r="P159" s="40">
        <v>0.03125</v>
      </c>
      <c r="Q159" s="40">
        <v>0.05128205128205128</v>
      </c>
      <c r="R159" s="40">
        <v>0.0</v>
      </c>
      <c r="S159" s="40">
        <v>0.0</v>
      </c>
      <c r="T159" s="40">
        <v>0.0</v>
      </c>
    </row>
    <row r="160" ht="15.75" customHeight="1">
      <c r="A160" s="16" t="s">
        <v>279</v>
      </c>
      <c r="F160" s="24"/>
      <c r="G160" s="19">
        <v>8.0</v>
      </c>
      <c r="H160" s="20">
        <v>16.0</v>
      </c>
      <c r="I160" s="20">
        <v>6.0</v>
      </c>
      <c r="J160" s="20">
        <v>1.0</v>
      </c>
      <c r="K160" s="20">
        <v>0.0</v>
      </c>
      <c r="L160" s="20">
        <v>1.0</v>
      </c>
      <c r="N160" s="23"/>
      <c r="O160" s="19">
        <v>8.0</v>
      </c>
      <c r="P160" s="40">
        <v>0.045454545454545456</v>
      </c>
      <c r="Q160" s="40">
        <v>0.05128205128205128</v>
      </c>
      <c r="R160" s="40">
        <v>0.3333333333333333</v>
      </c>
      <c r="S160" s="40">
        <v>0.0</v>
      </c>
      <c r="T160" s="40">
        <v>0.3333333333333333</v>
      </c>
    </row>
    <row r="161" ht="15.75" customHeight="1">
      <c r="A161" s="16" t="s">
        <v>280</v>
      </c>
      <c r="F161" s="24"/>
      <c r="G161" s="19">
        <v>9.0</v>
      </c>
      <c r="H161" s="20">
        <v>18.0</v>
      </c>
      <c r="I161" s="20">
        <v>9.0</v>
      </c>
      <c r="J161" s="20">
        <v>0.0</v>
      </c>
      <c r="K161" s="20">
        <v>0.0</v>
      </c>
      <c r="L161" s="20">
        <v>1.0</v>
      </c>
      <c r="N161" s="23"/>
      <c r="O161" s="19">
        <v>9.0</v>
      </c>
      <c r="P161" s="40">
        <v>0.05113636363636364</v>
      </c>
      <c r="Q161" s="40">
        <v>0.07692307692307693</v>
      </c>
      <c r="R161" s="40">
        <v>0.0</v>
      </c>
      <c r="S161" s="40">
        <v>0.0</v>
      </c>
      <c r="T161" s="40">
        <v>0.3333333333333333</v>
      </c>
    </row>
    <row r="162" ht="15.75" customHeight="1">
      <c r="A162" s="16" t="s">
        <v>281</v>
      </c>
      <c r="F162" s="24"/>
      <c r="G162" s="19">
        <v>10.0</v>
      </c>
      <c r="H162" s="20">
        <v>28.0</v>
      </c>
      <c r="I162" s="20">
        <v>6.0</v>
      </c>
      <c r="J162" s="20">
        <v>0.0</v>
      </c>
      <c r="K162" s="20">
        <v>1.0</v>
      </c>
      <c r="L162" s="20">
        <v>0.0</v>
      </c>
      <c r="N162" s="23"/>
      <c r="O162" s="19">
        <v>10.0</v>
      </c>
      <c r="P162" s="40">
        <v>0.07954545454545454</v>
      </c>
      <c r="Q162" s="40">
        <v>0.05128205128205128</v>
      </c>
      <c r="R162" s="40">
        <v>0.0</v>
      </c>
      <c r="S162" s="40">
        <v>0.3333333333333333</v>
      </c>
      <c r="T162" s="40">
        <v>0.0</v>
      </c>
    </row>
    <row r="163" ht="15.75" customHeight="1">
      <c r="A163" s="16" t="s">
        <v>282</v>
      </c>
      <c r="F163" s="24"/>
      <c r="G163" s="19">
        <v>11.0</v>
      </c>
      <c r="H163" s="20">
        <v>20.0</v>
      </c>
      <c r="I163" s="20">
        <v>7.0</v>
      </c>
      <c r="J163" s="20">
        <v>0.0</v>
      </c>
      <c r="K163" s="20">
        <v>0.0</v>
      </c>
      <c r="L163" s="20">
        <v>0.0</v>
      </c>
      <c r="N163" s="23"/>
      <c r="O163" s="19">
        <v>11.0</v>
      </c>
      <c r="P163" s="40">
        <v>0.056818181818181816</v>
      </c>
      <c r="Q163" s="40">
        <v>0.05982905982905983</v>
      </c>
      <c r="R163" s="40">
        <v>0.0</v>
      </c>
      <c r="S163" s="40">
        <v>0.0</v>
      </c>
      <c r="T163" s="40">
        <v>0.0</v>
      </c>
    </row>
    <row r="164" ht="15.75" customHeight="1">
      <c r="A164" s="16" t="s">
        <v>283</v>
      </c>
      <c r="F164" s="24"/>
      <c r="G164" s="19">
        <v>12.0</v>
      </c>
      <c r="H164" s="20">
        <v>28.0</v>
      </c>
      <c r="I164" s="20">
        <v>9.0</v>
      </c>
      <c r="J164" s="20">
        <v>0.0</v>
      </c>
      <c r="K164" s="20">
        <v>0.0</v>
      </c>
      <c r="L164" s="20">
        <v>0.0</v>
      </c>
      <c r="N164" s="23"/>
      <c r="O164" s="19">
        <v>12.0</v>
      </c>
      <c r="P164" s="40">
        <v>0.07954545454545454</v>
      </c>
      <c r="Q164" s="40">
        <v>0.07692307692307693</v>
      </c>
      <c r="R164" s="40">
        <v>0.0</v>
      </c>
      <c r="S164" s="40">
        <v>0.0</v>
      </c>
      <c r="T164" s="40">
        <v>0.0</v>
      </c>
    </row>
    <row r="165" ht="15.75" customHeight="1">
      <c r="A165" s="16" t="s">
        <v>284</v>
      </c>
      <c r="F165" s="24"/>
      <c r="G165" s="19">
        <v>13.0</v>
      </c>
      <c r="H165" s="20">
        <v>26.0</v>
      </c>
      <c r="I165" s="20">
        <v>12.0</v>
      </c>
      <c r="J165" s="20">
        <v>0.0</v>
      </c>
      <c r="K165" s="20">
        <v>0.0</v>
      </c>
      <c r="L165" s="20">
        <v>0.0</v>
      </c>
      <c r="N165" s="23"/>
      <c r="O165" s="19">
        <v>13.0</v>
      </c>
      <c r="P165" s="40">
        <v>0.07386363636363637</v>
      </c>
      <c r="Q165" s="40">
        <v>0.10256410256410256</v>
      </c>
      <c r="R165" s="40">
        <v>0.0</v>
      </c>
      <c r="S165" s="40">
        <v>0.0</v>
      </c>
      <c r="T165" s="40">
        <v>0.0</v>
      </c>
    </row>
    <row r="166" ht="15.75" customHeight="1">
      <c r="A166" s="16" t="s">
        <v>285</v>
      </c>
      <c r="F166" s="24"/>
      <c r="G166" s="19">
        <v>14.0</v>
      </c>
      <c r="H166" s="20">
        <v>40.0</v>
      </c>
      <c r="I166" s="20">
        <v>6.0</v>
      </c>
      <c r="J166" s="20">
        <v>0.0</v>
      </c>
      <c r="K166" s="20">
        <v>0.0</v>
      </c>
      <c r="L166" s="20">
        <v>0.0</v>
      </c>
      <c r="N166" s="23"/>
      <c r="O166" s="19">
        <v>14.0</v>
      </c>
      <c r="P166" s="40">
        <v>0.11363636363636363</v>
      </c>
      <c r="Q166" s="40">
        <v>0.05128205128205128</v>
      </c>
      <c r="R166" s="40">
        <v>0.0</v>
      </c>
      <c r="S166" s="40">
        <v>0.0</v>
      </c>
      <c r="T166" s="40">
        <v>0.0</v>
      </c>
    </row>
    <row r="167" ht="15.75" customHeight="1">
      <c r="A167" s="16" t="s">
        <v>286</v>
      </c>
      <c r="F167" s="24"/>
      <c r="G167" s="19">
        <v>15.0</v>
      </c>
      <c r="H167" s="20">
        <v>26.0</v>
      </c>
      <c r="I167" s="20">
        <v>6.0</v>
      </c>
      <c r="J167" s="20">
        <v>0.0</v>
      </c>
      <c r="K167" s="20">
        <v>1.0</v>
      </c>
      <c r="L167" s="20">
        <v>0.0</v>
      </c>
      <c r="N167" s="23"/>
      <c r="O167" s="19">
        <v>15.0</v>
      </c>
      <c r="P167" s="40">
        <v>0.07386363636363637</v>
      </c>
      <c r="Q167" s="40">
        <v>0.05128205128205128</v>
      </c>
      <c r="R167" s="40">
        <v>0.0</v>
      </c>
      <c r="S167" s="40">
        <v>0.3333333333333333</v>
      </c>
      <c r="T167" s="40">
        <v>0.0</v>
      </c>
    </row>
    <row r="168" ht="15.75" customHeight="1">
      <c r="A168" s="16" t="s">
        <v>287</v>
      </c>
      <c r="F168" s="24"/>
      <c r="G168" s="19">
        <v>16.0</v>
      </c>
      <c r="H168" s="20">
        <v>32.0</v>
      </c>
      <c r="I168" s="20">
        <v>8.0</v>
      </c>
      <c r="J168" s="20">
        <v>0.0</v>
      </c>
      <c r="K168" s="20">
        <v>0.0</v>
      </c>
      <c r="L168" s="20">
        <v>0.0</v>
      </c>
      <c r="N168" s="23"/>
      <c r="O168" s="19">
        <v>16.0</v>
      </c>
      <c r="P168" s="40">
        <v>0.09090909090909091</v>
      </c>
      <c r="Q168" s="40">
        <v>0.06837606837606838</v>
      </c>
      <c r="R168" s="40">
        <v>0.0</v>
      </c>
      <c r="S168" s="40">
        <v>0.0</v>
      </c>
      <c r="T168" s="40">
        <v>0.0</v>
      </c>
    </row>
    <row r="169" ht="15.75" customHeight="1">
      <c r="A169" s="16" t="s">
        <v>131</v>
      </c>
      <c r="F169" s="24"/>
      <c r="G169" s="19">
        <v>17.0</v>
      </c>
      <c r="H169" s="20">
        <v>23.0</v>
      </c>
      <c r="I169" s="20">
        <v>4.0</v>
      </c>
      <c r="J169" s="20">
        <v>0.0</v>
      </c>
      <c r="K169" s="20">
        <v>0.0</v>
      </c>
      <c r="L169" s="20">
        <v>0.0</v>
      </c>
      <c r="N169" s="23"/>
      <c r="O169" s="19">
        <v>17.0</v>
      </c>
      <c r="P169" s="40">
        <v>0.06534090909090909</v>
      </c>
      <c r="Q169" s="40">
        <v>0.03418803418803419</v>
      </c>
      <c r="R169" s="40">
        <v>0.0</v>
      </c>
      <c r="S169" s="40">
        <v>0.0</v>
      </c>
      <c r="T169" s="40">
        <v>0.0</v>
      </c>
    </row>
    <row r="170" ht="15.75" customHeight="1">
      <c r="A170" s="16" t="s">
        <v>288</v>
      </c>
      <c r="F170" s="24"/>
      <c r="G170" s="19">
        <v>18.0</v>
      </c>
      <c r="H170" s="20">
        <v>17.0</v>
      </c>
      <c r="I170" s="20">
        <v>8.0</v>
      </c>
      <c r="J170" s="20">
        <v>1.0</v>
      </c>
      <c r="K170" s="20">
        <v>0.0</v>
      </c>
      <c r="L170" s="20">
        <v>0.0</v>
      </c>
      <c r="N170" s="23"/>
      <c r="O170" s="19">
        <v>18.0</v>
      </c>
      <c r="P170" s="40">
        <v>0.048295454545454544</v>
      </c>
      <c r="Q170" s="40">
        <v>0.06837606837606838</v>
      </c>
      <c r="R170" s="40">
        <v>0.3333333333333333</v>
      </c>
      <c r="S170" s="40">
        <v>0.0</v>
      </c>
      <c r="T170" s="40">
        <v>0.0</v>
      </c>
    </row>
    <row r="171" ht="15.75" customHeight="1">
      <c r="A171" s="16" t="s">
        <v>289</v>
      </c>
      <c r="F171" s="24"/>
      <c r="G171" s="19">
        <v>19.0</v>
      </c>
      <c r="H171" s="20">
        <v>19.0</v>
      </c>
      <c r="I171" s="20">
        <v>6.0</v>
      </c>
      <c r="J171" s="20">
        <v>0.0</v>
      </c>
      <c r="K171" s="20">
        <v>0.0</v>
      </c>
      <c r="L171" s="20">
        <v>0.0</v>
      </c>
      <c r="N171" s="23"/>
      <c r="O171" s="19">
        <v>19.0</v>
      </c>
      <c r="P171" s="40">
        <v>0.05397727272727273</v>
      </c>
      <c r="Q171" s="40">
        <v>0.05128205128205128</v>
      </c>
      <c r="R171" s="40">
        <v>0.0</v>
      </c>
      <c r="S171" s="40">
        <v>0.0</v>
      </c>
      <c r="T171" s="40">
        <v>0.0</v>
      </c>
    </row>
    <row r="172" ht="15.75" customHeight="1">
      <c r="A172" s="16" t="s">
        <v>239</v>
      </c>
      <c r="F172" s="24"/>
      <c r="G172" s="19">
        <v>20.0</v>
      </c>
      <c r="H172" s="20">
        <v>11.0</v>
      </c>
      <c r="I172" s="20">
        <v>8.0</v>
      </c>
      <c r="J172" s="20">
        <v>0.0</v>
      </c>
      <c r="K172" s="20">
        <v>0.0</v>
      </c>
      <c r="L172" s="20">
        <v>0.0</v>
      </c>
      <c r="N172" s="23"/>
      <c r="O172" s="19">
        <v>20.0</v>
      </c>
      <c r="P172" s="40">
        <v>0.03125</v>
      </c>
      <c r="Q172" s="40">
        <v>0.06837606837606838</v>
      </c>
      <c r="R172" s="40">
        <v>0.0</v>
      </c>
      <c r="S172" s="40">
        <v>0.0</v>
      </c>
      <c r="T172" s="40">
        <v>0.0</v>
      </c>
    </row>
    <row r="173" ht="15.75" customHeight="1">
      <c r="A173" s="16" t="s">
        <v>290</v>
      </c>
      <c r="F173" s="24"/>
      <c r="G173" s="19">
        <v>21.0</v>
      </c>
      <c r="H173" s="20">
        <v>12.0</v>
      </c>
      <c r="I173" s="20">
        <v>4.0</v>
      </c>
      <c r="J173" s="20">
        <v>0.0</v>
      </c>
      <c r="K173" s="20">
        <v>0.0</v>
      </c>
      <c r="L173" s="20">
        <v>0.0</v>
      </c>
      <c r="N173" s="23"/>
      <c r="O173" s="19">
        <v>21.0</v>
      </c>
      <c r="P173" s="40">
        <v>0.03409090909090909</v>
      </c>
      <c r="Q173" s="40">
        <v>0.03418803418803419</v>
      </c>
      <c r="R173" s="40">
        <v>0.0</v>
      </c>
      <c r="S173" s="40">
        <v>0.0</v>
      </c>
      <c r="T173" s="40">
        <v>0.0</v>
      </c>
    </row>
    <row r="174" ht="15.75" customHeight="1">
      <c r="A174" s="16" t="s">
        <v>291</v>
      </c>
      <c r="F174" s="24"/>
      <c r="G174" s="19">
        <v>22.0</v>
      </c>
      <c r="H174" s="20">
        <v>1.0</v>
      </c>
      <c r="I174" s="20">
        <v>2.0</v>
      </c>
      <c r="J174" s="20">
        <v>0.0</v>
      </c>
      <c r="K174" s="20">
        <v>1.0</v>
      </c>
      <c r="L174" s="20">
        <v>0.0</v>
      </c>
      <c r="N174" s="23"/>
      <c r="O174" s="19">
        <v>22.0</v>
      </c>
      <c r="P174" s="40">
        <v>0.002840909090909091</v>
      </c>
      <c r="Q174" s="40">
        <v>0.017094017094017096</v>
      </c>
      <c r="R174" s="40">
        <v>0.0</v>
      </c>
      <c r="S174" s="40">
        <v>0.3333333333333333</v>
      </c>
      <c r="T174" s="40">
        <v>0.0</v>
      </c>
    </row>
    <row r="175" ht="15.75" customHeight="1">
      <c r="F175" s="28"/>
      <c r="G175" s="71">
        <v>23.0</v>
      </c>
      <c r="H175" s="20">
        <v>6.0</v>
      </c>
      <c r="I175" s="20">
        <v>0.0</v>
      </c>
      <c r="J175" s="20">
        <v>0.0</v>
      </c>
      <c r="K175" s="20">
        <v>0.0</v>
      </c>
      <c r="L175" s="20">
        <v>0.0</v>
      </c>
      <c r="N175" s="27"/>
      <c r="O175" s="19">
        <v>23.0</v>
      </c>
      <c r="P175" s="40">
        <v>0.017045454545454544</v>
      </c>
      <c r="Q175" s="40">
        <v>0.0</v>
      </c>
      <c r="R175" s="40">
        <v>0.0</v>
      </c>
      <c r="S175" s="40">
        <v>0.0</v>
      </c>
      <c r="T175" s="40">
        <v>0.0</v>
      </c>
    </row>
    <row r="176" ht="15.75" customHeight="1">
      <c r="G176" s="16"/>
      <c r="H176" s="17">
        <v>31.0</v>
      </c>
      <c r="I176" s="17">
        <v>32.0</v>
      </c>
      <c r="J176" s="17">
        <v>41.0</v>
      </c>
      <c r="K176" s="17">
        <v>42.0</v>
      </c>
      <c r="L176" s="17">
        <v>5.0</v>
      </c>
      <c r="O176" s="16"/>
      <c r="P176" s="17">
        <v>31.0</v>
      </c>
      <c r="Q176" s="17">
        <v>32.0</v>
      </c>
      <c r="R176" s="17">
        <v>41.0</v>
      </c>
      <c r="S176" s="17">
        <v>42.0</v>
      </c>
      <c r="T176" s="17">
        <v>5.0</v>
      </c>
    </row>
    <row r="177" ht="15.75" customHeight="1">
      <c r="A177" s="16" t="s">
        <v>292</v>
      </c>
      <c r="F177" s="108">
        <v>45201.0</v>
      </c>
      <c r="G177" s="19">
        <v>0.0</v>
      </c>
      <c r="H177" s="20">
        <v>3.0</v>
      </c>
      <c r="I177" s="20">
        <v>1.0</v>
      </c>
      <c r="J177" s="20">
        <v>0.0</v>
      </c>
      <c r="K177" s="20">
        <v>0.0</v>
      </c>
      <c r="L177" s="20">
        <v>0.0</v>
      </c>
      <c r="N177" s="29">
        <v>45201.0</v>
      </c>
      <c r="O177" s="19">
        <v>0.0</v>
      </c>
      <c r="P177" s="40">
        <v>0.011406844106463879</v>
      </c>
      <c r="Q177" s="40">
        <v>0.010101010101010102</v>
      </c>
      <c r="R177" s="40">
        <v>0.0</v>
      </c>
      <c r="S177" s="40">
        <v>0.0</v>
      </c>
      <c r="T177" s="40">
        <v>0.0</v>
      </c>
    </row>
    <row r="178" ht="15.75" customHeight="1">
      <c r="A178" s="16" t="s">
        <v>184</v>
      </c>
      <c r="F178" s="24"/>
      <c r="G178" s="19">
        <v>1.0</v>
      </c>
      <c r="H178" s="20">
        <v>3.0</v>
      </c>
      <c r="I178" s="20">
        <v>0.0</v>
      </c>
      <c r="J178" s="20">
        <v>0.0</v>
      </c>
      <c r="K178" s="20">
        <v>0.0</v>
      </c>
      <c r="L178" s="20">
        <v>0.0</v>
      </c>
      <c r="N178" s="23"/>
      <c r="O178" s="19">
        <v>1.0</v>
      </c>
      <c r="P178" s="40">
        <v>0.011406844106463879</v>
      </c>
      <c r="Q178" s="40">
        <v>0.0</v>
      </c>
      <c r="R178" s="40">
        <v>0.0</v>
      </c>
      <c r="S178" s="40">
        <v>0.0</v>
      </c>
      <c r="T178" s="40">
        <v>0.0</v>
      </c>
    </row>
    <row r="179" ht="15.75" customHeight="1">
      <c r="A179" s="16" t="s">
        <v>175</v>
      </c>
      <c r="F179" s="24"/>
      <c r="G179" s="19">
        <v>2.0</v>
      </c>
      <c r="H179" s="16">
        <v>0.0</v>
      </c>
      <c r="I179" s="16">
        <v>0.0</v>
      </c>
      <c r="J179" s="16">
        <v>0.0</v>
      </c>
      <c r="K179" s="16">
        <v>0.0</v>
      </c>
      <c r="L179" s="16">
        <v>0.0</v>
      </c>
      <c r="N179" s="23"/>
      <c r="O179" s="19">
        <v>2.0</v>
      </c>
      <c r="P179" s="40">
        <v>0.0</v>
      </c>
      <c r="Q179" s="40">
        <v>0.0</v>
      </c>
      <c r="R179" s="40">
        <v>0.0</v>
      </c>
      <c r="S179" s="40">
        <v>0.0</v>
      </c>
      <c r="T179" s="40">
        <v>0.0</v>
      </c>
    </row>
    <row r="180" ht="15.75" customHeight="1">
      <c r="A180" s="16" t="s">
        <v>175</v>
      </c>
      <c r="F180" s="24"/>
      <c r="G180" s="19">
        <v>3.0</v>
      </c>
      <c r="H180" s="20">
        <v>1.0</v>
      </c>
      <c r="I180" s="20">
        <v>0.0</v>
      </c>
      <c r="J180" s="20">
        <v>0.0</v>
      </c>
      <c r="K180" s="20">
        <v>0.0</v>
      </c>
      <c r="L180" s="20">
        <v>0.0</v>
      </c>
      <c r="N180" s="23"/>
      <c r="O180" s="19">
        <v>3.0</v>
      </c>
      <c r="P180" s="40">
        <v>0.0038022813688212928</v>
      </c>
      <c r="Q180" s="40">
        <v>0.0</v>
      </c>
      <c r="R180" s="40">
        <v>0.0</v>
      </c>
      <c r="S180" s="40">
        <v>0.0</v>
      </c>
      <c r="T180" s="40">
        <v>0.0</v>
      </c>
    </row>
    <row r="181" ht="15.75" customHeight="1">
      <c r="A181" s="16" t="s">
        <v>293</v>
      </c>
      <c r="F181" s="24"/>
      <c r="G181" s="19">
        <v>4.0</v>
      </c>
      <c r="H181" s="20">
        <v>1.0</v>
      </c>
      <c r="I181" s="20">
        <v>0.0</v>
      </c>
      <c r="J181" s="20">
        <v>0.0</v>
      </c>
      <c r="K181" s="20">
        <v>1.0</v>
      </c>
      <c r="L181" s="20">
        <v>0.0</v>
      </c>
      <c r="N181" s="23"/>
      <c r="O181" s="19">
        <v>4.0</v>
      </c>
      <c r="P181" s="40">
        <v>0.0038022813688212928</v>
      </c>
      <c r="Q181" s="40">
        <v>0.0</v>
      </c>
      <c r="R181" s="40">
        <v>0.0</v>
      </c>
      <c r="S181" s="40">
        <v>0.125</v>
      </c>
      <c r="T181" s="40">
        <v>0.0</v>
      </c>
    </row>
    <row r="182" ht="15.75" customHeight="1">
      <c r="A182" s="16" t="s">
        <v>183</v>
      </c>
      <c r="F182" s="24"/>
      <c r="G182" s="19">
        <v>5.0</v>
      </c>
      <c r="H182" s="20">
        <v>1.0</v>
      </c>
      <c r="I182" s="20">
        <v>1.0</v>
      </c>
      <c r="J182" s="20">
        <v>0.0</v>
      </c>
      <c r="K182" s="20">
        <v>0.0</v>
      </c>
      <c r="L182" s="20">
        <v>0.0</v>
      </c>
      <c r="N182" s="23"/>
      <c r="O182" s="19">
        <v>5.0</v>
      </c>
      <c r="P182" s="40">
        <v>0.0038022813688212928</v>
      </c>
      <c r="Q182" s="40">
        <v>0.010101010101010102</v>
      </c>
      <c r="R182" s="40">
        <v>0.0</v>
      </c>
      <c r="S182" s="40">
        <v>0.0</v>
      </c>
      <c r="T182" s="40">
        <v>0.0</v>
      </c>
    </row>
    <row r="183" ht="15.75" customHeight="1">
      <c r="A183" s="16" t="s">
        <v>294</v>
      </c>
      <c r="F183" s="24"/>
      <c r="G183" s="19">
        <v>6.0</v>
      </c>
      <c r="H183" s="20">
        <v>10.0</v>
      </c>
      <c r="I183" s="20">
        <v>0.0</v>
      </c>
      <c r="J183" s="20">
        <v>0.0</v>
      </c>
      <c r="K183" s="20">
        <v>0.0</v>
      </c>
      <c r="L183" s="20">
        <v>1.0</v>
      </c>
      <c r="N183" s="23"/>
      <c r="O183" s="19">
        <v>6.0</v>
      </c>
      <c r="P183" s="40">
        <v>0.03802281368821293</v>
      </c>
      <c r="Q183" s="40">
        <v>0.0</v>
      </c>
      <c r="R183" s="40">
        <v>0.0</v>
      </c>
      <c r="S183" s="40">
        <v>0.0</v>
      </c>
      <c r="T183" s="40">
        <v>0.045454545454545456</v>
      </c>
    </row>
    <row r="184" ht="15.75" customHeight="1">
      <c r="A184" s="16" t="s">
        <v>295</v>
      </c>
      <c r="F184" s="24"/>
      <c r="G184" s="19">
        <v>7.0</v>
      </c>
      <c r="H184" s="20">
        <v>26.0</v>
      </c>
      <c r="I184" s="20">
        <v>4.0</v>
      </c>
      <c r="J184" s="20">
        <v>1.0</v>
      </c>
      <c r="K184" s="20">
        <v>2.0</v>
      </c>
      <c r="L184" s="20">
        <v>0.0</v>
      </c>
      <c r="N184" s="23"/>
      <c r="O184" s="19">
        <v>7.0</v>
      </c>
      <c r="P184" s="40">
        <v>0.09885931558935361</v>
      </c>
      <c r="Q184" s="40">
        <v>0.04040404040404041</v>
      </c>
      <c r="R184" s="40">
        <v>0.5</v>
      </c>
      <c r="S184" s="40">
        <v>0.25</v>
      </c>
      <c r="T184" s="40">
        <v>0.0</v>
      </c>
    </row>
    <row r="185" ht="15.75" customHeight="1">
      <c r="A185" s="16" t="s">
        <v>296</v>
      </c>
      <c r="F185" s="24"/>
      <c r="G185" s="19">
        <v>8.0</v>
      </c>
      <c r="H185" s="20">
        <v>20.0</v>
      </c>
      <c r="I185" s="20">
        <v>9.0</v>
      </c>
      <c r="J185" s="20">
        <v>0.0</v>
      </c>
      <c r="K185" s="20">
        <v>0.0</v>
      </c>
      <c r="L185" s="20">
        <v>4.0</v>
      </c>
      <c r="N185" s="23"/>
      <c r="O185" s="19">
        <v>8.0</v>
      </c>
      <c r="P185" s="40">
        <v>0.07604562737642585</v>
      </c>
      <c r="Q185" s="40">
        <v>0.09090909090909091</v>
      </c>
      <c r="R185" s="40">
        <v>0.0</v>
      </c>
      <c r="S185" s="40">
        <v>0.0</v>
      </c>
      <c r="T185" s="40">
        <v>0.18181818181818182</v>
      </c>
    </row>
    <row r="186" ht="15.75" customHeight="1">
      <c r="A186" s="16" t="s">
        <v>297</v>
      </c>
      <c r="F186" s="24"/>
      <c r="G186" s="19">
        <v>9.0</v>
      </c>
      <c r="H186" s="20">
        <v>15.0</v>
      </c>
      <c r="I186" s="20">
        <v>3.0</v>
      </c>
      <c r="J186" s="20">
        <v>0.0</v>
      </c>
      <c r="K186" s="20">
        <v>0.0</v>
      </c>
      <c r="L186" s="20">
        <v>2.0</v>
      </c>
      <c r="N186" s="23"/>
      <c r="O186" s="19">
        <v>9.0</v>
      </c>
      <c r="P186" s="40">
        <v>0.057034220532319393</v>
      </c>
      <c r="Q186" s="40">
        <v>0.030303030303030304</v>
      </c>
      <c r="R186" s="40">
        <v>0.0</v>
      </c>
      <c r="S186" s="40">
        <v>0.0</v>
      </c>
      <c r="T186" s="40">
        <v>0.09090909090909091</v>
      </c>
    </row>
    <row r="187" ht="15.75" customHeight="1">
      <c r="A187" s="16" t="s">
        <v>298</v>
      </c>
      <c r="F187" s="24"/>
      <c r="G187" s="19">
        <v>10.0</v>
      </c>
      <c r="H187" s="20">
        <v>10.0</v>
      </c>
      <c r="I187" s="20">
        <v>10.0</v>
      </c>
      <c r="J187" s="20">
        <v>0.0</v>
      </c>
      <c r="K187" s="20">
        <v>0.0</v>
      </c>
      <c r="L187" s="20">
        <v>4.0</v>
      </c>
      <c r="N187" s="23"/>
      <c r="O187" s="19">
        <v>10.0</v>
      </c>
      <c r="P187" s="40">
        <v>0.03802281368821293</v>
      </c>
      <c r="Q187" s="40">
        <v>0.10101010101010101</v>
      </c>
      <c r="R187" s="40">
        <v>0.0</v>
      </c>
      <c r="S187" s="40">
        <v>0.0</v>
      </c>
      <c r="T187" s="40">
        <v>0.18181818181818182</v>
      </c>
    </row>
    <row r="188" ht="15.75" customHeight="1">
      <c r="A188" s="16" t="s">
        <v>299</v>
      </c>
      <c r="F188" s="24"/>
      <c r="G188" s="19">
        <v>11.0</v>
      </c>
      <c r="H188" s="20">
        <v>17.0</v>
      </c>
      <c r="I188" s="20">
        <v>12.0</v>
      </c>
      <c r="J188" s="20">
        <v>0.0</v>
      </c>
      <c r="K188" s="20">
        <v>1.0</v>
      </c>
      <c r="L188" s="20">
        <v>3.0</v>
      </c>
      <c r="N188" s="23"/>
      <c r="O188" s="19">
        <v>11.0</v>
      </c>
      <c r="P188" s="40">
        <v>0.06463878326996197</v>
      </c>
      <c r="Q188" s="40">
        <v>0.12121212121212122</v>
      </c>
      <c r="R188" s="40">
        <v>0.0</v>
      </c>
      <c r="S188" s="40">
        <v>0.125</v>
      </c>
      <c r="T188" s="40">
        <v>0.13636363636363635</v>
      </c>
    </row>
    <row r="189" ht="15.75" customHeight="1">
      <c r="A189" s="16" t="s">
        <v>300</v>
      </c>
      <c r="F189" s="24"/>
      <c r="G189" s="19">
        <v>12.0</v>
      </c>
      <c r="H189" s="20">
        <v>16.0</v>
      </c>
      <c r="I189" s="20">
        <v>4.0</v>
      </c>
      <c r="J189" s="20">
        <v>1.0</v>
      </c>
      <c r="K189" s="20">
        <v>2.0</v>
      </c>
      <c r="L189" s="20">
        <v>1.0</v>
      </c>
      <c r="N189" s="23"/>
      <c r="O189" s="19">
        <v>12.0</v>
      </c>
      <c r="P189" s="40">
        <v>0.060836501901140684</v>
      </c>
      <c r="Q189" s="40">
        <v>0.04040404040404041</v>
      </c>
      <c r="R189" s="40">
        <v>0.5</v>
      </c>
      <c r="S189" s="40">
        <v>0.25</v>
      </c>
      <c r="T189" s="40">
        <v>0.045454545454545456</v>
      </c>
    </row>
    <row r="190" ht="15.75" customHeight="1">
      <c r="A190" s="16" t="s">
        <v>301</v>
      </c>
      <c r="F190" s="24"/>
      <c r="G190" s="19">
        <v>13.0</v>
      </c>
      <c r="H190" s="20">
        <v>12.0</v>
      </c>
      <c r="I190" s="20">
        <v>6.0</v>
      </c>
      <c r="J190" s="20">
        <v>0.0</v>
      </c>
      <c r="K190" s="20">
        <v>0.0</v>
      </c>
      <c r="L190" s="20">
        <v>3.0</v>
      </c>
      <c r="N190" s="23"/>
      <c r="O190" s="19">
        <v>13.0</v>
      </c>
      <c r="P190" s="40">
        <v>0.045627376425855515</v>
      </c>
      <c r="Q190" s="40">
        <v>0.06060606060606061</v>
      </c>
      <c r="R190" s="40">
        <v>0.0</v>
      </c>
      <c r="S190" s="40">
        <v>0.0</v>
      </c>
      <c r="T190" s="40">
        <v>0.13636363636363635</v>
      </c>
    </row>
    <row r="191" ht="15.75" customHeight="1">
      <c r="A191" s="16" t="s">
        <v>302</v>
      </c>
      <c r="F191" s="24"/>
      <c r="G191" s="19">
        <v>14.0</v>
      </c>
      <c r="H191" s="20">
        <v>11.0</v>
      </c>
      <c r="I191" s="20">
        <v>13.0</v>
      </c>
      <c r="J191" s="20">
        <v>0.0</v>
      </c>
      <c r="K191" s="20">
        <v>0.0</v>
      </c>
      <c r="L191" s="20">
        <v>1.0</v>
      </c>
      <c r="N191" s="23"/>
      <c r="O191" s="19">
        <v>14.0</v>
      </c>
      <c r="P191" s="40">
        <v>0.04182509505703422</v>
      </c>
      <c r="Q191" s="40">
        <v>0.13131313131313133</v>
      </c>
      <c r="R191" s="40">
        <v>0.0</v>
      </c>
      <c r="S191" s="40">
        <v>0.0</v>
      </c>
      <c r="T191" s="40">
        <v>0.045454545454545456</v>
      </c>
    </row>
    <row r="192" ht="15.75" customHeight="1">
      <c r="A192" s="16" t="s">
        <v>303</v>
      </c>
      <c r="F192" s="24"/>
      <c r="G192" s="19">
        <v>15.0</v>
      </c>
      <c r="H192" s="20">
        <v>16.0</v>
      </c>
      <c r="I192" s="20">
        <v>4.0</v>
      </c>
      <c r="J192" s="20">
        <v>0.0</v>
      </c>
      <c r="K192" s="20">
        <v>0.0</v>
      </c>
      <c r="L192" s="20">
        <v>2.0</v>
      </c>
      <c r="N192" s="23"/>
      <c r="O192" s="19">
        <v>15.0</v>
      </c>
      <c r="P192" s="40">
        <v>0.060836501901140684</v>
      </c>
      <c r="Q192" s="40">
        <v>0.04040404040404041</v>
      </c>
      <c r="R192" s="40">
        <v>0.0</v>
      </c>
      <c r="S192" s="40">
        <v>0.0</v>
      </c>
      <c r="T192" s="40">
        <v>0.09090909090909091</v>
      </c>
    </row>
    <row r="193" ht="15.75" customHeight="1">
      <c r="A193" s="16" t="s">
        <v>300</v>
      </c>
      <c r="F193" s="24"/>
      <c r="G193" s="19">
        <v>16.0</v>
      </c>
      <c r="H193" s="20">
        <v>38.0</v>
      </c>
      <c r="I193" s="20">
        <v>3.0</v>
      </c>
      <c r="J193" s="20">
        <v>0.0</v>
      </c>
      <c r="K193" s="20">
        <v>1.0</v>
      </c>
      <c r="L193" s="20">
        <v>0.0</v>
      </c>
      <c r="N193" s="23"/>
      <c r="O193" s="19">
        <v>16.0</v>
      </c>
      <c r="P193" s="40">
        <v>0.1444866920152091</v>
      </c>
      <c r="Q193" s="40">
        <v>0.030303030303030304</v>
      </c>
      <c r="R193" s="40">
        <v>0.0</v>
      </c>
      <c r="S193" s="40">
        <v>0.125</v>
      </c>
      <c r="T193" s="40">
        <v>0.0</v>
      </c>
    </row>
    <row r="194" ht="15.75" customHeight="1">
      <c r="A194" s="16" t="s">
        <v>304</v>
      </c>
      <c r="F194" s="24"/>
      <c r="G194" s="19">
        <v>17.0</v>
      </c>
      <c r="H194" s="20">
        <v>19.0</v>
      </c>
      <c r="I194" s="20">
        <v>7.0</v>
      </c>
      <c r="J194" s="20">
        <v>0.0</v>
      </c>
      <c r="K194" s="20">
        <v>0.0</v>
      </c>
      <c r="L194" s="20">
        <v>0.0</v>
      </c>
      <c r="N194" s="23"/>
      <c r="O194" s="19">
        <v>17.0</v>
      </c>
      <c r="P194" s="40">
        <v>0.07224334600760456</v>
      </c>
      <c r="Q194" s="40">
        <v>0.0707070707070707</v>
      </c>
      <c r="R194" s="40">
        <v>0.0</v>
      </c>
      <c r="S194" s="40">
        <v>0.0</v>
      </c>
      <c r="T194" s="40">
        <v>0.0</v>
      </c>
    </row>
    <row r="195" ht="15.75" customHeight="1">
      <c r="A195" s="16" t="s">
        <v>109</v>
      </c>
      <c r="F195" s="24"/>
      <c r="G195" s="19">
        <v>18.0</v>
      </c>
      <c r="H195" s="20">
        <v>13.0</v>
      </c>
      <c r="I195" s="20">
        <v>6.0</v>
      </c>
      <c r="J195" s="20">
        <v>0.0</v>
      </c>
      <c r="K195" s="20">
        <v>0.0</v>
      </c>
      <c r="L195" s="20">
        <v>0.0</v>
      </c>
      <c r="N195" s="23"/>
      <c r="O195" s="19">
        <v>18.0</v>
      </c>
      <c r="P195" s="40">
        <v>0.049429657794676805</v>
      </c>
      <c r="Q195" s="40">
        <v>0.06060606060606061</v>
      </c>
      <c r="R195" s="40">
        <v>0.0</v>
      </c>
      <c r="S195" s="40">
        <v>0.0</v>
      </c>
      <c r="T195" s="40">
        <v>0.0</v>
      </c>
    </row>
    <row r="196" ht="15.75" customHeight="1">
      <c r="A196" s="16" t="s">
        <v>172</v>
      </c>
      <c r="F196" s="24"/>
      <c r="G196" s="19">
        <v>19.0</v>
      </c>
      <c r="H196" s="20">
        <v>13.0</v>
      </c>
      <c r="I196" s="20">
        <v>6.0</v>
      </c>
      <c r="J196" s="20">
        <v>0.0</v>
      </c>
      <c r="K196" s="20">
        <v>0.0</v>
      </c>
      <c r="L196" s="20">
        <v>0.0</v>
      </c>
      <c r="N196" s="23"/>
      <c r="O196" s="19">
        <v>19.0</v>
      </c>
      <c r="P196" s="40">
        <v>0.049429657794676805</v>
      </c>
      <c r="Q196" s="40">
        <v>0.06060606060606061</v>
      </c>
      <c r="R196" s="40">
        <v>0.0</v>
      </c>
      <c r="S196" s="40">
        <v>0.0</v>
      </c>
      <c r="T196" s="40">
        <v>0.0</v>
      </c>
    </row>
    <row r="197" ht="15.75" customHeight="1">
      <c r="A197" s="16" t="s">
        <v>305</v>
      </c>
      <c r="F197" s="24"/>
      <c r="G197" s="19">
        <v>20.0</v>
      </c>
      <c r="H197" s="20">
        <v>8.0</v>
      </c>
      <c r="I197" s="20">
        <v>4.0</v>
      </c>
      <c r="J197" s="20">
        <v>0.0</v>
      </c>
      <c r="K197" s="20">
        <v>0.0</v>
      </c>
      <c r="L197" s="20">
        <v>0.0</v>
      </c>
      <c r="N197" s="23"/>
      <c r="O197" s="19">
        <v>20.0</v>
      </c>
      <c r="P197" s="40">
        <v>0.030418250950570342</v>
      </c>
      <c r="Q197" s="40">
        <v>0.04040404040404041</v>
      </c>
      <c r="R197" s="40">
        <v>0.0</v>
      </c>
      <c r="S197" s="40">
        <v>0.0</v>
      </c>
      <c r="T197" s="40">
        <v>0.0</v>
      </c>
    </row>
    <row r="198" ht="15.75" customHeight="1">
      <c r="A198" s="16" t="s">
        <v>90</v>
      </c>
      <c r="F198" s="24"/>
      <c r="G198" s="19">
        <v>21.0</v>
      </c>
      <c r="H198" s="20">
        <v>6.0</v>
      </c>
      <c r="I198" s="20">
        <v>2.0</v>
      </c>
      <c r="J198" s="20">
        <v>0.0</v>
      </c>
      <c r="K198" s="20">
        <v>0.0</v>
      </c>
      <c r="L198" s="20">
        <v>0.0</v>
      </c>
      <c r="N198" s="23"/>
      <c r="O198" s="19">
        <v>21.0</v>
      </c>
      <c r="P198" s="40">
        <v>0.022813688212927757</v>
      </c>
      <c r="Q198" s="40">
        <v>0.020202020202020204</v>
      </c>
      <c r="R198" s="40">
        <v>0.0</v>
      </c>
      <c r="S198" s="40">
        <v>0.0</v>
      </c>
      <c r="T198" s="40">
        <v>0.0</v>
      </c>
    </row>
    <row r="199" ht="15.75" customHeight="1">
      <c r="A199" s="16" t="s">
        <v>133</v>
      </c>
      <c r="F199" s="24"/>
      <c r="G199" s="19">
        <v>22.0</v>
      </c>
      <c r="H199" s="20">
        <v>3.0</v>
      </c>
      <c r="I199" s="20">
        <v>2.0</v>
      </c>
      <c r="J199" s="20">
        <v>0.0</v>
      </c>
      <c r="K199" s="20">
        <v>0.0</v>
      </c>
      <c r="L199" s="20">
        <v>0.0</v>
      </c>
      <c r="N199" s="23"/>
      <c r="O199" s="19">
        <v>22.0</v>
      </c>
      <c r="P199" s="40">
        <v>0.011406844106463879</v>
      </c>
      <c r="Q199" s="40">
        <v>0.020202020202020204</v>
      </c>
      <c r="R199" s="40">
        <v>0.0</v>
      </c>
      <c r="S199" s="40">
        <v>0.0</v>
      </c>
      <c r="T199" s="40">
        <v>0.0</v>
      </c>
    </row>
    <row r="200" ht="15.75" customHeight="1">
      <c r="A200" s="16" t="s">
        <v>70</v>
      </c>
      <c r="F200" s="28"/>
      <c r="G200" s="71">
        <v>23.0</v>
      </c>
      <c r="H200" s="20">
        <v>1.0</v>
      </c>
      <c r="I200" s="20">
        <v>2.0</v>
      </c>
      <c r="J200" s="20">
        <v>0.0</v>
      </c>
      <c r="K200" s="20">
        <v>1.0</v>
      </c>
      <c r="L200" s="20">
        <v>1.0</v>
      </c>
      <c r="N200" s="27"/>
      <c r="O200" s="19">
        <v>23.0</v>
      </c>
      <c r="P200" s="40">
        <v>0.0038022813688212928</v>
      </c>
      <c r="Q200" s="40">
        <v>0.020202020202020204</v>
      </c>
      <c r="R200" s="40">
        <v>0.0</v>
      </c>
      <c r="S200" s="40">
        <v>0.125</v>
      </c>
      <c r="T200" s="40">
        <v>0.045454545454545456</v>
      </c>
    </row>
    <row r="201" ht="15.75" customHeight="1">
      <c r="F201" s="108">
        <v>45202.0</v>
      </c>
      <c r="G201" s="19">
        <v>0.0</v>
      </c>
      <c r="H201" s="20">
        <v>2.0</v>
      </c>
      <c r="I201" s="20">
        <v>2.0</v>
      </c>
      <c r="J201" s="20">
        <v>0.0</v>
      </c>
      <c r="K201" s="20">
        <v>0.0</v>
      </c>
      <c r="L201" s="20">
        <v>0.0</v>
      </c>
      <c r="N201" s="29">
        <v>45202.0</v>
      </c>
      <c r="O201" s="19">
        <v>0.0</v>
      </c>
      <c r="P201" s="40">
        <v>0.006993006993006993</v>
      </c>
      <c r="Q201" s="40">
        <v>0.017391304347826087</v>
      </c>
      <c r="R201" s="40">
        <v>0.0</v>
      </c>
      <c r="S201" s="40">
        <v>0.0</v>
      </c>
      <c r="T201" s="40">
        <v>0.0</v>
      </c>
    </row>
    <row r="202" ht="15.75" customHeight="1">
      <c r="F202" s="24"/>
      <c r="G202" s="19">
        <v>1.0</v>
      </c>
      <c r="H202" s="20">
        <v>1.0</v>
      </c>
      <c r="I202" s="20">
        <v>0.0</v>
      </c>
      <c r="J202" s="20">
        <v>0.0</v>
      </c>
      <c r="K202" s="20">
        <v>0.0</v>
      </c>
      <c r="L202" s="20">
        <v>0.0</v>
      </c>
      <c r="N202" s="23"/>
      <c r="O202" s="19">
        <v>1.0</v>
      </c>
      <c r="P202" s="40">
        <v>0.0034965034965034965</v>
      </c>
      <c r="Q202" s="40">
        <v>0.0</v>
      </c>
      <c r="R202" s="40">
        <v>0.0</v>
      </c>
      <c r="S202" s="40">
        <v>0.0</v>
      </c>
      <c r="T202" s="40">
        <v>0.0</v>
      </c>
    </row>
    <row r="203" ht="15.75" customHeight="1">
      <c r="F203" s="24"/>
      <c r="G203" s="19">
        <v>2.0</v>
      </c>
      <c r="H203" s="16">
        <v>0.0</v>
      </c>
      <c r="I203" s="16">
        <v>0.0</v>
      </c>
      <c r="J203" s="16">
        <v>0.0</v>
      </c>
      <c r="K203" s="16">
        <v>1.0</v>
      </c>
      <c r="L203" s="16">
        <v>0.0</v>
      </c>
      <c r="N203" s="23"/>
      <c r="O203" s="19">
        <v>2.0</v>
      </c>
      <c r="P203" s="40">
        <v>0.0</v>
      </c>
      <c r="Q203" s="40">
        <v>0.0</v>
      </c>
      <c r="R203" s="40">
        <v>0.0</v>
      </c>
      <c r="S203" s="40">
        <v>0.06666666666666667</v>
      </c>
      <c r="T203" s="40">
        <v>0.0</v>
      </c>
    </row>
    <row r="204" ht="15.75" customHeight="1">
      <c r="F204" s="24"/>
      <c r="G204" s="19">
        <v>3.0</v>
      </c>
      <c r="H204" s="20">
        <v>1.0</v>
      </c>
      <c r="I204" s="20">
        <v>0.0</v>
      </c>
      <c r="J204" s="20">
        <v>0.0</v>
      </c>
      <c r="K204" s="20">
        <v>0.0</v>
      </c>
      <c r="L204" s="20">
        <v>0.0</v>
      </c>
      <c r="N204" s="23"/>
      <c r="O204" s="19">
        <v>3.0</v>
      </c>
      <c r="P204" s="40">
        <v>0.0034965034965034965</v>
      </c>
      <c r="Q204" s="40">
        <v>0.0</v>
      </c>
      <c r="R204" s="40">
        <v>0.0</v>
      </c>
      <c r="S204" s="40">
        <v>0.0</v>
      </c>
      <c r="T204" s="40">
        <v>0.0</v>
      </c>
    </row>
    <row r="205" ht="15.75" customHeight="1">
      <c r="F205" s="24"/>
      <c r="G205" s="19">
        <v>4.0</v>
      </c>
      <c r="H205" s="20">
        <v>1.0</v>
      </c>
      <c r="I205" s="20">
        <v>2.0</v>
      </c>
      <c r="J205" s="20">
        <v>0.0</v>
      </c>
      <c r="K205" s="20">
        <v>0.0</v>
      </c>
      <c r="L205" s="20">
        <v>1.0</v>
      </c>
      <c r="N205" s="23"/>
      <c r="O205" s="19">
        <v>4.0</v>
      </c>
      <c r="P205" s="40">
        <v>0.0034965034965034965</v>
      </c>
      <c r="Q205" s="40">
        <v>0.017391304347826087</v>
      </c>
      <c r="R205" s="40">
        <v>0.0</v>
      </c>
      <c r="S205" s="40">
        <v>0.0</v>
      </c>
      <c r="T205" s="40">
        <v>0.041666666666666664</v>
      </c>
    </row>
    <row r="206" ht="15.75" customHeight="1">
      <c r="F206" s="24"/>
      <c r="G206" s="19">
        <v>5.0</v>
      </c>
      <c r="H206" s="20">
        <v>3.0</v>
      </c>
      <c r="I206" s="20">
        <v>0.0</v>
      </c>
      <c r="J206" s="20">
        <v>0.0</v>
      </c>
      <c r="K206" s="20">
        <v>2.0</v>
      </c>
      <c r="L206" s="20">
        <v>0.0</v>
      </c>
      <c r="N206" s="23"/>
      <c r="O206" s="19">
        <v>5.0</v>
      </c>
      <c r="P206" s="40">
        <v>0.01048951048951049</v>
      </c>
      <c r="Q206" s="40">
        <v>0.0</v>
      </c>
      <c r="R206" s="40">
        <v>0.0</v>
      </c>
      <c r="S206" s="40">
        <v>0.13333333333333333</v>
      </c>
      <c r="T206" s="40">
        <v>0.0</v>
      </c>
    </row>
    <row r="207" ht="15.75" customHeight="1">
      <c r="F207" s="24"/>
      <c r="G207" s="19">
        <v>6.0</v>
      </c>
      <c r="H207" s="20">
        <v>8.0</v>
      </c>
      <c r="I207" s="20">
        <v>2.0</v>
      </c>
      <c r="J207" s="20">
        <v>0.0</v>
      </c>
      <c r="K207" s="20">
        <v>0.0</v>
      </c>
      <c r="L207" s="20">
        <v>3.0</v>
      </c>
      <c r="N207" s="23"/>
      <c r="O207" s="19">
        <v>6.0</v>
      </c>
      <c r="P207" s="40">
        <v>0.027972027972027972</v>
      </c>
      <c r="Q207" s="40">
        <v>0.017391304347826087</v>
      </c>
      <c r="R207" s="40">
        <v>0.0</v>
      </c>
      <c r="S207" s="40">
        <v>0.0</v>
      </c>
      <c r="T207" s="40">
        <v>0.125</v>
      </c>
    </row>
    <row r="208" ht="15.75" customHeight="1">
      <c r="F208" s="24"/>
      <c r="G208" s="19">
        <v>7.0</v>
      </c>
      <c r="H208" s="20">
        <v>32.0</v>
      </c>
      <c r="I208" s="20">
        <v>9.0</v>
      </c>
      <c r="J208" s="20">
        <v>1.0</v>
      </c>
      <c r="K208" s="20">
        <v>0.0</v>
      </c>
      <c r="L208" s="20">
        <v>1.0</v>
      </c>
      <c r="N208" s="23"/>
      <c r="O208" s="19">
        <v>7.0</v>
      </c>
      <c r="P208" s="40">
        <v>0.11188811188811189</v>
      </c>
      <c r="Q208" s="40">
        <v>0.0782608695652174</v>
      </c>
      <c r="R208" s="40">
        <v>0.5</v>
      </c>
      <c r="S208" s="40">
        <v>0.0</v>
      </c>
      <c r="T208" s="40">
        <v>0.041666666666666664</v>
      </c>
    </row>
    <row r="209" ht="15.75" customHeight="1">
      <c r="F209" s="24"/>
      <c r="G209" s="19">
        <v>8.0</v>
      </c>
      <c r="H209" s="20">
        <v>17.0</v>
      </c>
      <c r="I209" s="20">
        <v>4.0</v>
      </c>
      <c r="J209" s="20">
        <v>0.0</v>
      </c>
      <c r="K209" s="20">
        <v>1.0</v>
      </c>
      <c r="L209" s="20">
        <v>0.0</v>
      </c>
      <c r="N209" s="23"/>
      <c r="O209" s="19">
        <v>8.0</v>
      </c>
      <c r="P209" s="40">
        <v>0.05944055944055944</v>
      </c>
      <c r="Q209" s="40">
        <v>0.034782608695652174</v>
      </c>
      <c r="R209" s="40">
        <v>0.0</v>
      </c>
      <c r="S209" s="40">
        <v>0.06666666666666667</v>
      </c>
      <c r="T209" s="40">
        <v>0.0</v>
      </c>
    </row>
    <row r="210" ht="15.75" customHeight="1">
      <c r="F210" s="24"/>
      <c r="G210" s="19">
        <v>9.0</v>
      </c>
      <c r="H210" s="20">
        <v>19.0</v>
      </c>
      <c r="I210" s="20">
        <v>8.0</v>
      </c>
      <c r="J210" s="20">
        <v>0.0</v>
      </c>
      <c r="K210" s="20">
        <v>0.0</v>
      </c>
      <c r="L210" s="20">
        <v>1.0</v>
      </c>
      <c r="N210" s="23"/>
      <c r="O210" s="19">
        <v>9.0</v>
      </c>
      <c r="P210" s="40">
        <v>0.06643356643356643</v>
      </c>
      <c r="Q210" s="40">
        <v>0.06956521739130435</v>
      </c>
      <c r="R210" s="40">
        <v>0.0</v>
      </c>
      <c r="S210" s="40">
        <v>0.0</v>
      </c>
      <c r="T210" s="40">
        <v>0.041666666666666664</v>
      </c>
    </row>
    <row r="211" ht="15.75" customHeight="1">
      <c r="F211" s="24"/>
      <c r="G211" s="19">
        <v>10.0</v>
      </c>
      <c r="H211" s="20">
        <v>16.0</v>
      </c>
      <c r="I211" s="20">
        <v>8.0</v>
      </c>
      <c r="J211" s="20">
        <v>0.0</v>
      </c>
      <c r="K211" s="20">
        <v>1.0</v>
      </c>
      <c r="L211" s="20">
        <v>3.0</v>
      </c>
      <c r="N211" s="23"/>
      <c r="O211" s="19">
        <v>10.0</v>
      </c>
      <c r="P211" s="40">
        <v>0.055944055944055944</v>
      </c>
      <c r="Q211" s="40">
        <v>0.06956521739130435</v>
      </c>
      <c r="R211" s="40">
        <v>0.0</v>
      </c>
      <c r="S211" s="40">
        <v>0.06666666666666667</v>
      </c>
      <c r="T211" s="40">
        <v>0.125</v>
      </c>
    </row>
    <row r="212" ht="15.75" customHeight="1">
      <c r="F212" s="24"/>
      <c r="G212" s="19">
        <v>11.0</v>
      </c>
      <c r="H212" s="20">
        <v>16.0</v>
      </c>
      <c r="I212" s="20">
        <v>9.0</v>
      </c>
      <c r="J212" s="20">
        <v>0.0</v>
      </c>
      <c r="K212" s="20">
        <v>0.0</v>
      </c>
      <c r="L212" s="20">
        <v>5.0</v>
      </c>
      <c r="N212" s="23"/>
      <c r="O212" s="19">
        <v>11.0</v>
      </c>
      <c r="P212" s="40">
        <v>0.055944055944055944</v>
      </c>
      <c r="Q212" s="40">
        <v>0.0782608695652174</v>
      </c>
      <c r="R212" s="40">
        <v>0.0</v>
      </c>
      <c r="S212" s="40">
        <v>0.0</v>
      </c>
      <c r="T212" s="40">
        <v>0.20833333333333334</v>
      </c>
    </row>
    <row r="213" ht="15.75" customHeight="1">
      <c r="F213" s="24"/>
      <c r="G213" s="19">
        <v>12.0</v>
      </c>
      <c r="H213" s="20">
        <v>9.0</v>
      </c>
      <c r="I213" s="20">
        <v>3.0</v>
      </c>
      <c r="J213" s="20">
        <v>0.0</v>
      </c>
      <c r="K213" s="20">
        <v>1.0</v>
      </c>
      <c r="L213" s="20">
        <v>1.0</v>
      </c>
      <c r="N213" s="23"/>
      <c r="O213" s="19">
        <v>12.0</v>
      </c>
      <c r="P213" s="40">
        <v>0.03146853146853147</v>
      </c>
      <c r="Q213" s="40">
        <v>0.02608695652173913</v>
      </c>
      <c r="R213" s="40">
        <v>0.0</v>
      </c>
      <c r="S213" s="40">
        <v>0.06666666666666667</v>
      </c>
      <c r="T213" s="40">
        <v>0.041666666666666664</v>
      </c>
    </row>
    <row r="214" ht="15.75" customHeight="1">
      <c r="F214" s="24"/>
      <c r="G214" s="19">
        <v>13.0</v>
      </c>
      <c r="H214" s="20">
        <v>13.0</v>
      </c>
      <c r="I214" s="20">
        <v>4.0</v>
      </c>
      <c r="J214" s="20">
        <v>0.0</v>
      </c>
      <c r="K214" s="20">
        <v>3.0</v>
      </c>
      <c r="L214" s="20">
        <v>4.0</v>
      </c>
      <c r="N214" s="23"/>
      <c r="O214" s="19">
        <v>13.0</v>
      </c>
      <c r="P214" s="40">
        <v>0.045454545454545456</v>
      </c>
      <c r="Q214" s="40">
        <v>0.034782608695652174</v>
      </c>
      <c r="R214" s="40">
        <v>0.0</v>
      </c>
      <c r="S214" s="40">
        <v>0.2</v>
      </c>
      <c r="T214" s="40">
        <v>0.16666666666666666</v>
      </c>
    </row>
    <row r="215" ht="15.75" customHeight="1">
      <c r="F215" s="24"/>
      <c r="G215" s="19">
        <v>14.0</v>
      </c>
      <c r="H215" s="20">
        <v>16.0</v>
      </c>
      <c r="I215" s="20">
        <v>13.0</v>
      </c>
      <c r="J215" s="20">
        <v>0.0</v>
      </c>
      <c r="K215" s="20">
        <v>1.0</v>
      </c>
      <c r="L215" s="20">
        <v>3.0</v>
      </c>
      <c r="N215" s="23"/>
      <c r="O215" s="19">
        <v>14.0</v>
      </c>
      <c r="P215" s="40">
        <v>0.055944055944055944</v>
      </c>
      <c r="Q215" s="40">
        <v>0.11304347826086956</v>
      </c>
      <c r="R215" s="40">
        <v>0.0</v>
      </c>
      <c r="S215" s="40">
        <v>0.06666666666666667</v>
      </c>
      <c r="T215" s="40">
        <v>0.125</v>
      </c>
    </row>
    <row r="216" ht="15.75" customHeight="1">
      <c r="F216" s="24"/>
      <c r="G216" s="19">
        <v>15.0</v>
      </c>
      <c r="H216" s="20">
        <v>16.0</v>
      </c>
      <c r="I216" s="20">
        <v>6.0</v>
      </c>
      <c r="J216" s="20">
        <v>0.0</v>
      </c>
      <c r="K216" s="20">
        <v>1.0</v>
      </c>
      <c r="L216" s="20">
        <v>0.0</v>
      </c>
      <c r="N216" s="23"/>
      <c r="O216" s="19">
        <v>15.0</v>
      </c>
      <c r="P216" s="40">
        <v>0.055944055944055944</v>
      </c>
      <c r="Q216" s="40">
        <v>0.05217391304347826</v>
      </c>
      <c r="R216" s="40">
        <v>0.0</v>
      </c>
      <c r="S216" s="40">
        <v>0.06666666666666667</v>
      </c>
      <c r="T216" s="40">
        <v>0.0</v>
      </c>
    </row>
    <row r="217" ht="15.75" customHeight="1">
      <c r="F217" s="24"/>
      <c r="G217" s="19">
        <v>16.0</v>
      </c>
      <c r="H217" s="20">
        <v>25.0</v>
      </c>
      <c r="I217" s="20">
        <v>5.0</v>
      </c>
      <c r="J217" s="20">
        <v>1.0</v>
      </c>
      <c r="K217" s="20">
        <v>2.0</v>
      </c>
      <c r="L217" s="20">
        <v>1.0</v>
      </c>
      <c r="N217" s="23"/>
      <c r="O217" s="19">
        <v>16.0</v>
      </c>
      <c r="P217" s="40">
        <v>0.08741258741258741</v>
      </c>
      <c r="Q217" s="40">
        <v>0.043478260869565216</v>
      </c>
      <c r="R217" s="40">
        <v>0.5</v>
      </c>
      <c r="S217" s="40">
        <v>0.13333333333333333</v>
      </c>
      <c r="T217" s="40">
        <v>0.041666666666666664</v>
      </c>
    </row>
    <row r="218" ht="15.75" customHeight="1">
      <c r="F218" s="24"/>
      <c r="G218" s="19">
        <v>17.0</v>
      </c>
      <c r="H218" s="20">
        <v>25.0</v>
      </c>
      <c r="I218" s="20">
        <v>8.0</v>
      </c>
      <c r="J218" s="20">
        <v>0.0</v>
      </c>
      <c r="K218" s="20">
        <v>1.0</v>
      </c>
      <c r="L218" s="20">
        <v>1.0</v>
      </c>
      <c r="N218" s="23"/>
      <c r="O218" s="19">
        <v>17.0</v>
      </c>
      <c r="P218" s="40">
        <v>0.08741258741258741</v>
      </c>
      <c r="Q218" s="40">
        <v>0.06956521739130435</v>
      </c>
      <c r="R218" s="40">
        <v>0.0</v>
      </c>
      <c r="S218" s="40">
        <v>0.06666666666666667</v>
      </c>
      <c r="T218" s="40">
        <v>0.041666666666666664</v>
      </c>
    </row>
    <row r="219" ht="15.75" customHeight="1">
      <c r="F219" s="24"/>
      <c r="G219" s="19">
        <v>18.0</v>
      </c>
      <c r="H219" s="20">
        <v>17.0</v>
      </c>
      <c r="I219" s="20">
        <v>7.0</v>
      </c>
      <c r="J219" s="20">
        <v>0.0</v>
      </c>
      <c r="K219" s="20">
        <v>0.0</v>
      </c>
      <c r="L219" s="20">
        <v>0.0</v>
      </c>
      <c r="N219" s="23"/>
      <c r="O219" s="19">
        <v>18.0</v>
      </c>
      <c r="P219" s="40">
        <v>0.05944055944055944</v>
      </c>
      <c r="Q219" s="40">
        <v>0.06086956521739131</v>
      </c>
      <c r="R219" s="40">
        <v>0.0</v>
      </c>
      <c r="S219" s="40">
        <v>0.0</v>
      </c>
      <c r="T219" s="40">
        <v>0.0</v>
      </c>
    </row>
    <row r="220" ht="15.75" customHeight="1">
      <c r="F220" s="24"/>
      <c r="G220" s="19">
        <v>19.0</v>
      </c>
      <c r="H220" s="20">
        <v>14.0</v>
      </c>
      <c r="I220" s="20">
        <v>11.0</v>
      </c>
      <c r="J220" s="20">
        <v>0.0</v>
      </c>
      <c r="K220" s="20">
        <v>0.0</v>
      </c>
      <c r="L220" s="20">
        <v>0.0</v>
      </c>
      <c r="N220" s="23"/>
      <c r="O220" s="19">
        <v>19.0</v>
      </c>
      <c r="P220" s="40">
        <v>0.04895104895104895</v>
      </c>
      <c r="Q220" s="40">
        <v>0.09565217391304348</v>
      </c>
      <c r="R220" s="40">
        <v>0.0</v>
      </c>
      <c r="S220" s="40">
        <v>0.0</v>
      </c>
      <c r="T220" s="40">
        <v>0.0</v>
      </c>
    </row>
    <row r="221" ht="15.75" customHeight="1">
      <c r="F221" s="24"/>
      <c r="G221" s="19">
        <v>20.0</v>
      </c>
      <c r="H221" s="20">
        <v>15.0</v>
      </c>
      <c r="I221" s="20">
        <v>9.0</v>
      </c>
      <c r="J221" s="20">
        <v>0.0</v>
      </c>
      <c r="K221" s="20">
        <v>0.0</v>
      </c>
      <c r="L221" s="20">
        <v>0.0</v>
      </c>
      <c r="N221" s="23"/>
      <c r="O221" s="19">
        <v>20.0</v>
      </c>
      <c r="P221" s="40">
        <v>0.05244755244755245</v>
      </c>
      <c r="Q221" s="40">
        <v>0.0782608695652174</v>
      </c>
      <c r="R221" s="40">
        <v>0.0</v>
      </c>
      <c r="S221" s="40">
        <v>0.0</v>
      </c>
      <c r="T221" s="40">
        <v>0.0</v>
      </c>
    </row>
    <row r="222" ht="15.75" customHeight="1">
      <c r="F222" s="24"/>
      <c r="G222" s="19">
        <v>21.0</v>
      </c>
      <c r="H222" s="20">
        <v>12.0</v>
      </c>
      <c r="I222" s="20">
        <v>4.0</v>
      </c>
      <c r="J222" s="20">
        <v>0.0</v>
      </c>
      <c r="K222" s="20">
        <v>0.0</v>
      </c>
      <c r="L222" s="20">
        <v>0.0</v>
      </c>
      <c r="N222" s="23"/>
      <c r="O222" s="19">
        <v>21.0</v>
      </c>
      <c r="P222" s="40">
        <v>0.04195804195804196</v>
      </c>
      <c r="Q222" s="40">
        <v>0.034782608695652174</v>
      </c>
      <c r="R222" s="40">
        <v>0.0</v>
      </c>
      <c r="S222" s="40">
        <v>0.0</v>
      </c>
      <c r="T222" s="40">
        <v>0.0</v>
      </c>
    </row>
    <row r="223" ht="15.75" customHeight="1">
      <c r="F223" s="24"/>
      <c r="G223" s="19">
        <v>22.0</v>
      </c>
      <c r="H223" s="20">
        <v>5.0</v>
      </c>
      <c r="I223" s="20">
        <v>1.0</v>
      </c>
      <c r="J223" s="20">
        <v>0.0</v>
      </c>
      <c r="K223" s="20">
        <v>1.0</v>
      </c>
      <c r="L223" s="20">
        <v>0.0</v>
      </c>
      <c r="N223" s="23"/>
      <c r="O223" s="19">
        <v>22.0</v>
      </c>
      <c r="P223" s="40">
        <v>0.017482517482517484</v>
      </c>
      <c r="Q223" s="40">
        <v>0.008695652173913044</v>
      </c>
      <c r="R223" s="40">
        <v>0.0</v>
      </c>
      <c r="S223" s="40">
        <v>0.06666666666666667</v>
      </c>
      <c r="T223" s="40">
        <v>0.0</v>
      </c>
    </row>
    <row r="224" ht="15.75" customHeight="1">
      <c r="F224" s="28"/>
      <c r="G224" s="71">
        <v>23.0</v>
      </c>
      <c r="H224" s="20">
        <v>3.0</v>
      </c>
      <c r="I224" s="20">
        <v>0.0</v>
      </c>
      <c r="J224" s="20">
        <v>0.0</v>
      </c>
      <c r="K224" s="20">
        <v>0.0</v>
      </c>
      <c r="L224" s="20">
        <v>0.0</v>
      </c>
      <c r="N224" s="27"/>
      <c r="O224" s="19">
        <v>23.0</v>
      </c>
      <c r="P224" s="40">
        <v>0.01048951048951049</v>
      </c>
      <c r="Q224" s="40">
        <v>0.0</v>
      </c>
      <c r="R224" s="40">
        <v>0.0</v>
      </c>
      <c r="S224" s="40">
        <v>0.0</v>
      </c>
      <c r="T224" s="40">
        <v>0.0</v>
      </c>
    </row>
    <row r="225" ht="15.75" customHeight="1">
      <c r="F225" s="39">
        <v>45203.0</v>
      </c>
      <c r="G225" s="19">
        <v>0.0</v>
      </c>
      <c r="H225" s="20">
        <v>3.0</v>
      </c>
      <c r="I225" s="20">
        <v>0.0</v>
      </c>
      <c r="J225" s="20">
        <v>0.0</v>
      </c>
      <c r="K225" s="20">
        <v>0.0</v>
      </c>
      <c r="L225" s="20">
        <v>0.0</v>
      </c>
      <c r="N225" s="39">
        <v>45203.0</v>
      </c>
      <c r="O225" s="19">
        <v>0.0</v>
      </c>
      <c r="P225" s="40">
        <v>0.012</v>
      </c>
      <c r="Q225" s="40">
        <v>0.0</v>
      </c>
      <c r="R225" s="40">
        <v>0.0</v>
      </c>
      <c r="S225" s="40">
        <v>0.0</v>
      </c>
      <c r="T225" s="40">
        <v>0.0</v>
      </c>
    </row>
    <row r="226" ht="15.75" customHeight="1">
      <c r="F226" s="24"/>
      <c r="G226" s="19">
        <v>1.0</v>
      </c>
      <c r="H226" s="20">
        <v>1.0</v>
      </c>
      <c r="I226" s="20">
        <v>1.0</v>
      </c>
      <c r="J226" s="20">
        <v>0.0</v>
      </c>
      <c r="K226" s="20">
        <v>0.0</v>
      </c>
      <c r="L226" s="20">
        <v>0.0</v>
      </c>
      <c r="N226" s="23"/>
      <c r="O226" s="19">
        <v>1.0</v>
      </c>
      <c r="P226" s="40">
        <v>0.004</v>
      </c>
      <c r="Q226" s="40">
        <v>0.007407407407407408</v>
      </c>
      <c r="R226" s="40">
        <v>0.0</v>
      </c>
      <c r="S226" s="40">
        <v>0.0</v>
      </c>
      <c r="T226" s="40">
        <v>0.0</v>
      </c>
    </row>
    <row r="227" ht="15.75" customHeight="1">
      <c r="F227" s="24"/>
      <c r="G227" s="19">
        <v>2.0</v>
      </c>
      <c r="H227" s="16">
        <v>1.0</v>
      </c>
      <c r="I227" s="16">
        <v>2.0</v>
      </c>
      <c r="J227" s="16">
        <v>0.0</v>
      </c>
      <c r="K227" s="16">
        <v>0.0</v>
      </c>
      <c r="L227" s="16">
        <v>0.0</v>
      </c>
      <c r="N227" s="23"/>
      <c r="O227" s="19">
        <v>2.0</v>
      </c>
      <c r="P227" s="40">
        <v>0.004</v>
      </c>
      <c r="Q227" s="40">
        <v>0.014814814814814815</v>
      </c>
      <c r="R227" s="40">
        <v>0.0</v>
      </c>
      <c r="S227" s="40">
        <v>0.0</v>
      </c>
      <c r="T227" s="40">
        <v>0.0</v>
      </c>
    </row>
    <row r="228" ht="15.75" customHeight="1">
      <c r="F228" s="24"/>
      <c r="G228" s="19">
        <v>3.0</v>
      </c>
      <c r="H228" s="20">
        <v>0.0</v>
      </c>
      <c r="I228" s="20">
        <v>0.0</v>
      </c>
      <c r="J228" s="20">
        <v>0.0</v>
      </c>
      <c r="K228" s="20">
        <v>0.0</v>
      </c>
      <c r="L228" s="20">
        <v>0.0</v>
      </c>
      <c r="N228" s="23"/>
      <c r="O228" s="19">
        <v>3.0</v>
      </c>
      <c r="P228" s="40">
        <v>0.0</v>
      </c>
      <c r="Q228" s="40">
        <v>0.0</v>
      </c>
      <c r="R228" s="40">
        <v>0.0</v>
      </c>
      <c r="S228" s="40">
        <v>0.0</v>
      </c>
      <c r="T228" s="40">
        <v>0.0</v>
      </c>
    </row>
    <row r="229" ht="15.75" customHeight="1">
      <c r="F229" s="24"/>
      <c r="G229" s="19">
        <v>4.0</v>
      </c>
      <c r="H229" s="20">
        <v>3.0</v>
      </c>
      <c r="I229" s="20">
        <v>0.0</v>
      </c>
      <c r="J229" s="20">
        <v>0.0</v>
      </c>
      <c r="K229" s="20">
        <v>0.0</v>
      </c>
      <c r="L229" s="20">
        <v>0.0</v>
      </c>
      <c r="N229" s="23"/>
      <c r="O229" s="19">
        <v>4.0</v>
      </c>
      <c r="P229" s="40">
        <v>0.012</v>
      </c>
      <c r="Q229" s="40">
        <v>0.0</v>
      </c>
      <c r="R229" s="40">
        <v>0.0</v>
      </c>
      <c r="S229" s="40">
        <v>0.0</v>
      </c>
      <c r="T229" s="40">
        <v>0.0</v>
      </c>
    </row>
    <row r="230" ht="15.75" customHeight="1">
      <c r="F230" s="24"/>
      <c r="G230" s="19">
        <v>5.0</v>
      </c>
      <c r="H230" s="20">
        <v>4.0</v>
      </c>
      <c r="I230" s="20">
        <v>2.0</v>
      </c>
      <c r="J230" s="20">
        <v>0.0</v>
      </c>
      <c r="K230" s="20">
        <v>1.0</v>
      </c>
      <c r="L230" s="20">
        <v>1.0</v>
      </c>
      <c r="N230" s="23"/>
      <c r="O230" s="19">
        <v>5.0</v>
      </c>
      <c r="P230" s="40">
        <v>0.016</v>
      </c>
      <c r="Q230" s="40">
        <v>0.014814814814814815</v>
      </c>
      <c r="R230" s="40">
        <v>0.0</v>
      </c>
      <c r="S230" s="40">
        <v>0.07142857142857142</v>
      </c>
      <c r="T230" s="40">
        <v>0.023809523809523808</v>
      </c>
    </row>
    <row r="231" ht="15.75" customHeight="1">
      <c r="F231" s="24"/>
      <c r="G231" s="19">
        <v>6.0</v>
      </c>
      <c r="H231" s="20">
        <v>10.0</v>
      </c>
      <c r="I231" s="20">
        <v>1.0</v>
      </c>
      <c r="J231" s="20">
        <v>0.0</v>
      </c>
      <c r="K231" s="20">
        <v>0.0</v>
      </c>
      <c r="L231" s="20">
        <v>0.0</v>
      </c>
      <c r="N231" s="23"/>
      <c r="O231" s="19">
        <v>6.0</v>
      </c>
      <c r="P231" s="40">
        <v>0.04</v>
      </c>
      <c r="Q231" s="40">
        <v>0.007407407407407408</v>
      </c>
      <c r="R231" s="40">
        <v>0.0</v>
      </c>
      <c r="S231" s="40">
        <v>0.0</v>
      </c>
      <c r="T231" s="40">
        <v>0.0</v>
      </c>
    </row>
    <row r="232" ht="15.75" customHeight="1">
      <c r="F232" s="24"/>
      <c r="G232" s="19">
        <v>7.0</v>
      </c>
      <c r="H232" s="20">
        <v>33.0</v>
      </c>
      <c r="I232" s="20">
        <v>7.0</v>
      </c>
      <c r="J232" s="20">
        <v>1.0</v>
      </c>
      <c r="K232" s="20">
        <v>0.0</v>
      </c>
      <c r="L232" s="20">
        <v>2.0</v>
      </c>
      <c r="N232" s="23"/>
      <c r="O232" s="19">
        <v>7.0</v>
      </c>
      <c r="P232" s="40">
        <v>0.132</v>
      </c>
      <c r="Q232" s="40">
        <v>0.05185185185185185</v>
      </c>
      <c r="R232" s="40">
        <v>0.5</v>
      </c>
      <c r="S232" s="40">
        <v>0.0</v>
      </c>
      <c r="T232" s="40">
        <v>0.047619047619047616</v>
      </c>
    </row>
    <row r="233" ht="15.75" customHeight="1">
      <c r="F233" s="24"/>
      <c r="G233" s="19">
        <v>8.0</v>
      </c>
      <c r="H233" s="20">
        <v>15.0</v>
      </c>
      <c r="I233" s="20">
        <v>10.0</v>
      </c>
      <c r="J233" s="20">
        <v>0.0</v>
      </c>
      <c r="K233" s="20">
        <v>1.0</v>
      </c>
      <c r="L233" s="20">
        <v>2.0</v>
      </c>
      <c r="N233" s="23"/>
      <c r="O233" s="19">
        <v>8.0</v>
      </c>
      <c r="P233" s="40">
        <v>0.06</v>
      </c>
      <c r="Q233" s="40">
        <v>0.07407407407407407</v>
      </c>
      <c r="R233" s="40">
        <v>0.0</v>
      </c>
      <c r="S233" s="40">
        <v>0.07142857142857142</v>
      </c>
      <c r="T233" s="40">
        <v>0.047619047619047616</v>
      </c>
    </row>
    <row r="234" ht="15.75" customHeight="1">
      <c r="F234" s="24"/>
      <c r="G234" s="19">
        <v>9.0</v>
      </c>
      <c r="H234" s="20">
        <v>11.0</v>
      </c>
      <c r="I234" s="20">
        <v>11.0</v>
      </c>
      <c r="J234" s="20">
        <v>0.0</v>
      </c>
      <c r="K234" s="20">
        <v>2.0</v>
      </c>
      <c r="L234" s="20">
        <v>9.0</v>
      </c>
      <c r="N234" s="23"/>
      <c r="O234" s="19">
        <v>9.0</v>
      </c>
      <c r="P234" s="40">
        <v>0.044</v>
      </c>
      <c r="Q234" s="40">
        <v>0.08148148148148149</v>
      </c>
      <c r="R234" s="40">
        <v>0.0</v>
      </c>
      <c r="S234" s="40">
        <v>0.14285714285714285</v>
      </c>
      <c r="T234" s="40">
        <v>0.21428571428571427</v>
      </c>
    </row>
    <row r="235" ht="15.75" customHeight="1">
      <c r="F235" s="24"/>
      <c r="G235" s="19">
        <v>10.0</v>
      </c>
      <c r="H235" s="20">
        <v>7.0</v>
      </c>
      <c r="I235" s="20">
        <v>8.0</v>
      </c>
      <c r="J235" s="20">
        <v>1.0</v>
      </c>
      <c r="K235" s="20">
        <v>1.0</v>
      </c>
      <c r="L235" s="20">
        <v>6.0</v>
      </c>
      <c r="N235" s="23"/>
      <c r="O235" s="19">
        <v>10.0</v>
      </c>
      <c r="P235" s="40">
        <v>0.028</v>
      </c>
      <c r="Q235" s="40">
        <v>0.05925925925925926</v>
      </c>
      <c r="R235" s="40">
        <v>0.5</v>
      </c>
      <c r="S235" s="40">
        <v>0.07142857142857142</v>
      </c>
      <c r="T235" s="40">
        <v>0.14285714285714285</v>
      </c>
    </row>
    <row r="236" ht="15.75" customHeight="1">
      <c r="F236" s="24"/>
      <c r="G236" s="19">
        <v>11.0</v>
      </c>
      <c r="H236" s="20">
        <v>17.0</v>
      </c>
      <c r="I236" s="20">
        <v>13.0</v>
      </c>
      <c r="J236" s="20">
        <v>0.0</v>
      </c>
      <c r="K236" s="20">
        <v>2.0</v>
      </c>
      <c r="L236" s="20">
        <v>4.0</v>
      </c>
      <c r="N236" s="23"/>
      <c r="O236" s="19">
        <v>11.0</v>
      </c>
      <c r="P236" s="40">
        <v>0.068</v>
      </c>
      <c r="Q236" s="40">
        <v>0.0962962962962963</v>
      </c>
      <c r="R236" s="40">
        <v>0.0</v>
      </c>
      <c r="S236" s="40">
        <v>0.14285714285714285</v>
      </c>
      <c r="T236" s="40">
        <v>0.09523809523809523</v>
      </c>
    </row>
    <row r="237" ht="15.75" customHeight="1">
      <c r="F237" s="24"/>
      <c r="G237" s="19">
        <v>12.0</v>
      </c>
      <c r="H237" s="20">
        <v>16.0</v>
      </c>
      <c r="I237" s="20">
        <v>9.0</v>
      </c>
      <c r="J237" s="20">
        <v>0.0</v>
      </c>
      <c r="K237" s="20">
        <v>1.0</v>
      </c>
      <c r="L237" s="20">
        <v>6.0</v>
      </c>
      <c r="N237" s="23"/>
      <c r="O237" s="19">
        <v>12.0</v>
      </c>
      <c r="P237" s="40">
        <v>0.064</v>
      </c>
      <c r="Q237" s="40">
        <v>0.06666666666666667</v>
      </c>
      <c r="R237" s="40">
        <v>0.0</v>
      </c>
      <c r="S237" s="40">
        <v>0.07142857142857142</v>
      </c>
      <c r="T237" s="40">
        <v>0.14285714285714285</v>
      </c>
    </row>
    <row r="238" ht="15.75" customHeight="1">
      <c r="F238" s="24"/>
      <c r="G238" s="19">
        <v>13.0</v>
      </c>
      <c r="H238" s="20">
        <v>8.0</v>
      </c>
      <c r="I238" s="20">
        <v>6.0</v>
      </c>
      <c r="J238" s="20">
        <v>0.0</v>
      </c>
      <c r="K238" s="20">
        <v>0.0</v>
      </c>
      <c r="L238" s="20">
        <v>1.0</v>
      </c>
      <c r="N238" s="23"/>
      <c r="O238" s="19">
        <v>13.0</v>
      </c>
      <c r="P238" s="40">
        <v>0.032</v>
      </c>
      <c r="Q238" s="40">
        <v>0.044444444444444446</v>
      </c>
      <c r="R238" s="40">
        <v>0.0</v>
      </c>
      <c r="S238" s="40">
        <v>0.0</v>
      </c>
      <c r="T238" s="40">
        <v>0.023809523809523808</v>
      </c>
    </row>
    <row r="239" ht="15.75" customHeight="1">
      <c r="F239" s="24"/>
      <c r="G239" s="19">
        <v>14.0</v>
      </c>
      <c r="H239" s="20">
        <v>13.0</v>
      </c>
      <c r="I239" s="20">
        <v>8.0</v>
      </c>
      <c r="J239" s="20">
        <v>0.0</v>
      </c>
      <c r="K239" s="20">
        <v>2.0</v>
      </c>
      <c r="L239" s="20">
        <v>3.0</v>
      </c>
      <c r="N239" s="23"/>
      <c r="O239" s="19">
        <v>14.0</v>
      </c>
      <c r="P239" s="40">
        <v>0.052</v>
      </c>
      <c r="Q239" s="40">
        <v>0.05925925925925926</v>
      </c>
      <c r="R239" s="40">
        <v>0.0</v>
      </c>
      <c r="S239" s="40">
        <v>0.14285714285714285</v>
      </c>
      <c r="T239" s="40">
        <v>0.07142857142857142</v>
      </c>
    </row>
    <row r="240" ht="15.75" customHeight="1">
      <c r="F240" s="24"/>
      <c r="G240" s="19">
        <v>15.0</v>
      </c>
      <c r="H240" s="20">
        <v>12.0</v>
      </c>
      <c r="I240" s="20">
        <v>18.0</v>
      </c>
      <c r="J240" s="20">
        <v>0.0</v>
      </c>
      <c r="K240" s="20">
        <v>2.0</v>
      </c>
      <c r="L240" s="20">
        <v>5.0</v>
      </c>
      <c r="N240" s="23"/>
      <c r="O240" s="19">
        <v>15.0</v>
      </c>
      <c r="P240" s="40">
        <v>0.048</v>
      </c>
      <c r="Q240" s="40">
        <v>0.13333333333333333</v>
      </c>
      <c r="R240" s="40">
        <v>0.0</v>
      </c>
      <c r="S240" s="40">
        <v>0.14285714285714285</v>
      </c>
      <c r="T240" s="40">
        <v>0.11904761904761904</v>
      </c>
    </row>
    <row r="241" ht="15.75" customHeight="1">
      <c r="F241" s="24"/>
      <c r="G241" s="19">
        <v>16.0</v>
      </c>
      <c r="H241" s="20">
        <v>24.0</v>
      </c>
      <c r="I241" s="20">
        <v>10.0</v>
      </c>
      <c r="J241" s="20">
        <v>0.0</v>
      </c>
      <c r="K241" s="20">
        <v>1.0</v>
      </c>
      <c r="L241" s="20">
        <v>2.0</v>
      </c>
      <c r="N241" s="23"/>
      <c r="O241" s="19">
        <v>16.0</v>
      </c>
      <c r="P241" s="40">
        <v>0.096</v>
      </c>
      <c r="Q241" s="40">
        <v>0.07407407407407407</v>
      </c>
      <c r="R241" s="40">
        <v>0.0</v>
      </c>
      <c r="S241" s="40">
        <v>0.07142857142857142</v>
      </c>
      <c r="T241" s="40">
        <v>0.047619047619047616</v>
      </c>
    </row>
    <row r="242" ht="15.75" customHeight="1">
      <c r="F242" s="24"/>
      <c r="G242" s="19">
        <v>17.0</v>
      </c>
      <c r="H242" s="20">
        <v>21.0</v>
      </c>
      <c r="I242" s="20">
        <v>7.0</v>
      </c>
      <c r="J242" s="20">
        <v>0.0</v>
      </c>
      <c r="K242" s="20">
        <v>0.0</v>
      </c>
      <c r="L242" s="20">
        <v>0.0</v>
      </c>
      <c r="N242" s="23"/>
      <c r="O242" s="19">
        <v>17.0</v>
      </c>
      <c r="P242" s="40">
        <v>0.084</v>
      </c>
      <c r="Q242" s="40">
        <v>0.05185185185185185</v>
      </c>
      <c r="R242" s="40">
        <v>0.0</v>
      </c>
      <c r="S242" s="40">
        <v>0.0</v>
      </c>
      <c r="T242" s="40">
        <v>0.0</v>
      </c>
    </row>
    <row r="243" ht="15.75" customHeight="1">
      <c r="F243" s="24"/>
      <c r="G243" s="19">
        <v>18.0</v>
      </c>
      <c r="H243" s="20">
        <v>13.0</v>
      </c>
      <c r="I243" s="20">
        <v>8.0</v>
      </c>
      <c r="J243" s="20">
        <v>0.0</v>
      </c>
      <c r="K243" s="20">
        <v>0.0</v>
      </c>
      <c r="L243" s="20">
        <v>1.0</v>
      </c>
      <c r="N243" s="23"/>
      <c r="O243" s="19">
        <v>18.0</v>
      </c>
      <c r="P243" s="40">
        <v>0.052</v>
      </c>
      <c r="Q243" s="40">
        <v>0.05925925925925926</v>
      </c>
      <c r="R243" s="40">
        <v>0.0</v>
      </c>
      <c r="S243" s="40">
        <v>0.0</v>
      </c>
      <c r="T243" s="40">
        <v>0.023809523809523808</v>
      </c>
    </row>
    <row r="244" ht="15.75" customHeight="1">
      <c r="F244" s="24"/>
      <c r="G244" s="19">
        <v>19.0</v>
      </c>
      <c r="H244" s="20">
        <v>14.0</v>
      </c>
      <c r="I244" s="20">
        <v>2.0</v>
      </c>
      <c r="J244" s="20">
        <v>0.0</v>
      </c>
      <c r="K244" s="20">
        <v>0.0</v>
      </c>
      <c r="L244" s="20">
        <v>0.0</v>
      </c>
      <c r="N244" s="23"/>
      <c r="O244" s="19">
        <v>19.0</v>
      </c>
      <c r="P244" s="40">
        <v>0.056</v>
      </c>
      <c r="Q244" s="40">
        <v>0.014814814814814815</v>
      </c>
      <c r="R244" s="40">
        <v>0.0</v>
      </c>
      <c r="S244" s="40">
        <v>0.0</v>
      </c>
      <c r="T244" s="40">
        <v>0.0</v>
      </c>
    </row>
    <row r="245" ht="15.75" customHeight="1">
      <c r="F245" s="24"/>
      <c r="G245" s="19">
        <v>20.0</v>
      </c>
      <c r="H245" s="20">
        <v>9.0</v>
      </c>
      <c r="I245" s="20">
        <v>5.0</v>
      </c>
      <c r="J245" s="20">
        <v>0.0</v>
      </c>
      <c r="K245" s="20">
        <v>0.0</v>
      </c>
      <c r="L245" s="20">
        <v>0.0</v>
      </c>
      <c r="N245" s="23"/>
      <c r="O245" s="19">
        <v>20.0</v>
      </c>
      <c r="P245" s="40">
        <v>0.036</v>
      </c>
      <c r="Q245" s="40">
        <v>0.037037037037037035</v>
      </c>
      <c r="R245" s="40">
        <v>0.0</v>
      </c>
      <c r="S245" s="40">
        <v>0.0</v>
      </c>
      <c r="T245" s="40">
        <v>0.0</v>
      </c>
    </row>
    <row r="246" ht="15.75" customHeight="1">
      <c r="F246" s="24"/>
      <c r="G246" s="19">
        <v>21.0</v>
      </c>
      <c r="H246" s="20">
        <v>10.0</v>
      </c>
      <c r="I246" s="20">
        <v>4.0</v>
      </c>
      <c r="J246" s="20">
        <v>0.0</v>
      </c>
      <c r="K246" s="20">
        <v>0.0</v>
      </c>
      <c r="L246" s="20">
        <v>0.0</v>
      </c>
      <c r="N246" s="23"/>
      <c r="O246" s="19">
        <v>21.0</v>
      </c>
      <c r="P246" s="40">
        <v>0.04</v>
      </c>
      <c r="Q246" s="40">
        <v>0.02962962962962963</v>
      </c>
      <c r="R246" s="40">
        <v>0.0</v>
      </c>
      <c r="S246" s="40">
        <v>0.0</v>
      </c>
      <c r="T246" s="40">
        <v>0.0</v>
      </c>
    </row>
    <row r="247" ht="15.75" customHeight="1">
      <c r="F247" s="24"/>
      <c r="G247" s="19">
        <v>22.0</v>
      </c>
      <c r="H247" s="20">
        <v>2.0</v>
      </c>
      <c r="I247" s="20">
        <v>2.0</v>
      </c>
      <c r="J247" s="20">
        <v>0.0</v>
      </c>
      <c r="K247" s="20">
        <v>1.0</v>
      </c>
      <c r="L247" s="20">
        <v>0.0</v>
      </c>
      <c r="N247" s="23"/>
      <c r="O247" s="19">
        <v>22.0</v>
      </c>
      <c r="P247" s="40">
        <v>0.008</v>
      </c>
      <c r="Q247" s="40">
        <v>0.014814814814814815</v>
      </c>
      <c r="R247" s="40">
        <v>0.0</v>
      </c>
      <c r="S247" s="40">
        <v>0.07142857142857142</v>
      </c>
      <c r="T247" s="40">
        <v>0.0</v>
      </c>
    </row>
    <row r="248" ht="15.75" customHeight="1">
      <c r="F248" s="28"/>
      <c r="G248" s="71">
        <v>23.0</v>
      </c>
      <c r="H248" s="20">
        <v>3.0</v>
      </c>
      <c r="I248" s="20">
        <v>1.0</v>
      </c>
      <c r="J248" s="20">
        <v>0.0</v>
      </c>
      <c r="K248" s="20">
        <v>0.0</v>
      </c>
      <c r="L248" s="20">
        <v>0.0</v>
      </c>
      <c r="N248" s="27"/>
      <c r="O248" s="19">
        <v>23.0</v>
      </c>
      <c r="P248" s="40">
        <v>0.012</v>
      </c>
      <c r="Q248" s="40">
        <v>0.007407407407407408</v>
      </c>
      <c r="R248" s="40">
        <v>0.0</v>
      </c>
      <c r="S248" s="40">
        <v>0.0</v>
      </c>
      <c r="T248" s="40">
        <v>0.0</v>
      </c>
    </row>
    <row r="249" ht="15.75" customHeight="1">
      <c r="F249" s="39">
        <v>45204.0</v>
      </c>
      <c r="G249" s="19">
        <v>0.0</v>
      </c>
      <c r="H249" s="20">
        <v>6.0</v>
      </c>
      <c r="I249" s="20">
        <v>0.0</v>
      </c>
      <c r="J249" s="20">
        <v>0.0</v>
      </c>
      <c r="K249" s="20">
        <v>0.0</v>
      </c>
      <c r="L249" s="20">
        <v>0.0</v>
      </c>
      <c r="N249" s="39">
        <v>45204.0</v>
      </c>
      <c r="O249" s="19">
        <v>0.0</v>
      </c>
      <c r="P249" s="40">
        <v>0.041666666666666664</v>
      </c>
      <c r="Q249" s="40">
        <v>0.0</v>
      </c>
      <c r="R249" s="40" t="e">
        <v>#DIV/0!</v>
      </c>
      <c r="S249" s="40">
        <v>0.0</v>
      </c>
      <c r="T249" s="40" t="e">
        <v>#DIV/0!</v>
      </c>
    </row>
    <row r="250" ht="15.75" customHeight="1">
      <c r="F250" s="24"/>
      <c r="G250" s="19">
        <v>1.0</v>
      </c>
      <c r="H250" s="20">
        <v>3.0</v>
      </c>
      <c r="I250" s="20">
        <v>0.0</v>
      </c>
      <c r="J250" s="20">
        <v>0.0</v>
      </c>
      <c r="K250" s="20">
        <v>0.0</v>
      </c>
      <c r="L250" s="20">
        <v>0.0</v>
      </c>
      <c r="N250" s="23"/>
      <c r="O250" s="19">
        <v>1.0</v>
      </c>
      <c r="P250" s="40">
        <v>0.020833333333333332</v>
      </c>
      <c r="Q250" s="40">
        <v>0.0</v>
      </c>
      <c r="R250" s="40" t="e">
        <v>#DIV/0!</v>
      </c>
      <c r="S250" s="40">
        <v>0.0</v>
      </c>
      <c r="T250" s="40" t="e">
        <v>#DIV/0!</v>
      </c>
    </row>
    <row r="251" ht="15.75" customHeight="1">
      <c r="F251" s="24"/>
      <c r="G251" s="19">
        <v>2.0</v>
      </c>
      <c r="H251" s="20">
        <v>0.0</v>
      </c>
      <c r="I251" s="20">
        <v>0.0</v>
      </c>
      <c r="J251" s="20">
        <v>0.0</v>
      </c>
      <c r="K251" s="20">
        <v>0.0</v>
      </c>
      <c r="L251" s="20">
        <v>0.0</v>
      </c>
      <c r="N251" s="23"/>
      <c r="O251" s="19">
        <v>2.0</v>
      </c>
      <c r="P251" s="40">
        <v>0.0</v>
      </c>
      <c r="Q251" s="40">
        <v>0.0</v>
      </c>
      <c r="R251" s="40" t="e">
        <v>#DIV/0!</v>
      </c>
      <c r="S251" s="40">
        <v>0.0</v>
      </c>
      <c r="T251" s="40" t="e">
        <v>#DIV/0!</v>
      </c>
    </row>
    <row r="252" ht="15.75" customHeight="1">
      <c r="F252" s="24"/>
      <c r="G252" s="19">
        <v>3.0</v>
      </c>
      <c r="H252" s="16">
        <v>1.0</v>
      </c>
      <c r="I252" s="16">
        <v>0.0</v>
      </c>
      <c r="J252" s="16">
        <v>0.0</v>
      </c>
      <c r="K252" s="16">
        <v>0.0</v>
      </c>
      <c r="L252" s="16">
        <v>0.0</v>
      </c>
      <c r="N252" s="23"/>
      <c r="O252" s="19">
        <v>3.0</v>
      </c>
      <c r="P252" s="40">
        <v>0.006944444444444444</v>
      </c>
      <c r="Q252" s="40">
        <v>0.0</v>
      </c>
      <c r="R252" s="40" t="e">
        <v>#DIV/0!</v>
      </c>
      <c r="S252" s="40">
        <v>0.0</v>
      </c>
      <c r="T252" s="40" t="e">
        <v>#DIV/0!</v>
      </c>
    </row>
    <row r="253" ht="15.75" customHeight="1">
      <c r="F253" s="24"/>
      <c r="G253" s="19">
        <v>4.0</v>
      </c>
      <c r="H253" s="20">
        <v>1.0</v>
      </c>
      <c r="I253" s="20">
        <v>1.0</v>
      </c>
      <c r="J253" s="20">
        <v>0.0</v>
      </c>
      <c r="K253" s="20">
        <v>0.0</v>
      </c>
      <c r="L253" s="20">
        <v>0.0</v>
      </c>
      <c r="N253" s="23"/>
      <c r="O253" s="19">
        <v>4.0</v>
      </c>
      <c r="P253" s="40">
        <v>0.006944444444444444</v>
      </c>
      <c r="Q253" s="40">
        <v>0.018867924528301886</v>
      </c>
      <c r="R253" s="40" t="e">
        <v>#DIV/0!</v>
      </c>
      <c r="S253" s="40">
        <v>0.0</v>
      </c>
      <c r="T253" s="40" t="e">
        <v>#DIV/0!</v>
      </c>
    </row>
    <row r="254" ht="15.75" customHeight="1">
      <c r="F254" s="24"/>
      <c r="G254" s="19">
        <v>5.0</v>
      </c>
      <c r="H254" s="20">
        <v>1.0</v>
      </c>
      <c r="I254" s="20">
        <v>0.0</v>
      </c>
      <c r="J254" s="20">
        <v>0.0</v>
      </c>
      <c r="K254" s="20">
        <v>0.0</v>
      </c>
      <c r="L254" s="20">
        <v>0.0</v>
      </c>
      <c r="N254" s="23"/>
      <c r="O254" s="19">
        <v>5.0</v>
      </c>
      <c r="P254" s="40">
        <v>0.006944444444444444</v>
      </c>
      <c r="Q254" s="40">
        <v>0.0</v>
      </c>
      <c r="R254" s="40" t="e">
        <v>#DIV/0!</v>
      </c>
      <c r="S254" s="40">
        <v>0.0</v>
      </c>
      <c r="T254" s="40" t="e">
        <v>#DIV/0!</v>
      </c>
    </row>
    <row r="255" ht="15.75" customHeight="1">
      <c r="F255" s="24"/>
      <c r="G255" s="19">
        <v>6.0</v>
      </c>
      <c r="H255" s="20">
        <v>1.0</v>
      </c>
      <c r="I255" s="20">
        <v>1.0</v>
      </c>
      <c r="J255" s="20">
        <v>0.0</v>
      </c>
      <c r="K255" s="20">
        <v>0.0</v>
      </c>
      <c r="L255" s="20">
        <v>0.0</v>
      </c>
      <c r="N255" s="23"/>
      <c r="O255" s="19">
        <v>6.0</v>
      </c>
      <c r="P255" s="40">
        <v>0.006944444444444444</v>
      </c>
      <c r="Q255" s="40">
        <v>0.018867924528301886</v>
      </c>
      <c r="R255" s="40" t="e">
        <v>#DIV/0!</v>
      </c>
      <c r="S255" s="40">
        <v>0.0</v>
      </c>
      <c r="T255" s="40" t="e">
        <v>#DIV/0!</v>
      </c>
    </row>
    <row r="256" ht="15.75" customHeight="1">
      <c r="F256" s="24"/>
      <c r="G256" s="19">
        <v>7.0</v>
      </c>
      <c r="H256" s="20">
        <v>8.0</v>
      </c>
      <c r="I256" s="20">
        <v>4.0</v>
      </c>
      <c r="J256" s="20">
        <v>0.0</v>
      </c>
      <c r="K256" s="20">
        <v>0.0</v>
      </c>
      <c r="L256" s="20">
        <v>0.0</v>
      </c>
      <c r="N256" s="23"/>
      <c r="O256" s="19">
        <v>7.0</v>
      </c>
      <c r="P256" s="40">
        <v>0.05555555555555555</v>
      </c>
      <c r="Q256" s="40">
        <v>0.07547169811320754</v>
      </c>
      <c r="R256" s="40" t="e">
        <v>#DIV/0!</v>
      </c>
      <c r="S256" s="40">
        <v>0.0</v>
      </c>
      <c r="T256" s="40" t="e">
        <v>#DIV/0!</v>
      </c>
    </row>
    <row r="257" ht="15.75" customHeight="1">
      <c r="F257" s="24"/>
      <c r="G257" s="19">
        <v>8.0</v>
      </c>
      <c r="H257" s="20">
        <v>9.0</v>
      </c>
      <c r="I257" s="20">
        <v>0.0</v>
      </c>
      <c r="J257" s="20">
        <v>0.0</v>
      </c>
      <c r="K257" s="20">
        <v>0.0</v>
      </c>
      <c r="L257" s="20">
        <v>0.0</v>
      </c>
      <c r="N257" s="23"/>
      <c r="O257" s="19">
        <v>8.0</v>
      </c>
      <c r="P257" s="40">
        <v>0.0625</v>
      </c>
      <c r="Q257" s="40">
        <v>0.0</v>
      </c>
      <c r="R257" s="40" t="e">
        <v>#DIV/0!</v>
      </c>
      <c r="S257" s="40">
        <v>0.0</v>
      </c>
      <c r="T257" s="40" t="e">
        <v>#DIV/0!</v>
      </c>
    </row>
    <row r="258" ht="15.75" customHeight="1">
      <c r="F258" s="24"/>
      <c r="G258" s="19">
        <v>9.0</v>
      </c>
      <c r="H258" s="20">
        <v>3.0</v>
      </c>
      <c r="I258" s="20">
        <v>2.0</v>
      </c>
      <c r="J258" s="20">
        <v>0.0</v>
      </c>
      <c r="K258" s="20">
        <v>1.0</v>
      </c>
      <c r="L258" s="20">
        <v>0.0</v>
      </c>
      <c r="N258" s="23"/>
      <c r="O258" s="19">
        <v>9.0</v>
      </c>
      <c r="P258" s="40">
        <v>0.020833333333333332</v>
      </c>
      <c r="Q258" s="40">
        <v>0.03773584905660377</v>
      </c>
      <c r="R258" s="40" t="e">
        <v>#DIV/0!</v>
      </c>
      <c r="S258" s="40">
        <v>0.3333333333333333</v>
      </c>
      <c r="T258" s="40" t="e">
        <v>#DIV/0!</v>
      </c>
    </row>
    <row r="259" ht="15.75" customHeight="1">
      <c r="F259" s="24"/>
      <c r="G259" s="19">
        <v>10.0</v>
      </c>
      <c r="H259" s="20">
        <v>4.0</v>
      </c>
      <c r="I259" s="20">
        <v>3.0</v>
      </c>
      <c r="J259" s="20">
        <v>0.0</v>
      </c>
      <c r="K259" s="20">
        <v>0.0</v>
      </c>
      <c r="L259" s="20">
        <v>0.0</v>
      </c>
      <c r="N259" s="23"/>
      <c r="O259" s="19">
        <v>10.0</v>
      </c>
      <c r="P259" s="40">
        <v>0.027777777777777776</v>
      </c>
      <c r="Q259" s="40">
        <v>0.05660377358490566</v>
      </c>
      <c r="R259" s="40" t="e">
        <v>#DIV/0!</v>
      </c>
      <c r="S259" s="40">
        <v>0.0</v>
      </c>
      <c r="T259" s="40" t="e">
        <v>#DIV/0!</v>
      </c>
    </row>
    <row r="260" ht="15.75" customHeight="1">
      <c r="F260" s="24"/>
      <c r="G260" s="19">
        <v>11.0</v>
      </c>
      <c r="H260" s="20">
        <v>9.0</v>
      </c>
      <c r="I260" s="20">
        <v>1.0</v>
      </c>
      <c r="J260" s="20">
        <v>0.0</v>
      </c>
      <c r="K260" s="20">
        <v>0.0</v>
      </c>
      <c r="L260" s="20">
        <v>0.0</v>
      </c>
      <c r="N260" s="23"/>
      <c r="O260" s="19">
        <v>11.0</v>
      </c>
      <c r="P260" s="40">
        <v>0.0625</v>
      </c>
      <c r="Q260" s="40">
        <v>0.018867924528301886</v>
      </c>
      <c r="R260" s="40" t="e">
        <v>#DIV/0!</v>
      </c>
      <c r="S260" s="40">
        <v>0.0</v>
      </c>
      <c r="T260" s="40" t="e">
        <v>#DIV/0!</v>
      </c>
    </row>
    <row r="261" ht="15.75" customHeight="1">
      <c r="F261" s="24"/>
      <c r="G261" s="19">
        <v>12.0</v>
      </c>
      <c r="H261" s="20">
        <v>7.0</v>
      </c>
      <c r="I261" s="20">
        <v>7.0</v>
      </c>
      <c r="J261" s="20">
        <v>0.0</v>
      </c>
      <c r="K261" s="20">
        <v>0.0</v>
      </c>
      <c r="L261" s="20">
        <v>0.0</v>
      </c>
      <c r="N261" s="23"/>
      <c r="O261" s="19">
        <v>12.0</v>
      </c>
      <c r="P261" s="40">
        <v>0.04861111111111111</v>
      </c>
      <c r="Q261" s="40">
        <v>0.1320754716981132</v>
      </c>
      <c r="R261" s="40" t="e">
        <v>#DIV/0!</v>
      </c>
      <c r="S261" s="40">
        <v>0.0</v>
      </c>
      <c r="T261" s="40" t="e">
        <v>#DIV/0!</v>
      </c>
    </row>
    <row r="262" ht="15.75" customHeight="1">
      <c r="F262" s="24"/>
      <c r="G262" s="19">
        <v>13.0</v>
      </c>
      <c r="H262" s="20">
        <v>10.0</v>
      </c>
      <c r="I262" s="20">
        <v>1.0</v>
      </c>
      <c r="J262" s="20">
        <v>0.0</v>
      </c>
      <c r="K262" s="20">
        <v>0.0</v>
      </c>
      <c r="L262" s="20">
        <v>0.0</v>
      </c>
      <c r="N262" s="23"/>
      <c r="O262" s="19">
        <v>13.0</v>
      </c>
      <c r="P262" s="40">
        <v>0.06944444444444445</v>
      </c>
      <c r="Q262" s="40">
        <v>0.018867924528301886</v>
      </c>
      <c r="R262" s="40" t="e">
        <v>#DIV/0!</v>
      </c>
      <c r="S262" s="40">
        <v>0.0</v>
      </c>
      <c r="T262" s="40" t="e">
        <v>#DIV/0!</v>
      </c>
    </row>
    <row r="263" ht="15.75" customHeight="1">
      <c r="F263" s="24"/>
      <c r="G263" s="19">
        <v>14.0</v>
      </c>
      <c r="H263" s="20">
        <v>7.0</v>
      </c>
      <c r="I263" s="20">
        <v>2.0</v>
      </c>
      <c r="J263" s="20">
        <v>0.0</v>
      </c>
      <c r="K263" s="20">
        <v>0.0</v>
      </c>
      <c r="L263" s="20">
        <v>0.0</v>
      </c>
      <c r="N263" s="23"/>
      <c r="O263" s="19">
        <v>14.0</v>
      </c>
      <c r="P263" s="40">
        <v>0.04861111111111111</v>
      </c>
      <c r="Q263" s="40">
        <v>0.03773584905660377</v>
      </c>
      <c r="R263" s="40" t="e">
        <v>#DIV/0!</v>
      </c>
      <c r="S263" s="40">
        <v>0.0</v>
      </c>
      <c r="T263" s="40" t="e">
        <v>#DIV/0!</v>
      </c>
    </row>
    <row r="264" ht="15.75" customHeight="1">
      <c r="F264" s="24"/>
      <c r="G264" s="19">
        <v>15.0</v>
      </c>
      <c r="H264" s="20">
        <v>6.0</v>
      </c>
      <c r="I264" s="20">
        <v>6.0</v>
      </c>
      <c r="J264" s="20">
        <v>0.0</v>
      </c>
      <c r="K264" s="20">
        <v>0.0</v>
      </c>
      <c r="L264" s="20">
        <v>0.0</v>
      </c>
      <c r="N264" s="23"/>
      <c r="O264" s="19">
        <v>15.0</v>
      </c>
      <c r="P264" s="40">
        <v>0.041666666666666664</v>
      </c>
      <c r="Q264" s="40">
        <v>0.11320754716981132</v>
      </c>
      <c r="R264" s="40" t="e">
        <v>#DIV/0!</v>
      </c>
      <c r="S264" s="40">
        <v>0.0</v>
      </c>
      <c r="T264" s="40" t="e">
        <v>#DIV/0!</v>
      </c>
    </row>
    <row r="265" ht="15.75" customHeight="1">
      <c r="F265" s="24"/>
      <c r="G265" s="19">
        <v>16.0</v>
      </c>
      <c r="H265" s="20">
        <v>18.0</v>
      </c>
      <c r="I265" s="20">
        <v>5.0</v>
      </c>
      <c r="J265" s="20">
        <v>0.0</v>
      </c>
      <c r="K265" s="20">
        <v>0.0</v>
      </c>
      <c r="L265" s="20">
        <v>0.0</v>
      </c>
      <c r="N265" s="23"/>
      <c r="O265" s="19">
        <v>16.0</v>
      </c>
      <c r="P265" s="40">
        <v>0.125</v>
      </c>
      <c r="Q265" s="40">
        <v>0.09433962264150944</v>
      </c>
      <c r="R265" s="40" t="e">
        <v>#DIV/0!</v>
      </c>
      <c r="S265" s="40">
        <v>0.0</v>
      </c>
      <c r="T265" s="40" t="e">
        <v>#DIV/0!</v>
      </c>
    </row>
    <row r="266" ht="15.75" customHeight="1">
      <c r="F266" s="24"/>
      <c r="G266" s="19">
        <v>17.0</v>
      </c>
      <c r="H266" s="20">
        <v>18.0</v>
      </c>
      <c r="I266" s="20">
        <v>4.0</v>
      </c>
      <c r="J266" s="20">
        <v>0.0</v>
      </c>
      <c r="K266" s="20">
        <v>0.0</v>
      </c>
      <c r="L266" s="20">
        <v>0.0</v>
      </c>
      <c r="N266" s="23"/>
      <c r="O266" s="19">
        <v>17.0</v>
      </c>
      <c r="P266" s="40">
        <v>0.125</v>
      </c>
      <c r="Q266" s="40">
        <v>0.07547169811320754</v>
      </c>
      <c r="R266" s="40" t="e">
        <v>#DIV/0!</v>
      </c>
      <c r="S266" s="40">
        <v>0.0</v>
      </c>
      <c r="T266" s="40" t="e">
        <v>#DIV/0!</v>
      </c>
    </row>
    <row r="267" ht="15.75" customHeight="1">
      <c r="F267" s="24"/>
      <c r="G267" s="19">
        <v>18.0</v>
      </c>
      <c r="H267" s="20">
        <v>8.0</v>
      </c>
      <c r="I267" s="20">
        <v>3.0</v>
      </c>
      <c r="J267" s="20">
        <v>0.0</v>
      </c>
      <c r="K267" s="20">
        <v>0.0</v>
      </c>
      <c r="L267" s="20">
        <v>0.0</v>
      </c>
      <c r="N267" s="23"/>
      <c r="O267" s="19">
        <v>18.0</v>
      </c>
      <c r="P267" s="40">
        <v>0.05555555555555555</v>
      </c>
      <c r="Q267" s="40">
        <v>0.05660377358490566</v>
      </c>
      <c r="R267" s="40" t="e">
        <v>#DIV/0!</v>
      </c>
      <c r="S267" s="40">
        <v>0.0</v>
      </c>
      <c r="T267" s="40" t="e">
        <v>#DIV/0!</v>
      </c>
    </row>
    <row r="268" ht="15.75" customHeight="1">
      <c r="F268" s="24"/>
      <c r="G268" s="19">
        <v>19.0</v>
      </c>
      <c r="H268" s="20">
        <v>5.0</v>
      </c>
      <c r="I268" s="20">
        <v>4.0</v>
      </c>
      <c r="J268" s="20">
        <v>0.0</v>
      </c>
      <c r="K268" s="20">
        <v>1.0</v>
      </c>
      <c r="L268" s="20">
        <v>0.0</v>
      </c>
      <c r="N268" s="23"/>
      <c r="O268" s="19">
        <v>19.0</v>
      </c>
      <c r="P268" s="40">
        <v>0.034722222222222224</v>
      </c>
      <c r="Q268" s="40">
        <v>0.07547169811320754</v>
      </c>
      <c r="R268" s="40" t="e">
        <v>#DIV/0!</v>
      </c>
      <c r="S268" s="40">
        <v>0.3333333333333333</v>
      </c>
      <c r="T268" s="40" t="e">
        <v>#DIV/0!</v>
      </c>
    </row>
    <row r="269" ht="15.75" customHeight="1">
      <c r="F269" s="24"/>
      <c r="G269" s="19">
        <v>20.0</v>
      </c>
      <c r="H269" s="20">
        <v>9.0</v>
      </c>
      <c r="I269" s="20">
        <v>5.0</v>
      </c>
      <c r="J269" s="20">
        <v>0.0</v>
      </c>
      <c r="K269" s="20">
        <v>0.0</v>
      </c>
      <c r="L269" s="20">
        <v>0.0</v>
      </c>
      <c r="N269" s="23"/>
      <c r="O269" s="19">
        <v>20.0</v>
      </c>
      <c r="P269" s="40">
        <v>0.0625</v>
      </c>
      <c r="Q269" s="40">
        <v>0.09433962264150944</v>
      </c>
      <c r="R269" s="40" t="e">
        <v>#DIV/0!</v>
      </c>
      <c r="S269" s="40">
        <v>0.0</v>
      </c>
      <c r="T269" s="40" t="e">
        <v>#DIV/0!</v>
      </c>
    </row>
    <row r="270" ht="15.75" customHeight="1">
      <c r="F270" s="24"/>
      <c r="G270" s="19">
        <v>21.0</v>
      </c>
      <c r="H270" s="20">
        <v>3.0</v>
      </c>
      <c r="I270" s="20">
        <v>2.0</v>
      </c>
      <c r="J270" s="20">
        <v>0.0</v>
      </c>
      <c r="K270" s="20">
        <v>1.0</v>
      </c>
      <c r="L270" s="20">
        <v>0.0</v>
      </c>
      <c r="N270" s="23"/>
      <c r="O270" s="19">
        <v>21.0</v>
      </c>
      <c r="P270" s="40">
        <v>0.020833333333333332</v>
      </c>
      <c r="Q270" s="40">
        <v>0.03773584905660377</v>
      </c>
      <c r="R270" s="40" t="e">
        <v>#DIV/0!</v>
      </c>
      <c r="S270" s="40">
        <v>0.3333333333333333</v>
      </c>
      <c r="T270" s="40" t="e">
        <v>#DIV/0!</v>
      </c>
    </row>
    <row r="271" ht="15.75" customHeight="1">
      <c r="F271" s="24"/>
      <c r="G271" s="19">
        <v>22.0</v>
      </c>
      <c r="H271" s="20">
        <v>4.0</v>
      </c>
      <c r="I271" s="20">
        <v>1.0</v>
      </c>
      <c r="J271" s="20">
        <v>0.0</v>
      </c>
      <c r="K271" s="20">
        <v>0.0</v>
      </c>
      <c r="L271" s="20">
        <v>0.0</v>
      </c>
      <c r="N271" s="23"/>
      <c r="O271" s="19">
        <v>22.0</v>
      </c>
      <c r="P271" s="40">
        <v>0.027777777777777776</v>
      </c>
      <c r="Q271" s="40">
        <v>0.018867924528301886</v>
      </c>
      <c r="R271" s="40" t="e">
        <v>#DIV/0!</v>
      </c>
      <c r="S271" s="40">
        <v>0.0</v>
      </c>
      <c r="T271" s="40" t="e">
        <v>#DIV/0!</v>
      </c>
    </row>
    <row r="272" ht="15.75" customHeight="1">
      <c r="F272" s="28"/>
      <c r="G272" s="71">
        <v>23.0</v>
      </c>
      <c r="H272" s="20">
        <v>3.0</v>
      </c>
      <c r="I272" s="20">
        <v>1.0</v>
      </c>
      <c r="J272" s="20">
        <v>0.0</v>
      </c>
      <c r="K272" s="20">
        <v>0.0</v>
      </c>
      <c r="L272" s="20">
        <v>0.0</v>
      </c>
      <c r="N272" s="27"/>
      <c r="O272" s="19">
        <v>23.0</v>
      </c>
      <c r="P272" s="40">
        <v>0.020833333333333332</v>
      </c>
      <c r="Q272" s="40">
        <v>0.018867924528301886</v>
      </c>
      <c r="R272" s="40" t="e">
        <v>#DIV/0!</v>
      </c>
      <c r="S272" s="40">
        <v>0.0</v>
      </c>
      <c r="T272" s="40" t="e">
        <v>#DIV/0!</v>
      </c>
    </row>
    <row r="273" ht="15.75" customHeight="1">
      <c r="F273" s="39">
        <v>45205.0</v>
      </c>
      <c r="G273" s="19">
        <v>0.0</v>
      </c>
      <c r="H273" s="19">
        <v>3.0</v>
      </c>
      <c r="I273" s="19">
        <v>1.0</v>
      </c>
      <c r="J273" s="19">
        <v>0.0</v>
      </c>
      <c r="K273" s="19">
        <v>0.0</v>
      </c>
      <c r="L273" s="19">
        <v>0.0</v>
      </c>
      <c r="N273" s="39">
        <v>45205.0</v>
      </c>
      <c r="O273" s="19">
        <v>0.0</v>
      </c>
      <c r="P273" s="44">
        <v>0.009259259259259259</v>
      </c>
      <c r="Q273" s="44">
        <v>0.009259259259259259</v>
      </c>
      <c r="R273" s="44">
        <v>0.0</v>
      </c>
      <c r="S273" s="44">
        <v>0.0</v>
      </c>
      <c r="T273" s="44">
        <v>0.0</v>
      </c>
    </row>
    <row r="274" ht="15.75" customHeight="1">
      <c r="F274" s="24"/>
      <c r="G274" s="19">
        <v>1.0</v>
      </c>
      <c r="H274" s="27">
        <v>2.0</v>
      </c>
      <c r="I274" s="27">
        <v>0.0</v>
      </c>
      <c r="J274" s="27">
        <v>0.0</v>
      </c>
      <c r="K274" s="27">
        <v>0.0</v>
      </c>
      <c r="L274" s="27">
        <v>0.0</v>
      </c>
      <c r="N274" s="23"/>
      <c r="O274" s="19">
        <v>1.0</v>
      </c>
      <c r="P274" s="44">
        <v>0.006172839506172839</v>
      </c>
      <c r="Q274" s="44">
        <v>0.0</v>
      </c>
      <c r="R274" s="44">
        <v>0.0</v>
      </c>
      <c r="S274" s="44">
        <v>0.0</v>
      </c>
      <c r="T274" s="44">
        <v>0.0</v>
      </c>
    </row>
    <row r="275" ht="15.75" customHeight="1">
      <c r="F275" s="24"/>
      <c r="G275" s="19">
        <v>2.0</v>
      </c>
      <c r="H275" s="45">
        <v>1.0</v>
      </c>
      <c r="I275" s="45">
        <v>0.0</v>
      </c>
      <c r="J275" s="45">
        <v>0.0</v>
      </c>
      <c r="K275" s="45">
        <v>0.0</v>
      </c>
      <c r="L275" s="45">
        <v>0.0</v>
      </c>
      <c r="N275" s="23"/>
      <c r="O275" s="19">
        <v>2.0</v>
      </c>
      <c r="P275" s="44">
        <v>0.0030864197530864196</v>
      </c>
      <c r="Q275" s="44">
        <v>0.0</v>
      </c>
      <c r="R275" s="44">
        <v>0.0</v>
      </c>
      <c r="S275" s="44">
        <v>0.0</v>
      </c>
      <c r="T275" s="44">
        <v>0.0</v>
      </c>
    </row>
    <row r="276" ht="15.75" customHeight="1">
      <c r="F276" s="24"/>
      <c r="G276" s="19">
        <v>3.0</v>
      </c>
      <c r="H276" s="45">
        <v>0.0</v>
      </c>
      <c r="I276" s="45">
        <v>0.0</v>
      </c>
      <c r="J276" s="45">
        <v>0.0</v>
      </c>
      <c r="K276" s="45">
        <v>0.0</v>
      </c>
      <c r="L276" s="45">
        <v>0.0</v>
      </c>
      <c r="N276" s="23"/>
      <c r="O276" s="19">
        <v>3.0</v>
      </c>
      <c r="P276" s="44">
        <v>0.0</v>
      </c>
      <c r="Q276" s="44">
        <v>0.0</v>
      </c>
      <c r="R276" s="44">
        <v>0.0</v>
      </c>
      <c r="S276" s="44">
        <v>0.0</v>
      </c>
      <c r="T276" s="44">
        <v>0.0</v>
      </c>
    </row>
    <row r="277" ht="15.75" customHeight="1">
      <c r="F277" s="24"/>
      <c r="G277" s="19">
        <v>4.0</v>
      </c>
      <c r="H277" s="45">
        <v>2.0</v>
      </c>
      <c r="I277" s="45">
        <v>1.0</v>
      </c>
      <c r="J277" s="45">
        <v>0.0</v>
      </c>
      <c r="K277" s="45">
        <v>0.0</v>
      </c>
      <c r="L277" s="45">
        <v>0.0</v>
      </c>
      <c r="N277" s="23"/>
      <c r="O277" s="19">
        <v>4.0</v>
      </c>
      <c r="P277" s="44">
        <v>0.006172839506172839</v>
      </c>
      <c r="Q277" s="44">
        <v>0.009259259259259259</v>
      </c>
      <c r="R277" s="44">
        <v>0.0</v>
      </c>
      <c r="S277" s="44">
        <v>0.0</v>
      </c>
      <c r="T277" s="44">
        <v>0.0</v>
      </c>
    </row>
    <row r="278" ht="15.75" customHeight="1">
      <c r="F278" s="24"/>
      <c r="G278" s="19">
        <v>5.0</v>
      </c>
      <c r="H278" s="45">
        <v>2.0</v>
      </c>
      <c r="I278" s="45">
        <v>0.0</v>
      </c>
      <c r="J278" s="45">
        <v>0.0</v>
      </c>
      <c r="K278" s="45">
        <v>1.0</v>
      </c>
      <c r="L278" s="45">
        <v>0.0</v>
      </c>
      <c r="N278" s="23"/>
      <c r="O278" s="19">
        <v>5.0</v>
      </c>
      <c r="P278" s="44">
        <v>0.006172839506172839</v>
      </c>
      <c r="Q278" s="44">
        <v>0.0</v>
      </c>
      <c r="R278" s="44">
        <v>0.0</v>
      </c>
      <c r="S278" s="44">
        <v>0.125</v>
      </c>
      <c r="T278" s="44">
        <v>0.0</v>
      </c>
    </row>
    <row r="279" ht="15.75" customHeight="1">
      <c r="F279" s="24"/>
      <c r="G279" s="19">
        <v>6.0</v>
      </c>
      <c r="H279" s="45">
        <v>11.0</v>
      </c>
      <c r="I279" s="45">
        <v>2.0</v>
      </c>
      <c r="J279" s="45">
        <v>0.0</v>
      </c>
      <c r="K279" s="45">
        <v>0.0</v>
      </c>
      <c r="L279" s="45">
        <v>1.0</v>
      </c>
      <c r="N279" s="23"/>
      <c r="O279" s="19">
        <v>6.0</v>
      </c>
      <c r="P279" s="44">
        <v>0.033950617283950615</v>
      </c>
      <c r="Q279" s="44">
        <v>0.018518518518518517</v>
      </c>
      <c r="R279" s="44">
        <v>0.0</v>
      </c>
      <c r="S279" s="44">
        <v>0.0</v>
      </c>
      <c r="T279" s="44">
        <v>0.03125</v>
      </c>
    </row>
    <row r="280" ht="15.75" customHeight="1">
      <c r="F280" s="24"/>
      <c r="G280" s="19">
        <v>7.0</v>
      </c>
      <c r="H280" s="45">
        <v>36.0</v>
      </c>
      <c r="I280" s="45">
        <v>8.0</v>
      </c>
      <c r="J280" s="45">
        <v>1.0</v>
      </c>
      <c r="K280" s="45">
        <v>0.0</v>
      </c>
      <c r="L280" s="45">
        <v>0.0</v>
      </c>
      <c r="N280" s="23"/>
      <c r="O280" s="19">
        <v>7.0</v>
      </c>
      <c r="P280" s="44">
        <v>0.1111111111111111</v>
      </c>
      <c r="Q280" s="44">
        <v>0.07407407407407407</v>
      </c>
      <c r="R280" s="44">
        <v>0.5</v>
      </c>
      <c r="S280" s="44">
        <v>0.0</v>
      </c>
      <c r="T280" s="44">
        <v>0.0</v>
      </c>
    </row>
    <row r="281" ht="15.75" customHeight="1">
      <c r="F281" s="24"/>
      <c r="G281" s="19">
        <v>8.0</v>
      </c>
      <c r="H281" s="45">
        <v>16.0</v>
      </c>
      <c r="I281" s="45">
        <v>9.0</v>
      </c>
      <c r="J281" s="45">
        <v>0.0</v>
      </c>
      <c r="K281" s="45">
        <v>0.0</v>
      </c>
      <c r="L281" s="45">
        <v>4.0</v>
      </c>
      <c r="N281" s="23"/>
      <c r="O281" s="19">
        <v>8.0</v>
      </c>
      <c r="P281" s="44">
        <v>0.04938271604938271</v>
      </c>
      <c r="Q281" s="44">
        <v>0.08333333333333333</v>
      </c>
      <c r="R281" s="44">
        <v>0.0</v>
      </c>
      <c r="S281" s="44">
        <v>0.0</v>
      </c>
      <c r="T281" s="44">
        <v>0.125</v>
      </c>
    </row>
    <row r="282" ht="15.75" customHeight="1">
      <c r="F282" s="24"/>
      <c r="G282" s="19">
        <v>9.0</v>
      </c>
      <c r="H282" s="45">
        <v>14.0</v>
      </c>
      <c r="I282" s="45">
        <v>5.0</v>
      </c>
      <c r="J282" s="45">
        <v>0.0</v>
      </c>
      <c r="K282" s="45">
        <v>0.0</v>
      </c>
      <c r="L282" s="45">
        <v>3.0</v>
      </c>
      <c r="N282" s="23"/>
      <c r="O282" s="19">
        <v>9.0</v>
      </c>
      <c r="P282" s="44">
        <v>0.043209876543209874</v>
      </c>
      <c r="Q282" s="44">
        <v>0.046296296296296294</v>
      </c>
      <c r="R282" s="44">
        <v>0.0</v>
      </c>
      <c r="S282" s="44">
        <v>0.0</v>
      </c>
      <c r="T282" s="44">
        <v>0.09375</v>
      </c>
    </row>
    <row r="283" ht="15.75" customHeight="1">
      <c r="F283" s="24"/>
      <c r="G283" s="19">
        <v>10.0</v>
      </c>
      <c r="H283" s="45">
        <v>13.0</v>
      </c>
      <c r="I283" s="45">
        <v>5.0</v>
      </c>
      <c r="J283" s="45">
        <v>0.0</v>
      </c>
      <c r="K283" s="45">
        <v>0.0</v>
      </c>
      <c r="L283" s="45">
        <v>4.0</v>
      </c>
      <c r="N283" s="23"/>
      <c r="O283" s="19">
        <v>10.0</v>
      </c>
      <c r="P283" s="44">
        <v>0.040123456790123455</v>
      </c>
      <c r="Q283" s="44">
        <v>0.046296296296296294</v>
      </c>
      <c r="R283" s="44">
        <v>0.0</v>
      </c>
      <c r="S283" s="44">
        <v>0.0</v>
      </c>
      <c r="T283" s="44">
        <v>0.125</v>
      </c>
    </row>
    <row r="284" ht="15.75" customHeight="1">
      <c r="F284" s="24"/>
      <c r="G284" s="19">
        <v>11.0</v>
      </c>
      <c r="H284" s="45">
        <v>20.0</v>
      </c>
      <c r="I284" s="45">
        <v>5.0</v>
      </c>
      <c r="J284" s="45">
        <v>0.0</v>
      </c>
      <c r="K284" s="45">
        <v>1.0</v>
      </c>
      <c r="L284" s="45">
        <v>4.0</v>
      </c>
      <c r="N284" s="23"/>
      <c r="O284" s="19">
        <v>11.0</v>
      </c>
      <c r="P284" s="44">
        <v>0.06172839506172839</v>
      </c>
      <c r="Q284" s="44">
        <v>0.046296296296296294</v>
      </c>
      <c r="R284" s="44">
        <v>0.0</v>
      </c>
      <c r="S284" s="44">
        <v>0.125</v>
      </c>
      <c r="T284" s="44">
        <v>0.125</v>
      </c>
    </row>
    <row r="285" ht="15.75" customHeight="1">
      <c r="F285" s="24"/>
      <c r="G285" s="19">
        <v>12.0</v>
      </c>
      <c r="H285" s="45">
        <v>19.0</v>
      </c>
      <c r="I285" s="45">
        <v>8.0</v>
      </c>
      <c r="J285" s="45">
        <v>0.0</v>
      </c>
      <c r="K285" s="45">
        <v>1.0</v>
      </c>
      <c r="L285" s="45">
        <v>2.0</v>
      </c>
      <c r="N285" s="23"/>
      <c r="O285" s="19">
        <v>12.0</v>
      </c>
      <c r="P285" s="44">
        <v>0.05864197530864197</v>
      </c>
      <c r="Q285" s="44">
        <v>0.07407407407407407</v>
      </c>
      <c r="R285" s="44">
        <v>0.0</v>
      </c>
      <c r="S285" s="44">
        <v>0.125</v>
      </c>
      <c r="T285" s="44">
        <v>0.0625</v>
      </c>
    </row>
    <row r="286" ht="15.75" customHeight="1">
      <c r="F286" s="24"/>
      <c r="G286" s="19">
        <v>13.0</v>
      </c>
      <c r="H286" s="45">
        <v>15.0</v>
      </c>
      <c r="I286" s="45">
        <v>3.0</v>
      </c>
      <c r="J286" s="45">
        <v>0.0</v>
      </c>
      <c r="K286" s="45">
        <v>1.0</v>
      </c>
      <c r="L286" s="45">
        <v>3.0</v>
      </c>
      <c r="N286" s="23"/>
      <c r="O286" s="19">
        <v>13.0</v>
      </c>
      <c r="P286" s="44">
        <v>0.046296296296296294</v>
      </c>
      <c r="Q286" s="44">
        <v>0.027777777777777776</v>
      </c>
      <c r="R286" s="44">
        <v>0.0</v>
      </c>
      <c r="S286" s="44">
        <v>0.125</v>
      </c>
      <c r="T286" s="44">
        <v>0.09375</v>
      </c>
    </row>
    <row r="287" ht="15.75" customHeight="1">
      <c r="F287" s="24"/>
      <c r="G287" s="19">
        <v>14.0</v>
      </c>
      <c r="H287" s="45">
        <v>14.0</v>
      </c>
      <c r="I287" s="45">
        <v>2.0</v>
      </c>
      <c r="J287" s="45">
        <v>0.0</v>
      </c>
      <c r="K287" s="45">
        <v>1.0</v>
      </c>
      <c r="L287" s="45">
        <v>2.0</v>
      </c>
      <c r="N287" s="23"/>
      <c r="O287" s="19">
        <v>14.0</v>
      </c>
      <c r="P287" s="44">
        <v>0.043209876543209874</v>
      </c>
      <c r="Q287" s="44">
        <v>0.018518518518518517</v>
      </c>
      <c r="R287" s="44">
        <v>0.0</v>
      </c>
      <c r="S287" s="44">
        <v>0.125</v>
      </c>
      <c r="T287" s="44">
        <v>0.0625</v>
      </c>
    </row>
    <row r="288" ht="15.75" customHeight="1">
      <c r="F288" s="24"/>
      <c r="G288" s="19">
        <v>15.0</v>
      </c>
      <c r="H288" s="45">
        <v>17.0</v>
      </c>
      <c r="I288" s="45">
        <v>2.0</v>
      </c>
      <c r="J288" s="45">
        <v>0.0</v>
      </c>
      <c r="K288" s="45">
        <v>0.0</v>
      </c>
      <c r="L288" s="45">
        <v>4.0</v>
      </c>
      <c r="N288" s="23"/>
      <c r="O288" s="19">
        <v>15.0</v>
      </c>
      <c r="P288" s="44">
        <v>0.05246913580246913</v>
      </c>
      <c r="Q288" s="44">
        <v>0.018518518518518517</v>
      </c>
      <c r="R288" s="44">
        <v>0.0</v>
      </c>
      <c r="S288" s="44">
        <v>0.0</v>
      </c>
      <c r="T288" s="44">
        <v>0.125</v>
      </c>
    </row>
    <row r="289" ht="15.75" customHeight="1">
      <c r="F289" s="24"/>
      <c r="G289" s="19">
        <v>16.0</v>
      </c>
      <c r="H289" s="45">
        <v>23.0</v>
      </c>
      <c r="I289" s="45">
        <v>14.0</v>
      </c>
      <c r="J289" s="45">
        <v>1.0</v>
      </c>
      <c r="K289" s="45">
        <v>1.0</v>
      </c>
      <c r="L289" s="45">
        <v>1.0</v>
      </c>
      <c r="N289" s="23"/>
      <c r="O289" s="19">
        <v>16.0</v>
      </c>
      <c r="P289" s="44">
        <v>0.07098765432098765</v>
      </c>
      <c r="Q289" s="44">
        <v>0.12962962962962962</v>
      </c>
      <c r="R289" s="44">
        <v>0.5</v>
      </c>
      <c r="S289" s="44">
        <v>0.125</v>
      </c>
      <c r="T289" s="44">
        <v>0.03125</v>
      </c>
    </row>
    <row r="290" ht="15.75" customHeight="1">
      <c r="F290" s="24"/>
      <c r="G290" s="19">
        <v>17.0</v>
      </c>
      <c r="H290" s="45">
        <v>32.0</v>
      </c>
      <c r="I290" s="45">
        <v>10.0</v>
      </c>
      <c r="J290" s="45">
        <v>0.0</v>
      </c>
      <c r="K290" s="45">
        <v>1.0</v>
      </c>
      <c r="L290" s="45">
        <v>2.0</v>
      </c>
      <c r="N290" s="23"/>
      <c r="O290" s="19">
        <v>17.0</v>
      </c>
      <c r="P290" s="44">
        <v>0.09876543209876543</v>
      </c>
      <c r="Q290" s="44">
        <v>0.09259259259259259</v>
      </c>
      <c r="R290" s="44">
        <v>0.0</v>
      </c>
      <c r="S290" s="44">
        <v>0.125</v>
      </c>
      <c r="T290" s="44">
        <v>0.0625</v>
      </c>
    </row>
    <row r="291" ht="15.75" customHeight="1">
      <c r="F291" s="24"/>
      <c r="G291" s="19">
        <v>18.0</v>
      </c>
      <c r="H291" s="45">
        <v>17.0</v>
      </c>
      <c r="I291" s="45">
        <v>11.0</v>
      </c>
      <c r="J291" s="45">
        <v>0.0</v>
      </c>
      <c r="K291" s="45">
        <v>0.0</v>
      </c>
      <c r="L291" s="45">
        <v>1.0</v>
      </c>
      <c r="N291" s="23"/>
      <c r="O291" s="19">
        <v>18.0</v>
      </c>
      <c r="P291" s="44">
        <v>0.05246913580246913</v>
      </c>
      <c r="Q291" s="44">
        <v>0.10185185185185185</v>
      </c>
      <c r="R291" s="44">
        <v>0.0</v>
      </c>
      <c r="S291" s="44">
        <v>0.0</v>
      </c>
      <c r="T291" s="44">
        <v>0.03125</v>
      </c>
    </row>
    <row r="292" ht="15.75" customHeight="1">
      <c r="F292" s="24"/>
      <c r="G292" s="19">
        <v>19.0</v>
      </c>
      <c r="H292" s="45">
        <v>22.0</v>
      </c>
      <c r="I292" s="45">
        <v>9.0</v>
      </c>
      <c r="J292" s="45">
        <v>0.0</v>
      </c>
      <c r="K292" s="45">
        <v>0.0</v>
      </c>
      <c r="L292" s="45">
        <v>1.0</v>
      </c>
      <c r="N292" s="23"/>
      <c r="O292" s="19">
        <v>19.0</v>
      </c>
      <c r="P292" s="44">
        <v>0.06790123456790123</v>
      </c>
      <c r="Q292" s="44">
        <v>0.08333333333333333</v>
      </c>
      <c r="R292" s="44">
        <v>0.0</v>
      </c>
      <c r="S292" s="44">
        <v>0.0</v>
      </c>
      <c r="T292" s="44">
        <v>0.03125</v>
      </c>
    </row>
    <row r="293" ht="15.75" customHeight="1">
      <c r="F293" s="24"/>
      <c r="G293" s="19">
        <v>20.0</v>
      </c>
      <c r="H293" s="45">
        <v>13.0</v>
      </c>
      <c r="I293" s="45">
        <v>4.0</v>
      </c>
      <c r="J293" s="45">
        <v>0.0</v>
      </c>
      <c r="K293" s="45">
        <v>0.0</v>
      </c>
      <c r="L293" s="45">
        <v>0.0</v>
      </c>
      <c r="N293" s="23"/>
      <c r="O293" s="19">
        <v>20.0</v>
      </c>
      <c r="P293" s="44">
        <v>0.040123456790123455</v>
      </c>
      <c r="Q293" s="44">
        <v>0.037037037037037035</v>
      </c>
      <c r="R293" s="44">
        <v>0.0</v>
      </c>
      <c r="S293" s="44">
        <v>0.0</v>
      </c>
      <c r="T293" s="44">
        <v>0.0</v>
      </c>
    </row>
    <row r="294" ht="15.75" customHeight="1">
      <c r="F294" s="24"/>
      <c r="G294" s="19">
        <v>21.0</v>
      </c>
      <c r="H294" s="45">
        <v>17.0</v>
      </c>
      <c r="I294" s="45">
        <v>6.0</v>
      </c>
      <c r="J294" s="45">
        <v>0.0</v>
      </c>
      <c r="K294" s="45">
        <v>0.0</v>
      </c>
      <c r="L294" s="45">
        <v>0.0</v>
      </c>
      <c r="N294" s="23"/>
      <c r="O294" s="19">
        <v>21.0</v>
      </c>
      <c r="P294" s="44">
        <v>0.05246913580246913</v>
      </c>
      <c r="Q294" s="44">
        <v>0.05555555555555555</v>
      </c>
      <c r="R294" s="44">
        <v>0.0</v>
      </c>
      <c r="S294" s="44">
        <v>0.0</v>
      </c>
      <c r="T294" s="44">
        <v>0.0</v>
      </c>
    </row>
    <row r="295" ht="15.75" customHeight="1">
      <c r="F295" s="24"/>
      <c r="G295" s="19">
        <v>22.0</v>
      </c>
      <c r="H295" s="109">
        <v>8.0</v>
      </c>
      <c r="I295" s="109">
        <v>1.0</v>
      </c>
      <c r="J295" s="109">
        <v>0.0</v>
      </c>
      <c r="K295" s="109">
        <v>1.0</v>
      </c>
      <c r="L295" s="109">
        <v>0.0</v>
      </c>
      <c r="N295" s="23"/>
      <c r="O295" s="19">
        <v>22.0</v>
      </c>
      <c r="P295" s="44">
        <v>0.024691358024691357</v>
      </c>
      <c r="Q295" s="44">
        <v>0.009259259259259259</v>
      </c>
      <c r="R295" s="44">
        <v>0.0</v>
      </c>
      <c r="S295" s="44">
        <v>0.125</v>
      </c>
      <c r="T295" s="44">
        <v>0.0</v>
      </c>
    </row>
    <row r="296" ht="15.75" customHeight="1">
      <c r="F296" s="28"/>
      <c r="G296" s="71">
        <v>23.0</v>
      </c>
      <c r="H296" s="46">
        <v>7.0</v>
      </c>
      <c r="I296" s="46">
        <v>2.0</v>
      </c>
      <c r="J296" s="46">
        <v>0.0</v>
      </c>
      <c r="K296" s="46">
        <v>0.0</v>
      </c>
      <c r="L296" s="46">
        <v>0.0</v>
      </c>
      <c r="N296" s="27"/>
      <c r="O296" s="19">
        <v>23.0</v>
      </c>
      <c r="P296" s="44">
        <v>0.021604938271604937</v>
      </c>
      <c r="Q296" s="44">
        <v>0.018518518518518517</v>
      </c>
      <c r="R296" s="44">
        <v>0.0</v>
      </c>
      <c r="S296" s="44">
        <v>0.0</v>
      </c>
      <c r="T296" s="44">
        <v>0.0</v>
      </c>
    </row>
    <row r="297" ht="15.75" customHeight="1">
      <c r="F297" s="39">
        <v>45206.0</v>
      </c>
      <c r="G297" s="19">
        <v>0.0</v>
      </c>
      <c r="H297" s="20">
        <v>10.0</v>
      </c>
      <c r="I297" s="20">
        <v>1.0</v>
      </c>
      <c r="J297" s="20">
        <v>0.0</v>
      </c>
      <c r="K297" s="20">
        <v>0.0</v>
      </c>
      <c r="L297" s="20">
        <v>0.0</v>
      </c>
      <c r="N297" s="39">
        <v>45206.0</v>
      </c>
      <c r="O297" s="19">
        <v>0.0</v>
      </c>
      <c r="P297" s="40">
        <v>0.029154518950437316</v>
      </c>
      <c r="Q297" s="40">
        <v>0.00909090909090909</v>
      </c>
      <c r="R297" s="40">
        <v>0.0</v>
      </c>
      <c r="S297" s="40">
        <v>0.0</v>
      </c>
      <c r="T297" s="40">
        <v>0.0</v>
      </c>
    </row>
    <row r="298" ht="15.75" customHeight="1">
      <c r="F298" s="24"/>
      <c r="G298" s="19">
        <v>1.0</v>
      </c>
      <c r="H298" s="20">
        <v>4.0</v>
      </c>
      <c r="I298" s="20">
        <v>0.0</v>
      </c>
      <c r="J298" s="20">
        <v>0.0</v>
      </c>
      <c r="K298" s="20">
        <v>0.0</v>
      </c>
      <c r="L298" s="20">
        <v>0.0</v>
      </c>
      <c r="N298" s="23"/>
      <c r="O298" s="19">
        <v>1.0</v>
      </c>
      <c r="P298" s="40">
        <v>0.011661807580174927</v>
      </c>
      <c r="Q298" s="40">
        <v>0.0</v>
      </c>
      <c r="R298" s="40">
        <v>0.0</v>
      </c>
      <c r="S298" s="40">
        <v>0.0</v>
      </c>
      <c r="T298" s="40">
        <v>0.0</v>
      </c>
    </row>
    <row r="299" ht="15.75" customHeight="1">
      <c r="F299" s="24"/>
      <c r="G299" s="19">
        <v>2.0</v>
      </c>
      <c r="H299" s="34">
        <v>1.0</v>
      </c>
      <c r="I299" s="34">
        <v>0.0</v>
      </c>
      <c r="J299" s="34">
        <v>0.0</v>
      </c>
      <c r="K299" s="34">
        <v>0.0</v>
      </c>
      <c r="L299" s="34">
        <v>0.0</v>
      </c>
      <c r="N299" s="23"/>
      <c r="O299" s="19">
        <v>2.0</v>
      </c>
      <c r="P299" s="40">
        <v>0.0029154518950437317</v>
      </c>
      <c r="Q299" s="40">
        <v>0.0</v>
      </c>
      <c r="R299" s="40">
        <v>0.0</v>
      </c>
      <c r="S299" s="40">
        <v>0.0</v>
      </c>
      <c r="T299" s="40">
        <v>0.0</v>
      </c>
    </row>
    <row r="300" ht="15.75" customHeight="1">
      <c r="F300" s="24"/>
      <c r="G300" s="19">
        <v>3.0</v>
      </c>
      <c r="H300" s="20">
        <v>1.0</v>
      </c>
      <c r="I300" s="20">
        <v>1.0</v>
      </c>
      <c r="J300" s="20">
        <v>0.0</v>
      </c>
      <c r="K300" s="20">
        <v>0.0</v>
      </c>
      <c r="L300" s="20">
        <v>0.0</v>
      </c>
      <c r="N300" s="23"/>
      <c r="O300" s="19">
        <v>3.0</v>
      </c>
      <c r="P300" s="40">
        <v>0.0029154518950437317</v>
      </c>
      <c r="Q300" s="40">
        <v>0.00909090909090909</v>
      </c>
      <c r="R300" s="40">
        <v>0.0</v>
      </c>
      <c r="S300" s="40">
        <v>0.0</v>
      </c>
      <c r="T300" s="40">
        <v>0.0</v>
      </c>
    </row>
    <row r="301" ht="15.75" customHeight="1">
      <c r="F301" s="24"/>
      <c r="G301" s="19">
        <v>4.0</v>
      </c>
      <c r="H301" s="20">
        <v>4.0</v>
      </c>
      <c r="I301" s="20">
        <v>2.0</v>
      </c>
      <c r="J301" s="20">
        <v>0.0</v>
      </c>
      <c r="K301" s="20">
        <v>0.0</v>
      </c>
      <c r="L301" s="20">
        <v>0.0</v>
      </c>
      <c r="N301" s="23"/>
      <c r="O301" s="19">
        <v>4.0</v>
      </c>
      <c r="P301" s="40">
        <v>0.011661807580174927</v>
      </c>
      <c r="Q301" s="40">
        <v>0.01818181818181818</v>
      </c>
      <c r="R301" s="40">
        <v>0.0</v>
      </c>
      <c r="S301" s="40">
        <v>0.0</v>
      </c>
      <c r="T301" s="40">
        <v>0.0</v>
      </c>
    </row>
    <row r="302" ht="15.75" customHeight="1">
      <c r="F302" s="24"/>
      <c r="G302" s="19">
        <v>5.0</v>
      </c>
      <c r="H302" s="20">
        <v>4.0</v>
      </c>
      <c r="I302" s="20">
        <v>2.0</v>
      </c>
      <c r="J302" s="20">
        <v>0.0</v>
      </c>
      <c r="K302" s="20">
        <v>0.0</v>
      </c>
      <c r="L302" s="20">
        <v>2.0</v>
      </c>
      <c r="N302" s="23"/>
      <c r="O302" s="19">
        <v>5.0</v>
      </c>
      <c r="P302" s="40">
        <v>0.011661807580174927</v>
      </c>
      <c r="Q302" s="40">
        <v>0.01818181818181818</v>
      </c>
      <c r="R302" s="40">
        <v>0.0</v>
      </c>
      <c r="S302" s="40">
        <v>0.0</v>
      </c>
      <c r="T302" s="40">
        <v>0.06451612903225806</v>
      </c>
    </row>
    <row r="303" ht="15.75" customHeight="1">
      <c r="F303" s="24"/>
      <c r="G303" s="19">
        <v>6.0</v>
      </c>
      <c r="H303" s="20">
        <v>10.0</v>
      </c>
      <c r="I303" s="20">
        <v>5.0</v>
      </c>
      <c r="J303" s="20">
        <v>0.0</v>
      </c>
      <c r="K303" s="20">
        <v>0.0</v>
      </c>
      <c r="L303" s="20">
        <v>2.0</v>
      </c>
      <c r="N303" s="23"/>
      <c r="O303" s="19">
        <v>6.0</v>
      </c>
      <c r="P303" s="40">
        <v>0.029154518950437316</v>
      </c>
      <c r="Q303" s="40">
        <v>0.045454545454545456</v>
      </c>
      <c r="R303" s="40">
        <v>0.0</v>
      </c>
      <c r="S303" s="40">
        <v>0.0</v>
      </c>
      <c r="T303" s="40">
        <v>0.06451612903225806</v>
      </c>
    </row>
    <row r="304" ht="15.75" customHeight="1">
      <c r="F304" s="24"/>
      <c r="G304" s="19">
        <v>7.0</v>
      </c>
      <c r="H304" s="20">
        <v>13.0</v>
      </c>
      <c r="I304" s="20">
        <v>9.0</v>
      </c>
      <c r="J304" s="20">
        <v>0.0</v>
      </c>
      <c r="K304" s="20">
        <v>1.0</v>
      </c>
      <c r="L304" s="20">
        <v>2.0</v>
      </c>
      <c r="N304" s="23"/>
      <c r="O304" s="19">
        <v>7.0</v>
      </c>
      <c r="P304" s="40">
        <v>0.037900874635568516</v>
      </c>
      <c r="Q304" s="40">
        <v>0.08181818181818182</v>
      </c>
      <c r="R304" s="40">
        <v>0.0</v>
      </c>
      <c r="S304" s="40">
        <v>0.1</v>
      </c>
      <c r="T304" s="40">
        <v>0.06451612903225806</v>
      </c>
    </row>
    <row r="305" ht="15.75" customHeight="1">
      <c r="F305" s="24"/>
      <c r="G305" s="19">
        <v>8.0</v>
      </c>
      <c r="H305" s="20">
        <v>14.0</v>
      </c>
      <c r="I305" s="20">
        <v>6.0</v>
      </c>
      <c r="J305" s="20">
        <v>0.0</v>
      </c>
      <c r="K305" s="20">
        <v>0.0</v>
      </c>
      <c r="L305" s="20">
        <v>4.0</v>
      </c>
      <c r="N305" s="23"/>
      <c r="O305" s="19">
        <v>8.0</v>
      </c>
      <c r="P305" s="40">
        <v>0.04081632653061224</v>
      </c>
      <c r="Q305" s="40">
        <v>0.05454545454545454</v>
      </c>
      <c r="R305" s="40">
        <v>0.0</v>
      </c>
      <c r="S305" s="40">
        <v>0.0</v>
      </c>
      <c r="T305" s="40">
        <v>0.12903225806451613</v>
      </c>
    </row>
    <row r="306" ht="15.75" customHeight="1">
      <c r="F306" s="24"/>
      <c r="G306" s="19">
        <v>9.0</v>
      </c>
      <c r="H306" s="20">
        <v>17.0</v>
      </c>
      <c r="I306" s="20">
        <v>7.0</v>
      </c>
      <c r="J306" s="20">
        <v>0.0</v>
      </c>
      <c r="K306" s="20">
        <v>0.0</v>
      </c>
      <c r="L306" s="20">
        <v>1.0</v>
      </c>
      <c r="N306" s="23"/>
      <c r="O306" s="19">
        <v>9.0</v>
      </c>
      <c r="P306" s="40">
        <v>0.04956268221574344</v>
      </c>
      <c r="Q306" s="40">
        <v>0.06363636363636363</v>
      </c>
      <c r="R306" s="40">
        <v>0.0</v>
      </c>
      <c r="S306" s="40">
        <v>0.0</v>
      </c>
      <c r="T306" s="40">
        <v>0.03225806451612903</v>
      </c>
    </row>
    <row r="307" ht="15.75" customHeight="1">
      <c r="F307" s="24"/>
      <c r="G307" s="19">
        <v>10.0</v>
      </c>
      <c r="H307" s="20">
        <v>14.0</v>
      </c>
      <c r="I307" s="20">
        <v>4.0</v>
      </c>
      <c r="J307" s="20">
        <v>0.0</v>
      </c>
      <c r="K307" s="20">
        <v>1.0</v>
      </c>
      <c r="L307" s="20">
        <v>4.0</v>
      </c>
      <c r="N307" s="23"/>
      <c r="O307" s="19">
        <v>10.0</v>
      </c>
      <c r="P307" s="40">
        <v>0.04081632653061224</v>
      </c>
      <c r="Q307" s="40">
        <v>0.03636363636363636</v>
      </c>
      <c r="R307" s="40">
        <v>0.0</v>
      </c>
      <c r="S307" s="40">
        <v>0.1</v>
      </c>
      <c r="T307" s="40">
        <v>0.12903225806451613</v>
      </c>
    </row>
    <row r="308" ht="15.75" customHeight="1">
      <c r="F308" s="24"/>
      <c r="G308" s="19">
        <v>11.0</v>
      </c>
      <c r="H308" s="20">
        <v>29.0</v>
      </c>
      <c r="I308" s="20">
        <v>5.0</v>
      </c>
      <c r="J308" s="20">
        <v>0.0</v>
      </c>
      <c r="K308" s="20">
        <v>2.0</v>
      </c>
      <c r="L308" s="20">
        <v>2.0</v>
      </c>
      <c r="N308" s="23"/>
      <c r="O308" s="19">
        <v>11.0</v>
      </c>
      <c r="P308" s="40">
        <v>0.08454810495626822</v>
      </c>
      <c r="Q308" s="40">
        <v>0.045454545454545456</v>
      </c>
      <c r="R308" s="40">
        <v>0.0</v>
      </c>
      <c r="S308" s="40">
        <v>0.2</v>
      </c>
      <c r="T308" s="40">
        <v>0.06451612903225806</v>
      </c>
    </row>
    <row r="309" ht="15.75" customHeight="1">
      <c r="F309" s="24"/>
      <c r="G309" s="19">
        <v>12.0</v>
      </c>
      <c r="H309" s="20">
        <v>14.0</v>
      </c>
      <c r="I309" s="20">
        <v>9.0</v>
      </c>
      <c r="J309" s="20">
        <v>0.0</v>
      </c>
      <c r="K309" s="20">
        <v>0.0</v>
      </c>
      <c r="L309" s="20">
        <v>3.0</v>
      </c>
      <c r="N309" s="23"/>
      <c r="O309" s="19">
        <v>12.0</v>
      </c>
      <c r="P309" s="40">
        <v>0.04081632653061224</v>
      </c>
      <c r="Q309" s="40">
        <v>0.08181818181818182</v>
      </c>
      <c r="R309" s="40">
        <v>0.0</v>
      </c>
      <c r="S309" s="40">
        <v>0.0</v>
      </c>
      <c r="T309" s="40">
        <v>0.0967741935483871</v>
      </c>
    </row>
    <row r="310" ht="15.75" customHeight="1">
      <c r="F310" s="24"/>
      <c r="G310" s="19">
        <v>13.0</v>
      </c>
      <c r="H310" s="20">
        <v>30.0</v>
      </c>
      <c r="I310" s="20">
        <v>11.0</v>
      </c>
      <c r="J310" s="20">
        <v>0.0</v>
      </c>
      <c r="K310" s="20">
        <v>0.0</v>
      </c>
      <c r="L310" s="20">
        <v>2.0</v>
      </c>
      <c r="N310" s="23"/>
      <c r="O310" s="19">
        <v>13.0</v>
      </c>
      <c r="P310" s="40">
        <v>0.08746355685131195</v>
      </c>
      <c r="Q310" s="40">
        <v>0.1</v>
      </c>
      <c r="R310" s="40">
        <v>0.0</v>
      </c>
      <c r="S310" s="40">
        <v>0.0</v>
      </c>
      <c r="T310" s="40">
        <v>0.06451612903225806</v>
      </c>
    </row>
    <row r="311" ht="15.75" customHeight="1">
      <c r="F311" s="24"/>
      <c r="G311" s="19">
        <v>14.0</v>
      </c>
      <c r="H311" s="20">
        <v>14.0</v>
      </c>
      <c r="I311" s="20">
        <v>8.0</v>
      </c>
      <c r="J311" s="20">
        <v>0.0</v>
      </c>
      <c r="K311" s="20">
        <v>1.0</v>
      </c>
      <c r="L311" s="20">
        <v>3.0</v>
      </c>
      <c r="N311" s="23"/>
      <c r="O311" s="19">
        <v>14.0</v>
      </c>
      <c r="P311" s="40">
        <v>0.04081632653061224</v>
      </c>
      <c r="Q311" s="40">
        <v>0.07272727272727272</v>
      </c>
      <c r="R311" s="40">
        <v>0.0</v>
      </c>
      <c r="S311" s="40">
        <v>0.1</v>
      </c>
      <c r="T311" s="40">
        <v>0.0967741935483871</v>
      </c>
    </row>
    <row r="312" ht="15.75" customHeight="1">
      <c r="F312" s="24"/>
      <c r="G312" s="19">
        <v>15.0</v>
      </c>
      <c r="H312" s="20">
        <v>29.0</v>
      </c>
      <c r="I312" s="20">
        <v>4.0</v>
      </c>
      <c r="J312" s="20">
        <v>0.0</v>
      </c>
      <c r="K312" s="20">
        <v>1.0</v>
      </c>
      <c r="L312" s="20">
        <v>2.0</v>
      </c>
      <c r="N312" s="23"/>
      <c r="O312" s="19">
        <v>15.0</v>
      </c>
      <c r="P312" s="40">
        <v>0.08454810495626822</v>
      </c>
      <c r="Q312" s="40">
        <v>0.03636363636363636</v>
      </c>
      <c r="R312" s="40">
        <v>0.0</v>
      </c>
      <c r="S312" s="40">
        <v>0.1</v>
      </c>
      <c r="T312" s="40">
        <v>0.06451612903225806</v>
      </c>
    </row>
    <row r="313" ht="15.75" customHeight="1">
      <c r="F313" s="24"/>
      <c r="G313" s="19">
        <v>16.0</v>
      </c>
      <c r="H313" s="20">
        <v>29.0</v>
      </c>
      <c r="I313" s="20">
        <v>9.0</v>
      </c>
      <c r="J313" s="20">
        <v>0.0</v>
      </c>
      <c r="K313" s="20">
        <v>2.0</v>
      </c>
      <c r="L313" s="20">
        <v>1.0</v>
      </c>
      <c r="N313" s="23"/>
      <c r="O313" s="19">
        <v>16.0</v>
      </c>
      <c r="P313" s="40">
        <v>0.08454810495626822</v>
      </c>
      <c r="Q313" s="40">
        <v>0.08181818181818182</v>
      </c>
      <c r="R313" s="40">
        <v>0.0</v>
      </c>
      <c r="S313" s="40">
        <v>0.2</v>
      </c>
      <c r="T313" s="40">
        <v>0.03225806451612903</v>
      </c>
    </row>
    <row r="314" ht="15.75" customHeight="1">
      <c r="F314" s="24"/>
      <c r="G314" s="19">
        <v>17.0</v>
      </c>
      <c r="H314" s="20">
        <v>29.0</v>
      </c>
      <c r="I314" s="20">
        <v>4.0</v>
      </c>
      <c r="J314" s="20">
        <v>0.0</v>
      </c>
      <c r="K314" s="20">
        <v>0.0</v>
      </c>
      <c r="L314" s="20">
        <v>1.0</v>
      </c>
      <c r="N314" s="23"/>
      <c r="O314" s="19">
        <v>17.0</v>
      </c>
      <c r="P314" s="40">
        <v>0.08454810495626822</v>
      </c>
      <c r="Q314" s="40">
        <v>0.03636363636363636</v>
      </c>
      <c r="R314" s="40">
        <v>0.0</v>
      </c>
      <c r="S314" s="40">
        <v>0.0</v>
      </c>
      <c r="T314" s="40">
        <v>0.03225806451612903</v>
      </c>
    </row>
    <row r="315" ht="15.75" customHeight="1">
      <c r="F315" s="24"/>
      <c r="G315" s="19">
        <v>18.0</v>
      </c>
      <c r="H315" s="20">
        <v>17.0</v>
      </c>
      <c r="I315" s="20">
        <v>3.0</v>
      </c>
      <c r="J315" s="20">
        <v>0.0</v>
      </c>
      <c r="K315" s="20">
        <v>0.0</v>
      </c>
      <c r="L315" s="20">
        <v>0.0</v>
      </c>
      <c r="N315" s="23"/>
      <c r="O315" s="19">
        <v>18.0</v>
      </c>
      <c r="P315" s="40">
        <v>0.04956268221574344</v>
      </c>
      <c r="Q315" s="40">
        <v>0.02727272727272727</v>
      </c>
      <c r="R315" s="40">
        <v>0.0</v>
      </c>
      <c r="S315" s="40">
        <v>0.0</v>
      </c>
      <c r="T315" s="40">
        <v>0.0</v>
      </c>
    </row>
    <row r="316" ht="15.75" customHeight="1">
      <c r="F316" s="24"/>
      <c r="G316" s="19">
        <v>19.0</v>
      </c>
      <c r="H316" s="20">
        <v>20.0</v>
      </c>
      <c r="I316" s="20">
        <v>6.0</v>
      </c>
      <c r="J316" s="20">
        <v>1.0</v>
      </c>
      <c r="K316" s="20">
        <v>0.0</v>
      </c>
      <c r="L316" s="20">
        <v>1.0</v>
      </c>
      <c r="N316" s="23"/>
      <c r="O316" s="19">
        <v>19.0</v>
      </c>
      <c r="P316" s="40">
        <v>0.05830903790087463</v>
      </c>
      <c r="Q316" s="40">
        <v>0.05454545454545454</v>
      </c>
      <c r="R316" s="40">
        <v>1.0</v>
      </c>
      <c r="S316" s="40">
        <v>0.0</v>
      </c>
      <c r="T316" s="40">
        <v>0.03225806451612903</v>
      </c>
    </row>
    <row r="317" ht="15.75" customHeight="1">
      <c r="F317" s="24"/>
      <c r="G317" s="19">
        <v>20.0</v>
      </c>
      <c r="H317" s="20">
        <v>16.0</v>
      </c>
      <c r="I317" s="20">
        <v>6.0</v>
      </c>
      <c r="J317" s="20">
        <v>0.0</v>
      </c>
      <c r="K317" s="20">
        <v>1.0</v>
      </c>
      <c r="L317" s="20">
        <v>1.0</v>
      </c>
      <c r="N317" s="23"/>
      <c r="O317" s="19">
        <v>20.0</v>
      </c>
      <c r="P317" s="40">
        <v>0.04664723032069971</v>
      </c>
      <c r="Q317" s="40">
        <v>0.05454545454545454</v>
      </c>
      <c r="R317" s="40">
        <v>0.0</v>
      </c>
      <c r="S317" s="40">
        <v>0.1</v>
      </c>
      <c r="T317" s="40">
        <v>0.03225806451612903</v>
      </c>
    </row>
    <row r="318" ht="15.75" customHeight="1">
      <c r="F318" s="24"/>
      <c r="G318" s="19">
        <v>21.0</v>
      </c>
      <c r="H318" s="20">
        <v>8.0</v>
      </c>
      <c r="I318" s="20">
        <v>2.0</v>
      </c>
      <c r="J318" s="20">
        <v>0.0</v>
      </c>
      <c r="K318" s="20">
        <v>1.0</v>
      </c>
      <c r="L318" s="20">
        <v>0.0</v>
      </c>
      <c r="N318" s="23"/>
      <c r="O318" s="19">
        <v>21.0</v>
      </c>
      <c r="P318" s="40">
        <v>0.023323615160349854</v>
      </c>
      <c r="Q318" s="40">
        <v>0.01818181818181818</v>
      </c>
      <c r="R318" s="40">
        <v>0.0</v>
      </c>
      <c r="S318" s="40">
        <v>0.1</v>
      </c>
      <c r="T318" s="40">
        <v>0.0</v>
      </c>
    </row>
    <row r="319" ht="15.75" customHeight="1">
      <c r="F319" s="24"/>
      <c r="G319" s="19">
        <v>22.0</v>
      </c>
      <c r="H319" s="20">
        <v>7.0</v>
      </c>
      <c r="I319" s="20">
        <v>3.0</v>
      </c>
      <c r="J319" s="20">
        <v>0.0</v>
      </c>
      <c r="K319" s="20">
        <v>0.0</v>
      </c>
      <c r="L319" s="20">
        <v>0.0</v>
      </c>
      <c r="N319" s="23"/>
      <c r="O319" s="19">
        <v>22.0</v>
      </c>
      <c r="P319" s="40">
        <v>0.02040816326530612</v>
      </c>
      <c r="Q319" s="40">
        <v>0.02727272727272727</v>
      </c>
      <c r="R319" s="40">
        <v>0.0</v>
      </c>
      <c r="S319" s="40">
        <v>0.0</v>
      </c>
      <c r="T319" s="40">
        <v>0.0</v>
      </c>
    </row>
    <row r="320" ht="15.75" customHeight="1">
      <c r="F320" s="28"/>
      <c r="G320" s="71">
        <v>23.0</v>
      </c>
      <c r="H320" s="20">
        <v>9.0</v>
      </c>
      <c r="I320" s="20">
        <v>3.0</v>
      </c>
      <c r="J320" s="20">
        <v>0.0</v>
      </c>
      <c r="K320" s="20">
        <v>0.0</v>
      </c>
      <c r="L320" s="20">
        <v>0.0</v>
      </c>
      <c r="N320" s="27"/>
      <c r="O320" s="19">
        <v>23.0</v>
      </c>
      <c r="P320" s="40">
        <v>0.026239067055393587</v>
      </c>
      <c r="Q320" s="40">
        <v>0.02727272727272727</v>
      </c>
      <c r="R320" s="40">
        <v>0.0</v>
      </c>
      <c r="S320" s="40">
        <v>0.0</v>
      </c>
      <c r="T320" s="40">
        <v>0.0</v>
      </c>
    </row>
    <row r="321" ht="15.75" customHeight="1">
      <c r="F321" s="39">
        <v>45207.0</v>
      </c>
      <c r="G321" s="19">
        <v>0.0</v>
      </c>
      <c r="H321" s="20">
        <v>7.0</v>
      </c>
      <c r="I321" s="20">
        <v>2.0</v>
      </c>
      <c r="J321" s="20">
        <v>1.0</v>
      </c>
      <c r="K321" s="20">
        <v>0.0</v>
      </c>
      <c r="L321" s="20">
        <v>2.0</v>
      </c>
      <c r="N321" s="39">
        <v>45207.0</v>
      </c>
      <c r="O321" s="19">
        <v>0.0</v>
      </c>
      <c r="P321" s="40">
        <v>0.015945330296127564</v>
      </c>
      <c r="Q321" s="40">
        <v>0.015384615384615385</v>
      </c>
      <c r="R321" s="40">
        <v>0.25</v>
      </c>
      <c r="S321" s="40">
        <v>0.0</v>
      </c>
      <c r="T321" s="40">
        <v>0.2</v>
      </c>
    </row>
    <row r="322" ht="15.75" customHeight="1">
      <c r="F322" s="24"/>
      <c r="G322" s="19">
        <v>1.0</v>
      </c>
      <c r="H322" s="20">
        <v>8.0</v>
      </c>
      <c r="I322" s="20">
        <v>0.0</v>
      </c>
      <c r="J322" s="20">
        <v>0.0</v>
      </c>
      <c r="K322" s="20">
        <v>0.0</v>
      </c>
      <c r="L322" s="20">
        <v>1.0</v>
      </c>
      <c r="N322" s="23"/>
      <c r="O322" s="19">
        <v>1.0</v>
      </c>
      <c r="P322" s="40">
        <v>0.018223234624145785</v>
      </c>
      <c r="Q322" s="40">
        <v>0.0</v>
      </c>
      <c r="R322" s="40">
        <v>0.0</v>
      </c>
      <c r="S322" s="40">
        <v>0.0</v>
      </c>
      <c r="T322" s="40">
        <v>0.1</v>
      </c>
    </row>
    <row r="323" ht="15.75" customHeight="1">
      <c r="F323" s="24"/>
      <c r="G323" s="19">
        <v>2.0</v>
      </c>
      <c r="H323" s="16">
        <v>1.0</v>
      </c>
      <c r="I323" s="16">
        <v>1.0</v>
      </c>
      <c r="J323" s="16">
        <v>0.0</v>
      </c>
      <c r="K323" s="16">
        <v>0.0</v>
      </c>
      <c r="L323" s="16">
        <v>0.0</v>
      </c>
      <c r="N323" s="23"/>
      <c r="O323" s="19">
        <v>2.0</v>
      </c>
      <c r="P323" s="40">
        <v>0.002277904328018223</v>
      </c>
      <c r="Q323" s="40">
        <v>0.007692307692307693</v>
      </c>
      <c r="R323" s="40">
        <v>0.0</v>
      </c>
      <c r="S323" s="40">
        <v>0.0</v>
      </c>
      <c r="T323" s="40">
        <v>0.0</v>
      </c>
    </row>
    <row r="324" ht="15.75" customHeight="1">
      <c r="F324" s="24"/>
      <c r="G324" s="19">
        <v>3.0</v>
      </c>
      <c r="H324" s="20">
        <v>4.0</v>
      </c>
      <c r="I324" s="20">
        <v>1.0</v>
      </c>
      <c r="J324" s="20">
        <v>0.0</v>
      </c>
      <c r="K324" s="20">
        <v>0.0</v>
      </c>
      <c r="L324" s="20">
        <v>0.0</v>
      </c>
      <c r="N324" s="23"/>
      <c r="O324" s="19">
        <v>3.0</v>
      </c>
      <c r="P324" s="40">
        <v>0.009111617312072893</v>
      </c>
      <c r="Q324" s="40">
        <v>0.007692307692307693</v>
      </c>
      <c r="R324" s="40">
        <v>0.0</v>
      </c>
      <c r="S324" s="40">
        <v>0.0</v>
      </c>
      <c r="T324" s="40">
        <v>0.0</v>
      </c>
    </row>
    <row r="325" ht="15.75" customHeight="1">
      <c r="F325" s="24"/>
      <c r="G325" s="19">
        <v>4.0</v>
      </c>
      <c r="H325" s="20">
        <v>4.0</v>
      </c>
      <c r="I325" s="20">
        <v>2.0</v>
      </c>
      <c r="J325" s="20">
        <v>0.0</v>
      </c>
      <c r="K325" s="20">
        <v>0.0</v>
      </c>
      <c r="L325" s="20">
        <v>0.0</v>
      </c>
      <c r="N325" s="23"/>
      <c r="O325" s="19">
        <v>4.0</v>
      </c>
      <c r="P325" s="40">
        <v>0.009111617312072893</v>
      </c>
      <c r="Q325" s="40">
        <v>0.015384615384615385</v>
      </c>
      <c r="R325" s="40">
        <v>0.0</v>
      </c>
      <c r="S325" s="40">
        <v>0.0</v>
      </c>
      <c r="T325" s="40">
        <v>0.0</v>
      </c>
    </row>
    <row r="326" ht="15.75" customHeight="1">
      <c r="F326" s="24"/>
      <c r="G326" s="19">
        <v>5.0</v>
      </c>
      <c r="H326" s="20">
        <v>4.0</v>
      </c>
      <c r="I326" s="20">
        <v>2.0</v>
      </c>
      <c r="J326" s="20">
        <v>0.0</v>
      </c>
      <c r="K326" s="20">
        <v>0.0</v>
      </c>
      <c r="L326" s="20">
        <v>0.0</v>
      </c>
      <c r="N326" s="23"/>
      <c r="O326" s="19">
        <v>5.0</v>
      </c>
      <c r="P326" s="40">
        <v>0.009111617312072893</v>
      </c>
      <c r="Q326" s="40">
        <v>0.015384615384615385</v>
      </c>
      <c r="R326" s="40">
        <v>0.0</v>
      </c>
      <c r="S326" s="40">
        <v>0.0</v>
      </c>
      <c r="T326" s="40">
        <v>0.0</v>
      </c>
    </row>
    <row r="327" ht="15.75" customHeight="1">
      <c r="F327" s="24"/>
      <c r="G327" s="19">
        <v>6.0</v>
      </c>
      <c r="H327" s="20">
        <v>3.0</v>
      </c>
      <c r="I327" s="20">
        <v>4.0</v>
      </c>
      <c r="J327" s="20">
        <v>0.0</v>
      </c>
      <c r="K327" s="20">
        <v>0.0</v>
      </c>
      <c r="L327" s="20">
        <v>1.0</v>
      </c>
      <c r="N327" s="23"/>
      <c r="O327" s="19">
        <v>6.0</v>
      </c>
      <c r="P327" s="40">
        <v>0.00683371298405467</v>
      </c>
      <c r="Q327" s="40">
        <v>0.03076923076923077</v>
      </c>
      <c r="R327" s="40">
        <v>0.0</v>
      </c>
      <c r="S327" s="40">
        <v>0.0</v>
      </c>
      <c r="T327" s="40">
        <v>0.1</v>
      </c>
    </row>
    <row r="328" ht="15.75" customHeight="1">
      <c r="F328" s="24"/>
      <c r="G328" s="19">
        <v>7.0</v>
      </c>
      <c r="H328" s="20">
        <v>16.0</v>
      </c>
      <c r="I328" s="20">
        <v>3.0</v>
      </c>
      <c r="J328" s="20">
        <v>0.0</v>
      </c>
      <c r="K328" s="20">
        <v>0.0</v>
      </c>
      <c r="L328" s="20">
        <v>1.0</v>
      </c>
      <c r="N328" s="23"/>
      <c r="O328" s="19">
        <v>7.0</v>
      </c>
      <c r="P328" s="40">
        <v>0.03644646924829157</v>
      </c>
      <c r="Q328" s="40">
        <v>0.023076923076923078</v>
      </c>
      <c r="R328" s="40">
        <v>0.0</v>
      </c>
      <c r="S328" s="40">
        <v>0.0</v>
      </c>
      <c r="T328" s="40">
        <v>0.1</v>
      </c>
    </row>
    <row r="329" ht="15.75" customHeight="1">
      <c r="F329" s="24"/>
      <c r="G329" s="19">
        <v>8.0</v>
      </c>
      <c r="H329" s="20">
        <v>16.0</v>
      </c>
      <c r="I329" s="20">
        <v>6.0</v>
      </c>
      <c r="J329" s="20">
        <v>0.0</v>
      </c>
      <c r="K329" s="20">
        <v>0.0</v>
      </c>
      <c r="L329" s="20">
        <v>1.0</v>
      </c>
      <c r="N329" s="23"/>
      <c r="O329" s="19">
        <v>8.0</v>
      </c>
      <c r="P329" s="40">
        <v>0.03644646924829157</v>
      </c>
      <c r="Q329" s="40">
        <v>0.046153846153846156</v>
      </c>
      <c r="R329" s="40">
        <v>0.0</v>
      </c>
      <c r="S329" s="40">
        <v>0.0</v>
      </c>
      <c r="T329" s="40">
        <v>0.1</v>
      </c>
    </row>
    <row r="330" ht="15.75" customHeight="1">
      <c r="F330" s="24"/>
      <c r="G330" s="19">
        <v>9.0</v>
      </c>
      <c r="H330" s="20">
        <v>14.0</v>
      </c>
      <c r="I330" s="20">
        <v>5.0</v>
      </c>
      <c r="J330" s="20">
        <v>0.0</v>
      </c>
      <c r="K330" s="20">
        <v>0.0</v>
      </c>
      <c r="L330" s="20">
        <v>1.0</v>
      </c>
      <c r="N330" s="23"/>
      <c r="O330" s="19">
        <v>9.0</v>
      </c>
      <c r="P330" s="40">
        <v>0.03189066059225513</v>
      </c>
      <c r="Q330" s="40">
        <v>0.038461538461538464</v>
      </c>
      <c r="R330" s="40">
        <v>0.0</v>
      </c>
      <c r="S330" s="40">
        <v>0.0</v>
      </c>
      <c r="T330" s="40">
        <v>0.1</v>
      </c>
    </row>
    <row r="331" ht="15.75" customHeight="1">
      <c r="F331" s="24"/>
      <c r="G331" s="19">
        <v>10.0</v>
      </c>
      <c r="H331" s="20">
        <v>27.0</v>
      </c>
      <c r="I331" s="20">
        <v>8.0</v>
      </c>
      <c r="J331" s="20">
        <v>0.0</v>
      </c>
      <c r="K331" s="20">
        <v>0.0</v>
      </c>
      <c r="L331" s="20">
        <v>1.0</v>
      </c>
      <c r="N331" s="23"/>
      <c r="O331" s="19">
        <v>10.0</v>
      </c>
      <c r="P331" s="40">
        <v>0.06150341685649203</v>
      </c>
      <c r="Q331" s="40">
        <v>0.06153846153846154</v>
      </c>
      <c r="R331" s="40">
        <v>0.0</v>
      </c>
      <c r="S331" s="40">
        <v>0.0</v>
      </c>
      <c r="T331" s="40">
        <v>0.1</v>
      </c>
    </row>
    <row r="332" ht="15.75" customHeight="1">
      <c r="F332" s="24"/>
      <c r="G332" s="19">
        <v>11.0</v>
      </c>
      <c r="H332" s="20">
        <v>40.0</v>
      </c>
      <c r="I332" s="20">
        <v>9.0</v>
      </c>
      <c r="J332" s="20">
        <v>0.0</v>
      </c>
      <c r="K332" s="20">
        <v>1.0</v>
      </c>
      <c r="L332" s="20">
        <v>0.0</v>
      </c>
      <c r="N332" s="23"/>
      <c r="O332" s="19">
        <v>11.0</v>
      </c>
      <c r="P332" s="40">
        <v>0.09111617312072894</v>
      </c>
      <c r="Q332" s="40">
        <v>0.06923076923076923</v>
      </c>
      <c r="R332" s="40">
        <v>0.0</v>
      </c>
      <c r="S332" s="40">
        <v>0.25</v>
      </c>
      <c r="T332" s="40">
        <v>0.0</v>
      </c>
    </row>
    <row r="333" ht="15.75" customHeight="1">
      <c r="F333" s="24"/>
      <c r="G333" s="19">
        <v>12.0</v>
      </c>
      <c r="H333" s="20">
        <v>33.0</v>
      </c>
      <c r="I333" s="20">
        <v>6.0</v>
      </c>
      <c r="J333" s="20">
        <v>0.0</v>
      </c>
      <c r="K333" s="20">
        <v>1.0</v>
      </c>
      <c r="L333" s="20">
        <v>0.0</v>
      </c>
      <c r="N333" s="23"/>
      <c r="O333" s="19">
        <v>12.0</v>
      </c>
      <c r="P333" s="40">
        <v>0.07517084282460136</v>
      </c>
      <c r="Q333" s="40">
        <v>0.046153846153846156</v>
      </c>
      <c r="R333" s="40">
        <v>0.0</v>
      </c>
      <c r="S333" s="40">
        <v>0.25</v>
      </c>
      <c r="T333" s="40">
        <v>0.0</v>
      </c>
    </row>
    <row r="334" ht="15.75" customHeight="1">
      <c r="F334" s="24"/>
      <c r="G334" s="19">
        <v>13.0</v>
      </c>
      <c r="H334" s="20">
        <v>35.0</v>
      </c>
      <c r="I334" s="20">
        <v>5.0</v>
      </c>
      <c r="J334" s="20">
        <v>0.0</v>
      </c>
      <c r="K334" s="20">
        <v>0.0</v>
      </c>
      <c r="L334" s="20">
        <v>0.0</v>
      </c>
      <c r="N334" s="23"/>
      <c r="O334" s="19">
        <v>13.0</v>
      </c>
      <c r="P334" s="40">
        <v>0.07972665148063782</v>
      </c>
      <c r="Q334" s="40">
        <v>0.038461538461538464</v>
      </c>
      <c r="R334" s="40">
        <v>0.0</v>
      </c>
      <c r="S334" s="40">
        <v>0.0</v>
      </c>
      <c r="T334" s="40">
        <v>0.0</v>
      </c>
    </row>
    <row r="335" ht="15.75" customHeight="1">
      <c r="F335" s="24"/>
      <c r="G335" s="19">
        <v>14.0</v>
      </c>
      <c r="H335" s="20">
        <v>45.0</v>
      </c>
      <c r="I335" s="20">
        <v>11.0</v>
      </c>
      <c r="J335" s="20">
        <v>1.0</v>
      </c>
      <c r="K335" s="20">
        <v>1.0</v>
      </c>
      <c r="L335" s="20">
        <v>0.0</v>
      </c>
      <c r="N335" s="23"/>
      <c r="O335" s="19">
        <v>14.0</v>
      </c>
      <c r="P335" s="40">
        <v>0.10250569476082004</v>
      </c>
      <c r="Q335" s="40">
        <v>0.08461538461538462</v>
      </c>
      <c r="R335" s="40">
        <v>0.25</v>
      </c>
      <c r="S335" s="40">
        <v>0.25</v>
      </c>
      <c r="T335" s="40">
        <v>0.0</v>
      </c>
    </row>
    <row r="336" ht="15.75" customHeight="1">
      <c r="F336" s="24"/>
      <c r="G336" s="19">
        <v>15.0</v>
      </c>
      <c r="H336" s="20">
        <v>39.0</v>
      </c>
      <c r="I336" s="20">
        <v>15.0</v>
      </c>
      <c r="J336" s="20">
        <v>0.0</v>
      </c>
      <c r="K336" s="20">
        <v>0.0</v>
      </c>
      <c r="L336" s="20">
        <v>1.0</v>
      </c>
      <c r="N336" s="23"/>
      <c r="O336" s="19">
        <v>15.0</v>
      </c>
      <c r="P336" s="40">
        <v>0.0888382687927107</v>
      </c>
      <c r="Q336" s="40">
        <v>0.11538461538461539</v>
      </c>
      <c r="R336" s="40">
        <v>0.0</v>
      </c>
      <c r="S336" s="40">
        <v>0.0</v>
      </c>
      <c r="T336" s="40">
        <v>0.1</v>
      </c>
    </row>
    <row r="337" ht="15.75" customHeight="1">
      <c r="F337" s="24"/>
      <c r="G337" s="19">
        <v>16.0</v>
      </c>
      <c r="H337" s="20">
        <v>31.0</v>
      </c>
      <c r="I337" s="20">
        <v>11.0</v>
      </c>
      <c r="J337" s="20">
        <v>0.0</v>
      </c>
      <c r="K337" s="20">
        <v>0.0</v>
      </c>
      <c r="L337" s="20">
        <v>0.0</v>
      </c>
      <c r="N337" s="23"/>
      <c r="O337" s="19">
        <v>16.0</v>
      </c>
      <c r="P337" s="40">
        <v>0.07061503416856492</v>
      </c>
      <c r="Q337" s="40">
        <v>0.08461538461538462</v>
      </c>
      <c r="R337" s="40">
        <v>0.0</v>
      </c>
      <c r="S337" s="40">
        <v>0.0</v>
      </c>
      <c r="T337" s="40">
        <v>0.0</v>
      </c>
    </row>
    <row r="338" ht="15.75" customHeight="1">
      <c r="F338" s="24"/>
      <c r="G338" s="19">
        <v>17.0</v>
      </c>
      <c r="H338" s="20">
        <v>35.0</v>
      </c>
      <c r="I338" s="20">
        <v>7.0</v>
      </c>
      <c r="J338" s="20">
        <v>2.0</v>
      </c>
      <c r="K338" s="20">
        <v>1.0</v>
      </c>
      <c r="L338" s="20">
        <v>1.0</v>
      </c>
      <c r="N338" s="23"/>
      <c r="O338" s="19">
        <v>17.0</v>
      </c>
      <c r="P338" s="40">
        <v>0.07972665148063782</v>
      </c>
      <c r="Q338" s="40">
        <v>0.05384615384615385</v>
      </c>
      <c r="R338" s="40">
        <v>0.5</v>
      </c>
      <c r="S338" s="40">
        <v>0.25</v>
      </c>
      <c r="T338" s="40">
        <v>0.1</v>
      </c>
    </row>
    <row r="339" ht="15.75" customHeight="1">
      <c r="F339" s="24"/>
      <c r="G339" s="19">
        <v>18.0</v>
      </c>
      <c r="H339" s="20">
        <v>26.0</v>
      </c>
      <c r="I339" s="20">
        <v>15.0</v>
      </c>
      <c r="J339" s="20">
        <v>0.0</v>
      </c>
      <c r="K339" s="20">
        <v>0.0</v>
      </c>
      <c r="L339" s="20">
        <v>0.0</v>
      </c>
      <c r="N339" s="23"/>
      <c r="O339" s="19">
        <v>18.0</v>
      </c>
      <c r="P339" s="40">
        <v>0.05922551252847381</v>
      </c>
      <c r="Q339" s="40">
        <v>0.11538461538461539</v>
      </c>
      <c r="R339" s="40">
        <v>0.0</v>
      </c>
      <c r="S339" s="40">
        <v>0.0</v>
      </c>
      <c r="T339" s="40">
        <v>0.0</v>
      </c>
    </row>
    <row r="340" ht="15.75" customHeight="1">
      <c r="F340" s="24"/>
      <c r="G340" s="19">
        <v>19.0</v>
      </c>
      <c r="H340" s="20">
        <v>21.0</v>
      </c>
      <c r="I340" s="20">
        <v>5.0</v>
      </c>
      <c r="J340" s="20">
        <v>0.0</v>
      </c>
      <c r="K340" s="20">
        <v>0.0</v>
      </c>
      <c r="L340" s="20">
        <v>0.0</v>
      </c>
      <c r="N340" s="23"/>
      <c r="O340" s="19">
        <v>19.0</v>
      </c>
      <c r="P340" s="40">
        <v>0.04783599088838269</v>
      </c>
      <c r="Q340" s="40">
        <v>0.038461538461538464</v>
      </c>
      <c r="R340" s="40">
        <v>0.0</v>
      </c>
      <c r="S340" s="40">
        <v>0.0</v>
      </c>
      <c r="T340" s="40">
        <v>0.0</v>
      </c>
    </row>
    <row r="341" ht="15.75" customHeight="1">
      <c r="F341" s="24"/>
      <c r="G341" s="19">
        <v>20.0</v>
      </c>
      <c r="H341" s="20">
        <v>10.0</v>
      </c>
      <c r="I341" s="20">
        <v>5.0</v>
      </c>
      <c r="J341" s="20">
        <v>0.0</v>
      </c>
      <c r="K341" s="20">
        <v>0.0</v>
      </c>
      <c r="L341" s="20">
        <v>0.0</v>
      </c>
      <c r="N341" s="23"/>
      <c r="O341" s="19">
        <v>20.0</v>
      </c>
      <c r="P341" s="40">
        <v>0.022779043280182234</v>
      </c>
      <c r="Q341" s="40">
        <v>0.038461538461538464</v>
      </c>
      <c r="R341" s="40">
        <v>0.0</v>
      </c>
      <c r="S341" s="40">
        <v>0.0</v>
      </c>
      <c r="T341" s="40">
        <v>0.0</v>
      </c>
    </row>
    <row r="342" ht="15.75" customHeight="1">
      <c r="F342" s="24"/>
      <c r="G342" s="19">
        <v>21.0</v>
      </c>
      <c r="H342" s="20">
        <v>10.0</v>
      </c>
      <c r="I342" s="20">
        <v>5.0</v>
      </c>
      <c r="J342" s="20">
        <v>0.0</v>
      </c>
      <c r="K342" s="20">
        <v>0.0</v>
      </c>
      <c r="L342" s="20">
        <v>0.0</v>
      </c>
      <c r="N342" s="23"/>
      <c r="O342" s="19">
        <v>21.0</v>
      </c>
      <c r="P342" s="40">
        <v>0.022779043280182234</v>
      </c>
      <c r="Q342" s="40">
        <v>0.038461538461538464</v>
      </c>
      <c r="R342" s="40">
        <v>0.0</v>
      </c>
      <c r="S342" s="40">
        <v>0.0</v>
      </c>
      <c r="T342" s="40">
        <v>0.0</v>
      </c>
    </row>
    <row r="343" ht="15.75" customHeight="1">
      <c r="F343" s="24"/>
      <c r="G343" s="19">
        <v>22.0</v>
      </c>
      <c r="H343" s="20">
        <v>5.0</v>
      </c>
      <c r="I343" s="20">
        <v>1.0</v>
      </c>
      <c r="J343" s="20">
        <v>0.0</v>
      </c>
      <c r="K343" s="20">
        <v>0.0</v>
      </c>
      <c r="L343" s="20">
        <v>0.0</v>
      </c>
      <c r="N343" s="23"/>
      <c r="O343" s="19">
        <v>22.0</v>
      </c>
      <c r="P343" s="40">
        <v>0.011389521640091117</v>
      </c>
      <c r="Q343" s="40">
        <v>0.007692307692307693</v>
      </c>
      <c r="R343" s="40">
        <v>0.0</v>
      </c>
      <c r="S343" s="40">
        <v>0.0</v>
      </c>
      <c r="T343" s="40">
        <v>0.0</v>
      </c>
    </row>
    <row r="344" ht="15.75" customHeight="1">
      <c r="F344" s="28"/>
      <c r="G344" s="71">
        <v>23.0</v>
      </c>
      <c r="H344" s="20">
        <v>5.0</v>
      </c>
      <c r="I344" s="20">
        <v>1.0</v>
      </c>
      <c r="J344" s="20">
        <v>0.0</v>
      </c>
      <c r="K344" s="20">
        <v>0.0</v>
      </c>
      <c r="L344" s="20">
        <v>0.0</v>
      </c>
      <c r="N344" s="27"/>
      <c r="O344" s="19">
        <v>23.0</v>
      </c>
      <c r="P344" s="40">
        <v>0.011389521640091117</v>
      </c>
      <c r="Q344" s="40">
        <v>0.007692307692307693</v>
      </c>
      <c r="R344" s="40">
        <v>0.0</v>
      </c>
      <c r="S344" s="40">
        <v>0.0</v>
      </c>
      <c r="T344" s="40">
        <v>0.0</v>
      </c>
    </row>
    <row r="345" ht="15.75" customHeight="1">
      <c r="G345" s="16"/>
      <c r="H345" s="54"/>
      <c r="I345" s="54"/>
      <c r="J345" s="54"/>
      <c r="K345" s="54"/>
      <c r="L345" s="54"/>
      <c r="O345" s="16"/>
      <c r="P345" s="54"/>
      <c r="Q345" s="54"/>
      <c r="R345" s="54"/>
      <c r="S345" s="54"/>
      <c r="T345" s="54"/>
    </row>
    <row r="346" ht="15.75" customHeight="1">
      <c r="F346" s="55"/>
      <c r="G346" s="51"/>
      <c r="H346" s="16"/>
      <c r="I346" s="16"/>
      <c r="J346" s="16"/>
      <c r="K346" s="16"/>
      <c r="L346" s="16"/>
      <c r="N346" s="55"/>
      <c r="O346" s="51"/>
      <c r="P346" s="52"/>
      <c r="Q346" s="52"/>
      <c r="R346" s="52"/>
      <c r="S346" s="52"/>
      <c r="T346" s="52"/>
    </row>
    <row r="347" ht="15.75" customHeight="1">
      <c r="G347" s="51"/>
      <c r="H347" s="16"/>
      <c r="I347" s="16"/>
      <c r="J347" s="16"/>
      <c r="K347" s="16"/>
      <c r="L347" s="16"/>
      <c r="O347" s="51"/>
      <c r="P347" s="52"/>
      <c r="Q347" s="52"/>
      <c r="R347" s="52"/>
      <c r="S347" s="52"/>
      <c r="T347" s="52"/>
    </row>
    <row r="348" ht="15.75" customHeight="1">
      <c r="G348" s="51"/>
      <c r="H348" s="16"/>
      <c r="I348" s="16"/>
      <c r="J348" s="16"/>
      <c r="K348" s="16"/>
      <c r="L348" s="16"/>
      <c r="O348" s="51"/>
      <c r="P348" s="52"/>
      <c r="Q348" s="52"/>
      <c r="R348" s="52"/>
      <c r="S348" s="52"/>
      <c r="T348" s="52"/>
    </row>
    <row r="349" ht="15.75" customHeight="1">
      <c r="G349" s="51"/>
      <c r="H349" s="16"/>
      <c r="I349" s="16"/>
      <c r="J349" s="16"/>
      <c r="K349" s="16"/>
      <c r="L349" s="16"/>
      <c r="O349" s="51"/>
      <c r="P349" s="52"/>
      <c r="Q349" s="52"/>
      <c r="R349" s="52"/>
      <c r="S349" s="52"/>
      <c r="T349" s="52"/>
    </row>
    <row r="350" ht="15.75" customHeight="1">
      <c r="G350" s="51"/>
      <c r="H350" s="16"/>
      <c r="I350" s="16"/>
      <c r="J350" s="16"/>
      <c r="K350" s="16"/>
      <c r="L350" s="16"/>
      <c r="O350" s="51"/>
      <c r="P350" s="52"/>
      <c r="Q350" s="52"/>
      <c r="R350" s="52"/>
      <c r="S350" s="52"/>
      <c r="T350" s="52"/>
    </row>
    <row r="351" ht="15.75" customHeight="1">
      <c r="G351" s="51"/>
      <c r="H351" s="16"/>
      <c r="I351" s="16"/>
      <c r="J351" s="16"/>
      <c r="K351" s="16"/>
      <c r="L351" s="16"/>
      <c r="O351" s="51"/>
      <c r="P351" s="52"/>
      <c r="Q351" s="52"/>
      <c r="R351" s="52"/>
      <c r="S351" s="52"/>
      <c r="T351" s="52"/>
    </row>
    <row r="352" ht="15.75" customHeight="1">
      <c r="G352" s="51"/>
      <c r="H352" s="16"/>
      <c r="I352" s="16"/>
      <c r="J352" s="16"/>
      <c r="K352" s="16"/>
      <c r="L352" s="16"/>
      <c r="O352" s="51"/>
      <c r="P352" s="52"/>
      <c r="Q352" s="52"/>
      <c r="R352" s="52"/>
      <c r="S352" s="52"/>
      <c r="T352" s="52"/>
    </row>
    <row r="353" ht="15.75" customHeight="1">
      <c r="G353" s="51"/>
      <c r="H353" s="16"/>
      <c r="I353" s="16"/>
      <c r="J353" s="16"/>
      <c r="K353" s="16"/>
      <c r="L353" s="16"/>
      <c r="O353" s="51"/>
      <c r="P353" s="52"/>
      <c r="Q353" s="52"/>
      <c r="R353" s="52"/>
      <c r="S353" s="52"/>
      <c r="T353" s="52"/>
    </row>
    <row r="354" ht="15.75" customHeight="1">
      <c r="G354" s="51"/>
      <c r="H354" s="16"/>
      <c r="I354" s="16"/>
      <c r="J354" s="16"/>
      <c r="K354" s="16"/>
      <c r="L354" s="16"/>
      <c r="O354" s="51"/>
      <c r="P354" s="52"/>
      <c r="Q354" s="52"/>
      <c r="R354" s="52"/>
      <c r="S354" s="52"/>
      <c r="T354" s="52"/>
    </row>
    <row r="355" ht="15.75" customHeight="1">
      <c r="G355" s="51"/>
      <c r="H355" s="16"/>
      <c r="I355" s="16"/>
      <c r="J355" s="16"/>
      <c r="K355" s="16"/>
      <c r="L355" s="16"/>
      <c r="O355" s="51"/>
      <c r="P355" s="52"/>
      <c r="Q355" s="52"/>
      <c r="R355" s="52"/>
      <c r="S355" s="52"/>
      <c r="T355" s="52"/>
    </row>
    <row r="356" ht="15.75" customHeight="1">
      <c r="G356" s="51"/>
      <c r="H356" s="16"/>
      <c r="I356" s="16"/>
      <c r="J356" s="16"/>
      <c r="K356" s="16"/>
      <c r="L356" s="16"/>
      <c r="O356" s="51"/>
      <c r="P356" s="52"/>
      <c r="Q356" s="52"/>
      <c r="R356" s="52"/>
      <c r="S356" s="52"/>
      <c r="T356" s="52"/>
    </row>
    <row r="357" ht="15.75" customHeight="1">
      <c r="G357" s="51"/>
      <c r="H357" s="16"/>
      <c r="I357" s="16"/>
      <c r="J357" s="16"/>
      <c r="K357" s="16"/>
      <c r="L357" s="16"/>
      <c r="O357" s="51"/>
      <c r="P357" s="52"/>
      <c r="Q357" s="52"/>
      <c r="R357" s="52"/>
      <c r="S357" s="52"/>
      <c r="T357" s="52"/>
    </row>
    <row r="358" ht="15.75" customHeight="1">
      <c r="G358" s="51"/>
      <c r="H358" s="16"/>
      <c r="I358" s="16"/>
      <c r="J358" s="16"/>
      <c r="K358" s="16"/>
      <c r="L358" s="16"/>
      <c r="O358" s="51"/>
      <c r="P358" s="52"/>
      <c r="Q358" s="52"/>
      <c r="R358" s="52"/>
      <c r="S358" s="52"/>
      <c r="T358" s="52"/>
    </row>
    <row r="359" ht="15.75" customHeight="1">
      <c r="G359" s="51"/>
      <c r="H359" s="16"/>
      <c r="I359" s="16"/>
      <c r="J359" s="16"/>
      <c r="K359" s="16"/>
      <c r="L359" s="16"/>
      <c r="O359" s="51"/>
      <c r="P359" s="52"/>
      <c r="Q359" s="52"/>
      <c r="R359" s="52"/>
      <c r="S359" s="52"/>
      <c r="T359" s="52"/>
    </row>
    <row r="360" ht="15.75" customHeight="1">
      <c r="G360" s="51"/>
      <c r="H360" s="16"/>
      <c r="I360" s="16"/>
      <c r="J360" s="16"/>
      <c r="K360" s="16"/>
      <c r="L360" s="16"/>
      <c r="O360" s="51"/>
      <c r="P360" s="52"/>
      <c r="Q360" s="52"/>
      <c r="R360" s="52"/>
      <c r="S360" s="52"/>
      <c r="T360" s="52"/>
    </row>
    <row r="361" ht="15.75" customHeight="1">
      <c r="G361" s="51"/>
      <c r="H361" s="16"/>
      <c r="I361" s="16"/>
      <c r="J361" s="16"/>
      <c r="K361" s="16"/>
      <c r="L361" s="16"/>
      <c r="O361" s="51"/>
      <c r="P361" s="52"/>
      <c r="Q361" s="52"/>
      <c r="R361" s="52"/>
      <c r="S361" s="52"/>
      <c r="T361" s="52"/>
    </row>
    <row r="362" ht="15.75" customHeight="1">
      <c r="G362" s="51"/>
      <c r="H362" s="16"/>
      <c r="I362" s="16"/>
      <c r="J362" s="16"/>
      <c r="K362" s="16"/>
      <c r="L362" s="16"/>
      <c r="O362" s="51"/>
      <c r="P362" s="52"/>
      <c r="Q362" s="52"/>
      <c r="R362" s="52"/>
      <c r="S362" s="52"/>
      <c r="T362" s="52"/>
    </row>
    <row r="363" ht="15.75" customHeight="1">
      <c r="G363" s="51"/>
      <c r="H363" s="16"/>
      <c r="I363" s="16"/>
      <c r="J363" s="16"/>
      <c r="K363" s="16"/>
      <c r="L363" s="16"/>
      <c r="O363" s="51"/>
      <c r="P363" s="52"/>
      <c r="Q363" s="52"/>
      <c r="R363" s="52"/>
      <c r="S363" s="52"/>
      <c r="T363" s="52"/>
    </row>
    <row r="364" ht="15.75" customHeight="1">
      <c r="G364" s="51"/>
      <c r="H364" s="16"/>
      <c r="I364" s="16"/>
      <c r="J364" s="16"/>
      <c r="K364" s="16"/>
      <c r="L364" s="16"/>
      <c r="O364" s="51"/>
      <c r="P364" s="52"/>
      <c r="Q364" s="52"/>
      <c r="R364" s="52"/>
      <c r="S364" s="52"/>
      <c r="T364" s="52"/>
    </row>
    <row r="365" ht="15.75" customHeight="1">
      <c r="G365" s="51"/>
      <c r="H365" s="16"/>
      <c r="I365" s="16"/>
      <c r="J365" s="16"/>
      <c r="K365" s="16"/>
      <c r="L365" s="16"/>
      <c r="O365" s="51"/>
      <c r="P365" s="52"/>
      <c r="Q365" s="52"/>
      <c r="R365" s="52"/>
      <c r="S365" s="52"/>
      <c r="T365" s="52"/>
    </row>
    <row r="366" ht="15.75" customHeight="1">
      <c r="G366" s="51"/>
      <c r="H366" s="16"/>
      <c r="I366" s="16"/>
      <c r="J366" s="16"/>
      <c r="K366" s="16"/>
      <c r="L366" s="16"/>
      <c r="O366" s="51"/>
      <c r="P366" s="52"/>
      <c r="Q366" s="52"/>
      <c r="R366" s="52"/>
      <c r="S366" s="52"/>
      <c r="T366" s="52"/>
    </row>
    <row r="367" ht="15.75" customHeight="1">
      <c r="G367" s="51"/>
      <c r="H367" s="16"/>
      <c r="I367" s="16"/>
      <c r="J367" s="16"/>
      <c r="K367" s="16"/>
      <c r="L367" s="16"/>
      <c r="O367" s="51"/>
      <c r="P367" s="52"/>
      <c r="Q367" s="52"/>
      <c r="R367" s="52"/>
      <c r="S367" s="52"/>
      <c r="T367" s="52"/>
    </row>
    <row r="368" ht="15.75" customHeight="1">
      <c r="G368" s="51"/>
      <c r="H368" s="16"/>
      <c r="I368" s="16"/>
      <c r="J368" s="16"/>
      <c r="K368" s="16"/>
      <c r="L368" s="16"/>
      <c r="O368" s="51"/>
      <c r="P368" s="52"/>
      <c r="Q368" s="52"/>
      <c r="R368" s="52"/>
      <c r="S368" s="52"/>
      <c r="T368" s="52"/>
    </row>
    <row r="369" ht="21.0" customHeight="1">
      <c r="G369" s="51"/>
      <c r="H369" s="16"/>
      <c r="I369" s="16"/>
      <c r="J369" s="16"/>
      <c r="K369" s="16"/>
      <c r="L369" s="16"/>
      <c r="O369" s="51"/>
      <c r="P369" s="52"/>
      <c r="Q369" s="52"/>
      <c r="R369" s="52"/>
      <c r="S369" s="52"/>
      <c r="T369" s="52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H3:L3"/>
    <mergeCell ref="H4:L4"/>
    <mergeCell ref="H6:L6"/>
    <mergeCell ref="F8:F31"/>
    <mergeCell ref="F32:F55"/>
    <mergeCell ref="F225:F248"/>
    <mergeCell ref="F249:F272"/>
    <mergeCell ref="F273:F296"/>
    <mergeCell ref="F297:F320"/>
    <mergeCell ref="F321:F344"/>
    <mergeCell ref="F346:F369"/>
    <mergeCell ref="F56:F79"/>
    <mergeCell ref="F80:F103"/>
    <mergeCell ref="F104:F127"/>
    <mergeCell ref="F128:F151"/>
    <mergeCell ref="F152:F175"/>
    <mergeCell ref="F177:F200"/>
    <mergeCell ref="F201:F22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8.88"/>
    <col customWidth="1" min="6" max="6" width="9.5"/>
    <col customWidth="1" min="7" max="37" width="8.88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306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307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2" t="s">
        <v>13</v>
      </c>
      <c r="E5" s="101" t="s">
        <v>14</v>
      </c>
    </row>
    <row r="6" ht="15.75" customHeight="1">
      <c r="G6" s="16"/>
      <c r="H6" s="17">
        <v>31.0</v>
      </c>
      <c r="I6" s="17">
        <v>32.0</v>
      </c>
      <c r="J6" s="17">
        <v>41.0</v>
      </c>
      <c r="K6" s="17">
        <v>42.0</v>
      </c>
      <c r="L6" s="17">
        <v>5.0</v>
      </c>
      <c r="O6" s="16"/>
      <c r="P6" s="17">
        <v>31.0</v>
      </c>
      <c r="Q6" s="17">
        <v>32.0</v>
      </c>
      <c r="R6" s="17">
        <v>41.0</v>
      </c>
      <c r="S6" s="17">
        <v>42.0</v>
      </c>
      <c r="T6" s="17">
        <v>5.0</v>
      </c>
    </row>
    <row r="7" ht="15.75" customHeight="1">
      <c r="A7" s="16" t="s">
        <v>182</v>
      </c>
      <c r="F7" s="56">
        <v>45208.0</v>
      </c>
      <c r="G7" s="19">
        <v>0.0</v>
      </c>
      <c r="H7" s="20">
        <v>3.0</v>
      </c>
      <c r="I7" s="20">
        <v>4.0</v>
      </c>
      <c r="J7" s="20">
        <v>0.0</v>
      </c>
      <c r="K7" s="20">
        <v>0.0</v>
      </c>
      <c r="L7" s="20">
        <v>0.0</v>
      </c>
      <c r="N7" s="56">
        <v>45208.0</v>
      </c>
      <c r="O7" s="19">
        <v>0.0</v>
      </c>
      <c r="P7" s="40">
        <v>0.0069124423963133645</v>
      </c>
      <c r="Q7" s="40">
        <v>0.028985507246376812</v>
      </c>
      <c r="R7" s="40">
        <v>0.0</v>
      </c>
      <c r="S7" s="40">
        <v>0.0</v>
      </c>
      <c r="T7" s="40">
        <v>0.0</v>
      </c>
    </row>
    <row r="8" ht="15.75" customHeight="1">
      <c r="A8" s="16" t="s">
        <v>113</v>
      </c>
      <c r="F8" s="24"/>
      <c r="G8" s="19">
        <v>1.0</v>
      </c>
      <c r="H8" s="20">
        <v>5.0</v>
      </c>
      <c r="I8" s="20">
        <v>1.0</v>
      </c>
      <c r="J8" s="20">
        <v>0.0</v>
      </c>
      <c r="K8" s="20">
        <v>0.0</v>
      </c>
      <c r="L8" s="20">
        <v>0.0</v>
      </c>
      <c r="N8" s="24"/>
      <c r="O8" s="19">
        <v>1.0</v>
      </c>
      <c r="P8" s="40">
        <v>0.01152073732718894</v>
      </c>
      <c r="Q8" s="40">
        <v>0.007246376811594203</v>
      </c>
      <c r="R8" s="40">
        <v>0.0</v>
      </c>
      <c r="S8" s="40">
        <v>0.0</v>
      </c>
      <c r="T8" s="40">
        <v>0.0</v>
      </c>
    </row>
    <row r="9" ht="15.75" customHeight="1">
      <c r="A9" s="16" t="s">
        <v>183</v>
      </c>
      <c r="F9" s="24"/>
      <c r="G9" s="19">
        <v>2.0</v>
      </c>
      <c r="H9" s="16">
        <v>3.0</v>
      </c>
      <c r="I9" s="16">
        <v>0.0</v>
      </c>
      <c r="J9" s="16">
        <v>0.0</v>
      </c>
      <c r="K9" s="16">
        <v>0.0</v>
      </c>
      <c r="L9" s="16">
        <v>0.0</v>
      </c>
      <c r="N9" s="24"/>
      <c r="O9" s="19">
        <v>2.0</v>
      </c>
      <c r="P9" s="40">
        <v>0.0069124423963133645</v>
      </c>
      <c r="Q9" s="40">
        <v>0.0</v>
      </c>
      <c r="R9" s="40">
        <v>0.0</v>
      </c>
      <c r="S9" s="40">
        <v>0.0</v>
      </c>
      <c r="T9" s="40">
        <v>0.0</v>
      </c>
    </row>
    <row r="10" ht="15.75" customHeight="1">
      <c r="A10" s="16" t="s">
        <v>184</v>
      </c>
      <c r="F10" s="24"/>
      <c r="G10" s="19">
        <v>3.0</v>
      </c>
      <c r="H10" s="20">
        <v>3.0</v>
      </c>
      <c r="I10" s="20">
        <v>2.0</v>
      </c>
      <c r="J10" s="20">
        <v>0.0</v>
      </c>
      <c r="K10" s="20">
        <v>0.0</v>
      </c>
      <c r="L10" s="20">
        <v>0.0</v>
      </c>
      <c r="N10" s="24"/>
      <c r="O10" s="19">
        <v>3.0</v>
      </c>
      <c r="P10" s="40">
        <v>0.0069124423963133645</v>
      </c>
      <c r="Q10" s="40">
        <v>0.014492753623188406</v>
      </c>
      <c r="R10" s="40">
        <v>0.0</v>
      </c>
      <c r="S10" s="40">
        <v>0.0</v>
      </c>
      <c r="T10" s="40">
        <v>0.0</v>
      </c>
    </row>
    <row r="11" ht="15.75" customHeight="1">
      <c r="A11" s="16" t="s">
        <v>185</v>
      </c>
      <c r="F11" s="24"/>
      <c r="G11" s="19">
        <v>4.0</v>
      </c>
      <c r="H11" s="20">
        <v>3.0</v>
      </c>
      <c r="I11" s="20">
        <v>1.0</v>
      </c>
      <c r="J11" s="20">
        <v>1.0</v>
      </c>
      <c r="K11" s="20">
        <v>0.0</v>
      </c>
      <c r="L11" s="20">
        <v>0.0</v>
      </c>
      <c r="N11" s="24"/>
      <c r="O11" s="19">
        <v>4.0</v>
      </c>
      <c r="P11" s="40">
        <v>0.0069124423963133645</v>
      </c>
      <c r="Q11" s="40">
        <v>0.007246376811594203</v>
      </c>
      <c r="R11" s="40">
        <v>0.5</v>
      </c>
      <c r="S11" s="40">
        <v>0.0</v>
      </c>
      <c r="T11" s="40">
        <v>0.0</v>
      </c>
    </row>
    <row r="12" ht="15.75" customHeight="1">
      <c r="A12" s="16" t="s">
        <v>69</v>
      </c>
      <c r="F12" s="24"/>
      <c r="G12" s="19">
        <v>5.0</v>
      </c>
      <c r="H12" s="20">
        <v>2.0</v>
      </c>
      <c r="I12" s="20">
        <v>1.0</v>
      </c>
      <c r="J12" s="20">
        <v>0.0</v>
      </c>
      <c r="K12" s="20">
        <v>0.0</v>
      </c>
      <c r="L12" s="20">
        <v>0.0</v>
      </c>
      <c r="N12" s="24"/>
      <c r="O12" s="19">
        <v>5.0</v>
      </c>
      <c r="P12" s="40">
        <v>0.004608294930875576</v>
      </c>
      <c r="Q12" s="40">
        <v>0.007246376811594203</v>
      </c>
      <c r="R12" s="40">
        <v>0.0</v>
      </c>
      <c r="S12" s="40">
        <v>0.0</v>
      </c>
      <c r="T12" s="40">
        <v>0.0</v>
      </c>
    </row>
    <row r="13" ht="15.75" customHeight="1">
      <c r="A13" s="16" t="s">
        <v>186</v>
      </c>
      <c r="F13" s="24"/>
      <c r="G13" s="19">
        <v>6.0</v>
      </c>
      <c r="H13" s="20">
        <v>5.0</v>
      </c>
      <c r="I13" s="20">
        <v>0.0</v>
      </c>
      <c r="J13" s="20">
        <v>0.0</v>
      </c>
      <c r="K13" s="20">
        <v>0.0</v>
      </c>
      <c r="L13" s="20">
        <v>1.0</v>
      </c>
      <c r="N13" s="24"/>
      <c r="O13" s="19">
        <v>6.0</v>
      </c>
      <c r="P13" s="40">
        <v>0.01152073732718894</v>
      </c>
      <c r="Q13" s="40">
        <v>0.0</v>
      </c>
      <c r="R13" s="40">
        <v>0.0</v>
      </c>
      <c r="S13" s="40">
        <v>0.0</v>
      </c>
      <c r="T13" s="40">
        <v>0.05263157894736842</v>
      </c>
    </row>
    <row r="14" ht="15.75" customHeight="1">
      <c r="A14" s="16" t="s">
        <v>187</v>
      </c>
      <c r="F14" s="24"/>
      <c r="G14" s="19">
        <v>7.0</v>
      </c>
      <c r="H14" s="20">
        <v>12.0</v>
      </c>
      <c r="I14" s="20">
        <v>6.0</v>
      </c>
      <c r="J14" s="20">
        <v>0.0</v>
      </c>
      <c r="K14" s="20">
        <v>2.0</v>
      </c>
      <c r="L14" s="20">
        <v>1.0</v>
      </c>
      <c r="N14" s="24"/>
      <c r="O14" s="19">
        <v>7.0</v>
      </c>
      <c r="P14" s="40">
        <v>0.027649769585253458</v>
      </c>
      <c r="Q14" s="40">
        <v>0.043478260869565216</v>
      </c>
      <c r="R14" s="40">
        <v>0.0</v>
      </c>
      <c r="S14" s="40">
        <v>0.08333333333333333</v>
      </c>
      <c r="T14" s="40">
        <v>0.05263157894736842</v>
      </c>
    </row>
    <row r="15" ht="15.75" customHeight="1">
      <c r="A15" s="16" t="s">
        <v>188</v>
      </c>
      <c r="F15" s="24"/>
      <c r="G15" s="19">
        <v>8.0</v>
      </c>
      <c r="H15" s="20">
        <v>15.0</v>
      </c>
      <c r="I15" s="20">
        <v>7.0</v>
      </c>
      <c r="J15" s="20">
        <v>0.0</v>
      </c>
      <c r="K15" s="20">
        <v>1.0</v>
      </c>
      <c r="L15" s="20">
        <v>2.0</v>
      </c>
      <c r="N15" s="24"/>
      <c r="O15" s="19">
        <v>8.0</v>
      </c>
      <c r="P15" s="40">
        <v>0.03456221198156682</v>
      </c>
      <c r="Q15" s="40">
        <v>0.050724637681159424</v>
      </c>
      <c r="R15" s="40">
        <v>0.0</v>
      </c>
      <c r="S15" s="40">
        <v>0.041666666666666664</v>
      </c>
      <c r="T15" s="40">
        <v>0.10526315789473684</v>
      </c>
    </row>
    <row r="16" ht="15.75" customHeight="1">
      <c r="A16" s="16" t="s">
        <v>189</v>
      </c>
      <c r="F16" s="24"/>
      <c r="G16" s="19">
        <v>9.0</v>
      </c>
      <c r="H16" s="20">
        <v>17.0</v>
      </c>
      <c r="I16" s="20">
        <v>2.0</v>
      </c>
      <c r="J16" s="20">
        <v>0.0</v>
      </c>
      <c r="K16" s="20">
        <v>2.0</v>
      </c>
      <c r="L16" s="20">
        <v>1.0</v>
      </c>
      <c r="N16" s="24"/>
      <c r="O16" s="19">
        <v>9.0</v>
      </c>
      <c r="P16" s="40">
        <v>0.03917050691244239</v>
      </c>
      <c r="Q16" s="40">
        <v>0.014492753623188406</v>
      </c>
      <c r="R16" s="40">
        <v>0.0</v>
      </c>
      <c r="S16" s="40">
        <v>0.08333333333333333</v>
      </c>
      <c r="T16" s="40">
        <v>0.05263157894736842</v>
      </c>
    </row>
    <row r="17" ht="15.75" customHeight="1">
      <c r="A17" s="16" t="s">
        <v>190</v>
      </c>
      <c r="F17" s="24"/>
      <c r="G17" s="19">
        <v>10.0</v>
      </c>
      <c r="H17" s="20">
        <v>21.0</v>
      </c>
      <c r="I17" s="20">
        <v>12.0</v>
      </c>
      <c r="J17" s="20">
        <v>0.0</v>
      </c>
      <c r="K17" s="20">
        <v>3.0</v>
      </c>
      <c r="L17" s="20">
        <v>4.0</v>
      </c>
      <c r="N17" s="24"/>
      <c r="O17" s="19">
        <v>10.0</v>
      </c>
      <c r="P17" s="40">
        <v>0.04838709677419355</v>
      </c>
      <c r="Q17" s="40">
        <v>0.08695652173913043</v>
      </c>
      <c r="R17" s="40">
        <v>0.0</v>
      </c>
      <c r="S17" s="40">
        <v>0.125</v>
      </c>
      <c r="T17" s="40">
        <v>0.21052631578947367</v>
      </c>
    </row>
    <row r="18" ht="15.75" customHeight="1">
      <c r="A18" s="16" t="s">
        <v>191</v>
      </c>
      <c r="F18" s="24"/>
      <c r="G18" s="19">
        <v>11.0</v>
      </c>
      <c r="H18" s="20">
        <v>22.0</v>
      </c>
      <c r="I18" s="20">
        <v>6.0</v>
      </c>
      <c r="J18" s="20">
        <v>0.0</v>
      </c>
      <c r="K18" s="20">
        <v>5.0</v>
      </c>
      <c r="L18" s="20">
        <v>0.0</v>
      </c>
      <c r="N18" s="24"/>
      <c r="O18" s="19">
        <v>11.0</v>
      </c>
      <c r="P18" s="40">
        <v>0.05069124423963134</v>
      </c>
      <c r="Q18" s="40">
        <v>0.043478260869565216</v>
      </c>
      <c r="R18" s="40">
        <v>0.0</v>
      </c>
      <c r="S18" s="40">
        <v>0.20833333333333334</v>
      </c>
      <c r="T18" s="40">
        <v>0.0</v>
      </c>
    </row>
    <row r="19" ht="15.75" customHeight="1">
      <c r="A19" s="16" t="s">
        <v>192</v>
      </c>
      <c r="F19" s="24"/>
      <c r="G19" s="19">
        <v>12.0</v>
      </c>
      <c r="H19" s="20">
        <v>30.0</v>
      </c>
      <c r="I19" s="20">
        <v>5.0</v>
      </c>
      <c r="J19" s="20">
        <v>0.0</v>
      </c>
      <c r="K19" s="20">
        <v>4.0</v>
      </c>
      <c r="L19" s="20">
        <v>2.0</v>
      </c>
      <c r="N19" s="24"/>
      <c r="O19" s="19">
        <v>12.0</v>
      </c>
      <c r="P19" s="40">
        <v>0.06912442396313365</v>
      </c>
      <c r="Q19" s="40">
        <v>0.036231884057971016</v>
      </c>
      <c r="R19" s="40">
        <v>0.0</v>
      </c>
      <c r="S19" s="40">
        <v>0.16666666666666666</v>
      </c>
      <c r="T19" s="40">
        <v>0.10526315789473684</v>
      </c>
    </row>
    <row r="20" ht="15.75" customHeight="1">
      <c r="A20" s="16" t="s">
        <v>193</v>
      </c>
      <c r="F20" s="24"/>
      <c r="G20" s="19">
        <v>13.0</v>
      </c>
      <c r="H20" s="20">
        <v>34.0</v>
      </c>
      <c r="I20" s="20">
        <v>7.0</v>
      </c>
      <c r="J20" s="20">
        <v>0.0</v>
      </c>
      <c r="K20" s="20">
        <v>0.0</v>
      </c>
      <c r="L20" s="20">
        <v>0.0</v>
      </c>
      <c r="N20" s="24"/>
      <c r="O20" s="19">
        <v>13.0</v>
      </c>
      <c r="P20" s="40">
        <v>0.07834101382488479</v>
      </c>
      <c r="Q20" s="40">
        <v>0.050724637681159424</v>
      </c>
      <c r="R20" s="40">
        <v>0.0</v>
      </c>
      <c r="S20" s="40">
        <v>0.0</v>
      </c>
      <c r="T20" s="40">
        <v>0.0</v>
      </c>
    </row>
    <row r="21" ht="15.75" customHeight="1">
      <c r="A21" s="16" t="s">
        <v>194</v>
      </c>
      <c r="F21" s="24"/>
      <c r="G21" s="19">
        <v>14.0</v>
      </c>
      <c r="H21" s="20">
        <v>37.0</v>
      </c>
      <c r="I21" s="20">
        <v>13.0</v>
      </c>
      <c r="J21" s="20">
        <v>0.0</v>
      </c>
      <c r="K21" s="20">
        <v>1.0</v>
      </c>
      <c r="L21" s="20">
        <v>1.0</v>
      </c>
      <c r="N21" s="24"/>
      <c r="O21" s="19">
        <v>14.0</v>
      </c>
      <c r="P21" s="40">
        <v>0.08525345622119816</v>
      </c>
      <c r="Q21" s="40">
        <v>0.09420289855072464</v>
      </c>
      <c r="R21" s="40">
        <v>0.0</v>
      </c>
      <c r="S21" s="40">
        <v>0.041666666666666664</v>
      </c>
      <c r="T21" s="40">
        <v>0.05263157894736842</v>
      </c>
    </row>
    <row r="22" ht="15.75" customHeight="1">
      <c r="A22" s="16" t="s">
        <v>195</v>
      </c>
      <c r="F22" s="24"/>
      <c r="G22" s="19">
        <v>15.0</v>
      </c>
      <c r="H22" s="20">
        <v>41.0</v>
      </c>
      <c r="I22" s="20">
        <v>13.0</v>
      </c>
      <c r="J22" s="20">
        <v>0.0</v>
      </c>
      <c r="K22" s="20">
        <v>2.0</v>
      </c>
      <c r="L22" s="20">
        <v>0.0</v>
      </c>
      <c r="N22" s="24"/>
      <c r="O22" s="19">
        <v>15.0</v>
      </c>
      <c r="P22" s="40">
        <v>0.0944700460829493</v>
      </c>
      <c r="Q22" s="40">
        <v>0.09420289855072464</v>
      </c>
      <c r="R22" s="40">
        <v>0.0</v>
      </c>
      <c r="S22" s="40">
        <v>0.08333333333333333</v>
      </c>
      <c r="T22" s="40">
        <v>0.0</v>
      </c>
    </row>
    <row r="23" ht="15.75" customHeight="1">
      <c r="A23" s="16" t="s">
        <v>196</v>
      </c>
      <c r="F23" s="24"/>
      <c r="G23" s="19">
        <v>16.0</v>
      </c>
      <c r="H23" s="20">
        <v>40.0</v>
      </c>
      <c r="I23" s="20">
        <v>12.0</v>
      </c>
      <c r="J23" s="20">
        <v>0.0</v>
      </c>
      <c r="K23" s="20">
        <v>1.0</v>
      </c>
      <c r="L23" s="20">
        <v>2.0</v>
      </c>
      <c r="N23" s="24"/>
      <c r="O23" s="19">
        <v>16.0</v>
      </c>
      <c r="P23" s="40">
        <v>0.09216589861751152</v>
      </c>
      <c r="Q23" s="40">
        <v>0.08695652173913043</v>
      </c>
      <c r="R23" s="40">
        <v>0.0</v>
      </c>
      <c r="S23" s="40">
        <v>0.041666666666666664</v>
      </c>
      <c r="T23" s="40">
        <v>0.10526315789473684</v>
      </c>
    </row>
    <row r="24" ht="15.75" customHeight="1">
      <c r="A24" s="16" t="s">
        <v>197</v>
      </c>
      <c r="F24" s="24"/>
      <c r="G24" s="19">
        <v>17.0</v>
      </c>
      <c r="H24" s="20">
        <v>39.0</v>
      </c>
      <c r="I24" s="20">
        <v>14.0</v>
      </c>
      <c r="J24" s="20">
        <v>0.0</v>
      </c>
      <c r="K24" s="20">
        <v>2.0</v>
      </c>
      <c r="L24" s="20">
        <v>1.0</v>
      </c>
      <c r="N24" s="24"/>
      <c r="O24" s="19">
        <v>17.0</v>
      </c>
      <c r="P24" s="40">
        <v>0.08986175115207373</v>
      </c>
      <c r="Q24" s="40">
        <v>0.10144927536231885</v>
      </c>
      <c r="R24" s="40">
        <v>0.0</v>
      </c>
      <c r="S24" s="40">
        <v>0.08333333333333333</v>
      </c>
      <c r="T24" s="40">
        <v>0.05263157894736842</v>
      </c>
    </row>
    <row r="25" ht="15.75" customHeight="1">
      <c r="A25" s="16" t="s">
        <v>198</v>
      </c>
      <c r="F25" s="24"/>
      <c r="G25" s="19">
        <v>18.0</v>
      </c>
      <c r="H25" s="20">
        <v>37.0</v>
      </c>
      <c r="I25" s="20">
        <v>9.0</v>
      </c>
      <c r="J25" s="20">
        <v>1.0</v>
      </c>
      <c r="K25" s="20">
        <v>0.0</v>
      </c>
      <c r="L25" s="20">
        <v>1.0</v>
      </c>
      <c r="N25" s="24"/>
      <c r="O25" s="19">
        <v>18.0</v>
      </c>
      <c r="P25" s="40">
        <v>0.08525345622119816</v>
      </c>
      <c r="Q25" s="40">
        <v>0.06521739130434782</v>
      </c>
      <c r="R25" s="40">
        <v>0.5</v>
      </c>
      <c r="S25" s="40">
        <v>0.0</v>
      </c>
      <c r="T25" s="40">
        <v>0.05263157894736842</v>
      </c>
    </row>
    <row r="26" ht="15.75" customHeight="1">
      <c r="A26" s="16" t="s">
        <v>199</v>
      </c>
      <c r="F26" s="24"/>
      <c r="G26" s="19">
        <v>19.0</v>
      </c>
      <c r="H26" s="20">
        <v>20.0</v>
      </c>
      <c r="I26" s="20">
        <v>6.0</v>
      </c>
      <c r="J26" s="20">
        <v>0.0</v>
      </c>
      <c r="K26" s="20">
        <v>0.0</v>
      </c>
      <c r="L26" s="20">
        <v>0.0</v>
      </c>
      <c r="N26" s="24"/>
      <c r="O26" s="19">
        <v>19.0</v>
      </c>
      <c r="P26" s="40">
        <v>0.04608294930875576</v>
      </c>
      <c r="Q26" s="40">
        <v>0.043478260869565216</v>
      </c>
      <c r="R26" s="40">
        <v>0.0</v>
      </c>
      <c r="S26" s="40">
        <v>0.0</v>
      </c>
      <c r="T26" s="40">
        <v>0.0</v>
      </c>
    </row>
    <row r="27" ht="15.75" customHeight="1">
      <c r="A27" s="16" t="s">
        <v>126</v>
      </c>
      <c r="F27" s="24"/>
      <c r="G27" s="19">
        <v>20.0</v>
      </c>
      <c r="H27" s="20">
        <v>15.0</v>
      </c>
      <c r="I27" s="20">
        <v>6.0</v>
      </c>
      <c r="J27" s="20">
        <v>0.0</v>
      </c>
      <c r="K27" s="20">
        <v>0.0</v>
      </c>
      <c r="L27" s="20">
        <v>1.0</v>
      </c>
      <c r="N27" s="24"/>
      <c r="O27" s="19">
        <v>20.0</v>
      </c>
      <c r="P27" s="40">
        <v>0.03456221198156682</v>
      </c>
      <c r="Q27" s="40">
        <v>0.043478260869565216</v>
      </c>
      <c r="R27" s="40">
        <v>0.0</v>
      </c>
      <c r="S27" s="40">
        <v>0.0</v>
      </c>
      <c r="T27" s="40">
        <v>0.05263157894736842</v>
      </c>
    </row>
    <row r="28" ht="15.75" customHeight="1">
      <c r="A28" s="16" t="s">
        <v>89</v>
      </c>
      <c r="F28" s="24"/>
      <c r="G28" s="19">
        <v>21.0</v>
      </c>
      <c r="H28" s="20">
        <v>14.0</v>
      </c>
      <c r="I28" s="20">
        <v>7.0</v>
      </c>
      <c r="J28" s="20">
        <v>0.0</v>
      </c>
      <c r="K28" s="20">
        <v>0.0</v>
      </c>
      <c r="L28" s="20">
        <v>0.0</v>
      </c>
      <c r="N28" s="24"/>
      <c r="O28" s="19">
        <v>21.0</v>
      </c>
      <c r="P28" s="40">
        <v>0.03225806451612903</v>
      </c>
      <c r="Q28" s="40">
        <v>0.050724637681159424</v>
      </c>
      <c r="R28" s="40">
        <v>0.0</v>
      </c>
      <c r="S28" s="40">
        <v>0.0</v>
      </c>
      <c r="T28" s="40">
        <v>0.0</v>
      </c>
    </row>
    <row r="29" ht="15.75" customHeight="1">
      <c r="A29" s="16" t="s">
        <v>200</v>
      </c>
      <c r="F29" s="24"/>
      <c r="G29" s="19">
        <v>22.0</v>
      </c>
      <c r="H29" s="20">
        <v>12.0</v>
      </c>
      <c r="I29" s="20">
        <v>2.0</v>
      </c>
      <c r="J29" s="20">
        <v>0.0</v>
      </c>
      <c r="K29" s="20">
        <v>0.0</v>
      </c>
      <c r="L29" s="20">
        <v>1.0</v>
      </c>
      <c r="N29" s="24"/>
      <c r="O29" s="19">
        <v>22.0</v>
      </c>
      <c r="P29" s="40">
        <v>0.027649769585253458</v>
      </c>
      <c r="Q29" s="40">
        <v>0.014492753623188406</v>
      </c>
      <c r="R29" s="40">
        <v>0.0</v>
      </c>
      <c r="S29" s="40">
        <v>0.0</v>
      </c>
      <c r="T29" s="40">
        <v>0.05263157894736842</v>
      </c>
    </row>
    <row r="30" ht="15.75" customHeight="1">
      <c r="A30" s="16" t="s">
        <v>201</v>
      </c>
      <c r="F30" s="28"/>
      <c r="G30" s="19">
        <v>23.0</v>
      </c>
      <c r="H30" s="20">
        <v>4.0</v>
      </c>
      <c r="I30" s="20">
        <v>2.0</v>
      </c>
      <c r="J30" s="20">
        <v>0.0</v>
      </c>
      <c r="K30" s="20">
        <v>1.0</v>
      </c>
      <c r="L30" s="20">
        <v>1.0</v>
      </c>
      <c r="N30" s="28"/>
      <c r="O30" s="19">
        <v>23.0</v>
      </c>
      <c r="P30" s="40">
        <v>0.009216589861751152</v>
      </c>
      <c r="Q30" s="40">
        <v>0.014492753623188406</v>
      </c>
      <c r="R30" s="40">
        <v>0.0</v>
      </c>
      <c r="S30" s="40">
        <v>0.041666666666666664</v>
      </c>
      <c r="T30" s="40">
        <v>0.05263157894736842</v>
      </c>
    </row>
    <row r="31" ht="15.75" customHeight="1">
      <c r="A31" s="16" t="s">
        <v>202</v>
      </c>
      <c r="F31" s="56">
        <v>45209.0</v>
      </c>
      <c r="G31" s="19">
        <v>0.0</v>
      </c>
      <c r="H31" s="20">
        <v>5.0</v>
      </c>
      <c r="I31" s="20">
        <v>2.0</v>
      </c>
      <c r="J31" s="20">
        <v>0.0</v>
      </c>
      <c r="K31" s="20">
        <v>0.0</v>
      </c>
      <c r="L31" s="20">
        <v>1.0</v>
      </c>
      <c r="N31" s="56">
        <v>45209.0</v>
      </c>
      <c r="O31" s="19">
        <v>0.0</v>
      </c>
      <c r="P31" s="40">
        <v>0.015772870662460567</v>
      </c>
      <c r="Q31" s="40">
        <v>0.02127659574468085</v>
      </c>
      <c r="R31" s="40">
        <v>0.0</v>
      </c>
      <c r="S31" s="40">
        <v>0.0</v>
      </c>
      <c r="T31" s="40">
        <v>0.047619047619047616</v>
      </c>
    </row>
    <row r="32" ht="15.75" customHeight="1">
      <c r="A32" s="16" t="s">
        <v>69</v>
      </c>
      <c r="F32" s="24"/>
      <c r="G32" s="19">
        <v>1.0</v>
      </c>
      <c r="H32" s="20">
        <v>2.0</v>
      </c>
      <c r="I32" s="20">
        <v>1.0</v>
      </c>
      <c r="J32" s="20">
        <v>0.0</v>
      </c>
      <c r="K32" s="20">
        <v>0.0</v>
      </c>
      <c r="L32" s="20">
        <v>0.0</v>
      </c>
      <c r="N32" s="24"/>
      <c r="O32" s="19">
        <v>1.0</v>
      </c>
      <c r="P32" s="40">
        <v>0.006309148264984227</v>
      </c>
      <c r="Q32" s="40">
        <v>0.010638297872340425</v>
      </c>
      <c r="R32" s="40">
        <v>0.0</v>
      </c>
      <c r="S32" s="40">
        <v>0.0</v>
      </c>
      <c r="T32" s="40">
        <v>0.0</v>
      </c>
    </row>
    <row r="33" ht="15.75" customHeight="1">
      <c r="A33" s="16" t="s">
        <v>94</v>
      </c>
      <c r="F33" s="24"/>
      <c r="G33" s="19">
        <v>2.0</v>
      </c>
      <c r="H33" s="16">
        <v>1.0</v>
      </c>
      <c r="I33" s="16">
        <v>0.0</v>
      </c>
      <c r="J33" s="16">
        <v>0.0</v>
      </c>
      <c r="K33" s="16">
        <v>0.0</v>
      </c>
      <c r="L33" s="16">
        <v>0.0</v>
      </c>
      <c r="N33" s="24"/>
      <c r="O33" s="19">
        <v>2.0</v>
      </c>
      <c r="P33" s="40">
        <v>0.0031545741324921135</v>
      </c>
      <c r="Q33" s="40">
        <v>0.0</v>
      </c>
      <c r="R33" s="40">
        <v>0.0</v>
      </c>
      <c r="S33" s="40">
        <v>0.0</v>
      </c>
      <c r="T33" s="40">
        <v>0.0</v>
      </c>
    </row>
    <row r="34" ht="15.75" customHeight="1">
      <c r="A34" s="16" t="s">
        <v>70</v>
      </c>
      <c r="F34" s="24"/>
      <c r="G34" s="19">
        <v>3.0</v>
      </c>
      <c r="H34" s="16">
        <v>2.0</v>
      </c>
      <c r="I34" s="16">
        <v>0.0</v>
      </c>
      <c r="J34" s="16">
        <v>0.0</v>
      </c>
      <c r="K34" s="16">
        <v>0.0</v>
      </c>
      <c r="L34" s="16">
        <v>0.0</v>
      </c>
      <c r="N34" s="24"/>
      <c r="O34" s="19">
        <v>3.0</v>
      </c>
      <c r="P34" s="40">
        <v>0.006309148264984227</v>
      </c>
      <c r="Q34" s="40">
        <v>0.0</v>
      </c>
      <c r="R34" s="40">
        <v>0.0</v>
      </c>
      <c r="S34" s="40">
        <v>0.0</v>
      </c>
      <c r="T34" s="40">
        <v>0.0</v>
      </c>
    </row>
    <row r="35" ht="15.75" customHeight="1">
      <c r="A35" s="16" t="s">
        <v>94</v>
      </c>
      <c r="F35" s="24"/>
      <c r="G35" s="19">
        <v>4.0</v>
      </c>
      <c r="H35" s="20">
        <v>1.0</v>
      </c>
      <c r="I35" s="20">
        <v>0.0</v>
      </c>
      <c r="J35" s="20">
        <v>0.0</v>
      </c>
      <c r="K35" s="20">
        <v>0.0</v>
      </c>
      <c r="L35" s="20">
        <v>0.0</v>
      </c>
      <c r="N35" s="24"/>
      <c r="O35" s="19">
        <v>4.0</v>
      </c>
      <c r="P35" s="40">
        <v>0.0031545741324921135</v>
      </c>
      <c r="Q35" s="40">
        <v>0.0</v>
      </c>
      <c r="R35" s="40">
        <v>0.0</v>
      </c>
      <c r="S35" s="40">
        <v>0.0</v>
      </c>
      <c r="T35" s="40">
        <v>0.0</v>
      </c>
    </row>
    <row r="36" ht="15.75" customHeight="1">
      <c r="A36" s="16" t="s">
        <v>203</v>
      </c>
      <c r="F36" s="24"/>
      <c r="G36" s="19">
        <v>5.0</v>
      </c>
      <c r="H36" s="16">
        <v>3.0</v>
      </c>
      <c r="I36" s="16">
        <v>1.0</v>
      </c>
      <c r="J36" s="16">
        <v>0.0</v>
      </c>
      <c r="K36" s="16">
        <v>1.0</v>
      </c>
      <c r="L36" s="16">
        <v>1.0</v>
      </c>
      <c r="N36" s="24"/>
      <c r="O36" s="19">
        <v>5.0</v>
      </c>
      <c r="P36" s="40">
        <v>0.00946372239747634</v>
      </c>
      <c r="Q36" s="40">
        <v>0.010638297872340425</v>
      </c>
      <c r="R36" s="40">
        <v>0.0</v>
      </c>
      <c r="S36" s="40">
        <v>0.04</v>
      </c>
      <c r="T36" s="40">
        <v>0.047619047619047616</v>
      </c>
    </row>
    <row r="37" ht="15.75" customHeight="1">
      <c r="A37" s="16" t="s">
        <v>204</v>
      </c>
      <c r="F37" s="24"/>
      <c r="G37" s="19">
        <v>6.0</v>
      </c>
      <c r="H37" s="20">
        <v>7.0</v>
      </c>
      <c r="I37" s="20">
        <v>2.0</v>
      </c>
      <c r="J37" s="20">
        <v>0.0</v>
      </c>
      <c r="K37" s="20">
        <v>0.0</v>
      </c>
      <c r="L37" s="20">
        <v>1.0</v>
      </c>
      <c r="N37" s="24"/>
      <c r="O37" s="19">
        <v>6.0</v>
      </c>
      <c r="P37" s="40">
        <v>0.022082018927444796</v>
      </c>
      <c r="Q37" s="40">
        <v>0.02127659574468085</v>
      </c>
      <c r="R37" s="40">
        <v>0.0</v>
      </c>
      <c r="S37" s="40">
        <v>0.0</v>
      </c>
      <c r="T37" s="40">
        <v>0.047619047619047616</v>
      </c>
    </row>
    <row r="38" ht="15.75" customHeight="1">
      <c r="A38" s="16" t="s">
        <v>205</v>
      </c>
      <c r="F38" s="24"/>
      <c r="G38" s="19">
        <v>7.0</v>
      </c>
      <c r="H38" s="20">
        <v>8.0</v>
      </c>
      <c r="I38" s="20">
        <v>4.0</v>
      </c>
      <c r="J38" s="20">
        <v>0.0</v>
      </c>
      <c r="K38" s="20">
        <v>0.0</v>
      </c>
      <c r="L38" s="20">
        <v>0.0</v>
      </c>
      <c r="N38" s="24"/>
      <c r="O38" s="19">
        <v>7.0</v>
      </c>
      <c r="P38" s="40">
        <v>0.025236593059936908</v>
      </c>
      <c r="Q38" s="40">
        <v>0.0425531914893617</v>
      </c>
      <c r="R38" s="40">
        <v>0.0</v>
      </c>
      <c r="S38" s="40">
        <v>0.0</v>
      </c>
      <c r="T38" s="40">
        <v>0.0</v>
      </c>
    </row>
    <row r="39" ht="15.75" customHeight="1">
      <c r="A39" s="16" t="s">
        <v>206</v>
      </c>
      <c r="F39" s="24"/>
      <c r="G39" s="19">
        <v>8.0</v>
      </c>
      <c r="H39" s="20">
        <v>12.0</v>
      </c>
      <c r="I39" s="20">
        <v>4.0</v>
      </c>
      <c r="J39" s="20">
        <v>0.0</v>
      </c>
      <c r="K39" s="20">
        <v>2.0</v>
      </c>
      <c r="L39" s="20">
        <v>2.0</v>
      </c>
      <c r="N39" s="24"/>
      <c r="O39" s="19">
        <v>8.0</v>
      </c>
      <c r="P39" s="40">
        <v>0.03785488958990536</v>
      </c>
      <c r="Q39" s="40">
        <v>0.0425531914893617</v>
      </c>
      <c r="R39" s="40">
        <v>0.0</v>
      </c>
      <c r="S39" s="40">
        <v>0.08</v>
      </c>
      <c r="T39" s="40">
        <v>0.09523809523809523</v>
      </c>
    </row>
    <row r="40" ht="15.75" customHeight="1">
      <c r="A40" s="16" t="s">
        <v>207</v>
      </c>
      <c r="F40" s="24"/>
      <c r="G40" s="19">
        <v>9.0</v>
      </c>
      <c r="H40" s="20">
        <v>15.0</v>
      </c>
      <c r="I40" s="20">
        <v>5.0</v>
      </c>
      <c r="J40" s="20">
        <v>0.0</v>
      </c>
      <c r="K40" s="20">
        <v>6.0</v>
      </c>
      <c r="L40" s="20">
        <v>0.0</v>
      </c>
      <c r="N40" s="24"/>
      <c r="O40" s="19">
        <v>9.0</v>
      </c>
      <c r="P40" s="40">
        <v>0.0473186119873817</v>
      </c>
      <c r="Q40" s="40">
        <v>0.05319148936170213</v>
      </c>
      <c r="R40" s="40">
        <v>0.0</v>
      </c>
      <c r="S40" s="40">
        <v>0.24</v>
      </c>
      <c r="T40" s="40">
        <v>0.0</v>
      </c>
    </row>
    <row r="41" ht="15.75" customHeight="1">
      <c r="A41" s="16" t="s">
        <v>208</v>
      </c>
      <c r="F41" s="24"/>
      <c r="G41" s="19">
        <v>10.0</v>
      </c>
      <c r="H41" s="20">
        <v>24.0</v>
      </c>
      <c r="I41" s="20">
        <v>3.0</v>
      </c>
      <c r="J41" s="20">
        <v>0.0</v>
      </c>
      <c r="K41" s="20">
        <v>3.0</v>
      </c>
      <c r="L41" s="20">
        <v>3.0</v>
      </c>
      <c r="N41" s="24"/>
      <c r="O41" s="19">
        <v>10.0</v>
      </c>
      <c r="P41" s="40">
        <v>0.07570977917981073</v>
      </c>
      <c r="Q41" s="40">
        <v>0.031914893617021274</v>
      </c>
      <c r="R41" s="40">
        <v>0.0</v>
      </c>
      <c r="S41" s="40">
        <v>0.12</v>
      </c>
      <c r="T41" s="40">
        <v>0.14285714285714285</v>
      </c>
    </row>
    <row r="42" ht="15.75" customHeight="1">
      <c r="A42" s="16" t="s">
        <v>209</v>
      </c>
      <c r="F42" s="24"/>
      <c r="G42" s="19">
        <v>11.0</v>
      </c>
      <c r="H42" s="20">
        <v>23.0</v>
      </c>
      <c r="I42" s="20">
        <v>7.0</v>
      </c>
      <c r="J42" s="20">
        <v>0.0</v>
      </c>
      <c r="K42" s="20">
        <v>5.0</v>
      </c>
      <c r="L42" s="20">
        <v>2.0</v>
      </c>
      <c r="N42" s="24"/>
      <c r="O42" s="19">
        <v>11.0</v>
      </c>
      <c r="P42" s="40">
        <v>0.07255520504731862</v>
      </c>
      <c r="Q42" s="40">
        <v>0.07446808510638298</v>
      </c>
      <c r="R42" s="40">
        <v>0.0</v>
      </c>
      <c r="S42" s="40">
        <v>0.2</v>
      </c>
      <c r="T42" s="40">
        <v>0.09523809523809523</v>
      </c>
    </row>
    <row r="43" ht="15.75" customHeight="1">
      <c r="A43" s="16" t="s">
        <v>210</v>
      </c>
      <c r="F43" s="24"/>
      <c r="G43" s="19">
        <v>12.0</v>
      </c>
      <c r="H43" s="20">
        <v>25.0</v>
      </c>
      <c r="I43" s="20">
        <v>7.0</v>
      </c>
      <c r="J43" s="20">
        <v>0.0</v>
      </c>
      <c r="K43" s="20">
        <v>2.0</v>
      </c>
      <c r="L43" s="20">
        <v>2.0</v>
      </c>
      <c r="N43" s="24"/>
      <c r="O43" s="19">
        <v>12.0</v>
      </c>
      <c r="P43" s="40">
        <v>0.07886435331230283</v>
      </c>
      <c r="Q43" s="40">
        <v>0.07446808510638298</v>
      </c>
      <c r="R43" s="40">
        <v>0.0</v>
      </c>
      <c r="S43" s="40">
        <v>0.08</v>
      </c>
      <c r="T43" s="40">
        <v>0.09523809523809523</v>
      </c>
    </row>
    <row r="44" ht="15.75" customHeight="1">
      <c r="A44" s="16" t="s">
        <v>211</v>
      </c>
      <c r="F44" s="24"/>
      <c r="G44" s="19">
        <v>13.0</v>
      </c>
      <c r="H44" s="20">
        <v>27.0</v>
      </c>
      <c r="I44" s="20">
        <v>4.0</v>
      </c>
      <c r="J44" s="20">
        <v>0.0</v>
      </c>
      <c r="K44" s="20">
        <v>5.0</v>
      </c>
      <c r="L44" s="20">
        <v>2.0</v>
      </c>
      <c r="N44" s="24"/>
      <c r="O44" s="19">
        <v>13.0</v>
      </c>
      <c r="P44" s="40">
        <v>0.08517350157728706</v>
      </c>
      <c r="Q44" s="40">
        <v>0.0425531914893617</v>
      </c>
      <c r="R44" s="40">
        <v>0.0</v>
      </c>
      <c r="S44" s="40">
        <v>0.2</v>
      </c>
      <c r="T44" s="40">
        <v>0.09523809523809523</v>
      </c>
    </row>
    <row r="45" ht="15.75" customHeight="1">
      <c r="A45" s="16" t="s">
        <v>212</v>
      </c>
      <c r="F45" s="24"/>
      <c r="G45" s="19">
        <v>14.0</v>
      </c>
      <c r="H45" s="20">
        <v>26.0</v>
      </c>
      <c r="I45" s="20">
        <v>7.0</v>
      </c>
      <c r="J45" s="20">
        <v>0.0</v>
      </c>
      <c r="K45" s="20">
        <v>0.0</v>
      </c>
      <c r="L45" s="20">
        <v>3.0</v>
      </c>
      <c r="N45" s="24"/>
      <c r="O45" s="19">
        <v>14.0</v>
      </c>
      <c r="P45" s="40">
        <v>0.08201892744479496</v>
      </c>
      <c r="Q45" s="40">
        <v>0.07446808510638298</v>
      </c>
      <c r="R45" s="40">
        <v>0.0</v>
      </c>
      <c r="S45" s="40">
        <v>0.0</v>
      </c>
      <c r="T45" s="40">
        <v>0.14285714285714285</v>
      </c>
    </row>
    <row r="46" ht="15.75" customHeight="1">
      <c r="A46" s="16" t="s">
        <v>213</v>
      </c>
      <c r="F46" s="24"/>
      <c r="G46" s="19">
        <v>15.0</v>
      </c>
      <c r="H46" s="20">
        <v>20.0</v>
      </c>
      <c r="I46" s="20">
        <v>10.0</v>
      </c>
      <c r="J46" s="20">
        <v>0.0</v>
      </c>
      <c r="K46" s="20">
        <v>0.0</v>
      </c>
      <c r="L46" s="20">
        <v>1.0</v>
      </c>
      <c r="N46" s="24"/>
      <c r="O46" s="19">
        <v>15.0</v>
      </c>
      <c r="P46" s="40">
        <v>0.06309148264984227</v>
      </c>
      <c r="Q46" s="40">
        <v>0.10638297872340426</v>
      </c>
      <c r="R46" s="40">
        <v>0.0</v>
      </c>
      <c r="S46" s="40">
        <v>0.0</v>
      </c>
      <c r="T46" s="40">
        <v>0.047619047619047616</v>
      </c>
    </row>
    <row r="47" ht="15.75" customHeight="1">
      <c r="A47" s="16" t="s">
        <v>214</v>
      </c>
      <c r="F47" s="24"/>
      <c r="G47" s="19">
        <v>16.0</v>
      </c>
      <c r="H47" s="20">
        <v>27.0</v>
      </c>
      <c r="I47" s="20">
        <v>4.0</v>
      </c>
      <c r="J47" s="20">
        <v>0.0</v>
      </c>
      <c r="K47" s="20">
        <v>0.0</v>
      </c>
      <c r="L47" s="20">
        <v>0.0</v>
      </c>
      <c r="N47" s="24"/>
      <c r="O47" s="19">
        <v>16.0</v>
      </c>
      <c r="P47" s="40">
        <v>0.08517350157728706</v>
      </c>
      <c r="Q47" s="40">
        <v>0.0425531914893617</v>
      </c>
      <c r="R47" s="40">
        <v>0.0</v>
      </c>
      <c r="S47" s="40">
        <v>0.0</v>
      </c>
      <c r="T47" s="40">
        <v>0.0</v>
      </c>
    </row>
    <row r="48" ht="15.75" customHeight="1">
      <c r="A48" s="16" t="s">
        <v>215</v>
      </c>
      <c r="F48" s="24"/>
      <c r="G48" s="19">
        <v>17.0</v>
      </c>
      <c r="H48" s="20">
        <v>18.0</v>
      </c>
      <c r="I48" s="20">
        <v>9.0</v>
      </c>
      <c r="J48" s="20">
        <v>0.0</v>
      </c>
      <c r="K48" s="20">
        <v>0.0</v>
      </c>
      <c r="L48" s="20">
        <v>2.0</v>
      </c>
      <c r="N48" s="24"/>
      <c r="O48" s="19">
        <v>17.0</v>
      </c>
      <c r="P48" s="40">
        <v>0.056782334384858045</v>
      </c>
      <c r="Q48" s="40">
        <v>0.09574468085106383</v>
      </c>
      <c r="R48" s="40">
        <v>0.0</v>
      </c>
      <c r="S48" s="40">
        <v>0.0</v>
      </c>
      <c r="T48" s="40">
        <v>0.09523809523809523</v>
      </c>
    </row>
    <row r="49" ht="15.75" customHeight="1">
      <c r="A49" s="16" t="s">
        <v>216</v>
      </c>
      <c r="F49" s="24"/>
      <c r="G49" s="19">
        <v>18.0</v>
      </c>
      <c r="H49" s="20">
        <v>20.0</v>
      </c>
      <c r="I49" s="20">
        <v>10.0</v>
      </c>
      <c r="J49" s="20">
        <v>0.0</v>
      </c>
      <c r="K49" s="20">
        <v>1.0</v>
      </c>
      <c r="L49" s="20">
        <v>0.0</v>
      </c>
      <c r="N49" s="24"/>
      <c r="O49" s="19">
        <v>18.0</v>
      </c>
      <c r="P49" s="40">
        <v>0.06309148264984227</v>
      </c>
      <c r="Q49" s="40">
        <v>0.10638297872340426</v>
      </c>
      <c r="R49" s="40">
        <v>0.0</v>
      </c>
      <c r="S49" s="40">
        <v>0.04</v>
      </c>
      <c r="T49" s="40">
        <v>0.0</v>
      </c>
    </row>
    <row r="50" ht="15.75" customHeight="1">
      <c r="A50" s="16" t="s">
        <v>217</v>
      </c>
      <c r="F50" s="24"/>
      <c r="G50" s="19">
        <v>19.0</v>
      </c>
      <c r="H50" s="20">
        <v>18.0</v>
      </c>
      <c r="I50" s="20">
        <v>6.0</v>
      </c>
      <c r="J50" s="20">
        <v>0.0</v>
      </c>
      <c r="K50" s="20">
        <v>0.0</v>
      </c>
      <c r="L50" s="20">
        <v>1.0</v>
      </c>
      <c r="N50" s="24"/>
      <c r="O50" s="19">
        <v>19.0</v>
      </c>
      <c r="P50" s="40">
        <v>0.056782334384858045</v>
      </c>
      <c r="Q50" s="40">
        <v>0.06382978723404255</v>
      </c>
      <c r="R50" s="40">
        <v>0.0</v>
      </c>
      <c r="S50" s="40">
        <v>0.0</v>
      </c>
      <c r="T50" s="40">
        <v>0.047619047619047616</v>
      </c>
    </row>
    <row r="51" ht="15.75" customHeight="1">
      <c r="A51" s="16" t="s">
        <v>218</v>
      </c>
      <c r="F51" s="24"/>
      <c r="G51" s="19">
        <v>20.0</v>
      </c>
      <c r="H51" s="20">
        <v>15.0</v>
      </c>
      <c r="I51" s="20">
        <v>2.0</v>
      </c>
      <c r="J51" s="20">
        <v>0.0</v>
      </c>
      <c r="K51" s="20">
        <v>0.0</v>
      </c>
      <c r="L51" s="20">
        <v>0.0</v>
      </c>
      <c r="N51" s="24"/>
      <c r="O51" s="19">
        <v>20.0</v>
      </c>
      <c r="P51" s="40">
        <v>0.0473186119873817</v>
      </c>
      <c r="Q51" s="40">
        <v>0.02127659574468085</v>
      </c>
      <c r="R51" s="40">
        <v>0.0</v>
      </c>
      <c r="S51" s="40">
        <v>0.0</v>
      </c>
      <c r="T51" s="40">
        <v>0.0</v>
      </c>
    </row>
    <row r="52" ht="15.75" customHeight="1">
      <c r="A52" s="16" t="s">
        <v>219</v>
      </c>
      <c r="F52" s="24"/>
      <c r="G52" s="19">
        <v>21.0</v>
      </c>
      <c r="H52" s="20">
        <v>9.0</v>
      </c>
      <c r="I52" s="20">
        <v>3.0</v>
      </c>
      <c r="J52" s="20">
        <v>0.0</v>
      </c>
      <c r="K52" s="20">
        <v>0.0</v>
      </c>
      <c r="L52" s="20">
        <v>0.0</v>
      </c>
      <c r="N52" s="24"/>
      <c r="O52" s="19">
        <v>21.0</v>
      </c>
      <c r="P52" s="40">
        <v>0.028391167192429023</v>
      </c>
      <c r="Q52" s="40">
        <v>0.031914893617021274</v>
      </c>
      <c r="R52" s="40">
        <v>0.0</v>
      </c>
      <c r="S52" s="40">
        <v>0.0</v>
      </c>
      <c r="T52" s="40">
        <v>0.0</v>
      </c>
    </row>
    <row r="53" ht="15.75" customHeight="1">
      <c r="A53" s="16" t="s">
        <v>157</v>
      </c>
      <c r="F53" s="24"/>
      <c r="G53" s="19">
        <v>22.0</v>
      </c>
      <c r="H53" s="20">
        <v>4.0</v>
      </c>
      <c r="I53" s="20">
        <v>1.0</v>
      </c>
      <c r="J53" s="20">
        <v>0.0</v>
      </c>
      <c r="K53" s="20">
        <v>0.0</v>
      </c>
      <c r="L53" s="20">
        <v>0.0</v>
      </c>
      <c r="N53" s="24"/>
      <c r="O53" s="19">
        <v>22.0</v>
      </c>
      <c r="P53" s="40">
        <v>0.012618296529968454</v>
      </c>
      <c r="Q53" s="40">
        <v>0.010638297872340425</v>
      </c>
      <c r="R53" s="40">
        <v>0.0</v>
      </c>
      <c r="S53" s="40">
        <v>0.0</v>
      </c>
      <c r="T53" s="40">
        <v>0.0</v>
      </c>
    </row>
    <row r="54" ht="15.75" customHeight="1">
      <c r="A54" s="16" t="s">
        <v>74</v>
      </c>
      <c r="F54" s="28"/>
      <c r="G54" s="19">
        <v>23.0</v>
      </c>
      <c r="H54" s="20">
        <v>5.0</v>
      </c>
      <c r="I54" s="20">
        <v>2.0</v>
      </c>
      <c r="J54" s="20">
        <v>0.0</v>
      </c>
      <c r="K54" s="20">
        <v>0.0</v>
      </c>
      <c r="L54" s="20">
        <v>0.0</v>
      </c>
      <c r="N54" s="28"/>
      <c r="O54" s="19">
        <v>23.0</v>
      </c>
      <c r="P54" s="40">
        <v>0.015772870662460567</v>
      </c>
      <c r="Q54" s="40">
        <v>0.02127659574468085</v>
      </c>
      <c r="R54" s="40">
        <v>0.0</v>
      </c>
      <c r="S54" s="40">
        <v>0.0</v>
      </c>
      <c r="T54" s="40">
        <v>0.0</v>
      </c>
    </row>
    <row r="55" ht="15.75" customHeight="1">
      <c r="A55" s="16" t="s">
        <v>220</v>
      </c>
      <c r="F55" s="56">
        <v>45210.0</v>
      </c>
      <c r="G55" s="19">
        <v>0.0</v>
      </c>
      <c r="H55" s="20">
        <v>5.0</v>
      </c>
      <c r="I55" s="20">
        <v>1.0</v>
      </c>
      <c r="J55" s="20">
        <v>0.0</v>
      </c>
      <c r="K55" s="20">
        <v>0.0</v>
      </c>
      <c r="L55" s="20">
        <v>0.0</v>
      </c>
      <c r="N55" s="56">
        <v>45210.0</v>
      </c>
      <c r="O55" s="19">
        <v>0.0</v>
      </c>
      <c r="P55" s="40">
        <v>0.017793594306049824</v>
      </c>
      <c r="Q55" s="40">
        <v>0.00909090909090909</v>
      </c>
      <c r="R55" s="40">
        <v>0.0</v>
      </c>
      <c r="S55" s="40">
        <v>0.0</v>
      </c>
      <c r="T55" s="40">
        <v>0.0</v>
      </c>
    </row>
    <row r="56" ht="15.75" customHeight="1">
      <c r="A56" s="16" t="s">
        <v>70</v>
      </c>
      <c r="F56" s="24"/>
      <c r="G56" s="19">
        <v>1.0</v>
      </c>
      <c r="H56" s="20">
        <v>0.0</v>
      </c>
      <c r="I56" s="20">
        <v>0.0</v>
      </c>
      <c r="J56" s="20">
        <v>0.0</v>
      </c>
      <c r="K56" s="20">
        <v>0.0</v>
      </c>
      <c r="L56" s="20">
        <v>0.0</v>
      </c>
      <c r="N56" s="24"/>
      <c r="O56" s="19">
        <v>1.0</v>
      </c>
      <c r="P56" s="40">
        <v>0.0</v>
      </c>
      <c r="Q56" s="40">
        <v>0.0</v>
      </c>
      <c r="R56" s="40">
        <v>0.0</v>
      </c>
      <c r="S56" s="40">
        <v>0.0</v>
      </c>
      <c r="T56" s="40">
        <v>0.0</v>
      </c>
    </row>
    <row r="57" ht="15.75" customHeight="1">
      <c r="A57" s="16" t="s">
        <v>70</v>
      </c>
      <c r="F57" s="24"/>
      <c r="G57" s="19">
        <v>2.0</v>
      </c>
      <c r="H57" s="16">
        <v>2.0</v>
      </c>
      <c r="I57" s="16">
        <v>0.0</v>
      </c>
      <c r="J57" s="16">
        <v>0.0</v>
      </c>
      <c r="K57" s="16">
        <v>0.0</v>
      </c>
      <c r="L57" s="16">
        <v>0.0</v>
      </c>
      <c r="N57" s="24"/>
      <c r="O57" s="19">
        <v>2.0</v>
      </c>
      <c r="P57" s="40">
        <v>0.0071174377224199285</v>
      </c>
      <c r="Q57" s="40">
        <v>0.0</v>
      </c>
      <c r="R57" s="40">
        <v>0.0</v>
      </c>
      <c r="S57" s="40">
        <v>0.0</v>
      </c>
      <c r="T57" s="40">
        <v>0.0</v>
      </c>
    </row>
    <row r="58" ht="15.75" customHeight="1">
      <c r="A58" s="16" t="s">
        <v>220</v>
      </c>
      <c r="F58" s="24"/>
      <c r="G58" s="19">
        <v>3.0</v>
      </c>
      <c r="H58" s="20">
        <v>2.0</v>
      </c>
      <c r="I58" s="20">
        <v>0.0</v>
      </c>
      <c r="J58" s="20">
        <v>0.0</v>
      </c>
      <c r="K58" s="20">
        <v>0.0</v>
      </c>
      <c r="L58" s="20">
        <v>0.0</v>
      </c>
      <c r="N58" s="24"/>
      <c r="O58" s="19">
        <v>3.0</v>
      </c>
      <c r="P58" s="40">
        <v>0.0071174377224199285</v>
      </c>
      <c r="Q58" s="40">
        <v>0.0</v>
      </c>
      <c r="R58" s="40">
        <v>0.0</v>
      </c>
      <c r="S58" s="40">
        <v>0.0</v>
      </c>
      <c r="T58" s="40">
        <v>0.0</v>
      </c>
    </row>
    <row r="59" ht="15.75" customHeight="1">
      <c r="A59" s="16" t="s">
        <v>221</v>
      </c>
      <c r="F59" s="24"/>
      <c r="G59" s="19">
        <v>4.0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N59" s="24"/>
      <c r="O59" s="19">
        <v>4.0</v>
      </c>
      <c r="P59" s="40">
        <v>0.0</v>
      </c>
      <c r="Q59" s="40">
        <v>0.0</v>
      </c>
      <c r="R59" s="40">
        <v>0.0</v>
      </c>
      <c r="S59" s="40">
        <v>0.0</v>
      </c>
      <c r="T59" s="40">
        <v>0.0</v>
      </c>
    </row>
    <row r="60" ht="15.75" customHeight="1">
      <c r="A60" s="16" t="s">
        <v>91</v>
      </c>
      <c r="F60" s="24"/>
      <c r="G60" s="19">
        <v>5.0</v>
      </c>
      <c r="H60" s="20">
        <v>4.0</v>
      </c>
      <c r="I60" s="20">
        <v>4.0</v>
      </c>
      <c r="J60" s="20">
        <v>0.0</v>
      </c>
      <c r="K60" s="20">
        <v>0.0</v>
      </c>
      <c r="L60" s="20">
        <v>0.0</v>
      </c>
      <c r="N60" s="24"/>
      <c r="O60" s="19">
        <v>5.0</v>
      </c>
      <c r="P60" s="40">
        <v>0.014234875444839857</v>
      </c>
      <c r="Q60" s="40">
        <v>0.03636363636363636</v>
      </c>
      <c r="R60" s="40">
        <v>0.0</v>
      </c>
      <c r="S60" s="40">
        <v>0.0</v>
      </c>
      <c r="T60" s="40">
        <v>0.0</v>
      </c>
    </row>
    <row r="61" ht="15.75" customHeight="1">
      <c r="A61" s="16" t="s">
        <v>222</v>
      </c>
      <c r="F61" s="24"/>
      <c r="G61" s="19">
        <v>6.0</v>
      </c>
      <c r="H61" s="20">
        <v>7.0</v>
      </c>
      <c r="I61" s="20">
        <v>1.0</v>
      </c>
      <c r="J61" s="20">
        <v>0.0</v>
      </c>
      <c r="K61" s="20">
        <v>1.0</v>
      </c>
      <c r="L61" s="20">
        <v>0.0</v>
      </c>
      <c r="N61" s="24"/>
      <c r="O61" s="19">
        <v>6.0</v>
      </c>
      <c r="P61" s="40">
        <v>0.02491103202846975</v>
      </c>
      <c r="Q61" s="40">
        <v>0.00909090909090909</v>
      </c>
      <c r="R61" s="40">
        <v>0.0</v>
      </c>
      <c r="S61" s="40">
        <v>0.1</v>
      </c>
      <c r="T61" s="40">
        <v>0.0</v>
      </c>
    </row>
    <row r="62" ht="15.75" customHeight="1">
      <c r="A62" s="16" t="s">
        <v>223</v>
      </c>
      <c r="F62" s="24"/>
      <c r="G62" s="19">
        <v>7.0</v>
      </c>
      <c r="H62" s="20">
        <v>24.0</v>
      </c>
      <c r="I62" s="20">
        <v>9.0</v>
      </c>
      <c r="J62" s="20">
        <v>1.0</v>
      </c>
      <c r="K62" s="20">
        <v>0.0</v>
      </c>
      <c r="L62" s="20">
        <v>1.0</v>
      </c>
      <c r="N62" s="24"/>
      <c r="O62" s="19">
        <v>7.0</v>
      </c>
      <c r="P62" s="40">
        <v>0.08540925266903915</v>
      </c>
      <c r="Q62" s="40">
        <v>0.08181818181818182</v>
      </c>
      <c r="R62" s="40">
        <v>0.3333333333333333</v>
      </c>
      <c r="S62" s="40">
        <v>0.0</v>
      </c>
      <c r="T62" s="40">
        <v>0.043478260869565216</v>
      </c>
    </row>
    <row r="63" ht="15.75" customHeight="1">
      <c r="A63" s="16" t="s">
        <v>224</v>
      </c>
      <c r="F63" s="24"/>
      <c r="G63" s="19">
        <v>8.0</v>
      </c>
      <c r="H63" s="20">
        <v>21.0</v>
      </c>
      <c r="I63" s="20">
        <v>3.0</v>
      </c>
      <c r="J63" s="20">
        <v>0.0</v>
      </c>
      <c r="K63" s="20">
        <v>1.0</v>
      </c>
      <c r="L63" s="20">
        <v>2.0</v>
      </c>
      <c r="N63" s="24"/>
      <c r="O63" s="19">
        <v>8.0</v>
      </c>
      <c r="P63" s="40">
        <v>0.07473309608540925</v>
      </c>
      <c r="Q63" s="40">
        <v>0.02727272727272727</v>
      </c>
      <c r="R63" s="40">
        <v>0.0</v>
      </c>
      <c r="S63" s="40">
        <v>0.1</v>
      </c>
      <c r="T63" s="40">
        <v>0.08695652173913043</v>
      </c>
    </row>
    <row r="64" ht="15.75" customHeight="1">
      <c r="A64" s="16" t="s">
        <v>225</v>
      </c>
      <c r="F64" s="24"/>
      <c r="G64" s="19">
        <v>9.0</v>
      </c>
      <c r="H64" s="20">
        <v>17.0</v>
      </c>
      <c r="I64" s="20">
        <v>4.0</v>
      </c>
      <c r="J64" s="20">
        <v>0.0</v>
      </c>
      <c r="K64" s="20">
        <v>1.0</v>
      </c>
      <c r="L64" s="20">
        <v>3.0</v>
      </c>
      <c r="N64" s="24"/>
      <c r="O64" s="19">
        <v>9.0</v>
      </c>
      <c r="P64" s="40">
        <v>0.060498220640569395</v>
      </c>
      <c r="Q64" s="40">
        <v>0.03636363636363636</v>
      </c>
      <c r="R64" s="40">
        <v>0.0</v>
      </c>
      <c r="S64" s="40">
        <v>0.1</v>
      </c>
      <c r="T64" s="40">
        <v>0.13043478260869565</v>
      </c>
    </row>
    <row r="65" ht="15.75" customHeight="1">
      <c r="A65" s="16" t="s">
        <v>226</v>
      </c>
      <c r="F65" s="24"/>
      <c r="G65" s="19">
        <v>10.0</v>
      </c>
      <c r="H65" s="20">
        <v>14.0</v>
      </c>
      <c r="I65" s="20">
        <v>13.0</v>
      </c>
      <c r="J65" s="20">
        <v>0.0</v>
      </c>
      <c r="K65" s="20">
        <v>0.0</v>
      </c>
      <c r="L65" s="20">
        <v>0.0</v>
      </c>
      <c r="N65" s="24"/>
      <c r="O65" s="19">
        <v>10.0</v>
      </c>
      <c r="P65" s="40">
        <v>0.0498220640569395</v>
      </c>
      <c r="Q65" s="40">
        <v>0.11818181818181818</v>
      </c>
      <c r="R65" s="40">
        <v>0.0</v>
      </c>
      <c r="S65" s="40">
        <v>0.0</v>
      </c>
      <c r="T65" s="40">
        <v>0.0</v>
      </c>
    </row>
    <row r="66" ht="15.75" customHeight="1">
      <c r="A66" s="16" t="s">
        <v>227</v>
      </c>
      <c r="F66" s="24"/>
      <c r="G66" s="19">
        <v>11.0</v>
      </c>
      <c r="H66" s="20">
        <v>20.0</v>
      </c>
      <c r="I66" s="20">
        <v>4.0</v>
      </c>
      <c r="J66" s="20">
        <v>0.0</v>
      </c>
      <c r="K66" s="20">
        <v>1.0</v>
      </c>
      <c r="L66" s="20">
        <v>5.0</v>
      </c>
      <c r="N66" s="24"/>
      <c r="O66" s="19">
        <v>11.0</v>
      </c>
      <c r="P66" s="40">
        <v>0.0711743772241993</v>
      </c>
      <c r="Q66" s="40">
        <v>0.03636363636363636</v>
      </c>
      <c r="R66" s="40">
        <v>0.0</v>
      </c>
      <c r="S66" s="40">
        <v>0.1</v>
      </c>
      <c r="T66" s="40">
        <v>0.21739130434782608</v>
      </c>
    </row>
    <row r="67" ht="15.75" customHeight="1">
      <c r="A67" s="16" t="s">
        <v>228</v>
      </c>
      <c r="F67" s="24"/>
      <c r="G67" s="19">
        <v>12.0</v>
      </c>
      <c r="H67" s="20">
        <v>9.0</v>
      </c>
      <c r="I67" s="20">
        <v>4.0</v>
      </c>
      <c r="J67" s="20">
        <v>1.0</v>
      </c>
      <c r="K67" s="20">
        <v>0.0</v>
      </c>
      <c r="L67" s="20">
        <v>2.0</v>
      </c>
      <c r="N67" s="24"/>
      <c r="O67" s="19">
        <v>12.0</v>
      </c>
      <c r="P67" s="40">
        <v>0.03202846975088968</v>
      </c>
      <c r="Q67" s="40">
        <v>0.03636363636363636</v>
      </c>
      <c r="R67" s="40">
        <v>0.3333333333333333</v>
      </c>
      <c r="S67" s="40">
        <v>0.0</v>
      </c>
      <c r="T67" s="40">
        <v>0.08695652173913043</v>
      </c>
    </row>
    <row r="68" ht="15.75" customHeight="1">
      <c r="A68" s="16" t="s">
        <v>229</v>
      </c>
      <c r="F68" s="24"/>
      <c r="G68" s="19">
        <v>13.0</v>
      </c>
      <c r="H68" s="20">
        <v>15.0</v>
      </c>
      <c r="I68" s="20">
        <v>6.0</v>
      </c>
      <c r="J68" s="20">
        <v>0.0</v>
      </c>
      <c r="K68" s="20">
        <v>0.0</v>
      </c>
      <c r="L68" s="20">
        <v>2.0</v>
      </c>
      <c r="N68" s="24"/>
      <c r="O68" s="19">
        <v>13.0</v>
      </c>
      <c r="P68" s="40">
        <v>0.05338078291814947</v>
      </c>
      <c r="Q68" s="40">
        <v>0.05454545454545454</v>
      </c>
      <c r="R68" s="40">
        <v>0.0</v>
      </c>
      <c r="S68" s="40">
        <v>0.0</v>
      </c>
      <c r="T68" s="40">
        <v>0.08695652173913043</v>
      </c>
    </row>
    <row r="69" ht="15.75" customHeight="1">
      <c r="A69" s="16" t="s">
        <v>230</v>
      </c>
      <c r="F69" s="24"/>
      <c r="G69" s="19">
        <v>14.0</v>
      </c>
      <c r="H69" s="20">
        <v>14.0</v>
      </c>
      <c r="I69" s="20">
        <v>7.0</v>
      </c>
      <c r="J69" s="20">
        <v>0.0</v>
      </c>
      <c r="K69" s="20">
        <v>1.0</v>
      </c>
      <c r="L69" s="20">
        <v>3.0</v>
      </c>
      <c r="N69" s="24"/>
      <c r="O69" s="19">
        <v>14.0</v>
      </c>
      <c r="P69" s="40">
        <v>0.0498220640569395</v>
      </c>
      <c r="Q69" s="40">
        <v>0.06363636363636363</v>
      </c>
      <c r="R69" s="40">
        <v>0.0</v>
      </c>
      <c r="S69" s="40">
        <v>0.1</v>
      </c>
      <c r="T69" s="40">
        <v>0.13043478260869565</v>
      </c>
    </row>
    <row r="70" ht="15.75" customHeight="1">
      <c r="A70" s="16" t="s">
        <v>231</v>
      </c>
      <c r="F70" s="24"/>
      <c r="G70" s="19">
        <v>15.0</v>
      </c>
      <c r="H70" s="20">
        <v>21.0</v>
      </c>
      <c r="I70" s="20">
        <v>5.0</v>
      </c>
      <c r="J70" s="20">
        <v>1.0</v>
      </c>
      <c r="K70" s="20">
        <v>0.0</v>
      </c>
      <c r="L70" s="20">
        <v>1.0</v>
      </c>
      <c r="N70" s="24"/>
      <c r="O70" s="19">
        <v>15.0</v>
      </c>
      <c r="P70" s="40">
        <v>0.07473309608540925</v>
      </c>
      <c r="Q70" s="40">
        <v>0.045454545454545456</v>
      </c>
      <c r="R70" s="40">
        <v>0.3333333333333333</v>
      </c>
      <c r="S70" s="40">
        <v>0.0</v>
      </c>
      <c r="T70" s="40">
        <v>0.043478260869565216</v>
      </c>
    </row>
    <row r="71" ht="15.75" customHeight="1">
      <c r="A71" s="16" t="s">
        <v>232</v>
      </c>
      <c r="F71" s="24"/>
      <c r="G71" s="19">
        <v>16.0</v>
      </c>
      <c r="H71" s="20">
        <v>25.0</v>
      </c>
      <c r="I71" s="20">
        <v>10.0</v>
      </c>
      <c r="J71" s="20">
        <v>0.0</v>
      </c>
      <c r="K71" s="20">
        <v>1.0</v>
      </c>
      <c r="L71" s="20">
        <v>2.0</v>
      </c>
      <c r="N71" s="24"/>
      <c r="O71" s="19">
        <v>16.0</v>
      </c>
      <c r="P71" s="40">
        <v>0.08896797153024912</v>
      </c>
      <c r="Q71" s="40">
        <v>0.09090909090909091</v>
      </c>
      <c r="R71" s="40">
        <v>0.0</v>
      </c>
      <c r="S71" s="40">
        <v>0.1</v>
      </c>
      <c r="T71" s="40">
        <v>0.08695652173913043</v>
      </c>
    </row>
    <row r="72" ht="15.75" customHeight="1">
      <c r="A72" s="16" t="s">
        <v>233</v>
      </c>
      <c r="F72" s="24"/>
      <c r="G72" s="19">
        <v>17.0</v>
      </c>
      <c r="H72" s="20">
        <v>16.0</v>
      </c>
      <c r="I72" s="20">
        <v>14.0</v>
      </c>
      <c r="J72" s="20">
        <v>0.0</v>
      </c>
      <c r="K72" s="20">
        <v>1.0</v>
      </c>
      <c r="L72" s="20">
        <v>1.0</v>
      </c>
      <c r="N72" s="24"/>
      <c r="O72" s="19">
        <v>17.0</v>
      </c>
      <c r="P72" s="40">
        <v>0.05693950177935943</v>
      </c>
      <c r="Q72" s="40">
        <v>0.12727272727272726</v>
      </c>
      <c r="R72" s="40">
        <v>0.0</v>
      </c>
      <c r="S72" s="40">
        <v>0.1</v>
      </c>
      <c r="T72" s="40">
        <v>0.043478260869565216</v>
      </c>
    </row>
    <row r="73" ht="15.75" customHeight="1">
      <c r="A73" s="16" t="s">
        <v>234</v>
      </c>
      <c r="F73" s="24"/>
      <c r="G73" s="19">
        <v>18.0</v>
      </c>
      <c r="H73" s="20">
        <v>20.0</v>
      </c>
      <c r="I73" s="20">
        <v>8.0</v>
      </c>
      <c r="J73" s="20">
        <v>0.0</v>
      </c>
      <c r="K73" s="20">
        <v>1.0</v>
      </c>
      <c r="L73" s="20">
        <v>1.0</v>
      </c>
      <c r="N73" s="24"/>
      <c r="O73" s="19">
        <v>18.0</v>
      </c>
      <c r="P73" s="40">
        <v>0.0711743772241993</v>
      </c>
      <c r="Q73" s="40">
        <v>0.07272727272727272</v>
      </c>
      <c r="R73" s="40">
        <v>0.0</v>
      </c>
      <c r="S73" s="40">
        <v>0.1</v>
      </c>
      <c r="T73" s="40">
        <v>0.043478260869565216</v>
      </c>
    </row>
    <row r="74" ht="15.75" customHeight="1">
      <c r="A74" s="16" t="s">
        <v>205</v>
      </c>
      <c r="F74" s="24"/>
      <c r="G74" s="19">
        <v>19.0</v>
      </c>
      <c r="H74" s="20">
        <v>21.0</v>
      </c>
      <c r="I74" s="20">
        <v>9.0</v>
      </c>
      <c r="J74" s="20">
        <v>0.0</v>
      </c>
      <c r="K74" s="20">
        <v>1.0</v>
      </c>
      <c r="L74" s="20">
        <v>0.0</v>
      </c>
      <c r="N74" s="24"/>
      <c r="O74" s="19">
        <v>19.0</v>
      </c>
      <c r="P74" s="40">
        <v>0.07473309608540925</v>
      </c>
      <c r="Q74" s="40">
        <v>0.08181818181818182</v>
      </c>
      <c r="R74" s="40">
        <v>0.0</v>
      </c>
      <c r="S74" s="40">
        <v>0.1</v>
      </c>
      <c r="T74" s="40">
        <v>0.0</v>
      </c>
    </row>
    <row r="75" ht="15.75" customHeight="1">
      <c r="A75" s="16" t="s">
        <v>235</v>
      </c>
      <c r="F75" s="24"/>
      <c r="G75" s="19">
        <v>20.0</v>
      </c>
      <c r="H75" s="20">
        <v>8.0</v>
      </c>
      <c r="I75" s="20">
        <v>4.0</v>
      </c>
      <c r="J75" s="20">
        <v>0.0</v>
      </c>
      <c r="K75" s="20">
        <v>0.0</v>
      </c>
      <c r="L75" s="20">
        <v>0.0</v>
      </c>
      <c r="N75" s="24"/>
      <c r="O75" s="19">
        <v>20.0</v>
      </c>
      <c r="P75" s="40">
        <v>0.028469750889679714</v>
      </c>
      <c r="Q75" s="40">
        <v>0.03636363636363636</v>
      </c>
      <c r="R75" s="40">
        <v>0.0</v>
      </c>
      <c r="S75" s="40">
        <v>0.0</v>
      </c>
      <c r="T75" s="40">
        <v>0.0</v>
      </c>
    </row>
    <row r="76" ht="15.75" customHeight="1">
      <c r="A76" s="16" t="s">
        <v>236</v>
      </c>
      <c r="F76" s="24"/>
      <c r="G76" s="19">
        <v>21.0</v>
      </c>
      <c r="H76" s="20">
        <v>7.0</v>
      </c>
      <c r="I76" s="20">
        <v>0.0</v>
      </c>
      <c r="J76" s="20">
        <v>0.0</v>
      </c>
      <c r="K76" s="20">
        <v>0.0</v>
      </c>
      <c r="L76" s="20">
        <v>0.0</v>
      </c>
      <c r="N76" s="24"/>
      <c r="O76" s="19">
        <v>21.0</v>
      </c>
      <c r="P76" s="40">
        <v>0.02491103202846975</v>
      </c>
      <c r="Q76" s="40">
        <v>0.0</v>
      </c>
      <c r="R76" s="40">
        <v>0.0</v>
      </c>
      <c r="S76" s="40">
        <v>0.0</v>
      </c>
      <c r="T76" s="40">
        <v>0.0</v>
      </c>
    </row>
    <row r="77" ht="15.75" customHeight="1">
      <c r="A77" s="16" t="s">
        <v>184</v>
      </c>
      <c r="F77" s="24"/>
      <c r="G77" s="19">
        <v>22.0</v>
      </c>
      <c r="H77" s="20">
        <v>6.0</v>
      </c>
      <c r="I77" s="20">
        <v>2.0</v>
      </c>
      <c r="J77" s="20">
        <v>0.0</v>
      </c>
      <c r="K77" s="20">
        <v>1.0</v>
      </c>
      <c r="L77" s="20">
        <v>0.0</v>
      </c>
      <c r="N77" s="24"/>
      <c r="O77" s="19">
        <v>22.0</v>
      </c>
      <c r="P77" s="40">
        <v>0.021352313167259787</v>
      </c>
      <c r="Q77" s="40">
        <v>0.01818181818181818</v>
      </c>
      <c r="R77" s="40">
        <v>0.0</v>
      </c>
      <c r="S77" s="40">
        <v>0.1</v>
      </c>
      <c r="T77" s="40">
        <v>0.0</v>
      </c>
    </row>
    <row r="78" ht="15.75" customHeight="1">
      <c r="F78" s="28"/>
      <c r="G78" s="19">
        <v>23.0</v>
      </c>
      <c r="H78" s="20">
        <v>3.0</v>
      </c>
      <c r="I78" s="20">
        <v>2.0</v>
      </c>
      <c r="J78" s="20">
        <v>0.0</v>
      </c>
      <c r="K78" s="20">
        <v>0.0</v>
      </c>
      <c r="L78" s="20">
        <v>0.0</v>
      </c>
      <c r="N78" s="28"/>
      <c r="O78" s="19">
        <v>23.0</v>
      </c>
      <c r="P78" s="40">
        <v>0.010676156583629894</v>
      </c>
      <c r="Q78" s="40">
        <v>0.01818181818181818</v>
      </c>
      <c r="R78" s="40">
        <v>0.0</v>
      </c>
      <c r="S78" s="40">
        <v>0.0</v>
      </c>
      <c r="T78" s="40">
        <v>0.0</v>
      </c>
    </row>
    <row r="79" ht="15.75" customHeight="1">
      <c r="A79" s="16" t="s">
        <v>92</v>
      </c>
      <c r="F79" s="56">
        <v>45211.0</v>
      </c>
      <c r="G79" s="19">
        <v>0.0</v>
      </c>
      <c r="H79" s="20">
        <v>2.0</v>
      </c>
      <c r="I79" s="20">
        <v>1.0</v>
      </c>
      <c r="J79" s="20">
        <v>0.0</v>
      </c>
      <c r="K79" s="20">
        <v>0.0</v>
      </c>
      <c r="L79" s="20">
        <v>0.0</v>
      </c>
      <c r="N79" s="56">
        <v>45211.0</v>
      </c>
      <c r="O79" s="19">
        <v>0.0</v>
      </c>
      <c r="P79" s="40">
        <v>0.007905138339920948</v>
      </c>
      <c r="Q79" s="40">
        <v>0.010416666666666666</v>
      </c>
      <c r="R79" s="40">
        <v>0.0</v>
      </c>
      <c r="S79" s="40">
        <v>0.0</v>
      </c>
      <c r="T79" s="40">
        <v>0.0</v>
      </c>
    </row>
    <row r="80" ht="15.75" customHeight="1">
      <c r="A80" s="16" t="s">
        <v>94</v>
      </c>
      <c r="F80" s="24"/>
      <c r="G80" s="19">
        <v>1.0</v>
      </c>
      <c r="H80" s="20">
        <v>1.0</v>
      </c>
      <c r="I80" s="20">
        <v>2.0</v>
      </c>
      <c r="J80" s="20">
        <v>0.0</v>
      </c>
      <c r="K80" s="20">
        <v>0.0</v>
      </c>
      <c r="L80" s="20">
        <v>0.0</v>
      </c>
      <c r="N80" s="24"/>
      <c r="O80" s="19">
        <v>1.0</v>
      </c>
      <c r="P80" s="40">
        <v>0.003952569169960474</v>
      </c>
      <c r="Q80" s="40">
        <v>0.020833333333333332</v>
      </c>
      <c r="R80" s="40">
        <v>0.0</v>
      </c>
      <c r="S80" s="40">
        <v>0.0</v>
      </c>
      <c r="T80" s="40">
        <v>0.0</v>
      </c>
    </row>
    <row r="81" ht="15.75" customHeight="1">
      <c r="A81" s="16" t="s">
        <v>237</v>
      </c>
      <c r="F81" s="24"/>
      <c r="G81" s="19">
        <v>2.0</v>
      </c>
      <c r="H81" s="16">
        <v>1.0</v>
      </c>
      <c r="I81" s="16">
        <v>0.0</v>
      </c>
      <c r="J81" s="16">
        <v>0.0</v>
      </c>
      <c r="K81" s="16">
        <v>0.0</v>
      </c>
      <c r="L81" s="16">
        <v>0.0</v>
      </c>
      <c r="N81" s="24"/>
      <c r="O81" s="19">
        <v>2.0</v>
      </c>
      <c r="P81" s="40">
        <v>0.003952569169960474</v>
      </c>
      <c r="Q81" s="40">
        <v>0.0</v>
      </c>
      <c r="R81" s="40">
        <v>0.0</v>
      </c>
      <c r="S81" s="40">
        <v>0.0</v>
      </c>
      <c r="T81" s="40">
        <v>0.0</v>
      </c>
    </row>
    <row r="82" ht="15.75" customHeight="1">
      <c r="A82" s="16" t="s">
        <v>175</v>
      </c>
      <c r="F82" s="24"/>
      <c r="G82" s="19">
        <v>3.0</v>
      </c>
      <c r="H82" s="20">
        <v>1.0</v>
      </c>
      <c r="I82" s="20">
        <v>0.0</v>
      </c>
      <c r="J82" s="20">
        <v>0.0</v>
      </c>
      <c r="K82" s="20">
        <v>1.0</v>
      </c>
      <c r="L82" s="20">
        <v>0.0</v>
      </c>
      <c r="N82" s="24"/>
      <c r="O82" s="19">
        <v>3.0</v>
      </c>
      <c r="P82" s="40">
        <v>0.003952569169960474</v>
      </c>
      <c r="Q82" s="40">
        <v>0.0</v>
      </c>
      <c r="R82" s="40">
        <v>0.0</v>
      </c>
      <c r="S82" s="40">
        <v>0.125</v>
      </c>
      <c r="T82" s="40">
        <v>0.0</v>
      </c>
    </row>
    <row r="83" ht="15.75" customHeight="1">
      <c r="A83" s="16" t="s">
        <v>238</v>
      </c>
      <c r="F83" s="24"/>
      <c r="G83" s="19">
        <v>4.0</v>
      </c>
      <c r="H83" s="20">
        <v>1.0</v>
      </c>
      <c r="I83" s="20">
        <v>1.0</v>
      </c>
      <c r="J83" s="20">
        <v>0.0</v>
      </c>
      <c r="K83" s="20">
        <v>0.0</v>
      </c>
      <c r="L83" s="20">
        <v>0.0</v>
      </c>
      <c r="N83" s="24"/>
      <c r="O83" s="19">
        <v>4.0</v>
      </c>
      <c r="P83" s="40">
        <v>0.003952569169960474</v>
      </c>
      <c r="Q83" s="40">
        <v>0.010416666666666666</v>
      </c>
      <c r="R83" s="40">
        <v>0.0</v>
      </c>
      <c r="S83" s="40">
        <v>0.0</v>
      </c>
      <c r="T83" s="40">
        <v>0.0</v>
      </c>
    </row>
    <row r="84" ht="15.75" customHeight="1">
      <c r="A84" s="16" t="s">
        <v>239</v>
      </c>
      <c r="F84" s="24"/>
      <c r="G84" s="19">
        <v>5.0</v>
      </c>
      <c r="H84" s="20">
        <v>6.0</v>
      </c>
      <c r="I84" s="20">
        <v>1.0</v>
      </c>
      <c r="J84" s="20">
        <v>0.0</v>
      </c>
      <c r="K84" s="20">
        <v>1.0</v>
      </c>
      <c r="L84" s="20">
        <v>2.0</v>
      </c>
      <c r="N84" s="24"/>
      <c r="O84" s="19">
        <v>5.0</v>
      </c>
      <c r="P84" s="40">
        <v>0.023715415019762844</v>
      </c>
      <c r="Q84" s="40">
        <v>0.010416666666666666</v>
      </c>
      <c r="R84" s="40">
        <v>0.0</v>
      </c>
      <c r="S84" s="40">
        <v>0.125</v>
      </c>
      <c r="T84" s="40">
        <v>0.06060606060606061</v>
      </c>
    </row>
    <row r="85" ht="15.75" customHeight="1">
      <c r="A85" s="16" t="s">
        <v>240</v>
      </c>
      <c r="F85" s="24"/>
      <c r="G85" s="19">
        <v>6.0</v>
      </c>
      <c r="H85" s="20">
        <v>10.0</v>
      </c>
      <c r="I85" s="20">
        <v>3.0</v>
      </c>
      <c r="J85" s="20">
        <v>0.0</v>
      </c>
      <c r="K85" s="20">
        <v>0.0</v>
      </c>
      <c r="L85" s="20">
        <v>0.0</v>
      </c>
      <c r="N85" s="24"/>
      <c r="O85" s="19">
        <v>6.0</v>
      </c>
      <c r="P85" s="40">
        <v>0.039525691699604744</v>
      </c>
      <c r="Q85" s="40">
        <v>0.03125</v>
      </c>
      <c r="R85" s="40">
        <v>0.0</v>
      </c>
      <c r="S85" s="40">
        <v>0.0</v>
      </c>
      <c r="T85" s="40">
        <v>0.0</v>
      </c>
    </row>
    <row r="86" ht="15.75" customHeight="1">
      <c r="A86" s="16" t="s">
        <v>241</v>
      </c>
      <c r="F86" s="24"/>
      <c r="G86" s="19">
        <v>7.0</v>
      </c>
      <c r="H86" s="20">
        <v>28.0</v>
      </c>
      <c r="I86" s="20">
        <v>6.0</v>
      </c>
      <c r="J86" s="20">
        <v>1.0</v>
      </c>
      <c r="K86" s="20">
        <v>0.0</v>
      </c>
      <c r="L86" s="20">
        <v>1.0</v>
      </c>
      <c r="N86" s="24"/>
      <c r="O86" s="19">
        <v>7.0</v>
      </c>
      <c r="P86" s="40">
        <v>0.11067193675889328</v>
      </c>
      <c r="Q86" s="40">
        <v>0.0625</v>
      </c>
      <c r="R86" s="40">
        <v>0.2</v>
      </c>
      <c r="S86" s="40">
        <v>0.0</v>
      </c>
      <c r="T86" s="40">
        <v>0.030303030303030304</v>
      </c>
    </row>
    <row r="87" ht="15.75" customHeight="1">
      <c r="A87" s="16" t="s">
        <v>242</v>
      </c>
      <c r="F87" s="24"/>
      <c r="G87" s="19">
        <v>8.0</v>
      </c>
      <c r="H87" s="20">
        <v>17.0</v>
      </c>
      <c r="I87" s="20">
        <v>8.0</v>
      </c>
      <c r="J87" s="20">
        <v>0.0</v>
      </c>
      <c r="K87" s="20">
        <v>1.0</v>
      </c>
      <c r="L87" s="20">
        <v>2.0</v>
      </c>
      <c r="N87" s="24"/>
      <c r="O87" s="19">
        <v>8.0</v>
      </c>
      <c r="P87" s="40">
        <v>0.06719367588932806</v>
      </c>
      <c r="Q87" s="40">
        <v>0.08333333333333333</v>
      </c>
      <c r="R87" s="40">
        <v>0.0</v>
      </c>
      <c r="S87" s="40">
        <v>0.125</v>
      </c>
      <c r="T87" s="40">
        <v>0.06060606060606061</v>
      </c>
    </row>
    <row r="88" ht="15.75" customHeight="1">
      <c r="A88" s="16" t="s">
        <v>243</v>
      </c>
      <c r="F88" s="24"/>
      <c r="G88" s="19">
        <v>9.0</v>
      </c>
      <c r="H88" s="20">
        <v>10.0</v>
      </c>
      <c r="I88" s="20">
        <v>8.0</v>
      </c>
      <c r="J88" s="20">
        <v>0.0</v>
      </c>
      <c r="K88" s="20">
        <v>0.0</v>
      </c>
      <c r="L88" s="20">
        <v>3.0</v>
      </c>
      <c r="N88" s="24"/>
      <c r="O88" s="19">
        <v>9.0</v>
      </c>
      <c r="P88" s="40">
        <v>0.039525691699604744</v>
      </c>
      <c r="Q88" s="40">
        <v>0.08333333333333333</v>
      </c>
      <c r="R88" s="40">
        <v>0.0</v>
      </c>
      <c r="S88" s="40">
        <v>0.0</v>
      </c>
      <c r="T88" s="40">
        <v>0.09090909090909091</v>
      </c>
    </row>
    <row r="89" ht="15.75" customHeight="1">
      <c r="A89" s="16" t="s">
        <v>244</v>
      </c>
      <c r="F89" s="24"/>
      <c r="G89" s="19">
        <v>10.0</v>
      </c>
      <c r="H89" s="20">
        <v>14.0</v>
      </c>
      <c r="I89" s="20">
        <v>9.0</v>
      </c>
      <c r="J89" s="20">
        <v>2.0</v>
      </c>
      <c r="K89" s="20">
        <v>0.0</v>
      </c>
      <c r="L89" s="20">
        <v>5.0</v>
      </c>
      <c r="N89" s="24"/>
      <c r="O89" s="19">
        <v>10.0</v>
      </c>
      <c r="P89" s="40">
        <v>0.05533596837944664</v>
      </c>
      <c r="Q89" s="40">
        <v>0.09375</v>
      </c>
      <c r="R89" s="40">
        <v>0.4</v>
      </c>
      <c r="S89" s="40">
        <v>0.0</v>
      </c>
      <c r="T89" s="40">
        <v>0.15151515151515152</v>
      </c>
    </row>
    <row r="90" ht="15.75" customHeight="1">
      <c r="A90" s="16" t="s">
        <v>245</v>
      </c>
      <c r="F90" s="24"/>
      <c r="G90" s="19">
        <v>11.0</v>
      </c>
      <c r="H90" s="20">
        <v>17.0</v>
      </c>
      <c r="I90" s="20">
        <v>9.0</v>
      </c>
      <c r="J90" s="20">
        <v>0.0</v>
      </c>
      <c r="K90" s="20">
        <v>1.0</v>
      </c>
      <c r="L90" s="20">
        <v>5.0</v>
      </c>
      <c r="N90" s="24"/>
      <c r="O90" s="19">
        <v>11.0</v>
      </c>
      <c r="P90" s="40">
        <v>0.06719367588932806</v>
      </c>
      <c r="Q90" s="40">
        <v>0.09375</v>
      </c>
      <c r="R90" s="40">
        <v>0.0</v>
      </c>
      <c r="S90" s="40">
        <v>0.125</v>
      </c>
      <c r="T90" s="40">
        <v>0.15151515151515152</v>
      </c>
    </row>
    <row r="91" ht="15.75" customHeight="1">
      <c r="A91" s="16" t="s">
        <v>246</v>
      </c>
      <c r="F91" s="24"/>
      <c r="G91" s="19">
        <v>12.0</v>
      </c>
      <c r="H91" s="20">
        <v>13.0</v>
      </c>
      <c r="I91" s="20">
        <v>3.0</v>
      </c>
      <c r="J91" s="20">
        <v>0.0</v>
      </c>
      <c r="K91" s="20">
        <v>0.0</v>
      </c>
      <c r="L91" s="20">
        <v>5.0</v>
      </c>
      <c r="N91" s="24"/>
      <c r="O91" s="19">
        <v>12.0</v>
      </c>
      <c r="P91" s="40">
        <v>0.05138339920948617</v>
      </c>
      <c r="Q91" s="40">
        <v>0.03125</v>
      </c>
      <c r="R91" s="40">
        <v>0.0</v>
      </c>
      <c r="S91" s="40">
        <v>0.0</v>
      </c>
      <c r="T91" s="40">
        <v>0.15151515151515152</v>
      </c>
    </row>
    <row r="92" ht="15.75" customHeight="1">
      <c r="A92" s="16" t="s">
        <v>247</v>
      </c>
      <c r="F92" s="24"/>
      <c r="G92" s="19">
        <v>13.0</v>
      </c>
      <c r="H92" s="20">
        <v>11.0</v>
      </c>
      <c r="I92" s="20">
        <v>5.0</v>
      </c>
      <c r="J92" s="20">
        <v>0.0</v>
      </c>
      <c r="K92" s="20">
        <v>2.0</v>
      </c>
      <c r="L92" s="20">
        <v>1.0</v>
      </c>
      <c r="N92" s="24"/>
      <c r="O92" s="19">
        <v>13.0</v>
      </c>
      <c r="P92" s="40">
        <v>0.043478260869565216</v>
      </c>
      <c r="Q92" s="40">
        <v>0.052083333333333336</v>
      </c>
      <c r="R92" s="40">
        <v>0.0</v>
      </c>
      <c r="S92" s="40">
        <v>0.25</v>
      </c>
      <c r="T92" s="40">
        <v>0.030303030303030304</v>
      </c>
    </row>
    <row r="93" ht="15.75" customHeight="1">
      <c r="A93" s="16" t="s">
        <v>248</v>
      </c>
      <c r="F93" s="24"/>
      <c r="G93" s="19">
        <v>14.0</v>
      </c>
      <c r="H93" s="20">
        <v>8.0</v>
      </c>
      <c r="I93" s="20">
        <v>7.0</v>
      </c>
      <c r="J93" s="20">
        <v>0.0</v>
      </c>
      <c r="K93" s="20">
        <v>0.0</v>
      </c>
      <c r="L93" s="20">
        <v>2.0</v>
      </c>
      <c r="N93" s="24"/>
      <c r="O93" s="19">
        <v>14.0</v>
      </c>
      <c r="P93" s="40">
        <v>0.03162055335968379</v>
      </c>
      <c r="Q93" s="40">
        <v>0.07291666666666667</v>
      </c>
      <c r="R93" s="40">
        <v>0.0</v>
      </c>
      <c r="S93" s="40">
        <v>0.0</v>
      </c>
      <c r="T93" s="40">
        <v>0.06060606060606061</v>
      </c>
    </row>
    <row r="94" ht="15.75" customHeight="1">
      <c r="A94" s="16" t="s">
        <v>249</v>
      </c>
      <c r="F94" s="24"/>
      <c r="G94" s="19">
        <v>15.0</v>
      </c>
      <c r="H94" s="20">
        <v>13.0</v>
      </c>
      <c r="I94" s="20">
        <v>6.0</v>
      </c>
      <c r="J94" s="20">
        <v>0.0</v>
      </c>
      <c r="K94" s="20">
        <v>1.0</v>
      </c>
      <c r="L94" s="20">
        <v>1.0</v>
      </c>
      <c r="N94" s="24"/>
      <c r="O94" s="19">
        <v>15.0</v>
      </c>
      <c r="P94" s="40">
        <v>0.05138339920948617</v>
      </c>
      <c r="Q94" s="40">
        <v>0.0625</v>
      </c>
      <c r="R94" s="40">
        <v>0.0</v>
      </c>
      <c r="S94" s="40">
        <v>0.125</v>
      </c>
      <c r="T94" s="40">
        <v>0.030303030303030304</v>
      </c>
    </row>
    <row r="95" ht="15.75" customHeight="1">
      <c r="A95" s="16" t="s">
        <v>250</v>
      </c>
      <c r="F95" s="24"/>
      <c r="G95" s="19">
        <v>16.0</v>
      </c>
      <c r="H95" s="20">
        <v>21.0</v>
      </c>
      <c r="I95" s="20">
        <v>5.0</v>
      </c>
      <c r="J95" s="20">
        <v>2.0</v>
      </c>
      <c r="K95" s="20">
        <v>0.0</v>
      </c>
      <c r="L95" s="20">
        <v>4.0</v>
      </c>
      <c r="N95" s="24"/>
      <c r="O95" s="19">
        <v>16.0</v>
      </c>
      <c r="P95" s="40">
        <v>0.08300395256916997</v>
      </c>
      <c r="Q95" s="40">
        <v>0.052083333333333336</v>
      </c>
      <c r="R95" s="40">
        <v>0.4</v>
      </c>
      <c r="S95" s="40">
        <v>0.0</v>
      </c>
      <c r="T95" s="40">
        <v>0.12121212121212122</v>
      </c>
    </row>
    <row r="96" ht="15.75" customHeight="1">
      <c r="A96" s="16" t="s">
        <v>217</v>
      </c>
      <c r="F96" s="24"/>
      <c r="G96" s="19">
        <v>17.0</v>
      </c>
      <c r="H96" s="20">
        <v>22.0</v>
      </c>
      <c r="I96" s="20">
        <v>6.0</v>
      </c>
      <c r="J96" s="20">
        <v>0.0</v>
      </c>
      <c r="K96" s="20">
        <v>1.0</v>
      </c>
      <c r="L96" s="20">
        <v>0.0</v>
      </c>
      <c r="N96" s="24"/>
      <c r="O96" s="19">
        <v>17.0</v>
      </c>
      <c r="P96" s="40">
        <v>0.08695652173913043</v>
      </c>
      <c r="Q96" s="40">
        <v>0.0625</v>
      </c>
      <c r="R96" s="40">
        <v>0.0</v>
      </c>
      <c r="S96" s="40">
        <v>0.125</v>
      </c>
      <c r="T96" s="40">
        <v>0.0</v>
      </c>
    </row>
    <row r="97" ht="15.75" customHeight="1">
      <c r="A97" s="16" t="s">
        <v>251</v>
      </c>
      <c r="F97" s="24"/>
      <c r="G97" s="19">
        <v>18.0</v>
      </c>
      <c r="H97" s="20">
        <v>18.0</v>
      </c>
      <c r="I97" s="20">
        <v>6.0</v>
      </c>
      <c r="J97" s="20">
        <v>0.0</v>
      </c>
      <c r="K97" s="20">
        <v>0.0</v>
      </c>
      <c r="L97" s="20">
        <v>1.0</v>
      </c>
      <c r="N97" s="24"/>
      <c r="O97" s="19">
        <v>18.0</v>
      </c>
      <c r="P97" s="40">
        <v>0.07114624505928854</v>
      </c>
      <c r="Q97" s="40">
        <v>0.0625</v>
      </c>
      <c r="R97" s="40">
        <v>0.0</v>
      </c>
      <c r="S97" s="40">
        <v>0.0</v>
      </c>
      <c r="T97" s="40">
        <v>0.030303030303030304</v>
      </c>
    </row>
    <row r="98" ht="15.75" customHeight="1">
      <c r="A98" s="16" t="s">
        <v>252</v>
      </c>
      <c r="F98" s="24"/>
      <c r="G98" s="19">
        <v>19.0</v>
      </c>
      <c r="H98" s="20">
        <v>9.0</v>
      </c>
      <c r="I98" s="20">
        <v>4.0</v>
      </c>
      <c r="J98" s="20">
        <v>0.0</v>
      </c>
      <c r="K98" s="20">
        <v>0.0</v>
      </c>
      <c r="L98" s="20">
        <v>0.0</v>
      </c>
      <c r="N98" s="24"/>
      <c r="O98" s="19">
        <v>19.0</v>
      </c>
      <c r="P98" s="40">
        <v>0.03557312252964427</v>
      </c>
      <c r="Q98" s="40">
        <v>0.041666666666666664</v>
      </c>
      <c r="R98" s="40">
        <v>0.0</v>
      </c>
      <c r="S98" s="40">
        <v>0.0</v>
      </c>
      <c r="T98" s="40">
        <v>0.0</v>
      </c>
    </row>
    <row r="99" ht="15.75" customHeight="1">
      <c r="A99" s="16" t="s">
        <v>253</v>
      </c>
      <c r="F99" s="24"/>
      <c r="G99" s="19">
        <v>20.0</v>
      </c>
      <c r="H99" s="20">
        <v>11.0</v>
      </c>
      <c r="I99" s="20">
        <v>1.0</v>
      </c>
      <c r="J99" s="20">
        <v>0.0</v>
      </c>
      <c r="K99" s="20">
        <v>0.0</v>
      </c>
      <c r="L99" s="20">
        <v>1.0</v>
      </c>
      <c r="N99" s="24"/>
      <c r="O99" s="19">
        <v>20.0</v>
      </c>
      <c r="P99" s="40">
        <v>0.043478260869565216</v>
      </c>
      <c r="Q99" s="40">
        <v>0.010416666666666666</v>
      </c>
      <c r="R99" s="40">
        <v>0.0</v>
      </c>
      <c r="S99" s="40">
        <v>0.0</v>
      </c>
      <c r="T99" s="40">
        <v>0.030303030303030304</v>
      </c>
    </row>
    <row r="100" ht="15.75" customHeight="1">
      <c r="A100" s="16" t="s">
        <v>184</v>
      </c>
      <c r="F100" s="24"/>
      <c r="G100" s="19">
        <v>21.0</v>
      </c>
      <c r="H100" s="20">
        <v>12.0</v>
      </c>
      <c r="I100" s="20">
        <v>2.0</v>
      </c>
      <c r="J100" s="20">
        <v>0.0</v>
      </c>
      <c r="K100" s="20">
        <v>0.0</v>
      </c>
      <c r="L100" s="20">
        <v>0.0</v>
      </c>
      <c r="N100" s="24"/>
      <c r="O100" s="19">
        <v>21.0</v>
      </c>
      <c r="P100" s="40">
        <v>0.04743083003952569</v>
      </c>
      <c r="Q100" s="40">
        <v>0.020833333333333332</v>
      </c>
      <c r="R100" s="40">
        <v>0.0</v>
      </c>
      <c r="S100" s="40">
        <v>0.0</v>
      </c>
      <c r="T100" s="40">
        <v>0.0</v>
      </c>
    </row>
    <row r="101" ht="15.75" customHeight="1">
      <c r="A101" s="16" t="s">
        <v>157</v>
      </c>
      <c r="F101" s="24"/>
      <c r="G101" s="19">
        <v>22.0</v>
      </c>
      <c r="H101" s="20">
        <v>3.0</v>
      </c>
      <c r="I101" s="20">
        <v>2.0</v>
      </c>
      <c r="J101" s="20">
        <v>0.0</v>
      </c>
      <c r="K101" s="20">
        <v>0.0</v>
      </c>
      <c r="L101" s="20">
        <v>0.0</v>
      </c>
      <c r="N101" s="24"/>
      <c r="O101" s="19">
        <v>22.0</v>
      </c>
      <c r="P101" s="40">
        <v>0.011857707509881422</v>
      </c>
      <c r="Q101" s="40">
        <v>0.020833333333333332</v>
      </c>
      <c r="R101" s="40">
        <v>0.0</v>
      </c>
      <c r="S101" s="40">
        <v>0.0</v>
      </c>
      <c r="T101" s="40">
        <v>0.0</v>
      </c>
    </row>
    <row r="102" ht="15.75" customHeight="1">
      <c r="F102" s="28"/>
      <c r="G102" s="19">
        <v>23.0</v>
      </c>
      <c r="H102" s="20">
        <v>4.0</v>
      </c>
      <c r="I102" s="20">
        <v>1.0</v>
      </c>
      <c r="J102" s="20">
        <v>0.0</v>
      </c>
      <c r="K102" s="20">
        <v>0.0</v>
      </c>
      <c r="L102" s="20">
        <v>0.0</v>
      </c>
      <c r="N102" s="28"/>
      <c r="O102" s="19">
        <v>23.0</v>
      </c>
      <c r="P102" s="40">
        <v>0.015810276679841896</v>
      </c>
      <c r="Q102" s="40">
        <v>0.010416666666666666</v>
      </c>
      <c r="R102" s="40">
        <v>0.0</v>
      </c>
      <c r="S102" s="40">
        <v>0.0</v>
      </c>
      <c r="T102" s="40">
        <v>0.0</v>
      </c>
    </row>
    <row r="103" ht="15.75" customHeight="1">
      <c r="A103" s="16" t="s">
        <v>94</v>
      </c>
      <c r="F103" s="56">
        <v>45212.0</v>
      </c>
      <c r="G103" s="19">
        <v>0.0</v>
      </c>
      <c r="H103" s="20">
        <v>1.0</v>
      </c>
      <c r="I103" s="20">
        <v>0.0</v>
      </c>
      <c r="J103" s="20">
        <v>0.0</v>
      </c>
      <c r="K103" s="20">
        <v>0.0</v>
      </c>
      <c r="L103" s="20">
        <v>0.0</v>
      </c>
      <c r="N103" s="56">
        <v>45212.0</v>
      </c>
      <c r="O103" s="19">
        <v>0.0</v>
      </c>
      <c r="P103" s="40">
        <v>0.003663003663003663</v>
      </c>
      <c r="Q103" s="40">
        <v>0.0</v>
      </c>
      <c r="R103" s="40">
        <v>0.0</v>
      </c>
      <c r="S103" s="40">
        <v>0.0</v>
      </c>
      <c r="T103" s="40">
        <v>0.0</v>
      </c>
    </row>
    <row r="104" ht="15.75" customHeight="1">
      <c r="A104" s="16" t="s">
        <v>254</v>
      </c>
      <c r="F104" s="24"/>
      <c r="G104" s="19">
        <v>1.0</v>
      </c>
      <c r="H104" s="20">
        <v>1.0</v>
      </c>
      <c r="I104" s="20">
        <v>0.0</v>
      </c>
      <c r="J104" s="20">
        <v>0.0</v>
      </c>
      <c r="K104" s="20">
        <v>0.0</v>
      </c>
      <c r="L104" s="20">
        <v>0.0</v>
      </c>
      <c r="N104" s="24"/>
      <c r="O104" s="19">
        <v>1.0</v>
      </c>
      <c r="P104" s="40">
        <v>0.003663003663003663</v>
      </c>
      <c r="Q104" s="40">
        <v>0.0</v>
      </c>
      <c r="R104" s="40">
        <v>0.0</v>
      </c>
      <c r="S104" s="40">
        <v>0.0</v>
      </c>
      <c r="T104" s="40">
        <v>0.0</v>
      </c>
    </row>
    <row r="105" ht="15.75" customHeight="1">
      <c r="A105" s="16" t="s">
        <v>94</v>
      </c>
      <c r="F105" s="24"/>
      <c r="G105" s="19">
        <v>2.0</v>
      </c>
      <c r="H105" s="16">
        <v>2.0</v>
      </c>
      <c r="I105" s="16">
        <v>0.0</v>
      </c>
      <c r="J105" s="16">
        <v>0.0</v>
      </c>
      <c r="K105" s="16">
        <v>0.0</v>
      </c>
      <c r="L105" s="16">
        <v>1.0</v>
      </c>
      <c r="N105" s="24"/>
      <c r="O105" s="19">
        <v>2.0</v>
      </c>
      <c r="P105" s="40">
        <v>0.007326007326007326</v>
      </c>
      <c r="Q105" s="40">
        <v>0.0</v>
      </c>
      <c r="R105" s="40">
        <v>0.0</v>
      </c>
      <c r="S105" s="40">
        <v>0.0</v>
      </c>
      <c r="T105" s="40">
        <v>0.05</v>
      </c>
    </row>
    <row r="106" ht="15.75" customHeight="1">
      <c r="A106" s="16" t="s">
        <v>255</v>
      </c>
      <c r="F106" s="24"/>
      <c r="G106" s="19">
        <v>3.0</v>
      </c>
      <c r="H106" s="20">
        <v>1.0</v>
      </c>
      <c r="I106" s="20">
        <v>0.0</v>
      </c>
      <c r="J106" s="20">
        <v>0.0</v>
      </c>
      <c r="K106" s="20">
        <v>0.0</v>
      </c>
      <c r="L106" s="20">
        <v>0.0</v>
      </c>
      <c r="N106" s="24"/>
      <c r="O106" s="19">
        <v>3.0</v>
      </c>
      <c r="P106" s="40">
        <v>0.003663003663003663</v>
      </c>
      <c r="Q106" s="40">
        <v>0.0</v>
      </c>
      <c r="R106" s="40">
        <v>0.0</v>
      </c>
      <c r="S106" s="40">
        <v>0.0</v>
      </c>
      <c r="T106" s="40">
        <v>0.0</v>
      </c>
    </row>
    <row r="107" ht="15.75" customHeight="1">
      <c r="A107" s="16" t="s">
        <v>115</v>
      </c>
      <c r="F107" s="24"/>
      <c r="G107" s="19">
        <v>4.0</v>
      </c>
      <c r="H107" s="20">
        <v>0.0</v>
      </c>
      <c r="I107" s="20">
        <v>0.0</v>
      </c>
      <c r="J107" s="20">
        <v>0.0</v>
      </c>
      <c r="K107" s="20">
        <v>0.0</v>
      </c>
      <c r="L107" s="20">
        <v>1.0</v>
      </c>
      <c r="N107" s="24"/>
      <c r="O107" s="19">
        <v>4.0</v>
      </c>
      <c r="P107" s="40">
        <v>0.0</v>
      </c>
      <c r="Q107" s="40">
        <v>0.0</v>
      </c>
      <c r="R107" s="40">
        <v>0.0</v>
      </c>
      <c r="S107" s="40">
        <v>0.0</v>
      </c>
      <c r="T107" s="40">
        <v>0.05</v>
      </c>
    </row>
    <row r="108" ht="15.75" customHeight="1">
      <c r="A108" s="16" t="s">
        <v>256</v>
      </c>
      <c r="F108" s="24"/>
      <c r="G108" s="19">
        <v>5.0</v>
      </c>
      <c r="H108" s="20">
        <v>4.0</v>
      </c>
      <c r="I108" s="20">
        <v>3.0</v>
      </c>
      <c r="J108" s="20">
        <v>0.0</v>
      </c>
      <c r="K108" s="20">
        <v>1.0</v>
      </c>
      <c r="L108" s="20">
        <v>0.0</v>
      </c>
      <c r="N108" s="24"/>
      <c r="O108" s="19">
        <v>5.0</v>
      </c>
      <c r="P108" s="40">
        <v>0.014652014652014652</v>
      </c>
      <c r="Q108" s="40">
        <v>0.02727272727272727</v>
      </c>
      <c r="R108" s="40">
        <v>0.0</v>
      </c>
      <c r="S108" s="40">
        <v>0.07692307692307693</v>
      </c>
      <c r="T108" s="40">
        <v>0.0</v>
      </c>
    </row>
    <row r="109" ht="15.75" customHeight="1">
      <c r="A109" s="16" t="s">
        <v>257</v>
      </c>
      <c r="F109" s="24"/>
      <c r="G109" s="19">
        <v>6.0</v>
      </c>
      <c r="H109" s="20">
        <v>10.0</v>
      </c>
      <c r="I109" s="20">
        <v>2.0</v>
      </c>
      <c r="J109" s="20">
        <v>0.0</v>
      </c>
      <c r="K109" s="20">
        <v>0.0</v>
      </c>
      <c r="L109" s="20">
        <v>2.0</v>
      </c>
      <c r="N109" s="24"/>
      <c r="O109" s="19">
        <v>6.0</v>
      </c>
      <c r="P109" s="40">
        <v>0.03663003663003663</v>
      </c>
      <c r="Q109" s="40">
        <v>0.01818181818181818</v>
      </c>
      <c r="R109" s="40">
        <v>0.0</v>
      </c>
      <c r="S109" s="40">
        <v>0.0</v>
      </c>
      <c r="T109" s="40">
        <v>0.1</v>
      </c>
    </row>
    <row r="110" ht="15.75" customHeight="1">
      <c r="A110" s="16" t="s">
        <v>258</v>
      </c>
      <c r="F110" s="24"/>
      <c r="G110" s="19">
        <v>7.0</v>
      </c>
      <c r="H110" s="20">
        <v>26.0</v>
      </c>
      <c r="I110" s="20">
        <v>6.0</v>
      </c>
      <c r="J110" s="20">
        <v>1.0</v>
      </c>
      <c r="K110" s="20">
        <v>0.0</v>
      </c>
      <c r="L110" s="20">
        <v>1.0</v>
      </c>
      <c r="N110" s="24"/>
      <c r="O110" s="19">
        <v>7.0</v>
      </c>
      <c r="P110" s="40">
        <v>0.09523809523809523</v>
      </c>
      <c r="Q110" s="40">
        <v>0.05454545454545454</v>
      </c>
      <c r="R110" s="40">
        <v>0.25</v>
      </c>
      <c r="S110" s="40">
        <v>0.0</v>
      </c>
      <c r="T110" s="40">
        <v>0.05</v>
      </c>
    </row>
    <row r="111" ht="15.75" customHeight="1">
      <c r="A111" s="16" t="s">
        <v>259</v>
      </c>
      <c r="F111" s="24"/>
      <c r="G111" s="19">
        <v>8.0</v>
      </c>
      <c r="H111" s="20">
        <v>23.0</v>
      </c>
      <c r="I111" s="20">
        <v>7.0</v>
      </c>
      <c r="J111" s="20">
        <v>0.0</v>
      </c>
      <c r="K111" s="20">
        <v>0.0</v>
      </c>
      <c r="L111" s="20">
        <v>1.0</v>
      </c>
      <c r="N111" s="24"/>
      <c r="O111" s="19">
        <v>8.0</v>
      </c>
      <c r="P111" s="40">
        <v>0.08424908424908426</v>
      </c>
      <c r="Q111" s="40">
        <v>0.06363636363636363</v>
      </c>
      <c r="R111" s="40">
        <v>0.0</v>
      </c>
      <c r="S111" s="40">
        <v>0.0</v>
      </c>
      <c r="T111" s="40">
        <v>0.05</v>
      </c>
    </row>
    <row r="112" ht="15.75" customHeight="1">
      <c r="A112" s="16" t="s">
        <v>260</v>
      </c>
      <c r="F112" s="24"/>
      <c r="G112" s="19">
        <v>9.0</v>
      </c>
      <c r="H112" s="20">
        <v>15.0</v>
      </c>
      <c r="I112" s="20">
        <v>5.0</v>
      </c>
      <c r="J112" s="20">
        <v>0.0</v>
      </c>
      <c r="K112" s="20">
        <v>3.0</v>
      </c>
      <c r="L112" s="20">
        <v>3.0</v>
      </c>
      <c r="N112" s="24"/>
      <c r="O112" s="19">
        <v>9.0</v>
      </c>
      <c r="P112" s="40">
        <v>0.054945054945054944</v>
      </c>
      <c r="Q112" s="40">
        <v>0.045454545454545456</v>
      </c>
      <c r="R112" s="40">
        <v>0.0</v>
      </c>
      <c r="S112" s="40">
        <v>0.23076923076923078</v>
      </c>
      <c r="T112" s="40">
        <v>0.15</v>
      </c>
    </row>
    <row r="113" ht="15.75" customHeight="1">
      <c r="A113" s="16" t="s">
        <v>261</v>
      </c>
      <c r="F113" s="24"/>
      <c r="G113" s="19">
        <v>10.0</v>
      </c>
      <c r="H113" s="20">
        <v>17.0</v>
      </c>
      <c r="I113" s="20">
        <v>9.0</v>
      </c>
      <c r="J113" s="20">
        <v>0.0</v>
      </c>
      <c r="K113" s="20">
        <v>0.0</v>
      </c>
      <c r="L113" s="20">
        <v>2.0</v>
      </c>
      <c r="N113" s="24"/>
      <c r="O113" s="19">
        <v>10.0</v>
      </c>
      <c r="P113" s="40">
        <v>0.06227106227106227</v>
      </c>
      <c r="Q113" s="40">
        <v>0.08181818181818182</v>
      </c>
      <c r="R113" s="40">
        <v>0.0</v>
      </c>
      <c r="S113" s="40">
        <v>0.0</v>
      </c>
      <c r="T113" s="40">
        <v>0.1</v>
      </c>
    </row>
    <row r="114" ht="15.75" customHeight="1">
      <c r="A114" s="16" t="s">
        <v>262</v>
      </c>
      <c r="F114" s="24"/>
      <c r="G114" s="19">
        <v>11.0</v>
      </c>
      <c r="H114" s="20">
        <v>12.0</v>
      </c>
      <c r="I114" s="20">
        <v>11.0</v>
      </c>
      <c r="J114" s="20">
        <v>1.0</v>
      </c>
      <c r="K114" s="20">
        <v>1.0</v>
      </c>
      <c r="L114" s="20">
        <v>3.0</v>
      </c>
      <c r="N114" s="24"/>
      <c r="O114" s="19">
        <v>11.0</v>
      </c>
      <c r="P114" s="40">
        <v>0.04395604395604396</v>
      </c>
      <c r="Q114" s="40">
        <v>0.1</v>
      </c>
      <c r="R114" s="40">
        <v>0.25</v>
      </c>
      <c r="S114" s="40">
        <v>0.07692307692307693</v>
      </c>
      <c r="T114" s="40">
        <v>0.15</v>
      </c>
    </row>
    <row r="115" ht="15.75" customHeight="1">
      <c r="A115" s="16" t="s">
        <v>263</v>
      </c>
      <c r="F115" s="24"/>
      <c r="G115" s="19">
        <v>12.0</v>
      </c>
      <c r="H115" s="20">
        <v>11.0</v>
      </c>
      <c r="I115" s="20">
        <v>9.0</v>
      </c>
      <c r="J115" s="20">
        <v>0.0</v>
      </c>
      <c r="K115" s="20">
        <v>2.0</v>
      </c>
      <c r="L115" s="20">
        <v>1.0</v>
      </c>
      <c r="N115" s="24"/>
      <c r="O115" s="19">
        <v>12.0</v>
      </c>
      <c r="P115" s="40">
        <v>0.040293040293040296</v>
      </c>
      <c r="Q115" s="40">
        <v>0.08181818181818182</v>
      </c>
      <c r="R115" s="40">
        <v>0.0</v>
      </c>
      <c r="S115" s="40">
        <v>0.15384615384615385</v>
      </c>
      <c r="T115" s="40">
        <v>0.05</v>
      </c>
    </row>
    <row r="116" ht="15.75" customHeight="1">
      <c r="A116" s="16" t="s">
        <v>264</v>
      </c>
      <c r="F116" s="24"/>
      <c r="G116" s="19">
        <v>13.0</v>
      </c>
      <c r="H116" s="20">
        <v>12.0</v>
      </c>
      <c r="I116" s="20">
        <v>7.0</v>
      </c>
      <c r="J116" s="20">
        <v>0.0</v>
      </c>
      <c r="K116" s="20">
        <v>2.0</v>
      </c>
      <c r="L116" s="20">
        <v>1.0</v>
      </c>
      <c r="N116" s="24"/>
      <c r="O116" s="19">
        <v>13.0</v>
      </c>
      <c r="P116" s="40">
        <v>0.04395604395604396</v>
      </c>
      <c r="Q116" s="40">
        <v>0.06363636363636363</v>
      </c>
      <c r="R116" s="40">
        <v>0.0</v>
      </c>
      <c r="S116" s="40">
        <v>0.15384615384615385</v>
      </c>
      <c r="T116" s="40">
        <v>0.05</v>
      </c>
    </row>
    <row r="117" ht="15.75" customHeight="1">
      <c r="A117" s="16" t="s">
        <v>265</v>
      </c>
      <c r="F117" s="24"/>
      <c r="G117" s="19">
        <v>14.0</v>
      </c>
      <c r="H117" s="20">
        <v>10.0</v>
      </c>
      <c r="I117" s="20">
        <v>8.0</v>
      </c>
      <c r="J117" s="20">
        <v>0.0</v>
      </c>
      <c r="K117" s="20">
        <v>1.0</v>
      </c>
      <c r="L117" s="20">
        <v>0.0</v>
      </c>
      <c r="N117" s="24"/>
      <c r="O117" s="19">
        <v>14.0</v>
      </c>
      <c r="P117" s="40">
        <v>0.03663003663003663</v>
      </c>
      <c r="Q117" s="40">
        <v>0.07272727272727272</v>
      </c>
      <c r="R117" s="40">
        <v>0.0</v>
      </c>
      <c r="S117" s="40">
        <v>0.07692307692307693</v>
      </c>
      <c r="T117" s="40">
        <v>0.0</v>
      </c>
    </row>
    <row r="118" ht="15.75" customHeight="1">
      <c r="A118" s="16" t="s">
        <v>266</v>
      </c>
      <c r="F118" s="24"/>
      <c r="G118" s="19">
        <v>15.0</v>
      </c>
      <c r="H118" s="20">
        <v>14.0</v>
      </c>
      <c r="I118" s="20">
        <v>7.0</v>
      </c>
      <c r="J118" s="20">
        <v>1.0</v>
      </c>
      <c r="K118" s="20">
        <v>0.0</v>
      </c>
      <c r="L118" s="20">
        <v>0.0</v>
      </c>
      <c r="N118" s="24"/>
      <c r="O118" s="19">
        <v>15.0</v>
      </c>
      <c r="P118" s="40">
        <v>0.05128205128205128</v>
      </c>
      <c r="Q118" s="40">
        <v>0.06363636363636363</v>
      </c>
      <c r="R118" s="40">
        <v>0.25</v>
      </c>
      <c r="S118" s="40">
        <v>0.0</v>
      </c>
      <c r="T118" s="40">
        <v>0.0</v>
      </c>
    </row>
    <row r="119" ht="15.75" customHeight="1">
      <c r="A119" s="16" t="s">
        <v>267</v>
      </c>
      <c r="F119" s="24"/>
      <c r="G119" s="19">
        <v>16.0</v>
      </c>
      <c r="H119" s="20">
        <v>21.0</v>
      </c>
      <c r="I119" s="20">
        <v>10.0</v>
      </c>
      <c r="J119" s="20">
        <v>1.0</v>
      </c>
      <c r="K119" s="20">
        <v>0.0</v>
      </c>
      <c r="L119" s="20">
        <v>1.0</v>
      </c>
      <c r="N119" s="24"/>
      <c r="O119" s="19">
        <v>16.0</v>
      </c>
      <c r="P119" s="40">
        <v>0.07692307692307693</v>
      </c>
      <c r="Q119" s="40">
        <v>0.09090909090909091</v>
      </c>
      <c r="R119" s="40">
        <v>0.25</v>
      </c>
      <c r="S119" s="40">
        <v>0.0</v>
      </c>
      <c r="T119" s="40">
        <v>0.05</v>
      </c>
    </row>
    <row r="120" ht="15.75" customHeight="1">
      <c r="A120" s="16" t="s">
        <v>268</v>
      </c>
      <c r="F120" s="24"/>
      <c r="G120" s="19">
        <v>17.0</v>
      </c>
      <c r="H120" s="20">
        <v>25.0</v>
      </c>
      <c r="I120" s="20">
        <v>5.0</v>
      </c>
      <c r="J120" s="20">
        <v>0.0</v>
      </c>
      <c r="K120" s="20">
        <v>1.0</v>
      </c>
      <c r="L120" s="20">
        <v>1.0</v>
      </c>
      <c r="N120" s="24"/>
      <c r="O120" s="19">
        <v>17.0</v>
      </c>
      <c r="P120" s="40">
        <v>0.09157509157509157</v>
      </c>
      <c r="Q120" s="40">
        <v>0.045454545454545456</v>
      </c>
      <c r="R120" s="40">
        <v>0.0</v>
      </c>
      <c r="S120" s="40">
        <v>0.07692307692307693</v>
      </c>
      <c r="T120" s="40">
        <v>0.05</v>
      </c>
    </row>
    <row r="121" ht="15.75" customHeight="1">
      <c r="A121" s="16" t="s">
        <v>269</v>
      </c>
      <c r="F121" s="24"/>
      <c r="G121" s="19">
        <v>18.0</v>
      </c>
      <c r="H121" s="20">
        <v>14.0</v>
      </c>
      <c r="I121" s="20">
        <v>5.0</v>
      </c>
      <c r="J121" s="20">
        <v>0.0</v>
      </c>
      <c r="K121" s="20">
        <v>1.0</v>
      </c>
      <c r="L121" s="20">
        <v>0.0</v>
      </c>
      <c r="N121" s="24"/>
      <c r="O121" s="19">
        <v>18.0</v>
      </c>
      <c r="P121" s="40">
        <v>0.05128205128205128</v>
      </c>
      <c r="Q121" s="40">
        <v>0.045454545454545456</v>
      </c>
      <c r="R121" s="40">
        <v>0.0</v>
      </c>
      <c r="S121" s="40">
        <v>0.07692307692307693</v>
      </c>
      <c r="T121" s="40">
        <v>0.0</v>
      </c>
    </row>
    <row r="122" ht="15.75" customHeight="1">
      <c r="A122" s="16" t="s">
        <v>251</v>
      </c>
      <c r="F122" s="24"/>
      <c r="G122" s="19">
        <v>19.0</v>
      </c>
      <c r="H122" s="20">
        <v>22.0</v>
      </c>
      <c r="I122" s="20">
        <v>5.0</v>
      </c>
      <c r="J122" s="20">
        <v>0.0</v>
      </c>
      <c r="K122" s="20">
        <v>0.0</v>
      </c>
      <c r="L122" s="20">
        <v>0.0</v>
      </c>
      <c r="N122" s="24"/>
      <c r="O122" s="19">
        <v>19.0</v>
      </c>
      <c r="P122" s="40">
        <v>0.08058608058608059</v>
      </c>
      <c r="Q122" s="40">
        <v>0.045454545454545456</v>
      </c>
      <c r="R122" s="40">
        <v>0.0</v>
      </c>
      <c r="S122" s="40">
        <v>0.0</v>
      </c>
      <c r="T122" s="40">
        <v>0.0</v>
      </c>
    </row>
    <row r="123" ht="15.75" customHeight="1">
      <c r="A123" s="16" t="s">
        <v>270</v>
      </c>
      <c r="F123" s="24"/>
      <c r="G123" s="19">
        <v>20.0</v>
      </c>
      <c r="H123" s="20">
        <v>9.0</v>
      </c>
      <c r="I123" s="20">
        <v>4.0</v>
      </c>
      <c r="J123" s="20">
        <v>0.0</v>
      </c>
      <c r="K123" s="20">
        <v>0.0</v>
      </c>
      <c r="L123" s="20">
        <v>0.0</v>
      </c>
      <c r="N123" s="24"/>
      <c r="O123" s="19">
        <v>20.0</v>
      </c>
      <c r="P123" s="40">
        <v>0.03296703296703297</v>
      </c>
      <c r="Q123" s="40">
        <v>0.03636363636363636</v>
      </c>
      <c r="R123" s="40">
        <v>0.0</v>
      </c>
      <c r="S123" s="40">
        <v>0.0</v>
      </c>
      <c r="T123" s="40">
        <v>0.0</v>
      </c>
    </row>
    <row r="124" ht="15.75" customHeight="1">
      <c r="A124" s="16" t="s">
        <v>271</v>
      </c>
      <c r="F124" s="24"/>
      <c r="G124" s="19">
        <v>21.0</v>
      </c>
      <c r="H124" s="20">
        <v>10.0</v>
      </c>
      <c r="I124" s="20">
        <v>2.0</v>
      </c>
      <c r="J124" s="20">
        <v>0.0</v>
      </c>
      <c r="K124" s="20">
        <v>0.0</v>
      </c>
      <c r="L124" s="20">
        <v>1.0</v>
      </c>
      <c r="N124" s="24"/>
      <c r="O124" s="19">
        <v>21.0</v>
      </c>
      <c r="P124" s="40">
        <v>0.03663003663003663</v>
      </c>
      <c r="Q124" s="40">
        <v>0.01818181818181818</v>
      </c>
      <c r="R124" s="40">
        <v>0.0</v>
      </c>
      <c r="S124" s="40">
        <v>0.0</v>
      </c>
      <c r="T124" s="40">
        <v>0.05</v>
      </c>
    </row>
    <row r="125" ht="15.75" customHeight="1">
      <c r="A125" s="16" t="s">
        <v>272</v>
      </c>
      <c r="F125" s="24"/>
      <c r="G125" s="19">
        <v>22.0</v>
      </c>
      <c r="H125" s="20">
        <v>5.0</v>
      </c>
      <c r="I125" s="20">
        <v>5.0</v>
      </c>
      <c r="J125" s="20">
        <v>0.0</v>
      </c>
      <c r="K125" s="20">
        <v>1.0</v>
      </c>
      <c r="L125" s="20">
        <v>1.0</v>
      </c>
      <c r="N125" s="24"/>
      <c r="O125" s="19">
        <v>22.0</v>
      </c>
      <c r="P125" s="40">
        <v>0.018315018315018316</v>
      </c>
      <c r="Q125" s="40">
        <v>0.045454545454545456</v>
      </c>
      <c r="R125" s="40">
        <v>0.0</v>
      </c>
      <c r="S125" s="40">
        <v>0.07692307692307693</v>
      </c>
      <c r="T125" s="40">
        <v>0.05</v>
      </c>
    </row>
    <row r="126" ht="15.75" customHeight="1">
      <c r="F126" s="28"/>
      <c r="G126" s="19">
        <v>23.0</v>
      </c>
      <c r="H126" s="20">
        <v>8.0</v>
      </c>
      <c r="I126" s="20">
        <v>0.0</v>
      </c>
      <c r="J126" s="20">
        <v>0.0</v>
      </c>
      <c r="K126" s="20">
        <v>0.0</v>
      </c>
      <c r="L126" s="20">
        <v>0.0</v>
      </c>
      <c r="N126" s="28"/>
      <c r="O126" s="19">
        <v>23.0</v>
      </c>
      <c r="P126" s="40">
        <v>0.029304029304029304</v>
      </c>
      <c r="Q126" s="40">
        <v>0.0</v>
      </c>
      <c r="R126" s="40">
        <v>0.0</v>
      </c>
      <c r="S126" s="40">
        <v>0.0</v>
      </c>
      <c r="T126" s="40">
        <v>0.0</v>
      </c>
    </row>
    <row r="127" ht="15.75" customHeight="1">
      <c r="A127" s="16" t="s">
        <v>273</v>
      </c>
      <c r="F127" s="56">
        <v>45213.0</v>
      </c>
      <c r="G127" s="19">
        <v>0.0</v>
      </c>
      <c r="H127" s="20">
        <v>4.0</v>
      </c>
      <c r="I127" s="20">
        <v>0.0</v>
      </c>
      <c r="J127" s="20">
        <v>0.0</v>
      </c>
      <c r="K127" s="20">
        <v>0.0</v>
      </c>
      <c r="L127" s="20">
        <v>1.0</v>
      </c>
      <c r="N127" s="56">
        <v>45213.0</v>
      </c>
      <c r="O127" s="19">
        <v>0.0</v>
      </c>
      <c r="P127" s="40">
        <v>0.012048192771084338</v>
      </c>
      <c r="Q127" s="40">
        <v>0.0</v>
      </c>
      <c r="R127" s="40">
        <v>0.0</v>
      </c>
      <c r="S127" s="40">
        <v>0.0</v>
      </c>
      <c r="T127" s="40">
        <v>0.05</v>
      </c>
    </row>
    <row r="128" ht="15.75" customHeight="1">
      <c r="A128" s="16" t="s">
        <v>274</v>
      </c>
      <c r="F128" s="24"/>
      <c r="G128" s="19">
        <v>1.0</v>
      </c>
      <c r="H128" s="20">
        <v>2.0</v>
      </c>
      <c r="I128" s="20">
        <v>1.0</v>
      </c>
      <c r="J128" s="20">
        <v>0.0</v>
      </c>
      <c r="K128" s="20">
        <v>0.0</v>
      </c>
      <c r="L128" s="20">
        <v>1.0</v>
      </c>
      <c r="N128" s="24"/>
      <c r="O128" s="19">
        <v>1.0</v>
      </c>
      <c r="P128" s="40">
        <v>0.006024096385542169</v>
      </c>
      <c r="Q128" s="40">
        <v>0.009615384615384616</v>
      </c>
      <c r="R128" s="40">
        <v>0.0</v>
      </c>
      <c r="S128" s="40">
        <v>0.0</v>
      </c>
      <c r="T128" s="40">
        <v>0.05</v>
      </c>
    </row>
    <row r="129" ht="15.75" customHeight="1">
      <c r="A129" s="16" t="s">
        <v>94</v>
      </c>
      <c r="F129" s="24"/>
      <c r="G129" s="19">
        <v>2.0</v>
      </c>
      <c r="H129" s="16">
        <v>2.0</v>
      </c>
      <c r="I129" s="16">
        <v>2.0</v>
      </c>
      <c r="J129" s="16">
        <v>0.0</v>
      </c>
      <c r="K129" s="16">
        <v>0.0</v>
      </c>
      <c r="L129" s="16">
        <v>1.0</v>
      </c>
      <c r="N129" s="24"/>
      <c r="O129" s="19">
        <v>2.0</v>
      </c>
      <c r="P129" s="40">
        <v>0.006024096385542169</v>
      </c>
      <c r="Q129" s="40">
        <v>0.019230769230769232</v>
      </c>
      <c r="R129" s="40">
        <v>0.0</v>
      </c>
      <c r="S129" s="40">
        <v>0.0</v>
      </c>
      <c r="T129" s="40">
        <v>0.05</v>
      </c>
    </row>
    <row r="130" ht="15.75" customHeight="1">
      <c r="A130" s="16" t="s">
        <v>275</v>
      </c>
      <c r="F130" s="24"/>
      <c r="G130" s="19">
        <v>3.0</v>
      </c>
      <c r="H130" s="20">
        <v>1.0</v>
      </c>
      <c r="I130" s="20">
        <v>0.0</v>
      </c>
      <c r="J130" s="20">
        <v>0.0</v>
      </c>
      <c r="K130" s="20">
        <v>0.0</v>
      </c>
      <c r="L130" s="20">
        <v>0.0</v>
      </c>
      <c r="N130" s="24"/>
      <c r="O130" s="19">
        <v>3.0</v>
      </c>
      <c r="P130" s="40">
        <v>0.0030120481927710845</v>
      </c>
      <c r="Q130" s="40">
        <v>0.0</v>
      </c>
      <c r="R130" s="40">
        <v>0.0</v>
      </c>
      <c r="S130" s="40">
        <v>0.0</v>
      </c>
      <c r="T130" s="40">
        <v>0.0</v>
      </c>
    </row>
    <row r="131" ht="15.75" customHeight="1">
      <c r="A131" s="16" t="s">
        <v>276</v>
      </c>
      <c r="F131" s="24"/>
      <c r="G131" s="19">
        <v>4.0</v>
      </c>
      <c r="H131" s="20">
        <v>1.0</v>
      </c>
      <c r="I131" s="20">
        <v>0.0</v>
      </c>
      <c r="J131" s="20">
        <v>0.0</v>
      </c>
      <c r="K131" s="20">
        <v>2.0</v>
      </c>
      <c r="L131" s="20">
        <v>0.0</v>
      </c>
      <c r="N131" s="24"/>
      <c r="O131" s="19">
        <v>4.0</v>
      </c>
      <c r="P131" s="40">
        <v>0.0030120481927710845</v>
      </c>
      <c r="Q131" s="40">
        <v>0.0</v>
      </c>
      <c r="R131" s="40">
        <v>0.0</v>
      </c>
      <c r="S131" s="40">
        <v>0.2222222222222222</v>
      </c>
      <c r="T131" s="40">
        <v>0.0</v>
      </c>
    </row>
    <row r="132" ht="15.75" customHeight="1">
      <c r="A132" s="16" t="s">
        <v>277</v>
      </c>
      <c r="F132" s="24"/>
      <c r="G132" s="19">
        <v>5.0</v>
      </c>
      <c r="H132" s="20">
        <v>7.0</v>
      </c>
      <c r="I132" s="20">
        <v>0.0</v>
      </c>
      <c r="J132" s="20">
        <v>0.0</v>
      </c>
      <c r="K132" s="20">
        <v>0.0</v>
      </c>
      <c r="L132" s="20">
        <v>1.0</v>
      </c>
      <c r="N132" s="24"/>
      <c r="O132" s="19">
        <v>5.0</v>
      </c>
      <c r="P132" s="40">
        <v>0.02108433734939759</v>
      </c>
      <c r="Q132" s="40">
        <v>0.0</v>
      </c>
      <c r="R132" s="40">
        <v>0.0</v>
      </c>
      <c r="S132" s="40">
        <v>0.0</v>
      </c>
      <c r="T132" s="40">
        <v>0.05</v>
      </c>
    </row>
    <row r="133" ht="15.75" customHeight="1">
      <c r="A133" s="16" t="s">
        <v>278</v>
      </c>
      <c r="F133" s="24"/>
      <c r="G133" s="19">
        <v>6.0</v>
      </c>
      <c r="H133" s="20">
        <v>8.0</v>
      </c>
      <c r="I133" s="20">
        <v>0.0</v>
      </c>
      <c r="J133" s="20">
        <v>1.0</v>
      </c>
      <c r="K133" s="20">
        <v>1.0</v>
      </c>
      <c r="L133" s="20">
        <v>2.0</v>
      </c>
      <c r="N133" s="24"/>
      <c r="O133" s="19">
        <v>6.0</v>
      </c>
      <c r="P133" s="40">
        <v>0.024096385542168676</v>
      </c>
      <c r="Q133" s="40">
        <v>0.0</v>
      </c>
      <c r="R133" s="40">
        <v>1.0</v>
      </c>
      <c r="S133" s="40">
        <v>0.1111111111111111</v>
      </c>
      <c r="T133" s="40">
        <v>0.1</v>
      </c>
    </row>
    <row r="134" ht="15.75" customHeight="1">
      <c r="A134" s="16" t="s">
        <v>86</v>
      </c>
      <c r="F134" s="24"/>
      <c r="G134" s="19">
        <v>7.0</v>
      </c>
      <c r="H134" s="20">
        <v>12.0</v>
      </c>
      <c r="I134" s="20">
        <v>7.0</v>
      </c>
      <c r="J134" s="20">
        <v>0.0</v>
      </c>
      <c r="K134" s="20">
        <v>0.0</v>
      </c>
      <c r="L134" s="20">
        <v>1.0</v>
      </c>
      <c r="N134" s="24"/>
      <c r="O134" s="19">
        <v>7.0</v>
      </c>
      <c r="P134" s="40">
        <v>0.03614457831325301</v>
      </c>
      <c r="Q134" s="40">
        <v>0.0673076923076923</v>
      </c>
      <c r="R134" s="40">
        <v>0.0</v>
      </c>
      <c r="S134" s="40">
        <v>0.0</v>
      </c>
      <c r="T134" s="40">
        <v>0.05</v>
      </c>
    </row>
    <row r="135" ht="15.75" customHeight="1">
      <c r="A135" s="16" t="s">
        <v>279</v>
      </c>
      <c r="F135" s="24"/>
      <c r="G135" s="19">
        <v>8.0</v>
      </c>
      <c r="H135" s="20">
        <v>25.0</v>
      </c>
      <c r="I135" s="20">
        <v>5.0</v>
      </c>
      <c r="J135" s="20">
        <v>0.0</v>
      </c>
      <c r="K135" s="20">
        <v>0.0</v>
      </c>
      <c r="L135" s="20">
        <v>1.0</v>
      </c>
      <c r="N135" s="24"/>
      <c r="O135" s="19">
        <v>8.0</v>
      </c>
      <c r="P135" s="40">
        <v>0.07530120481927711</v>
      </c>
      <c r="Q135" s="40">
        <v>0.04807692307692308</v>
      </c>
      <c r="R135" s="40">
        <v>0.0</v>
      </c>
      <c r="S135" s="40">
        <v>0.0</v>
      </c>
      <c r="T135" s="40">
        <v>0.05</v>
      </c>
    </row>
    <row r="136" ht="15.75" customHeight="1">
      <c r="A136" s="16" t="s">
        <v>280</v>
      </c>
      <c r="F136" s="24"/>
      <c r="G136" s="19">
        <v>9.0</v>
      </c>
      <c r="H136" s="20">
        <v>31.0</v>
      </c>
      <c r="I136" s="20">
        <v>8.0</v>
      </c>
      <c r="J136" s="20">
        <v>0.0</v>
      </c>
      <c r="K136" s="20">
        <v>2.0</v>
      </c>
      <c r="L136" s="20">
        <v>2.0</v>
      </c>
      <c r="N136" s="24"/>
      <c r="O136" s="19">
        <v>9.0</v>
      </c>
      <c r="P136" s="40">
        <v>0.09337349397590361</v>
      </c>
      <c r="Q136" s="40">
        <v>0.07692307692307693</v>
      </c>
      <c r="R136" s="40">
        <v>0.0</v>
      </c>
      <c r="S136" s="40">
        <v>0.2222222222222222</v>
      </c>
      <c r="T136" s="40">
        <v>0.1</v>
      </c>
    </row>
    <row r="137" ht="15.75" customHeight="1">
      <c r="A137" s="16" t="s">
        <v>281</v>
      </c>
      <c r="F137" s="24"/>
      <c r="G137" s="19">
        <v>10.0</v>
      </c>
      <c r="H137" s="20">
        <v>19.0</v>
      </c>
      <c r="I137" s="20">
        <v>8.0</v>
      </c>
      <c r="J137" s="20">
        <v>0.0</v>
      </c>
      <c r="K137" s="20">
        <v>1.0</v>
      </c>
      <c r="L137" s="20">
        <v>1.0</v>
      </c>
      <c r="N137" s="24"/>
      <c r="O137" s="19">
        <v>10.0</v>
      </c>
      <c r="P137" s="40">
        <v>0.0572289156626506</v>
      </c>
      <c r="Q137" s="40">
        <v>0.07692307692307693</v>
      </c>
      <c r="R137" s="40">
        <v>0.0</v>
      </c>
      <c r="S137" s="40">
        <v>0.1111111111111111</v>
      </c>
      <c r="T137" s="40">
        <v>0.05</v>
      </c>
    </row>
    <row r="138" ht="15.75" customHeight="1">
      <c r="A138" s="16" t="s">
        <v>282</v>
      </c>
      <c r="F138" s="24"/>
      <c r="G138" s="19">
        <v>11.0</v>
      </c>
      <c r="H138" s="20">
        <v>22.0</v>
      </c>
      <c r="I138" s="20">
        <v>14.0</v>
      </c>
      <c r="J138" s="20">
        <v>0.0</v>
      </c>
      <c r="K138" s="20">
        <v>0.0</v>
      </c>
      <c r="L138" s="20">
        <v>2.0</v>
      </c>
      <c r="N138" s="24"/>
      <c r="O138" s="19">
        <v>11.0</v>
      </c>
      <c r="P138" s="40">
        <v>0.06626506024096386</v>
      </c>
      <c r="Q138" s="40">
        <v>0.1346153846153846</v>
      </c>
      <c r="R138" s="40">
        <v>0.0</v>
      </c>
      <c r="S138" s="40">
        <v>0.0</v>
      </c>
      <c r="T138" s="40">
        <v>0.1</v>
      </c>
    </row>
    <row r="139" ht="15.75" customHeight="1">
      <c r="A139" s="16" t="s">
        <v>283</v>
      </c>
      <c r="F139" s="24"/>
      <c r="G139" s="19">
        <v>12.0</v>
      </c>
      <c r="H139" s="20">
        <v>17.0</v>
      </c>
      <c r="I139" s="20">
        <v>7.0</v>
      </c>
      <c r="J139" s="20">
        <v>0.0</v>
      </c>
      <c r="K139" s="20">
        <v>1.0</v>
      </c>
      <c r="L139" s="20">
        <v>3.0</v>
      </c>
      <c r="N139" s="24"/>
      <c r="O139" s="19">
        <v>12.0</v>
      </c>
      <c r="P139" s="40">
        <v>0.05120481927710843</v>
      </c>
      <c r="Q139" s="40">
        <v>0.0673076923076923</v>
      </c>
      <c r="R139" s="40">
        <v>0.0</v>
      </c>
      <c r="S139" s="40">
        <v>0.1111111111111111</v>
      </c>
      <c r="T139" s="40">
        <v>0.15</v>
      </c>
    </row>
    <row r="140" ht="15.75" customHeight="1">
      <c r="A140" s="16" t="s">
        <v>284</v>
      </c>
      <c r="F140" s="24"/>
      <c r="G140" s="19">
        <v>13.0</v>
      </c>
      <c r="H140" s="20">
        <v>14.0</v>
      </c>
      <c r="I140" s="20">
        <v>9.0</v>
      </c>
      <c r="J140" s="20">
        <v>0.0</v>
      </c>
      <c r="K140" s="20">
        <v>0.0</v>
      </c>
      <c r="L140" s="20">
        <v>0.0</v>
      </c>
      <c r="N140" s="24"/>
      <c r="O140" s="19">
        <v>13.0</v>
      </c>
      <c r="P140" s="40">
        <v>0.04216867469879518</v>
      </c>
      <c r="Q140" s="40">
        <v>0.08653846153846154</v>
      </c>
      <c r="R140" s="40">
        <v>0.0</v>
      </c>
      <c r="S140" s="40">
        <v>0.0</v>
      </c>
      <c r="T140" s="40">
        <v>0.0</v>
      </c>
    </row>
    <row r="141" ht="15.75" customHeight="1">
      <c r="A141" s="16" t="s">
        <v>285</v>
      </c>
      <c r="F141" s="24"/>
      <c r="G141" s="19">
        <v>14.0</v>
      </c>
      <c r="H141" s="20">
        <v>23.0</v>
      </c>
      <c r="I141" s="20">
        <v>6.0</v>
      </c>
      <c r="J141" s="20">
        <v>0.0</v>
      </c>
      <c r="K141" s="20">
        <v>0.0</v>
      </c>
      <c r="L141" s="20">
        <v>1.0</v>
      </c>
      <c r="N141" s="24"/>
      <c r="O141" s="19">
        <v>14.0</v>
      </c>
      <c r="P141" s="40">
        <v>0.06927710843373494</v>
      </c>
      <c r="Q141" s="40">
        <v>0.057692307692307696</v>
      </c>
      <c r="R141" s="40">
        <v>0.0</v>
      </c>
      <c r="S141" s="40">
        <v>0.0</v>
      </c>
      <c r="T141" s="40">
        <v>0.05</v>
      </c>
    </row>
    <row r="142" ht="15.75" customHeight="1">
      <c r="A142" s="16" t="s">
        <v>286</v>
      </c>
      <c r="F142" s="24"/>
      <c r="G142" s="19">
        <v>15.0</v>
      </c>
      <c r="H142" s="20">
        <v>31.0</v>
      </c>
      <c r="I142" s="20">
        <v>7.0</v>
      </c>
      <c r="J142" s="20">
        <v>0.0</v>
      </c>
      <c r="K142" s="20">
        <v>0.0</v>
      </c>
      <c r="L142" s="20">
        <v>1.0</v>
      </c>
      <c r="N142" s="24"/>
      <c r="O142" s="19">
        <v>15.0</v>
      </c>
      <c r="P142" s="40">
        <v>0.09337349397590361</v>
      </c>
      <c r="Q142" s="40">
        <v>0.0673076923076923</v>
      </c>
      <c r="R142" s="40">
        <v>0.0</v>
      </c>
      <c r="S142" s="40">
        <v>0.0</v>
      </c>
      <c r="T142" s="40">
        <v>0.05</v>
      </c>
    </row>
    <row r="143" ht="15.75" customHeight="1">
      <c r="A143" s="16" t="s">
        <v>287</v>
      </c>
      <c r="F143" s="24"/>
      <c r="G143" s="19">
        <v>16.0</v>
      </c>
      <c r="H143" s="20">
        <v>27.0</v>
      </c>
      <c r="I143" s="20">
        <v>11.0</v>
      </c>
      <c r="J143" s="20">
        <v>0.0</v>
      </c>
      <c r="K143" s="20">
        <v>1.0</v>
      </c>
      <c r="L143" s="20">
        <v>1.0</v>
      </c>
      <c r="N143" s="24"/>
      <c r="O143" s="19">
        <v>16.0</v>
      </c>
      <c r="P143" s="40">
        <v>0.08132530120481928</v>
      </c>
      <c r="Q143" s="40">
        <v>0.10576923076923077</v>
      </c>
      <c r="R143" s="40">
        <v>0.0</v>
      </c>
      <c r="S143" s="40">
        <v>0.1111111111111111</v>
      </c>
      <c r="T143" s="40">
        <v>0.05</v>
      </c>
    </row>
    <row r="144" ht="15.75" customHeight="1">
      <c r="A144" s="16" t="s">
        <v>131</v>
      </c>
      <c r="F144" s="24"/>
      <c r="G144" s="19">
        <v>17.0</v>
      </c>
      <c r="H144" s="20">
        <v>24.0</v>
      </c>
      <c r="I144" s="20">
        <v>5.0</v>
      </c>
      <c r="J144" s="20">
        <v>0.0</v>
      </c>
      <c r="K144" s="20">
        <v>0.0</v>
      </c>
      <c r="L144" s="20">
        <v>1.0</v>
      </c>
      <c r="N144" s="24"/>
      <c r="O144" s="19">
        <v>17.0</v>
      </c>
      <c r="P144" s="40">
        <v>0.07228915662650602</v>
      </c>
      <c r="Q144" s="40">
        <v>0.04807692307692308</v>
      </c>
      <c r="R144" s="40">
        <v>0.0</v>
      </c>
      <c r="S144" s="40">
        <v>0.0</v>
      </c>
      <c r="T144" s="40">
        <v>0.05</v>
      </c>
    </row>
    <row r="145" ht="15.75" customHeight="1">
      <c r="A145" s="16" t="s">
        <v>288</v>
      </c>
      <c r="F145" s="24"/>
      <c r="G145" s="19">
        <v>18.0</v>
      </c>
      <c r="H145" s="20">
        <v>13.0</v>
      </c>
      <c r="I145" s="20">
        <v>3.0</v>
      </c>
      <c r="J145" s="20">
        <v>0.0</v>
      </c>
      <c r="K145" s="20">
        <v>0.0</v>
      </c>
      <c r="L145" s="20">
        <v>0.0</v>
      </c>
      <c r="N145" s="24"/>
      <c r="O145" s="19">
        <v>18.0</v>
      </c>
      <c r="P145" s="40">
        <v>0.0391566265060241</v>
      </c>
      <c r="Q145" s="40">
        <v>0.028846153846153848</v>
      </c>
      <c r="R145" s="40">
        <v>0.0</v>
      </c>
      <c r="S145" s="40">
        <v>0.0</v>
      </c>
      <c r="T145" s="40">
        <v>0.0</v>
      </c>
    </row>
    <row r="146" ht="15.75" customHeight="1">
      <c r="A146" s="16" t="s">
        <v>289</v>
      </c>
      <c r="F146" s="24"/>
      <c r="G146" s="19">
        <v>19.0</v>
      </c>
      <c r="H146" s="20">
        <v>16.0</v>
      </c>
      <c r="I146" s="20">
        <v>1.0</v>
      </c>
      <c r="J146" s="20">
        <v>0.0</v>
      </c>
      <c r="K146" s="20">
        <v>0.0</v>
      </c>
      <c r="L146" s="20">
        <v>0.0</v>
      </c>
      <c r="N146" s="24"/>
      <c r="O146" s="19">
        <v>19.0</v>
      </c>
      <c r="P146" s="40">
        <v>0.04819277108433735</v>
      </c>
      <c r="Q146" s="40">
        <v>0.009615384615384616</v>
      </c>
      <c r="R146" s="40">
        <v>0.0</v>
      </c>
      <c r="S146" s="40">
        <v>0.0</v>
      </c>
      <c r="T146" s="40">
        <v>0.0</v>
      </c>
    </row>
    <row r="147" ht="15.75" customHeight="1">
      <c r="A147" s="16" t="s">
        <v>239</v>
      </c>
      <c r="F147" s="24"/>
      <c r="G147" s="19">
        <v>20.0</v>
      </c>
      <c r="H147" s="20">
        <v>14.0</v>
      </c>
      <c r="I147" s="20">
        <v>3.0</v>
      </c>
      <c r="J147" s="20">
        <v>0.0</v>
      </c>
      <c r="K147" s="20">
        <v>0.0</v>
      </c>
      <c r="L147" s="20">
        <v>0.0</v>
      </c>
      <c r="N147" s="24"/>
      <c r="O147" s="19">
        <v>20.0</v>
      </c>
      <c r="P147" s="40">
        <v>0.04216867469879518</v>
      </c>
      <c r="Q147" s="40">
        <v>0.028846153846153848</v>
      </c>
      <c r="R147" s="40">
        <v>0.0</v>
      </c>
      <c r="S147" s="40">
        <v>0.0</v>
      </c>
      <c r="T147" s="40">
        <v>0.0</v>
      </c>
    </row>
    <row r="148" ht="15.75" customHeight="1">
      <c r="A148" s="16" t="s">
        <v>290</v>
      </c>
      <c r="F148" s="24"/>
      <c r="G148" s="19">
        <v>21.0</v>
      </c>
      <c r="H148" s="20">
        <v>10.0</v>
      </c>
      <c r="I148" s="20">
        <v>3.0</v>
      </c>
      <c r="J148" s="20">
        <v>0.0</v>
      </c>
      <c r="K148" s="20">
        <v>0.0</v>
      </c>
      <c r="L148" s="20">
        <v>0.0</v>
      </c>
      <c r="N148" s="24"/>
      <c r="O148" s="19">
        <v>21.0</v>
      </c>
      <c r="P148" s="40">
        <v>0.030120481927710843</v>
      </c>
      <c r="Q148" s="40">
        <v>0.028846153846153848</v>
      </c>
      <c r="R148" s="40">
        <v>0.0</v>
      </c>
      <c r="S148" s="40">
        <v>0.0</v>
      </c>
      <c r="T148" s="40">
        <v>0.0</v>
      </c>
    </row>
    <row r="149" ht="15.75" customHeight="1">
      <c r="A149" s="16" t="s">
        <v>291</v>
      </c>
      <c r="F149" s="24"/>
      <c r="G149" s="19">
        <v>22.0</v>
      </c>
      <c r="H149" s="20">
        <v>4.0</v>
      </c>
      <c r="I149" s="20">
        <v>4.0</v>
      </c>
      <c r="J149" s="20">
        <v>0.0</v>
      </c>
      <c r="K149" s="20">
        <v>1.0</v>
      </c>
      <c r="L149" s="20">
        <v>0.0</v>
      </c>
      <c r="N149" s="24"/>
      <c r="O149" s="19">
        <v>22.0</v>
      </c>
      <c r="P149" s="40">
        <v>0.012048192771084338</v>
      </c>
      <c r="Q149" s="40">
        <v>0.038461538461538464</v>
      </c>
      <c r="R149" s="40">
        <v>0.0</v>
      </c>
      <c r="S149" s="40">
        <v>0.1111111111111111</v>
      </c>
      <c r="T149" s="40">
        <v>0.0</v>
      </c>
    </row>
    <row r="150" ht="15.75" customHeight="1">
      <c r="F150" s="28"/>
      <c r="G150" s="19">
        <v>23.0</v>
      </c>
      <c r="H150" s="20">
        <v>5.0</v>
      </c>
      <c r="I150" s="20">
        <v>0.0</v>
      </c>
      <c r="J150" s="20">
        <v>0.0</v>
      </c>
      <c r="K150" s="20">
        <v>0.0</v>
      </c>
      <c r="L150" s="20">
        <v>0.0</v>
      </c>
      <c r="N150" s="28"/>
      <c r="O150" s="19">
        <v>23.0</v>
      </c>
      <c r="P150" s="40">
        <v>0.015060240963855422</v>
      </c>
      <c r="Q150" s="40">
        <v>0.0</v>
      </c>
      <c r="R150" s="40">
        <v>0.0</v>
      </c>
      <c r="S150" s="40">
        <v>0.0</v>
      </c>
      <c r="T150" s="40">
        <v>0.0</v>
      </c>
    </row>
    <row r="151" ht="15.75" customHeight="1">
      <c r="A151" s="16" t="s">
        <v>292</v>
      </c>
      <c r="F151" s="56">
        <v>45214.0</v>
      </c>
      <c r="G151" s="19">
        <v>0.0</v>
      </c>
      <c r="H151" s="20">
        <v>7.0</v>
      </c>
      <c r="I151" s="20">
        <v>1.0</v>
      </c>
      <c r="J151" s="20">
        <v>0.0</v>
      </c>
      <c r="K151" s="20">
        <v>0.0</v>
      </c>
      <c r="L151" s="20">
        <v>0.0</v>
      </c>
      <c r="N151" s="56">
        <v>45214.0</v>
      </c>
      <c r="O151" s="19">
        <v>0.0</v>
      </c>
      <c r="P151" s="40">
        <v>0.02046783625730994</v>
      </c>
      <c r="Q151" s="40">
        <v>0.010416666666666666</v>
      </c>
      <c r="R151" s="40">
        <v>0.0</v>
      </c>
      <c r="S151" s="40">
        <v>0.0</v>
      </c>
      <c r="T151" s="40">
        <v>0.0</v>
      </c>
    </row>
    <row r="152" ht="15.75" customHeight="1">
      <c r="A152" s="16" t="s">
        <v>184</v>
      </c>
      <c r="F152" s="24"/>
      <c r="G152" s="19">
        <v>1.0</v>
      </c>
      <c r="H152" s="20">
        <v>3.0</v>
      </c>
      <c r="I152" s="20">
        <v>2.0</v>
      </c>
      <c r="J152" s="20">
        <v>0.0</v>
      </c>
      <c r="K152" s="20">
        <v>0.0</v>
      </c>
      <c r="L152" s="20">
        <v>0.0</v>
      </c>
      <c r="N152" s="24"/>
      <c r="O152" s="19">
        <v>1.0</v>
      </c>
      <c r="P152" s="40">
        <v>0.008771929824561403</v>
      </c>
      <c r="Q152" s="40">
        <v>0.020833333333333332</v>
      </c>
      <c r="R152" s="40">
        <v>0.0</v>
      </c>
      <c r="S152" s="40">
        <v>0.0</v>
      </c>
      <c r="T152" s="40">
        <v>0.0</v>
      </c>
    </row>
    <row r="153" ht="15.75" customHeight="1">
      <c r="A153" s="16" t="s">
        <v>175</v>
      </c>
      <c r="F153" s="24"/>
      <c r="G153" s="19">
        <v>2.0</v>
      </c>
      <c r="H153" s="16">
        <v>1.0</v>
      </c>
      <c r="I153" s="16">
        <v>1.0</v>
      </c>
      <c r="J153" s="16">
        <v>0.0</v>
      </c>
      <c r="K153" s="16">
        <v>0.0</v>
      </c>
      <c r="L153" s="16">
        <v>0.0</v>
      </c>
      <c r="N153" s="24"/>
      <c r="O153" s="19">
        <v>2.0</v>
      </c>
      <c r="P153" s="40">
        <v>0.0029239766081871343</v>
      </c>
      <c r="Q153" s="40">
        <v>0.010416666666666666</v>
      </c>
      <c r="R153" s="40">
        <v>0.0</v>
      </c>
      <c r="S153" s="40">
        <v>0.0</v>
      </c>
      <c r="T153" s="40">
        <v>0.0</v>
      </c>
    </row>
    <row r="154" ht="15.75" customHeight="1">
      <c r="A154" s="16" t="s">
        <v>175</v>
      </c>
      <c r="F154" s="24"/>
      <c r="G154" s="19">
        <v>3.0</v>
      </c>
      <c r="H154" s="20">
        <v>1.0</v>
      </c>
      <c r="I154" s="20">
        <v>1.0</v>
      </c>
      <c r="J154" s="20">
        <v>0.0</v>
      </c>
      <c r="K154" s="20">
        <v>0.0</v>
      </c>
      <c r="L154" s="20">
        <v>0.0</v>
      </c>
      <c r="N154" s="24"/>
      <c r="O154" s="19">
        <v>3.0</v>
      </c>
      <c r="P154" s="40">
        <v>0.0029239766081871343</v>
      </c>
      <c r="Q154" s="40">
        <v>0.010416666666666666</v>
      </c>
      <c r="R154" s="40">
        <v>0.0</v>
      </c>
      <c r="S154" s="40">
        <v>0.0</v>
      </c>
      <c r="T154" s="40">
        <v>0.0</v>
      </c>
    </row>
    <row r="155" ht="15.75" customHeight="1">
      <c r="A155" s="16" t="s">
        <v>293</v>
      </c>
      <c r="F155" s="24"/>
      <c r="G155" s="19">
        <v>4.0</v>
      </c>
      <c r="H155" s="20">
        <v>0.0</v>
      </c>
      <c r="I155" s="20">
        <v>0.0</v>
      </c>
      <c r="J155" s="20">
        <v>0.0</v>
      </c>
      <c r="K155" s="20">
        <v>1.0</v>
      </c>
      <c r="L155" s="20">
        <v>1.0</v>
      </c>
      <c r="N155" s="24"/>
      <c r="O155" s="19">
        <v>4.0</v>
      </c>
      <c r="P155" s="40">
        <v>0.0</v>
      </c>
      <c r="Q155" s="40">
        <v>0.0</v>
      </c>
      <c r="R155" s="40">
        <v>0.0</v>
      </c>
      <c r="S155" s="40">
        <v>0.5</v>
      </c>
      <c r="T155" s="40">
        <v>0.2</v>
      </c>
    </row>
    <row r="156" ht="15.75" customHeight="1">
      <c r="A156" s="16" t="s">
        <v>183</v>
      </c>
      <c r="F156" s="24"/>
      <c r="G156" s="19">
        <v>5.0</v>
      </c>
      <c r="H156" s="20">
        <v>3.0</v>
      </c>
      <c r="I156" s="20">
        <v>0.0</v>
      </c>
      <c r="J156" s="20">
        <v>0.0</v>
      </c>
      <c r="K156" s="20">
        <v>0.0</v>
      </c>
      <c r="L156" s="20">
        <v>0.0</v>
      </c>
      <c r="N156" s="24"/>
      <c r="O156" s="19">
        <v>5.0</v>
      </c>
      <c r="P156" s="40">
        <v>0.008771929824561403</v>
      </c>
      <c r="Q156" s="40">
        <v>0.0</v>
      </c>
      <c r="R156" s="40">
        <v>0.0</v>
      </c>
      <c r="S156" s="40">
        <v>0.0</v>
      </c>
      <c r="T156" s="40">
        <v>0.0</v>
      </c>
    </row>
    <row r="157" ht="15.75" customHeight="1">
      <c r="A157" s="16" t="s">
        <v>294</v>
      </c>
      <c r="F157" s="24"/>
      <c r="G157" s="19">
        <v>6.0</v>
      </c>
      <c r="H157" s="20">
        <v>5.0</v>
      </c>
      <c r="I157" s="20">
        <v>4.0</v>
      </c>
      <c r="J157" s="20">
        <v>0.0</v>
      </c>
      <c r="K157" s="20">
        <v>0.0</v>
      </c>
      <c r="L157" s="20">
        <v>0.0</v>
      </c>
      <c r="N157" s="24"/>
      <c r="O157" s="19">
        <v>6.0</v>
      </c>
      <c r="P157" s="40">
        <v>0.014619883040935672</v>
      </c>
      <c r="Q157" s="40">
        <v>0.041666666666666664</v>
      </c>
      <c r="R157" s="40">
        <v>0.0</v>
      </c>
      <c r="S157" s="40">
        <v>0.0</v>
      </c>
      <c r="T157" s="40">
        <v>0.0</v>
      </c>
    </row>
    <row r="158" ht="15.75" customHeight="1">
      <c r="A158" s="16" t="s">
        <v>295</v>
      </c>
      <c r="F158" s="24"/>
      <c r="G158" s="19">
        <v>7.0</v>
      </c>
      <c r="H158" s="20">
        <v>6.0</v>
      </c>
      <c r="I158" s="20">
        <v>5.0</v>
      </c>
      <c r="J158" s="20">
        <v>0.0</v>
      </c>
      <c r="K158" s="20">
        <v>0.0</v>
      </c>
      <c r="L158" s="20">
        <v>0.0</v>
      </c>
      <c r="N158" s="24"/>
      <c r="O158" s="19">
        <v>7.0</v>
      </c>
      <c r="P158" s="40">
        <v>0.017543859649122806</v>
      </c>
      <c r="Q158" s="40">
        <v>0.052083333333333336</v>
      </c>
      <c r="R158" s="40">
        <v>0.0</v>
      </c>
      <c r="S158" s="40">
        <v>0.0</v>
      </c>
      <c r="T158" s="40">
        <v>0.0</v>
      </c>
    </row>
    <row r="159" ht="15.75" customHeight="1">
      <c r="A159" s="16" t="s">
        <v>296</v>
      </c>
      <c r="F159" s="24"/>
      <c r="G159" s="19">
        <v>8.0</v>
      </c>
      <c r="H159" s="20">
        <v>9.0</v>
      </c>
      <c r="I159" s="20">
        <v>5.0</v>
      </c>
      <c r="J159" s="20">
        <v>0.0</v>
      </c>
      <c r="K159" s="20">
        <v>0.0</v>
      </c>
      <c r="L159" s="20">
        <v>0.0</v>
      </c>
      <c r="N159" s="24"/>
      <c r="O159" s="19">
        <v>8.0</v>
      </c>
      <c r="P159" s="40">
        <v>0.02631578947368421</v>
      </c>
      <c r="Q159" s="40">
        <v>0.052083333333333336</v>
      </c>
      <c r="R159" s="40">
        <v>0.0</v>
      </c>
      <c r="S159" s="40">
        <v>0.0</v>
      </c>
      <c r="T159" s="40">
        <v>0.0</v>
      </c>
    </row>
    <row r="160" ht="15.75" customHeight="1">
      <c r="A160" s="16" t="s">
        <v>297</v>
      </c>
      <c r="F160" s="24"/>
      <c r="G160" s="19">
        <v>9.0</v>
      </c>
      <c r="H160" s="20">
        <v>21.0</v>
      </c>
      <c r="I160" s="20">
        <v>5.0</v>
      </c>
      <c r="J160" s="20">
        <v>0.0</v>
      </c>
      <c r="K160" s="20">
        <v>0.0</v>
      </c>
      <c r="L160" s="20">
        <v>0.0</v>
      </c>
      <c r="N160" s="24"/>
      <c r="O160" s="19">
        <v>9.0</v>
      </c>
      <c r="P160" s="40">
        <v>0.06140350877192982</v>
      </c>
      <c r="Q160" s="40">
        <v>0.052083333333333336</v>
      </c>
      <c r="R160" s="40">
        <v>0.0</v>
      </c>
      <c r="S160" s="40">
        <v>0.0</v>
      </c>
      <c r="T160" s="40">
        <v>0.0</v>
      </c>
    </row>
    <row r="161" ht="15.75" customHeight="1">
      <c r="A161" s="16" t="s">
        <v>298</v>
      </c>
      <c r="F161" s="24"/>
      <c r="G161" s="19">
        <v>10.0</v>
      </c>
      <c r="H161" s="20">
        <v>24.0</v>
      </c>
      <c r="I161" s="20">
        <v>6.0</v>
      </c>
      <c r="J161" s="20">
        <v>0.0</v>
      </c>
      <c r="K161" s="20">
        <v>0.0</v>
      </c>
      <c r="L161" s="20">
        <v>0.0</v>
      </c>
      <c r="N161" s="24"/>
      <c r="O161" s="19">
        <v>10.0</v>
      </c>
      <c r="P161" s="40">
        <v>0.07017543859649122</v>
      </c>
      <c r="Q161" s="40">
        <v>0.0625</v>
      </c>
      <c r="R161" s="40">
        <v>0.0</v>
      </c>
      <c r="S161" s="40">
        <v>0.0</v>
      </c>
      <c r="T161" s="40">
        <v>0.0</v>
      </c>
    </row>
    <row r="162" ht="15.75" customHeight="1">
      <c r="A162" s="16" t="s">
        <v>299</v>
      </c>
      <c r="F162" s="24"/>
      <c r="G162" s="19">
        <v>11.0</v>
      </c>
      <c r="H162" s="20">
        <v>27.0</v>
      </c>
      <c r="I162" s="20">
        <v>4.0</v>
      </c>
      <c r="J162" s="20">
        <v>0.0</v>
      </c>
      <c r="K162" s="20">
        <v>0.0</v>
      </c>
      <c r="L162" s="20">
        <v>1.0</v>
      </c>
      <c r="N162" s="24"/>
      <c r="O162" s="19">
        <v>11.0</v>
      </c>
      <c r="P162" s="40">
        <v>0.07894736842105263</v>
      </c>
      <c r="Q162" s="40">
        <v>0.041666666666666664</v>
      </c>
      <c r="R162" s="40">
        <v>0.0</v>
      </c>
      <c r="S162" s="40">
        <v>0.0</v>
      </c>
      <c r="T162" s="40">
        <v>0.2</v>
      </c>
    </row>
    <row r="163" ht="15.75" customHeight="1">
      <c r="A163" s="16" t="s">
        <v>300</v>
      </c>
      <c r="F163" s="24"/>
      <c r="G163" s="19">
        <v>12.0</v>
      </c>
      <c r="H163" s="20">
        <v>30.0</v>
      </c>
      <c r="I163" s="20">
        <v>7.0</v>
      </c>
      <c r="J163" s="20">
        <v>0.0</v>
      </c>
      <c r="K163" s="20">
        <v>0.0</v>
      </c>
      <c r="L163" s="20">
        <v>0.0</v>
      </c>
      <c r="N163" s="24"/>
      <c r="O163" s="19">
        <v>12.0</v>
      </c>
      <c r="P163" s="40">
        <v>0.08771929824561403</v>
      </c>
      <c r="Q163" s="40">
        <v>0.07291666666666667</v>
      </c>
      <c r="R163" s="40">
        <v>0.0</v>
      </c>
      <c r="S163" s="40">
        <v>0.0</v>
      </c>
      <c r="T163" s="40">
        <v>0.0</v>
      </c>
    </row>
    <row r="164" ht="15.75" customHeight="1">
      <c r="A164" s="16" t="s">
        <v>301</v>
      </c>
      <c r="F164" s="24"/>
      <c r="G164" s="19">
        <v>13.0</v>
      </c>
      <c r="H164" s="20">
        <v>21.0</v>
      </c>
      <c r="I164" s="20">
        <v>7.0</v>
      </c>
      <c r="J164" s="20">
        <v>0.0</v>
      </c>
      <c r="K164" s="20">
        <v>0.0</v>
      </c>
      <c r="L164" s="20">
        <v>1.0</v>
      </c>
      <c r="N164" s="24"/>
      <c r="O164" s="19">
        <v>13.0</v>
      </c>
      <c r="P164" s="40">
        <v>0.06140350877192982</v>
      </c>
      <c r="Q164" s="40">
        <v>0.07291666666666667</v>
      </c>
      <c r="R164" s="40">
        <v>0.0</v>
      </c>
      <c r="S164" s="40">
        <v>0.0</v>
      </c>
      <c r="T164" s="40">
        <v>0.2</v>
      </c>
    </row>
    <row r="165" ht="15.75" customHeight="1">
      <c r="A165" s="16" t="s">
        <v>302</v>
      </c>
      <c r="F165" s="24"/>
      <c r="G165" s="19">
        <v>14.0</v>
      </c>
      <c r="H165" s="20">
        <v>29.0</v>
      </c>
      <c r="I165" s="20">
        <v>9.0</v>
      </c>
      <c r="J165" s="20">
        <v>0.0</v>
      </c>
      <c r="K165" s="20">
        <v>1.0</v>
      </c>
      <c r="L165" s="20">
        <v>1.0</v>
      </c>
      <c r="N165" s="24"/>
      <c r="O165" s="19">
        <v>14.0</v>
      </c>
      <c r="P165" s="40">
        <v>0.0847953216374269</v>
      </c>
      <c r="Q165" s="40">
        <v>0.09375</v>
      </c>
      <c r="R165" s="40">
        <v>0.0</v>
      </c>
      <c r="S165" s="40">
        <v>0.5</v>
      </c>
      <c r="T165" s="40">
        <v>0.2</v>
      </c>
    </row>
    <row r="166" ht="15.75" customHeight="1">
      <c r="A166" s="16" t="s">
        <v>303</v>
      </c>
      <c r="F166" s="24"/>
      <c r="G166" s="19">
        <v>15.0</v>
      </c>
      <c r="H166" s="20">
        <v>29.0</v>
      </c>
      <c r="I166" s="20">
        <v>6.0</v>
      </c>
      <c r="J166" s="20">
        <v>1.0</v>
      </c>
      <c r="K166" s="20">
        <v>0.0</v>
      </c>
      <c r="L166" s="20">
        <v>1.0</v>
      </c>
      <c r="N166" s="24"/>
      <c r="O166" s="19">
        <v>15.0</v>
      </c>
      <c r="P166" s="40">
        <v>0.0847953216374269</v>
      </c>
      <c r="Q166" s="40">
        <v>0.0625</v>
      </c>
      <c r="R166" s="40">
        <v>0.5</v>
      </c>
      <c r="S166" s="40">
        <v>0.0</v>
      </c>
      <c r="T166" s="40">
        <v>0.2</v>
      </c>
    </row>
    <row r="167" ht="15.75" customHeight="1">
      <c r="A167" s="16" t="s">
        <v>300</v>
      </c>
      <c r="F167" s="24"/>
      <c r="G167" s="19">
        <v>16.0</v>
      </c>
      <c r="H167" s="20">
        <v>30.0</v>
      </c>
      <c r="I167" s="20">
        <v>7.0</v>
      </c>
      <c r="J167" s="20">
        <v>0.0</v>
      </c>
      <c r="K167" s="20">
        <v>0.0</v>
      </c>
      <c r="L167" s="20">
        <v>0.0</v>
      </c>
      <c r="N167" s="24"/>
      <c r="O167" s="19">
        <v>16.0</v>
      </c>
      <c r="P167" s="40">
        <v>0.08771929824561403</v>
      </c>
      <c r="Q167" s="40">
        <v>0.07291666666666667</v>
      </c>
      <c r="R167" s="40">
        <v>0.0</v>
      </c>
      <c r="S167" s="40">
        <v>0.0</v>
      </c>
      <c r="T167" s="40">
        <v>0.0</v>
      </c>
    </row>
    <row r="168" ht="15.75" customHeight="1">
      <c r="A168" s="16" t="s">
        <v>304</v>
      </c>
      <c r="F168" s="24"/>
      <c r="G168" s="19">
        <v>17.0</v>
      </c>
      <c r="H168" s="20">
        <v>29.0</v>
      </c>
      <c r="I168" s="20">
        <v>7.0</v>
      </c>
      <c r="J168" s="20">
        <v>0.0</v>
      </c>
      <c r="K168" s="20">
        <v>0.0</v>
      </c>
      <c r="L168" s="20">
        <v>0.0</v>
      </c>
      <c r="N168" s="24"/>
      <c r="O168" s="19">
        <v>17.0</v>
      </c>
      <c r="P168" s="40">
        <v>0.0847953216374269</v>
      </c>
      <c r="Q168" s="40">
        <v>0.07291666666666667</v>
      </c>
      <c r="R168" s="40">
        <v>0.0</v>
      </c>
      <c r="S168" s="40">
        <v>0.0</v>
      </c>
      <c r="T168" s="40">
        <v>0.0</v>
      </c>
    </row>
    <row r="169" ht="15.75" customHeight="1">
      <c r="A169" s="16" t="s">
        <v>109</v>
      </c>
      <c r="F169" s="24"/>
      <c r="G169" s="19">
        <v>18.0</v>
      </c>
      <c r="H169" s="20">
        <v>21.0</v>
      </c>
      <c r="I169" s="20">
        <v>6.0</v>
      </c>
      <c r="J169" s="20">
        <v>0.0</v>
      </c>
      <c r="K169" s="20">
        <v>0.0</v>
      </c>
      <c r="L169" s="20">
        <v>0.0</v>
      </c>
      <c r="N169" s="24"/>
      <c r="O169" s="19">
        <v>18.0</v>
      </c>
      <c r="P169" s="40">
        <v>0.06140350877192982</v>
      </c>
      <c r="Q169" s="40">
        <v>0.0625</v>
      </c>
      <c r="R169" s="40">
        <v>0.0</v>
      </c>
      <c r="S169" s="40">
        <v>0.0</v>
      </c>
      <c r="T169" s="40">
        <v>0.0</v>
      </c>
    </row>
    <row r="170" ht="15.75" customHeight="1">
      <c r="A170" s="16" t="s">
        <v>172</v>
      </c>
      <c r="F170" s="24"/>
      <c r="G170" s="19">
        <v>19.0</v>
      </c>
      <c r="H170" s="20">
        <v>13.0</v>
      </c>
      <c r="I170" s="20">
        <v>4.0</v>
      </c>
      <c r="J170" s="20">
        <v>0.0</v>
      </c>
      <c r="K170" s="20">
        <v>0.0</v>
      </c>
      <c r="L170" s="20">
        <v>0.0</v>
      </c>
      <c r="N170" s="24"/>
      <c r="O170" s="19">
        <v>19.0</v>
      </c>
      <c r="P170" s="40">
        <v>0.038011695906432746</v>
      </c>
      <c r="Q170" s="40">
        <v>0.041666666666666664</v>
      </c>
      <c r="R170" s="40">
        <v>0.0</v>
      </c>
      <c r="S170" s="40">
        <v>0.0</v>
      </c>
      <c r="T170" s="40">
        <v>0.0</v>
      </c>
    </row>
    <row r="171" ht="15.75" customHeight="1">
      <c r="A171" s="16" t="s">
        <v>305</v>
      </c>
      <c r="F171" s="24"/>
      <c r="G171" s="19">
        <v>20.0</v>
      </c>
      <c r="H171" s="20">
        <v>15.0</v>
      </c>
      <c r="I171" s="20">
        <v>6.0</v>
      </c>
      <c r="J171" s="20">
        <v>1.0</v>
      </c>
      <c r="K171" s="20">
        <v>0.0</v>
      </c>
      <c r="L171" s="20">
        <v>0.0</v>
      </c>
      <c r="N171" s="24"/>
      <c r="O171" s="19">
        <v>20.0</v>
      </c>
      <c r="P171" s="40">
        <v>0.043859649122807015</v>
      </c>
      <c r="Q171" s="40">
        <v>0.0625</v>
      </c>
      <c r="R171" s="40">
        <v>0.5</v>
      </c>
      <c r="S171" s="40">
        <v>0.0</v>
      </c>
      <c r="T171" s="40">
        <v>0.0</v>
      </c>
    </row>
    <row r="172" ht="15.75" customHeight="1">
      <c r="A172" s="16" t="s">
        <v>90</v>
      </c>
      <c r="F172" s="24"/>
      <c r="G172" s="19">
        <v>21.0</v>
      </c>
      <c r="H172" s="20">
        <v>10.0</v>
      </c>
      <c r="I172" s="20">
        <v>1.0</v>
      </c>
      <c r="J172" s="20">
        <v>0.0</v>
      </c>
      <c r="K172" s="20">
        <v>0.0</v>
      </c>
      <c r="L172" s="20">
        <v>0.0</v>
      </c>
      <c r="N172" s="24"/>
      <c r="O172" s="19">
        <v>21.0</v>
      </c>
      <c r="P172" s="40">
        <v>0.029239766081871343</v>
      </c>
      <c r="Q172" s="40">
        <v>0.010416666666666666</v>
      </c>
      <c r="R172" s="40">
        <v>0.0</v>
      </c>
      <c r="S172" s="40">
        <v>0.0</v>
      </c>
      <c r="T172" s="40">
        <v>0.0</v>
      </c>
    </row>
    <row r="173" ht="15.75" customHeight="1">
      <c r="A173" s="16" t="s">
        <v>133</v>
      </c>
      <c r="F173" s="24"/>
      <c r="G173" s="19">
        <v>22.0</v>
      </c>
      <c r="H173" s="20">
        <v>6.0</v>
      </c>
      <c r="I173" s="20">
        <v>2.0</v>
      </c>
      <c r="J173" s="20">
        <v>0.0</v>
      </c>
      <c r="K173" s="20">
        <v>0.0</v>
      </c>
      <c r="L173" s="20">
        <v>0.0</v>
      </c>
      <c r="N173" s="24"/>
      <c r="O173" s="19">
        <v>22.0</v>
      </c>
      <c r="P173" s="40">
        <v>0.017543859649122806</v>
      </c>
      <c r="Q173" s="40">
        <v>0.020833333333333332</v>
      </c>
      <c r="R173" s="40">
        <v>0.0</v>
      </c>
      <c r="S173" s="40">
        <v>0.0</v>
      </c>
      <c r="T173" s="40">
        <v>0.0</v>
      </c>
    </row>
    <row r="174" ht="15.75" customHeight="1">
      <c r="A174" s="16" t="s">
        <v>70</v>
      </c>
      <c r="F174" s="28"/>
      <c r="G174" s="19">
        <v>23.0</v>
      </c>
      <c r="H174" s="20">
        <v>2.0</v>
      </c>
      <c r="I174" s="20">
        <v>0.0</v>
      </c>
      <c r="J174" s="20">
        <v>0.0</v>
      </c>
      <c r="K174" s="20">
        <v>0.0</v>
      </c>
      <c r="L174" s="20">
        <v>0.0</v>
      </c>
      <c r="N174" s="28"/>
      <c r="O174" s="19">
        <v>23.0</v>
      </c>
      <c r="P174" s="40">
        <v>0.005847953216374269</v>
      </c>
      <c r="Q174" s="40">
        <v>0.0</v>
      </c>
      <c r="R174" s="40">
        <v>0.0</v>
      </c>
      <c r="S174" s="40">
        <v>0.0</v>
      </c>
      <c r="T174" s="40">
        <v>0.0</v>
      </c>
    </row>
    <row r="175" ht="15.75" customHeight="1">
      <c r="G175" s="16"/>
      <c r="H175" s="17">
        <v>31.0</v>
      </c>
      <c r="I175" s="17">
        <v>32.0</v>
      </c>
      <c r="J175" s="17">
        <v>41.0</v>
      </c>
      <c r="K175" s="17">
        <v>42.0</v>
      </c>
      <c r="L175" s="17">
        <v>5.0</v>
      </c>
      <c r="O175" s="16"/>
      <c r="P175" s="17">
        <v>31.0</v>
      </c>
      <c r="Q175" s="17">
        <v>32.0</v>
      </c>
      <c r="R175" s="17">
        <v>41.0</v>
      </c>
      <c r="S175" s="17">
        <v>42.0</v>
      </c>
      <c r="T175" s="17">
        <v>5.0</v>
      </c>
    </row>
    <row r="176" ht="15.75" customHeight="1">
      <c r="F176" s="56">
        <v>45215.0</v>
      </c>
      <c r="G176" s="19">
        <v>0.0</v>
      </c>
      <c r="H176" s="20">
        <v>2.0</v>
      </c>
      <c r="I176" s="20">
        <v>2.0</v>
      </c>
      <c r="J176" s="20"/>
      <c r="K176" s="20"/>
      <c r="L176" s="20"/>
      <c r="N176" s="56">
        <v>45215.0</v>
      </c>
      <c r="O176" s="19">
        <v>0.0</v>
      </c>
      <c r="P176" s="40">
        <v>0.007407407407407408</v>
      </c>
      <c r="Q176" s="40">
        <v>0.014492753623188406</v>
      </c>
      <c r="R176" s="40">
        <v>0.0</v>
      </c>
      <c r="S176" s="40">
        <v>0.0</v>
      </c>
      <c r="T176" s="40">
        <v>0.0</v>
      </c>
    </row>
    <row r="177" ht="15.75" customHeight="1">
      <c r="F177" s="24"/>
      <c r="G177" s="19">
        <v>1.0</v>
      </c>
      <c r="H177" s="20">
        <v>2.0</v>
      </c>
      <c r="I177" s="20"/>
      <c r="J177" s="20"/>
      <c r="K177" s="20"/>
      <c r="L177" s="20"/>
      <c r="N177" s="24"/>
      <c r="O177" s="19">
        <v>1.0</v>
      </c>
      <c r="P177" s="40">
        <v>0.007407407407407408</v>
      </c>
      <c r="Q177" s="40">
        <v>0.0</v>
      </c>
      <c r="R177" s="40">
        <v>0.0</v>
      </c>
      <c r="S177" s="40">
        <v>0.0</v>
      </c>
      <c r="T177" s="40">
        <v>0.0</v>
      </c>
    </row>
    <row r="178" ht="15.75" customHeight="1">
      <c r="F178" s="24"/>
      <c r="G178" s="19">
        <v>2.0</v>
      </c>
      <c r="H178" s="16">
        <v>1.0</v>
      </c>
      <c r="I178" s="16"/>
      <c r="J178" s="16"/>
      <c r="K178" s="16"/>
      <c r="L178" s="16"/>
      <c r="N178" s="24"/>
      <c r="O178" s="19">
        <v>2.0</v>
      </c>
      <c r="P178" s="40">
        <v>0.003703703703703704</v>
      </c>
      <c r="Q178" s="40">
        <v>0.0</v>
      </c>
      <c r="R178" s="40">
        <v>0.0</v>
      </c>
      <c r="S178" s="40">
        <v>0.0</v>
      </c>
      <c r="T178" s="40">
        <v>0.0</v>
      </c>
    </row>
    <row r="179" ht="15.75" customHeight="1">
      <c r="F179" s="24"/>
      <c r="G179" s="19">
        <v>3.0</v>
      </c>
      <c r="H179" s="20">
        <v>2.0</v>
      </c>
      <c r="I179" s="20"/>
      <c r="J179" s="20"/>
      <c r="K179" s="20"/>
      <c r="L179" s="20"/>
      <c r="N179" s="24"/>
      <c r="O179" s="19">
        <v>3.0</v>
      </c>
      <c r="P179" s="40">
        <v>0.007407407407407408</v>
      </c>
      <c r="Q179" s="40">
        <v>0.0</v>
      </c>
      <c r="R179" s="40">
        <v>0.0</v>
      </c>
      <c r="S179" s="40">
        <v>0.0</v>
      </c>
      <c r="T179" s="40">
        <v>0.0</v>
      </c>
    </row>
    <row r="180" ht="15.75" customHeight="1">
      <c r="F180" s="24"/>
      <c r="G180" s="19">
        <v>4.0</v>
      </c>
      <c r="H180" s="20">
        <v>1.0</v>
      </c>
      <c r="I180" s="20"/>
      <c r="J180" s="20"/>
      <c r="K180" s="20"/>
      <c r="L180" s="20"/>
      <c r="N180" s="24"/>
      <c r="O180" s="19">
        <v>4.0</v>
      </c>
      <c r="P180" s="40">
        <v>0.003703703703703704</v>
      </c>
      <c r="Q180" s="40">
        <v>0.0</v>
      </c>
      <c r="R180" s="40">
        <v>0.0</v>
      </c>
      <c r="S180" s="40">
        <v>0.0</v>
      </c>
      <c r="T180" s="40">
        <v>0.0</v>
      </c>
    </row>
    <row r="181" ht="15.75" customHeight="1">
      <c r="F181" s="24"/>
      <c r="G181" s="19">
        <v>5.0</v>
      </c>
      <c r="H181" s="20">
        <v>4.0</v>
      </c>
      <c r="I181" s="20">
        <v>1.0</v>
      </c>
      <c r="J181" s="20"/>
      <c r="K181" s="20"/>
      <c r="L181" s="20">
        <v>1.0</v>
      </c>
      <c r="N181" s="24"/>
      <c r="O181" s="19">
        <v>5.0</v>
      </c>
      <c r="P181" s="40">
        <v>0.014814814814814815</v>
      </c>
      <c r="Q181" s="40">
        <v>0.007246376811594203</v>
      </c>
      <c r="R181" s="40">
        <v>0.0</v>
      </c>
      <c r="S181" s="40">
        <v>0.0</v>
      </c>
      <c r="T181" s="40">
        <v>0.04</v>
      </c>
    </row>
    <row r="182" ht="15.75" customHeight="1">
      <c r="F182" s="24"/>
      <c r="G182" s="19">
        <v>6.0</v>
      </c>
      <c r="H182" s="20">
        <v>9.0</v>
      </c>
      <c r="I182" s="20">
        <v>3.0</v>
      </c>
      <c r="J182" s="20"/>
      <c r="K182" s="20"/>
      <c r="L182" s="20">
        <v>1.0</v>
      </c>
      <c r="N182" s="24"/>
      <c r="O182" s="19">
        <v>6.0</v>
      </c>
      <c r="P182" s="40">
        <v>0.03333333333333333</v>
      </c>
      <c r="Q182" s="40">
        <v>0.021739130434782608</v>
      </c>
      <c r="R182" s="40">
        <v>0.0</v>
      </c>
      <c r="S182" s="40">
        <v>0.0</v>
      </c>
      <c r="T182" s="40">
        <v>0.04</v>
      </c>
    </row>
    <row r="183" ht="15.75" customHeight="1">
      <c r="F183" s="24"/>
      <c r="G183" s="19">
        <v>7.0</v>
      </c>
      <c r="H183" s="20">
        <v>25.0</v>
      </c>
      <c r="I183" s="20">
        <v>3.0</v>
      </c>
      <c r="J183" s="20">
        <v>1.0</v>
      </c>
      <c r="K183" s="20">
        <v>1.0</v>
      </c>
      <c r="L183" s="20">
        <v>1.0</v>
      </c>
      <c r="N183" s="24"/>
      <c r="O183" s="19">
        <v>7.0</v>
      </c>
      <c r="P183" s="40">
        <v>0.09259259259259259</v>
      </c>
      <c r="Q183" s="40">
        <v>0.021739130434782608</v>
      </c>
      <c r="R183" s="40">
        <v>0.5</v>
      </c>
      <c r="S183" s="40">
        <v>0.1111111111111111</v>
      </c>
      <c r="T183" s="40">
        <v>0.04</v>
      </c>
    </row>
    <row r="184" ht="15.75" customHeight="1">
      <c r="F184" s="24"/>
      <c r="G184" s="19">
        <v>8.0</v>
      </c>
      <c r="H184" s="20">
        <v>13.0</v>
      </c>
      <c r="I184" s="20">
        <v>15.0</v>
      </c>
      <c r="J184" s="20"/>
      <c r="K184" s="20"/>
      <c r="L184" s="20"/>
      <c r="N184" s="24"/>
      <c r="O184" s="19">
        <v>8.0</v>
      </c>
      <c r="P184" s="40">
        <v>0.04814814814814815</v>
      </c>
      <c r="Q184" s="40">
        <v>0.10869565217391304</v>
      </c>
      <c r="R184" s="40">
        <v>0.0</v>
      </c>
      <c r="S184" s="40">
        <v>0.0</v>
      </c>
      <c r="T184" s="40">
        <v>0.0</v>
      </c>
    </row>
    <row r="185" ht="15.75" customHeight="1">
      <c r="F185" s="24"/>
      <c r="G185" s="19">
        <v>9.0</v>
      </c>
      <c r="H185" s="20">
        <v>14.0</v>
      </c>
      <c r="I185" s="20">
        <v>4.0</v>
      </c>
      <c r="J185" s="20"/>
      <c r="K185" s="20">
        <v>1.0</v>
      </c>
      <c r="L185" s="20">
        <v>3.0</v>
      </c>
      <c r="N185" s="24"/>
      <c r="O185" s="19">
        <v>9.0</v>
      </c>
      <c r="P185" s="40">
        <v>0.05185185185185185</v>
      </c>
      <c r="Q185" s="40">
        <v>0.028985507246376812</v>
      </c>
      <c r="R185" s="40">
        <v>0.0</v>
      </c>
      <c r="S185" s="40">
        <v>0.1111111111111111</v>
      </c>
      <c r="T185" s="40">
        <v>0.12</v>
      </c>
    </row>
    <row r="186" ht="15.75" customHeight="1">
      <c r="F186" s="24"/>
      <c r="G186" s="19">
        <v>10.0</v>
      </c>
      <c r="H186" s="20">
        <v>16.0</v>
      </c>
      <c r="I186" s="20">
        <v>9.0</v>
      </c>
      <c r="J186" s="20"/>
      <c r="K186" s="20"/>
      <c r="L186" s="20">
        <v>3.0</v>
      </c>
      <c r="N186" s="24"/>
      <c r="O186" s="19">
        <v>10.0</v>
      </c>
      <c r="P186" s="40">
        <v>0.05925925925925926</v>
      </c>
      <c r="Q186" s="40">
        <v>0.06521739130434782</v>
      </c>
      <c r="R186" s="40">
        <v>0.0</v>
      </c>
      <c r="S186" s="40">
        <v>0.0</v>
      </c>
      <c r="T186" s="40">
        <v>0.12</v>
      </c>
    </row>
    <row r="187" ht="15.75" customHeight="1">
      <c r="F187" s="24"/>
      <c r="G187" s="19">
        <v>11.0</v>
      </c>
      <c r="H187" s="20">
        <v>12.0</v>
      </c>
      <c r="I187" s="20">
        <v>13.0</v>
      </c>
      <c r="J187" s="20"/>
      <c r="K187" s="20"/>
      <c r="L187" s="20">
        <v>2.0</v>
      </c>
      <c r="N187" s="24"/>
      <c r="O187" s="19">
        <v>11.0</v>
      </c>
      <c r="P187" s="40">
        <v>0.044444444444444446</v>
      </c>
      <c r="Q187" s="40">
        <v>0.09420289855072464</v>
      </c>
      <c r="R187" s="40">
        <v>0.0</v>
      </c>
      <c r="S187" s="40">
        <v>0.0</v>
      </c>
      <c r="T187" s="40">
        <v>0.08</v>
      </c>
    </row>
    <row r="188" ht="15.75" customHeight="1">
      <c r="F188" s="24"/>
      <c r="G188" s="19">
        <v>12.0</v>
      </c>
      <c r="H188" s="20">
        <v>18.0</v>
      </c>
      <c r="I188" s="20">
        <v>8.0</v>
      </c>
      <c r="J188" s="20"/>
      <c r="K188" s="20">
        <v>1.0</v>
      </c>
      <c r="L188" s="20">
        <v>1.0</v>
      </c>
      <c r="N188" s="24"/>
      <c r="O188" s="19">
        <v>12.0</v>
      </c>
      <c r="P188" s="40">
        <v>0.06666666666666667</v>
      </c>
      <c r="Q188" s="40">
        <v>0.057971014492753624</v>
      </c>
      <c r="R188" s="40">
        <v>0.0</v>
      </c>
      <c r="S188" s="40">
        <v>0.1111111111111111</v>
      </c>
      <c r="T188" s="40">
        <v>0.04</v>
      </c>
    </row>
    <row r="189" ht="15.75" customHeight="1">
      <c r="F189" s="24"/>
      <c r="G189" s="19">
        <v>13.0</v>
      </c>
      <c r="H189" s="20">
        <v>15.0</v>
      </c>
      <c r="I189" s="20">
        <v>14.0</v>
      </c>
      <c r="J189" s="20">
        <v>1.0</v>
      </c>
      <c r="K189" s="20"/>
      <c r="L189" s="20"/>
      <c r="N189" s="24"/>
      <c r="O189" s="19">
        <v>13.0</v>
      </c>
      <c r="P189" s="40">
        <v>0.05555555555555555</v>
      </c>
      <c r="Q189" s="40">
        <v>0.10144927536231885</v>
      </c>
      <c r="R189" s="40">
        <v>0.5</v>
      </c>
      <c r="S189" s="40">
        <v>0.0</v>
      </c>
      <c r="T189" s="40">
        <v>0.0</v>
      </c>
    </row>
    <row r="190" ht="15.75" customHeight="1">
      <c r="F190" s="24"/>
      <c r="G190" s="19">
        <v>14.0</v>
      </c>
      <c r="H190" s="20">
        <v>12.0</v>
      </c>
      <c r="I190" s="20">
        <v>16.0</v>
      </c>
      <c r="J190" s="20"/>
      <c r="K190" s="20"/>
      <c r="L190" s="20">
        <v>2.0</v>
      </c>
      <c r="N190" s="24"/>
      <c r="O190" s="19">
        <v>14.0</v>
      </c>
      <c r="P190" s="40">
        <v>0.044444444444444446</v>
      </c>
      <c r="Q190" s="40">
        <v>0.11594202898550725</v>
      </c>
      <c r="R190" s="40">
        <v>0.0</v>
      </c>
      <c r="S190" s="40">
        <v>0.0</v>
      </c>
      <c r="T190" s="40">
        <v>0.08</v>
      </c>
    </row>
    <row r="191" ht="15.75" customHeight="1">
      <c r="F191" s="24"/>
      <c r="G191" s="19">
        <v>15.0</v>
      </c>
      <c r="H191" s="20">
        <v>10.0</v>
      </c>
      <c r="I191" s="20">
        <v>13.0</v>
      </c>
      <c r="J191" s="20"/>
      <c r="K191" s="20"/>
      <c r="L191" s="20">
        <v>2.0</v>
      </c>
      <c r="N191" s="24"/>
      <c r="O191" s="19">
        <v>15.0</v>
      </c>
      <c r="P191" s="40">
        <v>0.037037037037037035</v>
      </c>
      <c r="Q191" s="40">
        <v>0.09420289855072464</v>
      </c>
      <c r="R191" s="40">
        <v>0.0</v>
      </c>
      <c r="S191" s="40">
        <v>0.0</v>
      </c>
      <c r="T191" s="40">
        <v>0.08</v>
      </c>
    </row>
    <row r="192" ht="15.75" customHeight="1">
      <c r="F192" s="24"/>
      <c r="G192" s="19">
        <v>16.0</v>
      </c>
      <c r="H192" s="20">
        <v>26.0</v>
      </c>
      <c r="I192" s="20">
        <v>12.0</v>
      </c>
      <c r="J192" s="20"/>
      <c r="K192" s="20">
        <v>1.0</v>
      </c>
      <c r="L192" s="20">
        <v>4.0</v>
      </c>
      <c r="N192" s="24"/>
      <c r="O192" s="19">
        <v>16.0</v>
      </c>
      <c r="P192" s="40">
        <v>0.0962962962962963</v>
      </c>
      <c r="Q192" s="40">
        <v>0.08695652173913043</v>
      </c>
      <c r="R192" s="40">
        <v>0.0</v>
      </c>
      <c r="S192" s="40">
        <v>0.1111111111111111</v>
      </c>
      <c r="T192" s="40">
        <v>0.16</v>
      </c>
    </row>
    <row r="193" ht="15.75" customHeight="1">
      <c r="F193" s="24"/>
      <c r="G193" s="19">
        <v>17.0</v>
      </c>
      <c r="H193" s="20">
        <v>23.0</v>
      </c>
      <c r="I193" s="20">
        <v>6.0</v>
      </c>
      <c r="J193" s="20"/>
      <c r="K193" s="20">
        <v>2.0</v>
      </c>
      <c r="L193" s="20">
        <v>1.0</v>
      </c>
      <c r="N193" s="24"/>
      <c r="O193" s="19">
        <v>17.0</v>
      </c>
      <c r="P193" s="40">
        <v>0.08518518518518518</v>
      </c>
      <c r="Q193" s="40">
        <v>0.043478260869565216</v>
      </c>
      <c r="R193" s="40">
        <v>0.0</v>
      </c>
      <c r="S193" s="40">
        <v>0.2222222222222222</v>
      </c>
      <c r="T193" s="40">
        <v>0.04</v>
      </c>
    </row>
    <row r="194" ht="15.75" customHeight="1">
      <c r="F194" s="24"/>
      <c r="G194" s="19">
        <v>18.0</v>
      </c>
      <c r="H194" s="20">
        <v>15.0</v>
      </c>
      <c r="I194" s="20">
        <v>4.0</v>
      </c>
      <c r="J194" s="20"/>
      <c r="K194" s="20">
        <v>2.0</v>
      </c>
      <c r="L194" s="20">
        <v>1.0</v>
      </c>
      <c r="N194" s="24"/>
      <c r="O194" s="19">
        <v>18.0</v>
      </c>
      <c r="P194" s="40">
        <v>0.05555555555555555</v>
      </c>
      <c r="Q194" s="40">
        <v>0.028985507246376812</v>
      </c>
      <c r="R194" s="40">
        <v>0.0</v>
      </c>
      <c r="S194" s="40">
        <v>0.2222222222222222</v>
      </c>
      <c r="T194" s="40">
        <v>0.04</v>
      </c>
    </row>
    <row r="195" ht="15.75" customHeight="1">
      <c r="F195" s="24"/>
      <c r="G195" s="19">
        <v>19.0</v>
      </c>
      <c r="H195" s="20">
        <v>16.0</v>
      </c>
      <c r="I195" s="20">
        <v>6.0</v>
      </c>
      <c r="J195" s="20"/>
      <c r="K195" s="20"/>
      <c r="L195" s="20">
        <v>2.0</v>
      </c>
      <c r="N195" s="24"/>
      <c r="O195" s="19">
        <v>19.0</v>
      </c>
      <c r="P195" s="40">
        <v>0.05925925925925926</v>
      </c>
      <c r="Q195" s="40">
        <v>0.043478260869565216</v>
      </c>
      <c r="R195" s="40">
        <v>0.0</v>
      </c>
      <c r="S195" s="40">
        <v>0.0</v>
      </c>
      <c r="T195" s="40">
        <v>0.08</v>
      </c>
    </row>
    <row r="196" ht="15.75" customHeight="1">
      <c r="F196" s="24"/>
      <c r="G196" s="19">
        <v>20.0</v>
      </c>
      <c r="H196" s="20">
        <v>13.0</v>
      </c>
      <c r="I196" s="20">
        <v>5.0</v>
      </c>
      <c r="J196" s="20"/>
      <c r="K196" s="20"/>
      <c r="L196" s="20">
        <v>1.0</v>
      </c>
      <c r="N196" s="24"/>
      <c r="O196" s="19">
        <v>20.0</v>
      </c>
      <c r="P196" s="40">
        <v>0.04814814814814815</v>
      </c>
      <c r="Q196" s="40">
        <v>0.036231884057971016</v>
      </c>
      <c r="R196" s="40">
        <v>0.0</v>
      </c>
      <c r="S196" s="40">
        <v>0.0</v>
      </c>
      <c r="T196" s="40">
        <v>0.04</v>
      </c>
    </row>
    <row r="197" ht="15.75" customHeight="1">
      <c r="F197" s="24"/>
      <c r="G197" s="19">
        <v>21.0</v>
      </c>
      <c r="H197" s="20">
        <v>9.0</v>
      </c>
      <c r="I197" s="20">
        <v>2.0</v>
      </c>
      <c r="J197" s="20"/>
      <c r="K197" s="20"/>
      <c r="L197" s="20"/>
      <c r="N197" s="24"/>
      <c r="O197" s="19">
        <v>21.0</v>
      </c>
      <c r="P197" s="40">
        <v>0.03333333333333333</v>
      </c>
      <c r="Q197" s="40">
        <v>0.014492753623188406</v>
      </c>
      <c r="R197" s="40">
        <v>0.0</v>
      </c>
      <c r="S197" s="40">
        <v>0.0</v>
      </c>
      <c r="T197" s="40">
        <v>0.0</v>
      </c>
    </row>
    <row r="198" ht="15.75" customHeight="1">
      <c r="F198" s="24"/>
      <c r="G198" s="19">
        <v>22.0</v>
      </c>
      <c r="H198" s="20">
        <v>6.0</v>
      </c>
      <c r="I198" s="20">
        <v>2.0</v>
      </c>
      <c r="J198" s="20"/>
      <c r="K198" s="20">
        <v>1.0</v>
      </c>
      <c r="L198" s="20"/>
      <c r="N198" s="24"/>
      <c r="O198" s="19">
        <v>22.0</v>
      </c>
      <c r="P198" s="40">
        <v>0.022222222222222223</v>
      </c>
      <c r="Q198" s="40">
        <v>0.014492753623188406</v>
      </c>
      <c r="R198" s="40">
        <v>0.0</v>
      </c>
      <c r="S198" s="40">
        <v>0.1111111111111111</v>
      </c>
      <c r="T198" s="40">
        <v>0.0</v>
      </c>
    </row>
    <row r="199" ht="15.75" customHeight="1">
      <c r="F199" s="28"/>
      <c r="G199" s="19">
        <v>23.0</v>
      </c>
      <c r="H199" s="20">
        <v>6.0</v>
      </c>
      <c r="I199" s="20"/>
      <c r="J199" s="20"/>
      <c r="K199" s="20"/>
      <c r="L199" s="20"/>
      <c r="N199" s="28"/>
      <c r="O199" s="19">
        <v>23.0</v>
      </c>
      <c r="P199" s="40">
        <v>0.022222222222222223</v>
      </c>
      <c r="Q199" s="40">
        <v>0.0</v>
      </c>
      <c r="R199" s="40">
        <v>0.0</v>
      </c>
      <c r="S199" s="40">
        <v>0.0</v>
      </c>
      <c r="T199" s="40">
        <v>0.0</v>
      </c>
    </row>
    <row r="200" ht="15.75" customHeight="1">
      <c r="F200" s="56">
        <v>45216.0</v>
      </c>
      <c r="G200" s="19">
        <v>0.0</v>
      </c>
      <c r="H200" s="20">
        <v>2.0</v>
      </c>
      <c r="I200" s="20">
        <v>1.0</v>
      </c>
      <c r="J200" s="20"/>
      <c r="K200" s="20"/>
      <c r="L200" s="20"/>
      <c r="N200" s="56">
        <v>45216.0</v>
      </c>
      <c r="O200" s="19">
        <v>0.0</v>
      </c>
      <c r="P200" s="40">
        <v>0.007407407407407408</v>
      </c>
      <c r="Q200" s="40">
        <v>0.0078125</v>
      </c>
      <c r="R200" s="40">
        <v>0.0</v>
      </c>
      <c r="S200" s="40">
        <v>0.0</v>
      </c>
      <c r="T200" s="40">
        <v>0.0</v>
      </c>
    </row>
    <row r="201" ht="15.75" customHeight="1">
      <c r="F201" s="24"/>
      <c r="G201" s="19">
        <v>1.0</v>
      </c>
      <c r="H201" s="20">
        <v>1.0</v>
      </c>
      <c r="I201" s="20"/>
      <c r="J201" s="20"/>
      <c r="K201" s="20"/>
      <c r="L201" s="20">
        <v>1.0</v>
      </c>
      <c r="N201" s="24"/>
      <c r="O201" s="19">
        <v>1.0</v>
      </c>
      <c r="P201" s="40">
        <v>0.003703703703703704</v>
      </c>
      <c r="Q201" s="40">
        <v>0.0</v>
      </c>
      <c r="R201" s="40">
        <v>0.0</v>
      </c>
      <c r="S201" s="40">
        <v>0.0</v>
      </c>
      <c r="T201" s="40">
        <v>0.02</v>
      </c>
    </row>
    <row r="202" ht="15.75" customHeight="1">
      <c r="F202" s="24"/>
      <c r="G202" s="19">
        <v>2.0</v>
      </c>
      <c r="H202" s="16">
        <v>2.0</v>
      </c>
      <c r="I202" s="16"/>
      <c r="J202" s="16"/>
      <c r="K202" s="16"/>
      <c r="L202" s="16"/>
      <c r="N202" s="24"/>
      <c r="O202" s="19">
        <v>2.0</v>
      </c>
      <c r="P202" s="40">
        <v>0.007407407407407408</v>
      </c>
      <c r="Q202" s="40">
        <v>0.0</v>
      </c>
      <c r="R202" s="40">
        <v>0.0</v>
      </c>
      <c r="S202" s="40">
        <v>0.0</v>
      </c>
      <c r="T202" s="40">
        <v>0.0</v>
      </c>
    </row>
    <row r="203" ht="15.75" customHeight="1">
      <c r="F203" s="24"/>
      <c r="G203" s="19">
        <v>3.0</v>
      </c>
      <c r="H203" s="20">
        <v>1.0</v>
      </c>
      <c r="I203" s="20"/>
      <c r="J203" s="20"/>
      <c r="K203" s="20"/>
      <c r="L203" s="20"/>
      <c r="N203" s="24"/>
      <c r="O203" s="19">
        <v>3.0</v>
      </c>
      <c r="P203" s="40">
        <v>0.003703703703703704</v>
      </c>
      <c r="Q203" s="40">
        <v>0.0</v>
      </c>
      <c r="R203" s="40">
        <v>0.0</v>
      </c>
      <c r="S203" s="40">
        <v>0.0</v>
      </c>
      <c r="T203" s="40">
        <v>0.0</v>
      </c>
    </row>
    <row r="204" ht="15.75" customHeight="1">
      <c r="F204" s="24"/>
      <c r="G204" s="19">
        <v>4.0</v>
      </c>
      <c r="H204" s="20"/>
      <c r="I204" s="20"/>
      <c r="J204" s="20"/>
      <c r="K204" s="20"/>
      <c r="L204" s="20"/>
      <c r="N204" s="24"/>
      <c r="O204" s="19">
        <v>4.0</v>
      </c>
      <c r="P204" s="40">
        <v>0.0</v>
      </c>
      <c r="Q204" s="40">
        <v>0.0</v>
      </c>
      <c r="R204" s="40">
        <v>0.0</v>
      </c>
      <c r="S204" s="40">
        <v>0.0</v>
      </c>
      <c r="T204" s="40">
        <v>0.0</v>
      </c>
    </row>
    <row r="205" ht="15.75" customHeight="1">
      <c r="F205" s="24"/>
      <c r="G205" s="19">
        <v>5.0</v>
      </c>
      <c r="H205" s="20">
        <v>3.0</v>
      </c>
      <c r="I205" s="20">
        <v>1.0</v>
      </c>
      <c r="J205" s="20"/>
      <c r="K205" s="20">
        <v>1.0</v>
      </c>
      <c r="L205" s="20">
        <v>3.0</v>
      </c>
      <c r="N205" s="24"/>
      <c r="O205" s="19">
        <v>5.0</v>
      </c>
      <c r="P205" s="40">
        <v>0.011111111111111112</v>
      </c>
      <c r="Q205" s="40">
        <v>0.0078125</v>
      </c>
      <c r="R205" s="40">
        <v>0.0</v>
      </c>
      <c r="S205" s="40">
        <v>0.08333333333333333</v>
      </c>
      <c r="T205" s="40">
        <v>0.06</v>
      </c>
    </row>
    <row r="206" ht="15.75" customHeight="1">
      <c r="F206" s="24"/>
      <c r="G206" s="19">
        <v>6.0</v>
      </c>
      <c r="H206" s="20">
        <v>6.0</v>
      </c>
      <c r="I206" s="20"/>
      <c r="J206" s="20"/>
      <c r="K206" s="20"/>
      <c r="L206" s="20">
        <v>2.0</v>
      </c>
      <c r="N206" s="24"/>
      <c r="O206" s="19">
        <v>6.0</v>
      </c>
      <c r="P206" s="40">
        <v>0.022222222222222223</v>
      </c>
      <c r="Q206" s="40">
        <v>0.0</v>
      </c>
      <c r="R206" s="40">
        <v>0.0</v>
      </c>
      <c r="S206" s="40">
        <v>0.0</v>
      </c>
      <c r="T206" s="40">
        <v>0.04</v>
      </c>
    </row>
    <row r="207" ht="15.75" customHeight="1">
      <c r="F207" s="24"/>
      <c r="G207" s="19">
        <v>7.0</v>
      </c>
      <c r="H207" s="20">
        <v>33.0</v>
      </c>
      <c r="I207" s="20">
        <v>10.0</v>
      </c>
      <c r="J207" s="20">
        <v>1.0</v>
      </c>
      <c r="K207" s="20"/>
      <c r="L207" s="20">
        <v>2.0</v>
      </c>
      <c r="N207" s="24"/>
      <c r="O207" s="19">
        <v>7.0</v>
      </c>
      <c r="P207" s="40">
        <v>0.12222222222222222</v>
      </c>
      <c r="Q207" s="40">
        <v>0.078125</v>
      </c>
      <c r="R207" s="40">
        <v>0.5</v>
      </c>
      <c r="S207" s="40">
        <v>0.0</v>
      </c>
      <c r="T207" s="40">
        <v>0.04</v>
      </c>
    </row>
    <row r="208" ht="15.75" customHeight="1">
      <c r="F208" s="24"/>
      <c r="G208" s="19">
        <v>8.0</v>
      </c>
      <c r="H208" s="20">
        <v>18.0</v>
      </c>
      <c r="I208" s="20">
        <v>8.0</v>
      </c>
      <c r="J208" s="20"/>
      <c r="K208" s="20"/>
      <c r="L208" s="20">
        <v>2.0</v>
      </c>
      <c r="N208" s="24"/>
      <c r="O208" s="19">
        <v>8.0</v>
      </c>
      <c r="P208" s="40">
        <v>0.06666666666666667</v>
      </c>
      <c r="Q208" s="40">
        <v>0.0625</v>
      </c>
      <c r="R208" s="40">
        <v>0.0</v>
      </c>
      <c r="S208" s="40">
        <v>0.0</v>
      </c>
      <c r="T208" s="40">
        <v>0.04</v>
      </c>
    </row>
    <row r="209" ht="15.75" customHeight="1">
      <c r="F209" s="24"/>
      <c r="G209" s="19">
        <v>9.0</v>
      </c>
      <c r="H209" s="20">
        <v>9.0</v>
      </c>
      <c r="I209" s="20">
        <v>12.0</v>
      </c>
      <c r="J209" s="20"/>
      <c r="K209" s="20"/>
      <c r="L209" s="20">
        <v>5.0</v>
      </c>
      <c r="N209" s="24"/>
      <c r="O209" s="19">
        <v>9.0</v>
      </c>
      <c r="P209" s="40">
        <v>0.03333333333333333</v>
      </c>
      <c r="Q209" s="40">
        <v>0.09375</v>
      </c>
      <c r="R209" s="40">
        <v>0.0</v>
      </c>
      <c r="S209" s="40">
        <v>0.0</v>
      </c>
      <c r="T209" s="40">
        <v>0.1</v>
      </c>
    </row>
    <row r="210" ht="15.75" customHeight="1">
      <c r="F210" s="24"/>
      <c r="G210" s="19">
        <v>10.0</v>
      </c>
      <c r="H210" s="20">
        <v>10.0</v>
      </c>
      <c r="I210" s="20">
        <v>8.0</v>
      </c>
      <c r="J210" s="20"/>
      <c r="K210" s="20">
        <v>2.0</v>
      </c>
      <c r="L210" s="20">
        <v>5.0</v>
      </c>
      <c r="N210" s="24"/>
      <c r="O210" s="19">
        <v>10.0</v>
      </c>
      <c r="P210" s="40">
        <v>0.037037037037037035</v>
      </c>
      <c r="Q210" s="40">
        <v>0.0625</v>
      </c>
      <c r="R210" s="40">
        <v>0.0</v>
      </c>
      <c r="S210" s="40">
        <v>0.16666666666666666</v>
      </c>
      <c r="T210" s="40">
        <v>0.1</v>
      </c>
    </row>
    <row r="211" ht="15.75" customHeight="1">
      <c r="F211" s="24"/>
      <c r="G211" s="19">
        <v>11.0</v>
      </c>
      <c r="H211" s="20">
        <v>15.0</v>
      </c>
      <c r="I211" s="20">
        <v>11.0</v>
      </c>
      <c r="J211" s="20"/>
      <c r="K211" s="20">
        <v>1.0</v>
      </c>
      <c r="L211" s="20">
        <v>4.0</v>
      </c>
      <c r="N211" s="24"/>
      <c r="O211" s="19">
        <v>11.0</v>
      </c>
      <c r="P211" s="40">
        <v>0.05555555555555555</v>
      </c>
      <c r="Q211" s="40">
        <v>0.0859375</v>
      </c>
      <c r="R211" s="40">
        <v>0.0</v>
      </c>
      <c r="S211" s="40">
        <v>0.08333333333333333</v>
      </c>
      <c r="T211" s="40">
        <v>0.08</v>
      </c>
    </row>
    <row r="212" ht="15.75" customHeight="1">
      <c r="F212" s="24"/>
      <c r="G212" s="19">
        <v>12.0</v>
      </c>
      <c r="H212" s="20">
        <v>15.0</v>
      </c>
      <c r="I212" s="20">
        <v>4.0</v>
      </c>
      <c r="J212" s="20"/>
      <c r="K212" s="20">
        <v>1.0</v>
      </c>
      <c r="L212" s="20">
        <v>4.0</v>
      </c>
      <c r="N212" s="24"/>
      <c r="O212" s="19">
        <v>12.0</v>
      </c>
      <c r="P212" s="40">
        <v>0.05555555555555555</v>
      </c>
      <c r="Q212" s="40">
        <v>0.03125</v>
      </c>
      <c r="R212" s="40">
        <v>0.0</v>
      </c>
      <c r="S212" s="40">
        <v>0.08333333333333333</v>
      </c>
      <c r="T212" s="40">
        <v>0.08</v>
      </c>
    </row>
    <row r="213" ht="15.75" customHeight="1">
      <c r="F213" s="24"/>
      <c r="G213" s="19">
        <v>13.0</v>
      </c>
      <c r="H213" s="20">
        <v>20.0</v>
      </c>
      <c r="I213" s="20">
        <v>10.0</v>
      </c>
      <c r="J213" s="20"/>
      <c r="K213" s="20"/>
      <c r="L213" s="20">
        <v>2.0</v>
      </c>
      <c r="N213" s="24"/>
      <c r="O213" s="19">
        <v>13.0</v>
      </c>
      <c r="P213" s="40">
        <v>0.07407407407407407</v>
      </c>
      <c r="Q213" s="40">
        <v>0.078125</v>
      </c>
      <c r="R213" s="40">
        <v>0.0</v>
      </c>
      <c r="S213" s="40">
        <v>0.0</v>
      </c>
      <c r="T213" s="40">
        <v>0.04</v>
      </c>
    </row>
    <row r="214" ht="15.75" customHeight="1">
      <c r="F214" s="24"/>
      <c r="G214" s="19">
        <v>14.0</v>
      </c>
      <c r="H214" s="20">
        <v>11.0</v>
      </c>
      <c r="I214" s="20">
        <v>10.0</v>
      </c>
      <c r="J214" s="20"/>
      <c r="K214" s="20">
        <v>2.0</v>
      </c>
      <c r="L214" s="20">
        <v>6.0</v>
      </c>
      <c r="N214" s="24"/>
      <c r="O214" s="19">
        <v>14.0</v>
      </c>
      <c r="P214" s="40">
        <v>0.040740740740740744</v>
      </c>
      <c r="Q214" s="40">
        <v>0.078125</v>
      </c>
      <c r="R214" s="40">
        <v>0.0</v>
      </c>
      <c r="S214" s="40">
        <v>0.16666666666666666</v>
      </c>
      <c r="T214" s="40">
        <v>0.12</v>
      </c>
    </row>
    <row r="215" ht="15.75" customHeight="1">
      <c r="F215" s="24"/>
      <c r="G215" s="19">
        <v>15.0</v>
      </c>
      <c r="H215" s="20">
        <v>17.0</v>
      </c>
      <c r="I215" s="20">
        <v>7.0</v>
      </c>
      <c r="J215" s="20"/>
      <c r="K215" s="20">
        <v>2.0</v>
      </c>
      <c r="L215" s="20">
        <v>5.0</v>
      </c>
      <c r="N215" s="24"/>
      <c r="O215" s="19">
        <v>15.0</v>
      </c>
      <c r="P215" s="40">
        <v>0.06296296296296296</v>
      </c>
      <c r="Q215" s="40">
        <v>0.0546875</v>
      </c>
      <c r="R215" s="40">
        <v>0.0</v>
      </c>
      <c r="S215" s="40">
        <v>0.16666666666666666</v>
      </c>
      <c r="T215" s="40">
        <v>0.1</v>
      </c>
    </row>
    <row r="216" ht="15.75" customHeight="1">
      <c r="F216" s="24"/>
      <c r="G216" s="19">
        <v>16.0</v>
      </c>
      <c r="H216" s="20">
        <v>21.0</v>
      </c>
      <c r="I216" s="20">
        <v>8.0</v>
      </c>
      <c r="J216" s="20"/>
      <c r="K216" s="20">
        <v>1.0</v>
      </c>
      <c r="L216" s="20">
        <v>4.0</v>
      </c>
      <c r="N216" s="24"/>
      <c r="O216" s="19">
        <v>16.0</v>
      </c>
      <c r="P216" s="40">
        <v>0.07777777777777778</v>
      </c>
      <c r="Q216" s="40">
        <v>0.0625</v>
      </c>
      <c r="R216" s="40">
        <v>0.0</v>
      </c>
      <c r="S216" s="40">
        <v>0.08333333333333333</v>
      </c>
      <c r="T216" s="40">
        <v>0.08</v>
      </c>
    </row>
    <row r="217" ht="15.75" customHeight="1">
      <c r="F217" s="24"/>
      <c r="G217" s="19">
        <v>17.0</v>
      </c>
      <c r="H217" s="20">
        <v>18.0</v>
      </c>
      <c r="I217" s="20">
        <v>11.0</v>
      </c>
      <c r="J217" s="20"/>
      <c r="K217" s="20">
        <v>1.0</v>
      </c>
      <c r="L217" s="20"/>
      <c r="N217" s="24"/>
      <c r="O217" s="19">
        <v>17.0</v>
      </c>
      <c r="P217" s="40">
        <v>0.06666666666666667</v>
      </c>
      <c r="Q217" s="40">
        <v>0.0859375</v>
      </c>
      <c r="R217" s="40">
        <v>0.0</v>
      </c>
      <c r="S217" s="40">
        <v>0.08333333333333333</v>
      </c>
      <c r="T217" s="40">
        <v>0.0</v>
      </c>
    </row>
    <row r="218" ht="15.75" customHeight="1">
      <c r="F218" s="24"/>
      <c r="G218" s="19">
        <v>18.0</v>
      </c>
      <c r="H218" s="20">
        <v>23.0</v>
      </c>
      <c r="I218" s="20">
        <v>11.0</v>
      </c>
      <c r="J218" s="20">
        <v>1.0</v>
      </c>
      <c r="K218" s="20"/>
      <c r="L218" s="20">
        <v>2.0</v>
      </c>
      <c r="N218" s="24"/>
      <c r="O218" s="19">
        <v>18.0</v>
      </c>
      <c r="P218" s="40">
        <v>0.08518518518518518</v>
      </c>
      <c r="Q218" s="40">
        <v>0.0859375</v>
      </c>
      <c r="R218" s="40">
        <v>0.5</v>
      </c>
      <c r="S218" s="40">
        <v>0.0</v>
      </c>
      <c r="T218" s="40">
        <v>0.04</v>
      </c>
    </row>
    <row r="219" ht="15.75" customHeight="1">
      <c r="F219" s="24"/>
      <c r="G219" s="19">
        <v>19.0</v>
      </c>
      <c r="H219" s="20">
        <v>18.0</v>
      </c>
      <c r="I219" s="20">
        <v>7.0</v>
      </c>
      <c r="J219" s="20"/>
      <c r="K219" s="20"/>
      <c r="L219" s="20">
        <v>1.0</v>
      </c>
      <c r="N219" s="24"/>
      <c r="O219" s="19">
        <v>19.0</v>
      </c>
      <c r="P219" s="40">
        <v>0.06666666666666667</v>
      </c>
      <c r="Q219" s="40">
        <v>0.0546875</v>
      </c>
      <c r="R219" s="40">
        <v>0.0</v>
      </c>
      <c r="S219" s="40">
        <v>0.0</v>
      </c>
      <c r="T219" s="40">
        <v>0.02</v>
      </c>
    </row>
    <row r="220" ht="15.75" customHeight="1">
      <c r="F220" s="24"/>
      <c r="G220" s="19">
        <v>20.0</v>
      </c>
      <c r="H220" s="20">
        <v>10.0</v>
      </c>
      <c r="I220" s="20">
        <v>5.0</v>
      </c>
      <c r="J220" s="20"/>
      <c r="K220" s="20"/>
      <c r="L220" s="20">
        <v>1.0</v>
      </c>
      <c r="N220" s="24"/>
      <c r="O220" s="19">
        <v>20.0</v>
      </c>
      <c r="P220" s="40">
        <v>0.037037037037037035</v>
      </c>
      <c r="Q220" s="40">
        <v>0.0390625</v>
      </c>
      <c r="R220" s="40">
        <v>0.0</v>
      </c>
      <c r="S220" s="40">
        <v>0.0</v>
      </c>
      <c r="T220" s="40">
        <v>0.02</v>
      </c>
    </row>
    <row r="221" ht="15.75" customHeight="1">
      <c r="F221" s="24"/>
      <c r="G221" s="19">
        <v>21.0</v>
      </c>
      <c r="H221" s="20">
        <v>10.0</v>
      </c>
      <c r="I221" s="20">
        <v>1.0</v>
      </c>
      <c r="J221" s="20"/>
      <c r="K221" s="20">
        <v>1.0</v>
      </c>
      <c r="L221" s="20">
        <v>1.0</v>
      </c>
      <c r="N221" s="24"/>
      <c r="O221" s="19">
        <v>21.0</v>
      </c>
      <c r="P221" s="40">
        <v>0.037037037037037035</v>
      </c>
      <c r="Q221" s="40">
        <v>0.0078125</v>
      </c>
      <c r="R221" s="40">
        <v>0.0</v>
      </c>
      <c r="S221" s="40">
        <v>0.08333333333333333</v>
      </c>
      <c r="T221" s="40">
        <v>0.02</v>
      </c>
    </row>
    <row r="222" ht="15.75" customHeight="1">
      <c r="F222" s="24"/>
      <c r="G222" s="19">
        <v>22.0</v>
      </c>
      <c r="H222" s="20">
        <v>4.0</v>
      </c>
      <c r="I222" s="20">
        <v>1.0</v>
      </c>
      <c r="J222" s="20"/>
      <c r="K222" s="20"/>
      <c r="L222" s="20"/>
      <c r="N222" s="24"/>
      <c r="O222" s="19">
        <v>22.0</v>
      </c>
      <c r="P222" s="40">
        <v>0.014814814814814815</v>
      </c>
      <c r="Q222" s="40">
        <v>0.0078125</v>
      </c>
      <c r="R222" s="40">
        <v>0.0</v>
      </c>
      <c r="S222" s="40">
        <v>0.0</v>
      </c>
      <c r="T222" s="40">
        <v>0.0</v>
      </c>
    </row>
    <row r="223" ht="15.75" customHeight="1">
      <c r="F223" s="28"/>
      <c r="G223" s="19">
        <v>23.0</v>
      </c>
      <c r="H223" s="20">
        <v>3.0</v>
      </c>
      <c r="I223" s="20">
        <v>2.0</v>
      </c>
      <c r="J223" s="20"/>
      <c r="K223" s="20"/>
      <c r="L223" s="20"/>
      <c r="N223" s="28"/>
      <c r="O223" s="19">
        <v>23.0</v>
      </c>
      <c r="P223" s="40">
        <v>0.011111111111111112</v>
      </c>
      <c r="Q223" s="40">
        <v>0.015625</v>
      </c>
      <c r="R223" s="40">
        <v>0.0</v>
      </c>
      <c r="S223" s="40">
        <v>0.0</v>
      </c>
      <c r="T223" s="40">
        <v>0.0</v>
      </c>
    </row>
    <row r="224" ht="15.75" customHeight="1">
      <c r="F224" s="56">
        <v>45217.0</v>
      </c>
      <c r="G224" s="19">
        <v>0.0</v>
      </c>
      <c r="H224" s="20">
        <v>4.0</v>
      </c>
      <c r="I224" s="20"/>
      <c r="J224" s="20"/>
      <c r="K224" s="20"/>
      <c r="L224" s="20"/>
      <c r="N224" s="56">
        <v>45217.0</v>
      </c>
      <c r="O224" s="19">
        <v>0.0</v>
      </c>
      <c r="P224" s="40">
        <v>0.01593625498007968</v>
      </c>
      <c r="Q224" s="40">
        <v>0.0</v>
      </c>
      <c r="R224" s="40">
        <v>0.0</v>
      </c>
      <c r="S224" s="40">
        <v>0.0</v>
      </c>
      <c r="T224" s="40">
        <v>0.0</v>
      </c>
    </row>
    <row r="225" ht="15.75" customHeight="1">
      <c r="F225" s="24"/>
      <c r="G225" s="19">
        <v>1.0</v>
      </c>
      <c r="H225" s="20">
        <v>1.0</v>
      </c>
      <c r="I225" s="20"/>
      <c r="J225" s="20"/>
      <c r="K225" s="20">
        <v>1.0</v>
      </c>
      <c r="L225" s="20"/>
      <c r="N225" s="24"/>
      <c r="O225" s="19">
        <v>1.0</v>
      </c>
      <c r="P225" s="40">
        <v>0.00398406374501992</v>
      </c>
      <c r="Q225" s="40">
        <v>0.0</v>
      </c>
      <c r="R225" s="40">
        <v>0.0</v>
      </c>
      <c r="S225" s="40">
        <v>0.09090909090909091</v>
      </c>
      <c r="T225" s="40">
        <v>0.0</v>
      </c>
    </row>
    <row r="226" ht="15.75" customHeight="1">
      <c r="F226" s="24"/>
      <c r="G226" s="19">
        <v>2.0</v>
      </c>
      <c r="H226" s="20">
        <v>1.0</v>
      </c>
      <c r="I226" s="16"/>
      <c r="J226" s="16"/>
      <c r="K226" s="16"/>
      <c r="L226" s="16"/>
      <c r="N226" s="24"/>
      <c r="O226" s="19">
        <v>2.0</v>
      </c>
      <c r="P226" s="40">
        <v>0.00398406374501992</v>
      </c>
      <c r="Q226" s="40">
        <v>0.0</v>
      </c>
      <c r="R226" s="40">
        <v>0.0</v>
      </c>
      <c r="S226" s="40">
        <v>0.0</v>
      </c>
      <c r="T226" s="40">
        <v>0.0</v>
      </c>
    </row>
    <row r="227" ht="15.75" customHeight="1">
      <c r="F227" s="24"/>
      <c r="G227" s="19">
        <v>3.0</v>
      </c>
      <c r="I227" s="20"/>
      <c r="J227" s="20"/>
      <c r="K227" s="20"/>
      <c r="L227" s="20"/>
      <c r="N227" s="24"/>
      <c r="O227" s="19">
        <v>3.0</v>
      </c>
      <c r="P227" s="40">
        <v>0.0</v>
      </c>
      <c r="Q227" s="40">
        <v>0.0</v>
      </c>
      <c r="R227" s="40">
        <v>0.0</v>
      </c>
      <c r="S227" s="40">
        <v>0.0</v>
      </c>
      <c r="T227" s="40">
        <v>0.0</v>
      </c>
    </row>
    <row r="228" ht="15.75" customHeight="1">
      <c r="F228" s="24"/>
      <c r="G228" s="19">
        <v>4.0</v>
      </c>
      <c r="H228" s="20"/>
      <c r="I228" s="20"/>
      <c r="J228" s="20"/>
      <c r="K228" s="20"/>
      <c r="L228" s="20"/>
      <c r="N228" s="24"/>
      <c r="O228" s="19">
        <v>4.0</v>
      </c>
      <c r="P228" s="40">
        <v>0.0</v>
      </c>
      <c r="Q228" s="40">
        <v>0.0</v>
      </c>
      <c r="R228" s="40">
        <v>0.0</v>
      </c>
      <c r="S228" s="40">
        <v>0.0</v>
      </c>
      <c r="T228" s="40">
        <v>0.0</v>
      </c>
    </row>
    <row r="229" ht="15.75" customHeight="1">
      <c r="F229" s="24"/>
      <c r="G229" s="19">
        <v>5.0</v>
      </c>
      <c r="H229" s="20">
        <v>4.0</v>
      </c>
      <c r="I229" s="20">
        <v>3.0</v>
      </c>
      <c r="J229" s="20"/>
      <c r="K229" s="20">
        <v>1.0</v>
      </c>
      <c r="L229" s="20">
        <v>2.0</v>
      </c>
      <c r="N229" s="24"/>
      <c r="O229" s="19">
        <v>5.0</v>
      </c>
      <c r="P229" s="40">
        <v>0.01593625498007968</v>
      </c>
      <c r="Q229" s="40">
        <v>0.02857142857142857</v>
      </c>
      <c r="R229" s="40">
        <v>0.0</v>
      </c>
      <c r="S229" s="40">
        <v>0.09090909090909091</v>
      </c>
      <c r="T229" s="40">
        <v>0.045454545454545456</v>
      </c>
    </row>
    <row r="230" ht="15.75" customHeight="1">
      <c r="F230" s="24"/>
      <c r="G230" s="19">
        <v>6.0</v>
      </c>
      <c r="H230" s="20">
        <v>5.0</v>
      </c>
      <c r="I230" s="20">
        <v>3.0</v>
      </c>
      <c r="J230" s="20"/>
      <c r="K230" s="20"/>
      <c r="L230" s="20">
        <v>2.0</v>
      </c>
      <c r="N230" s="24"/>
      <c r="O230" s="19">
        <v>6.0</v>
      </c>
      <c r="P230" s="40">
        <v>0.0199203187250996</v>
      </c>
      <c r="Q230" s="40">
        <v>0.02857142857142857</v>
      </c>
      <c r="R230" s="40">
        <v>0.0</v>
      </c>
      <c r="S230" s="40">
        <v>0.0</v>
      </c>
      <c r="T230" s="40">
        <v>0.045454545454545456</v>
      </c>
    </row>
    <row r="231" ht="15.75" customHeight="1">
      <c r="F231" s="24"/>
      <c r="G231" s="19">
        <v>7.0</v>
      </c>
      <c r="H231" s="20">
        <v>31.0</v>
      </c>
      <c r="I231" s="20">
        <v>5.0</v>
      </c>
      <c r="J231" s="20">
        <v>1.0</v>
      </c>
      <c r="K231" s="20"/>
      <c r="L231" s="20">
        <v>1.0</v>
      </c>
      <c r="N231" s="24"/>
      <c r="O231" s="19">
        <v>7.0</v>
      </c>
      <c r="P231" s="40">
        <v>0.12350597609561753</v>
      </c>
      <c r="Q231" s="40">
        <v>0.047619047619047616</v>
      </c>
      <c r="R231" s="40">
        <v>0.5</v>
      </c>
      <c r="S231" s="40">
        <v>0.0</v>
      </c>
      <c r="T231" s="40">
        <v>0.022727272727272728</v>
      </c>
    </row>
    <row r="232" ht="15.75" customHeight="1">
      <c r="F232" s="24"/>
      <c r="G232" s="19">
        <v>8.0</v>
      </c>
      <c r="H232" s="20">
        <v>16.0</v>
      </c>
      <c r="I232" s="20">
        <v>10.0</v>
      </c>
      <c r="J232" s="20"/>
      <c r="K232" s="20"/>
      <c r="L232" s="20">
        <v>4.0</v>
      </c>
      <c r="N232" s="24"/>
      <c r="O232" s="19">
        <v>8.0</v>
      </c>
      <c r="P232" s="40">
        <v>0.06374501992031872</v>
      </c>
      <c r="Q232" s="40">
        <v>0.09523809523809523</v>
      </c>
      <c r="R232" s="40">
        <v>0.0</v>
      </c>
      <c r="S232" s="40">
        <v>0.0</v>
      </c>
      <c r="T232" s="40">
        <v>0.09090909090909091</v>
      </c>
    </row>
    <row r="233" ht="15.75" customHeight="1">
      <c r="F233" s="24"/>
      <c r="G233" s="19">
        <v>9.0</v>
      </c>
      <c r="H233" s="20">
        <v>7.0</v>
      </c>
      <c r="I233" s="20">
        <v>2.0</v>
      </c>
      <c r="J233" s="20"/>
      <c r="K233" s="20"/>
      <c r="L233" s="20">
        <v>6.0</v>
      </c>
      <c r="N233" s="24"/>
      <c r="O233" s="19">
        <v>9.0</v>
      </c>
      <c r="P233" s="40">
        <v>0.027888446215139442</v>
      </c>
      <c r="Q233" s="40">
        <v>0.01904761904761905</v>
      </c>
      <c r="R233" s="40">
        <v>0.0</v>
      </c>
      <c r="S233" s="40">
        <v>0.0</v>
      </c>
      <c r="T233" s="40">
        <v>0.13636363636363635</v>
      </c>
    </row>
    <row r="234" ht="15.75" customHeight="1">
      <c r="F234" s="24"/>
      <c r="G234" s="19">
        <v>10.0</v>
      </c>
      <c r="H234" s="20">
        <v>13.0</v>
      </c>
      <c r="I234" s="20">
        <v>8.0</v>
      </c>
      <c r="J234" s="20"/>
      <c r="K234" s="20">
        <v>1.0</v>
      </c>
      <c r="L234" s="20">
        <v>4.0</v>
      </c>
      <c r="N234" s="24"/>
      <c r="O234" s="19">
        <v>10.0</v>
      </c>
      <c r="P234" s="40">
        <v>0.05179282868525897</v>
      </c>
      <c r="Q234" s="40">
        <v>0.0761904761904762</v>
      </c>
      <c r="R234" s="40">
        <v>0.0</v>
      </c>
      <c r="S234" s="40">
        <v>0.09090909090909091</v>
      </c>
      <c r="T234" s="40">
        <v>0.09090909090909091</v>
      </c>
    </row>
    <row r="235" ht="15.75" customHeight="1">
      <c r="F235" s="24"/>
      <c r="G235" s="19">
        <v>11.0</v>
      </c>
      <c r="H235" s="20">
        <v>11.0</v>
      </c>
      <c r="I235" s="20">
        <v>8.0</v>
      </c>
      <c r="J235" s="20"/>
      <c r="K235" s="20">
        <v>1.0</v>
      </c>
      <c r="L235" s="20">
        <v>5.0</v>
      </c>
      <c r="N235" s="24"/>
      <c r="O235" s="19">
        <v>11.0</v>
      </c>
      <c r="P235" s="40">
        <v>0.043824701195219126</v>
      </c>
      <c r="Q235" s="40">
        <v>0.0761904761904762</v>
      </c>
      <c r="R235" s="40">
        <v>0.0</v>
      </c>
      <c r="S235" s="40">
        <v>0.09090909090909091</v>
      </c>
      <c r="T235" s="40">
        <v>0.11363636363636363</v>
      </c>
    </row>
    <row r="236" ht="15.75" customHeight="1">
      <c r="F236" s="24"/>
      <c r="G236" s="19">
        <v>12.0</v>
      </c>
      <c r="H236" s="20">
        <v>9.0</v>
      </c>
      <c r="I236" s="20">
        <v>6.0</v>
      </c>
      <c r="J236" s="20"/>
      <c r="K236" s="20">
        <v>2.0</v>
      </c>
      <c r="L236" s="20">
        <v>4.0</v>
      </c>
      <c r="N236" s="24"/>
      <c r="O236" s="19">
        <v>12.0</v>
      </c>
      <c r="P236" s="40">
        <v>0.035856573705179286</v>
      </c>
      <c r="Q236" s="40">
        <v>0.05714285714285714</v>
      </c>
      <c r="R236" s="40">
        <v>0.0</v>
      </c>
      <c r="S236" s="40">
        <v>0.18181818181818182</v>
      </c>
      <c r="T236" s="40">
        <v>0.09090909090909091</v>
      </c>
    </row>
    <row r="237" ht="15.75" customHeight="1">
      <c r="F237" s="24"/>
      <c r="G237" s="19">
        <v>13.0</v>
      </c>
      <c r="H237" s="20">
        <v>10.0</v>
      </c>
      <c r="I237" s="20">
        <v>5.0</v>
      </c>
      <c r="J237" s="20"/>
      <c r="K237" s="20">
        <v>1.0</v>
      </c>
      <c r="L237" s="20">
        <v>3.0</v>
      </c>
      <c r="N237" s="24"/>
      <c r="O237" s="19">
        <v>13.0</v>
      </c>
      <c r="P237" s="40">
        <v>0.0398406374501992</v>
      </c>
      <c r="Q237" s="40">
        <v>0.047619047619047616</v>
      </c>
      <c r="R237" s="40">
        <v>0.0</v>
      </c>
      <c r="S237" s="40">
        <v>0.09090909090909091</v>
      </c>
      <c r="T237" s="40">
        <v>0.06818181818181818</v>
      </c>
    </row>
    <row r="238" ht="15.75" customHeight="1">
      <c r="F238" s="24"/>
      <c r="G238" s="19">
        <v>14.0</v>
      </c>
      <c r="H238" s="20">
        <v>15.0</v>
      </c>
      <c r="I238" s="20">
        <v>14.0</v>
      </c>
      <c r="J238" s="20">
        <v>1.0</v>
      </c>
      <c r="K238" s="20">
        <v>1.0</v>
      </c>
      <c r="L238" s="20">
        <v>3.0</v>
      </c>
      <c r="N238" s="24"/>
      <c r="O238" s="19">
        <v>14.0</v>
      </c>
      <c r="P238" s="40">
        <v>0.05976095617529881</v>
      </c>
      <c r="Q238" s="40">
        <v>0.13333333333333333</v>
      </c>
      <c r="R238" s="40">
        <v>0.5</v>
      </c>
      <c r="S238" s="40">
        <v>0.09090909090909091</v>
      </c>
      <c r="T238" s="40">
        <v>0.06818181818181818</v>
      </c>
    </row>
    <row r="239" ht="15.75" customHeight="1">
      <c r="F239" s="24"/>
      <c r="G239" s="19">
        <v>15.0</v>
      </c>
      <c r="H239" s="20">
        <v>20.0</v>
      </c>
      <c r="I239" s="20">
        <v>8.0</v>
      </c>
      <c r="J239" s="20"/>
      <c r="K239" s="20"/>
      <c r="L239" s="20">
        <v>6.0</v>
      </c>
      <c r="N239" s="24"/>
      <c r="O239" s="19">
        <v>15.0</v>
      </c>
      <c r="P239" s="40">
        <v>0.0796812749003984</v>
      </c>
      <c r="Q239" s="40">
        <v>0.0761904761904762</v>
      </c>
      <c r="R239" s="40">
        <v>0.0</v>
      </c>
      <c r="S239" s="40">
        <v>0.0</v>
      </c>
      <c r="T239" s="40">
        <v>0.13636363636363635</v>
      </c>
    </row>
    <row r="240" ht="15.75" customHeight="1">
      <c r="F240" s="24"/>
      <c r="G240" s="19">
        <v>16.0</v>
      </c>
      <c r="H240" s="20">
        <v>25.0</v>
      </c>
      <c r="I240" s="20">
        <v>4.0</v>
      </c>
      <c r="J240" s="20"/>
      <c r="K240" s="20"/>
      <c r="L240" s="20"/>
      <c r="N240" s="24"/>
      <c r="O240" s="19">
        <v>16.0</v>
      </c>
      <c r="P240" s="40">
        <v>0.099601593625498</v>
      </c>
      <c r="Q240" s="40">
        <v>0.0380952380952381</v>
      </c>
      <c r="R240" s="40">
        <v>0.0</v>
      </c>
      <c r="S240" s="40">
        <v>0.0</v>
      </c>
      <c r="T240" s="40">
        <v>0.0</v>
      </c>
    </row>
    <row r="241" ht="15.75" customHeight="1">
      <c r="F241" s="24"/>
      <c r="G241" s="19">
        <v>17.0</v>
      </c>
      <c r="H241" s="20">
        <v>19.0</v>
      </c>
      <c r="I241" s="20">
        <v>11.0</v>
      </c>
      <c r="J241" s="20"/>
      <c r="K241" s="20">
        <v>1.0</v>
      </c>
      <c r="L241" s="20">
        <v>3.0</v>
      </c>
      <c r="N241" s="24"/>
      <c r="O241" s="19">
        <v>17.0</v>
      </c>
      <c r="P241" s="40">
        <v>0.07569721115537849</v>
      </c>
      <c r="Q241" s="40">
        <v>0.10476190476190476</v>
      </c>
      <c r="R241" s="40">
        <v>0.0</v>
      </c>
      <c r="S241" s="40">
        <v>0.09090909090909091</v>
      </c>
      <c r="T241" s="40">
        <v>0.06818181818181818</v>
      </c>
    </row>
    <row r="242" ht="15.75" customHeight="1">
      <c r="F242" s="24"/>
      <c r="G242" s="19">
        <v>18.0</v>
      </c>
      <c r="H242" s="20">
        <v>16.0</v>
      </c>
      <c r="I242" s="20">
        <v>5.0</v>
      </c>
      <c r="J242" s="20"/>
      <c r="K242" s="20">
        <v>1.0</v>
      </c>
      <c r="L242" s="20"/>
      <c r="N242" s="24"/>
      <c r="O242" s="19">
        <v>18.0</v>
      </c>
      <c r="P242" s="40">
        <v>0.06374501992031872</v>
      </c>
      <c r="Q242" s="40">
        <v>0.047619047619047616</v>
      </c>
      <c r="R242" s="40">
        <v>0.0</v>
      </c>
      <c r="S242" s="40">
        <v>0.09090909090909091</v>
      </c>
      <c r="T242" s="40">
        <v>0.0</v>
      </c>
    </row>
    <row r="243" ht="15.75" customHeight="1">
      <c r="F243" s="24"/>
      <c r="G243" s="19">
        <v>19.0</v>
      </c>
      <c r="H243" s="20">
        <v>16.0</v>
      </c>
      <c r="I243" s="20">
        <v>4.0</v>
      </c>
      <c r="J243" s="20"/>
      <c r="K243" s="20"/>
      <c r="L243" s="20"/>
      <c r="N243" s="24"/>
      <c r="O243" s="19">
        <v>19.0</v>
      </c>
      <c r="P243" s="40">
        <v>0.06374501992031872</v>
      </c>
      <c r="Q243" s="40">
        <v>0.0380952380952381</v>
      </c>
      <c r="R243" s="40">
        <v>0.0</v>
      </c>
      <c r="S243" s="40">
        <v>0.0</v>
      </c>
      <c r="T243" s="40">
        <v>0.0</v>
      </c>
    </row>
    <row r="244" ht="15.75" customHeight="1">
      <c r="F244" s="24"/>
      <c r="G244" s="19">
        <v>20.0</v>
      </c>
      <c r="H244" s="20">
        <v>9.0</v>
      </c>
      <c r="I244" s="20">
        <v>2.0</v>
      </c>
      <c r="J244" s="20"/>
      <c r="K244" s="20"/>
      <c r="L244" s="20">
        <v>1.0</v>
      </c>
      <c r="N244" s="24"/>
      <c r="O244" s="19">
        <v>20.0</v>
      </c>
      <c r="P244" s="40">
        <v>0.035856573705179286</v>
      </c>
      <c r="Q244" s="40">
        <v>0.01904761904761905</v>
      </c>
      <c r="R244" s="40">
        <v>0.0</v>
      </c>
      <c r="S244" s="40">
        <v>0.0</v>
      </c>
      <c r="T244" s="40">
        <v>0.022727272727272728</v>
      </c>
    </row>
    <row r="245" ht="15.75" customHeight="1">
      <c r="F245" s="24"/>
      <c r="G245" s="19">
        <v>21.0</v>
      </c>
      <c r="H245" s="20">
        <v>11.0</v>
      </c>
      <c r="I245" s="20">
        <v>6.0</v>
      </c>
      <c r="J245" s="20"/>
      <c r="K245" s="20">
        <v>1.0</v>
      </c>
      <c r="L245" s="20"/>
      <c r="N245" s="24"/>
      <c r="O245" s="19">
        <v>21.0</v>
      </c>
      <c r="P245" s="40">
        <v>0.043824701195219126</v>
      </c>
      <c r="Q245" s="40">
        <v>0.05714285714285714</v>
      </c>
      <c r="R245" s="40">
        <v>0.0</v>
      </c>
      <c r="S245" s="40">
        <v>0.09090909090909091</v>
      </c>
      <c r="T245" s="40">
        <v>0.0</v>
      </c>
    </row>
    <row r="246" ht="15.75" customHeight="1">
      <c r="F246" s="24"/>
      <c r="G246" s="19">
        <v>22.0</v>
      </c>
      <c r="H246" s="20">
        <v>6.0</v>
      </c>
      <c r="I246" s="20">
        <v>1.0</v>
      </c>
      <c r="J246" s="20"/>
      <c r="K246" s="20"/>
      <c r="L246" s="20"/>
      <c r="N246" s="24"/>
      <c r="O246" s="19">
        <v>22.0</v>
      </c>
      <c r="P246" s="40">
        <v>0.02390438247011952</v>
      </c>
      <c r="Q246" s="40">
        <v>0.009523809523809525</v>
      </c>
      <c r="R246" s="40">
        <v>0.0</v>
      </c>
      <c r="S246" s="40">
        <v>0.0</v>
      </c>
      <c r="T246" s="40">
        <v>0.0</v>
      </c>
    </row>
    <row r="247" ht="15.75" customHeight="1">
      <c r="F247" s="28"/>
      <c r="G247" s="19">
        <v>23.0</v>
      </c>
      <c r="H247" s="20">
        <v>2.0</v>
      </c>
      <c r="I247" s="20"/>
      <c r="J247" s="20"/>
      <c r="K247" s="20"/>
      <c r="L247" s="20"/>
      <c r="N247" s="28"/>
      <c r="O247" s="19">
        <v>23.0</v>
      </c>
      <c r="P247" s="40">
        <v>0.00796812749003984</v>
      </c>
      <c r="Q247" s="40">
        <v>0.0</v>
      </c>
      <c r="R247" s="40">
        <v>0.0</v>
      </c>
      <c r="S247" s="40">
        <v>0.0</v>
      </c>
      <c r="T247" s="40">
        <v>0.0</v>
      </c>
    </row>
    <row r="248" ht="15.75" customHeight="1">
      <c r="F248" s="56">
        <v>45218.0</v>
      </c>
      <c r="G248" s="19">
        <v>0.0</v>
      </c>
      <c r="H248" s="19">
        <v>2.0</v>
      </c>
      <c r="I248" s="60">
        <v>2.0</v>
      </c>
      <c r="J248" s="98"/>
      <c r="K248" s="98"/>
      <c r="L248" s="98"/>
      <c r="N248" s="56">
        <v>45218.0</v>
      </c>
      <c r="O248" s="19">
        <v>0.0</v>
      </c>
      <c r="P248" s="44">
        <v>0.0049261083743842365</v>
      </c>
      <c r="Q248" s="44">
        <v>0.011764705882352941</v>
      </c>
      <c r="R248" s="44">
        <v>0.0</v>
      </c>
      <c r="S248" s="44">
        <v>0.0</v>
      </c>
      <c r="T248" s="44">
        <v>0.0</v>
      </c>
    </row>
    <row r="249" ht="15.75" customHeight="1">
      <c r="F249" s="24"/>
      <c r="G249" s="19">
        <v>1.0</v>
      </c>
      <c r="H249" s="27"/>
      <c r="I249" s="31">
        <v>1.0</v>
      </c>
      <c r="J249" s="20"/>
      <c r="K249" s="31">
        <v>1.0</v>
      </c>
      <c r="L249" s="20"/>
      <c r="N249" s="24"/>
      <c r="O249" s="19">
        <v>1.0</v>
      </c>
      <c r="P249" s="44">
        <v>0.0</v>
      </c>
      <c r="Q249" s="44">
        <v>0.0058823529411764705</v>
      </c>
      <c r="R249" s="44">
        <v>0.0</v>
      </c>
      <c r="S249" s="44">
        <v>0.038461538461538464</v>
      </c>
      <c r="T249" s="44">
        <v>0.0</v>
      </c>
    </row>
    <row r="250" ht="15.75" customHeight="1">
      <c r="F250" s="24"/>
      <c r="G250" s="19">
        <v>2.0</v>
      </c>
      <c r="H250" s="45">
        <v>2.0</v>
      </c>
      <c r="I250" s="31">
        <v>1.0</v>
      </c>
      <c r="J250" s="20"/>
      <c r="K250" s="20"/>
      <c r="L250" s="20"/>
      <c r="N250" s="24"/>
      <c r="O250" s="19">
        <v>2.0</v>
      </c>
      <c r="P250" s="44">
        <v>0.0049261083743842365</v>
      </c>
      <c r="Q250" s="44">
        <v>0.0058823529411764705</v>
      </c>
      <c r="R250" s="44">
        <v>0.0</v>
      </c>
      <c r="S250" s="44">
        <v>0.0</v>
      </c>
      <c r="T250" s="44">
        <v>0.0</v>
      </c>
    </row>
    <row r="251" ht="15.75" customHeight="1">
      <c r="F251" s="24"/>
      <c r="G251" s="19">
        <v>3.0</v>
      </c>
      <c r="H251" s="45">
        <v>1.0</v>
      </c>
      <c r="I251" s="31">
        <v>1.0</v>
      </c>
      <c r="J251" s="20"/>
      <c r="K251" s="20"/>
      <c r="L251" s="20"/>
      <c r="N251" s="24"/>
      <c r="O251" s="19">
        <v>3.0</v>
      </c>
      <c r="P251" s="44">
        <v>0.0024630541871921183</v>
      </c>
      <c r="Q251" s="44">
        <v>0.0058823529411764705</v>
      </c>
      <c r="R251" s="44">
        <v>0.0</v>
      </c>
      <c r="S251" s="44">
        <v>0.0</v>
      </c>
      <c r="T251" s="44">
        <v>0.0</v>
      </c>
    </row>
    <row r="252" ht="15.75" customHeight="1">
      <c r="F252" s="24"/>
      <c r="G252" s="19">
        <v>4.0</v>
      </c>
      <c r="H252" s="45">
        <v>1.0</v>
      </c>
      <c r="I252" s="20"/>
      <c r="J252" s="20"/>
      <c r="K252" s="20"/>
      <c r="L252" s="20"/>
      <c r="N252" s="24"/>
      <c r="O252" s="19">
        <v>4.0</v>
      </c>
      <c r="P252" s="44">
        <v>0.0024630541871921183</v>
      </c>
      <c r="Q252" s="44">
        <v>0.0</v>
      </c>
      <c r="R252" s="44">
        <v>0.0</v>
      </c>
      <c r="S252" s="44">
        <v>0.0</v>
      </c>
      <c r="T252" s="44">
        <v>0.0</v>
      </c>
    </row>
    <row r="253" ht="15.75" customHeight="1">
      <c r="F253" s="24"/>
      <c r="G253" s="19">
        <v>5.0</v>
      </c>
      <c r="H253" s="45">
        <v>8.0</v>
      </c>
      <c r="I253" s="31">
        <v>2.0</v>
      </c>
      <c r="J253" s="20"/>
      <c r="K253" s="31">
        <v>2.0</v>
      </c>
      <c r="L253" s="20"/>
      <c r="N253" s="24"/>
      <c r="O253" s="19">
        <v>5.0</v>
      </c>
      <c r="P253" s="44">
        <v>0.019704433497536946</v>
      </c>
      <c r="Q253" s="44">
        <v>0.011764705882352941</v>
      </c>
      <c r="R253" s="44">
        <v>0.0</v>
      </c>
      <c r="S253" s="44">
        <v>0.07692307692307693</v>
      </c>
      <c r="T253" s="44">
        <v>0.0</v>
      </c>
    </row>
    <row r="254" ht="15.75" customHeight="1">
      <c r="F254" s="24"/>
      <c r="G254" s="19">
        <v>6.0</v>
      </c>
      <c r="H254" s="45">
        <v>16.0</v>
      </c>
      <c r="I254" s="31">
        <v>5.0</v>
      </c>
      <c r="J254" s="20"/>
      <c r="K254" s="31">
        <v>1.0</v>
      </c>
      <c r="L254" s="31">
        <v>4.0</v>
      </c>
      <c r="N254" s="24"/>
      <c r="O254" s="19">
        <v>6.0</v>
      </c>
      <c r="P254" s="44">
        <v>0.03940886699507389</v>
      </c>
      <c r="Q254" s="44">
        <v>0.029411764705882353</v>
      </c>
      <c r="R254" s="44">
        <v>0.0</v>
      </c>
      <c r="S254" s="44">
        <v>0.038461538461538464</v>
      </c>
      <c r="T254" s="44">
        <v>0.06153846153846154</v>
      </c>
    </row>
    <row r="255" ht="15.75" customHeight="1">
      <c r="F255" s="24"/>
      <c r="G255" s="19">
        <v>7.0</v>
      </c>
      <c r="H255" s="45">
        <v>39.0</v>
      </c>
      <c r="I255" s="31">
        <v>11.0</v>
      </c>
      <c r="J255" s="20"/>
      <c r="K255" s="31">
        <v>1.0</v>
      </c>
      <c r="L255" s="31">
        <v>4.0</v>
      </c>
      <c r="N255" s="24"/>
      <c r="O255" s="19">
        <v>7.0</v>
      </c>
      <c r="P255" s="44">
        <v>0.0960591133004926</v>
      </c>
      <c r="Q255" s="44">
        <v>0.06470588235294118</v>
      </c>
      <c r="R255" s="44">
        <v>0.0</v>
      </c>
      <c r="S255" s="44">
        <v>0.038461538461538464</v>
      </c>
      <c r="T255" s="44">
        <v>0.06153846153846154</v>
      </c>
    </row>
    <row r="256" ht="15.75" customHeight="1">
      <c r="F256" s="24"/>
      <c r="G256" s="19">
        <v>8.0</v>
      </c>
      <c r="H256" s="45">
        <v>21.0</v>
      </c>
      <c r="I256" s="31">
        <v>13.0</v>
      </c>
      <c r="J256" s="20"/>
      <c r="K256" s="31">
        <v>2.0</v>
      </c>
      <c r="L256" s="31">
        <v>1.0</v>
      </c>
      <c r="N256" s="24"/>
      <c r="O256" s="19">
        <v>8.0</v>
      </c>
      <c r="P256" s="44">
        <v>0.05172413793103448</v>
      </c>
      <c r="Q256" s="44">
        <v>0.07647058823529412</v>
      </c>
      <c r="R256" s="44">
        <v>0.0</v>
      </c>
      <c r="S256" s="44">
        <v>0.07692307692307693</v>
      </c>
      <c r="T256" s="44">
        <v>0.015384615384615385</v>
      </c>
    </row>
    <row r="257" ht="15.75" customHeight="1">
      <c r="F257" s="24"/>
      <c r="G257" s="19">
        <v>9.0</v>
      </c>
      <c r="H257" s="45">
        <v>27.0</v>
      </c>
      <c r="I257" s="31">
        <v>9.0</v>
      </c>
      <c r="J257" s="31">
        <v>1.0</v>
      </c>
      <c r="K257" s="31">
        <v>2.0</v>
      </c>
      <c r="L257" s="31">
        <v>6.0</v>
      </c>
      <c r="N257" s="24"/>
      <c r="O257" s="19">
        <v>9.0</v>
      </c>
      <c r="P257" s="44">
        <v>0.0665024630541872</v>
      </c>
      <c r="Q257" s="44">
        <v>0.052941176470588235</v>
      </c>
      <c r="R257" s="44">
        <v>0.125</v>
      </c>
      <c r="S257" s="44">
        <v>0.07692307692307693</v>
      </c>
      <c r="T257" s="44">
        <v>0.09230769230769231</v>
      </c>
    </row>
    <row r="258" ht="15.75" customHeight="1">
      <c r="F258" s="24"/>
      <c r="G258" s="19">
        <v>10.0</v>
      </c>
      <c r="H258" s="45">
        <v>22.0</v>
      </c>
      <c r="I258" s="31">
        <v>10.0</v>
      </c>
      <c r="J258" s="31">
        <v>1.0</v>
      </c>
      <c r="K258" s="31">
        <v>2.0</v>
      </c>
      <c r="L258" s="31">
        <v>6.0</v>
      </c>
      <c r="N258" s="24"/>
      <c r="O258" s="19">
        <v>10.0</v>
      </c>
      <c r="P258" s="44">
        <v>0.054187192118226604</v>
      </c>
      <c r="Q258" s="44">
        <v>0.058823529411764705</v>
      </c>
      <c r="R258" s="44">
        <v>0.125</v>
      </c>
      <c r="S258" s="44">
        <v>0.07692307692307693</v>
      </c>
      <c r="T258" s="44">
        <v>0.09230769230769231</v>
      </c>
    </row>
    <row r="259" ht="15.75" customHeight="1">
      <c r="F259" s="24"/>
      <c r="G259" s="19">
        <v>11.0</v>
      </c>
      <c r="H259" s="45">
        <v>21.0</v>
      </c>
      <c r="I259" s="31">
        <v>10.0</v>
      </c>
      <c r="J259" s="31">
        <v>1.0</v>
      </c>
      <c r="K259" s="31">
        <v>2.0</v>
      </c>
      <c r="L259" s="31">
        <v>6.0</v>
      </c>
      <c r="N259" s="24"/>
      <c r="O259" s="19">
        <v>11.0</v>
      </c>
      <c r="P259" s="44">
        <v>0.05172413793103448</v>
      </c>
      <c r="Q259" s="44">
        <v>0.058823529411764705</v>
      </c>
      <c r="R259" s="44">
        <v>0.125</v>
      </c>
      <c r="S259" s="44">
        <v>0.07692307692307693</v>
      </c>
      <c r="T259" s="44">
        <v>0.09230769230769231</v>
      </c>
    </row>
    <row r="260" ht="15.75" customHeight="1">
      <c r="F260" s="24"/>
      <c r="G260" s="19">
        <v>12.0</v>
      </c>
      <c r="H260" s="45">
        <v>20.0</v>
      </c>
      <c r="I260" s="31">
        <v>9.0</v>
      </c>
      <c r="J260" s="20"/>
      <c r="K260" s="31">
        <v>1.0</v>
      </c>
      <c r="L260" s="31">
        <v>6.0</v>
      </c>
      <c r="N260" s="24"/>
      <c r="O260" s="19">
        <v>12.0</v>
      </c>
      <c r="P260" s="44">
        <v>0.04926108374384237</v>
      </c>
      <c r="Q260" s="44">
        <v>0.052941176470588235</v>
      </c>
      <c r="R260" s="44">
        <v>0.0</v>
      </c>
      <c r="S260" s="44">
        <v>0.038461538461538464</v>
      </c>
      <c r="T260" s="44">
        <v>0.09230769230769231</v>
      </c>
    </row>
    <row r="261" ht="15.75" customHeight="1">
      <c r="F261" s="24"/>
      <c r="G261" s="19">
        <v>13.0</v>
      </c>
      <c r="H261" s="45">
        <v>14.0</v>
      </c>
      <c r="I261" s="31">
        <v>11.0</v>
      </c>
      <c r="J261" s="31">
        <v>2.0</v>
      </c>
      <c r="K261" s="31">
        <v>2.0</v>
      </c>
      <c r="L261" s="31">
        <v>5.0</v>
      </c>
      <c r="N261" s="24"/>
      <c r="O261" s="19">
        <v>13.0</v>
      </c>
      <c r="P261" s="44">
        <v>0.034482758620689655</v>
      </c>
      <c r="Q261" s="44">
        <v>0.06470588235294118</v>
      </c>
      <c r="R261" s="44">
        <v>0.25</v>
      </c>
      <c r="S261" s="44">
        <v>0.07692307692307693</v>
      </c>
      <c r="T261" s="44">
        <v>0.07692307692307693</v>
      </c>
    </row>
    <row r="262" ht="15.75" customHeight="1">
      <c r="F262" s="24"/>
      <c r="G262" s="19">
        <v>14.0</v>
      </c>
      <c r="H262" s="45">
        <v>25.0</v>
      </c>
      <c r="I262" s="31">
        <v>7.0</v>
      </c>
      <c r="J262" s="20"/>
      <c r="K262" s="31">
        <v>4.0</v>
      </c>
      <c r="L262" s="31">
        <v>10.0</v>
      </c>
      <c r="N262" s="24"/>
      <c r="O262" s="19">
        <v>14.0</v>
      </c>
      <c r="P262" s="44">
        <v>0.06157635467980296</v>
      </c>
      <c r="Q262" s="44">
        <v>0.041176470588235294</v>
      </c>
      <c r="R262" s="44">
        <v>0.0</v>
      </c>
      <c r="S262" s="44">
        <v>0.15384615384615385</v>
      </c>
      <c r="T262" s="44">
        <v>0.15384615384615385</v>
      </c>
    </row>
    <row r="263" ht="15.75" customHeight="1">
      <c r="F263" s="24"/>
      <c r="G263" s="19">
        <v>15.0</v>
      </c>
      <c r="H263" s="45">
        <v>32.0</v>
      </c>
      <c r="I263" s="31">
        <v>15.0</v>
      </c>
      <c r="J263" s="20"/>
      <c r="K263" s="31">
        <v>3.0</v>
      </c>
      <c r="L263" s="31">
        <v>4.0</v>
      </c>
      <c r="N263" s="24"/>
      <c r="O263" s="19">
        <v>15.0</v>
      </c>
      <c r="P263" s="44">
        <v>0.07881773399014778</v>
      </c>
      <c r="Q263" s="44">
        <v>0.08823529411764706</v>
      </c>
      <c r="R263" s="44">
        <v>0.0</v>
      </c>
      <c r="S263" s="44">
        <v>0.11538461538461539</v>
      </c>
      <c r="T263" s="44">
        <v>0.06153846153846154</v>
      </c>
    </row>
    <row r="264" ht="15.75" customHeight="1">
      <c r="F264" s="24"/>
      <c r="G264" s="19">
        <v>16.0</v>
      </c>
      <c r="H264" s="45">
        <v>33.0</v>
      </c>
      <c r="I264" s="31">
        <v>15.0</v>
      </c>
      <c r="J264" s="31">
        <v>1.0</v>
      </c>
      <c r="K264" s="31">
        <v>2.0</v>
      </c>
      <c r="L264" s="31">
        <v>6.0</v>
      </c>
      <c r="N264" s="24"/>
      <c r="O264" s="19">
        <v>16.0</v>
      </c>
      <c r="P264" s="44">
        <v>0.0812807881773399</v>
      </c>
      <c r="Q264" s="44">
        <v>0.08823529411764706</v>
      </c>
      <c r="R264" s="44">
        <v>0.125</v>
      </c>
      <c r="S264" s="44">
        <v>0.07692307692307693</v>
      </c>
      <c r="T264" s="44">
        <v>0.09230769230769231</v>
      </c>
    </row>
    <row r="265" ht="15.75" customHeight="1">
      <c r="F265" s="24"/>
      <c r="G265" s="19">
        <v>17.0</v>
      </c>
      <c r="H265" s="45">
        <v>42.0</v>
      </c>
      <c r="I265" s="31">
        <v>18.0</v>
      </c>
      <c r="J265" s="20"/>
      <c r="K265" s="20"/>
      <c r="L265" s="31">
        <v>5.0</v>
      </c>
      <c r="N265" s="24"/>
      <c r="O265" s="19">
        <v>17.0</v>
      </c>
      <c r="P265" s="44">
        <v>0.10344827586206896</v>
      </c>
      <c r="Q265" s="44">
        <v>0.10588235294117647</v>
      </c>
      <c r="R265" s="44">
        <v>0.0</v>
      </c>
      <c r="S265" s="44">
        <v>0.0</v>
      </c>
      <c r="T265" s="44">
        <v>0.07692307692307693</v>
      </c>
    </row>
    <row r="266" ht="15.75" customHeight="1">
      <c r="F266" s="24"/>
      <c r="G266" s="19">
        <v>18.0</v>
      </c>
      <c r="H266" s="45">
        <v>19.0</v>
      </c>
      <c r="I266" s="31">
        <v>3.0</v>
      </c>
      <c r="J266" s="20"/>
      <c r="K266" s="31">
        <v>1.0</v>
      </c>
      <c r="L266" s="31">
        <v>1.0</v>
      </c>
      <c r="N266" s="24"/>
      <c r="O266" s="19">
        <v>18.0</v>
      </c>
      <c r="P266" s="44">
        <v>0.046798029556650245</v>
      </c>
      <c r="Q266" s="44">
        <v>0.01764705882352941</v>
      </c>
      <c r="R266" s="44">
        <v>0.0</v>
      </c>
      <c r="S266" s="44">
        <v>0.038461538461538464</v>
      </c>
      <c r="T266" s="44">
        <v>0.015384615384615385</v>
      </c>
    </row>
    <row r="267" ht="15.75" customHeight="1">
      <c r="F267" s="24"/>
      <c r="G267" s="19">
        <v>19.0</v>
      </c>
      <c r="H267" s="45">
        <v>17.0</v>
      </c>
      <c r="I267" s="31">
        <v>7.0</v>
      </c>
      <c r="J267" s="31">
        <v>1.0</v>
      </c>
      <c r="K267" s="20"/>
      <c r="L267" s="20"/>
      <c r="N267" s="24"/>
      <c r="O267" s="19">
        <v>19.0</v>
      </c>
      <c r="P267" s="44">
        <v>0.04187192118226601</v>
      </c>
      <c r="Q267" s="44">
        <v>0.041176470588235294</v>
      </c>
      <c r="R267" s="44">
        <v>0.125</v>
      </c>
      <c r="S267" s="44">
        <v>0.0</v>
      </c>
      <c r="T267" s="44">
        <v>0.0</v>
      </c>
    </row>
    <row r="268" ht="15.75" customHeight="1">
      <c r="F268" s="24"/>
      <c r="G268" s="19">
        <v>20.0</v>
      </c>
      <c r="H268" s="45">
        <v>17.0</v>
      </c>
      <c r="I268" s="31">
        <v>9.0</v>
      </c>
      <c r="J268" s="20"/>
      <c r="K268" s="20"/>
      <c r="L268" s="31">
        <v>1.0</v>
      </c>
      <c r="N268" s="24"/>
      <c r="O268" s="19">
        <v>20.0</v>
      </c>
      <c r="P268" s="44">
        <v>0.04187192118226601</v>
      </c>
      <c r="Q268" s="44">
        <v>0.052941176470588235</v>
      </c>
      <c r="R268" s="44">
        <v>0.0</v>
      </c>
      <c r="S268" s="44">
        <v>0.0</v>
      </c>
      <c r="T268" s="44">
        <v>0.015384615384615385</v>
      </c>
    </row>
    <row r="269" ht="15.75" customHeight="1">
      <c r="F269" s="24"/>
      <c r="G269" s="19">
        <v>21.0</v>
      </c>
      <c r="H269" s="45">
        <v>11.0</v>
      </c>
      <c r="I269" s="31">
        <v>5.0</v>
      </c>
      <c r="J269" s="31">
        <v>1.0</v>
      </c>
      <c r="K269" s="20"/>
      <c r="L269" s="20"/>
      <c r="N269" s="24"/>
      <c r="O269" s="19">
        <v>21.0</v>
      </c>
      <c r="P269" s="44">
        <v>0.027093596059113302</v>
      </c>
      <c r="Q269" s="44">
        <v>0.029411764705882353</v>
      </c>
      <c r="R269" s="44">
        <v>0.125</v>
      </c>
      <c r="S269" s="44">
        <v>0.0</v>
      </c>
      <c r="T269" s="44">
        <v>0.0</v>
      </c>
    </row>
    <row r="270" ht="15.75" customHeight="1">
      <c r="F270" s="24"/>
      <c r="G270" s="19">
        <v>22.0</v>
      </c>
      <c r="H270" s="109">
        <v>8.0</v>
      </c>
      <c r="I270" s="110">
        <v>5.0</v>
      </c>
      <c r="J270" s="57"/>
      <c r="K270" s="57"/>
      <c r="L270" s="57"/>
      <c r="N270" s="24"/>
      <c r="O270" s="19">
        <v>22.0</v>
      </c>
      <c r="P270" s="44">
        <v>0.019704433497536946</v>
      </c>
      <c r="Q270" s="44">
        <v>0.029411764705882353</v>
      </c>
      <c r="R270" s="44">
        <v>0.0</v>
      </c>
      <c r="S270" s="44">
        <v>0.0</v>
      </c>
      <c r="T270" s="44">
        <v>0.0</v>
      </c>
    </row>
    <row r="271" ht="15.75" customHeight="1">
      <c r="F271" s="28"/>
      <c r="G271" s="19">
        <v>23.0</v>
      </c>
      <c r="H271" s="46">
        <v>8.0</v>
      </c>
      <c r="I271" s="61">
        <v>1.0</v>
      </c>
      <c r="J271" s="20"/>
      <c r="K271" s="20"/>
      <c r="L271" s="20"/>
      <c r="N271" s="28"/>
      <c r="O271" s="19">
        <v>23.0</v>
      </c>
      <c r="P271" s="44">
        <v>0.019704433497536946</v>
      </c>
      <c r="Q271" s="44">
        <v>0.0058823529411764705</v>
      </c>
      <c r="R271" s="44">
        <v>0.0</v>
      </c>
      <c r="S271" s="44">
        <v>0.0</v>
      </c>
      <c r="T271" s="44">
        <v>0.0</v>
      </c>
    </row>
    <row r="272" ht="15.75" customHeight="1">
      <c r="F272" s="56">
        <v>45219.0</v>
      </c>
      <c r="G272" s="19">
        <v>0.0</v>
      </c>
      <c r="H272" s="20"/>
      <c r="I272" s="20"/>
      <c r="J272" s="20"/>
      <c r="K272" s="20"/>
      <c r="L272" s="20"/>
      <c r="N272" s="56">
        <v>45219.0</v>
      </c>
      <c r="O272" s="19">
        <v>0.0</v>
      </c>
      <c r="P272" s="40">
        <v>0.0</v>
      </c>
      <c r="Q272" s="40">
        <v>0.0</v>
      </c>
      <c r="R272" s="40">
        <v>0.0</v>
      </c>
      <c r="S272" s="40">
        <v>0.0</v>
      </c>
      <c r="T272" s="40">
        <v>0.0</v>
      </c>
    </row>
    <row r="273" ht="15.75" customHeight="1">
      <c r="F273" s="24"/>
      <c r="G273" s="19">
        <v>1.0</v>
      </c>
      <c r="H273" s="20"/>
      <c r="I273" s="20">
        <v>1.0</v>
      </c>
      <c r="J273" s="20"/>
      <c r="K273" s="20"/>
      <c r="L273" s="20"/>
      <c r="N273" s="24"/>
      <c r="O273" s="19">
        <v>1.0</v>
      </c>
      <c r="P273" s="40">
        <v>0.0</v>
      </c>
      <c r="Q273" s="40">
        <v>0.008264462809917356</v>
      </c>
      <c r="R273" s="40">
        <v>0.0</v>
      </c>
      <c r="S273" s="40">
        <v>0.0</v>
      </c>
      <c r="T273" s="40">
        <v>0.0</v>
      </c>
    </row>
    <row r="274" ht="15.75" customHeight="1">
      <c r="F274" s="24"/>
      <c r="G274" s="19">
        <v>2.0</v>
      </c>
      <c r="H274" s="34">
        <v>1.0</v>
      </c>
      <c r="I274" s="34"/>
      <c r="J274" s="34"/>
      <c r="K274" s="34"/>
      <c r="L274" s="34"/>
      <c r="N274" s="24"/>
      <c r="O274" s="19">
        <v>2.0</v>
      </c>
      <c r="P274" s="40">
        <v>0.0033222591362126247</v>
      </c>
      <c r="Q274" s="40">
        <v>0.0</v>
      </c>
      <c r="R274" s="40">
        <v>0.0</v>
      </c>
      <c r="S274" s="40">
        <v>0.0</v>
      </c>
      <c r="T274" s="40">
        <v>0.0</v>
      </c>
    </row>
    <row r="275" ht="15.75" customHeight="1">
      <c r="F275" s="24"/>
      <c r="G275" s="19">
        <v>3.0</v>
      </c>
      <c r="H275" s="20">
        <v>1.0</v>
      </c>
      <c r="I275" s="20"/>
      <c r="J275" s="20"/>
      <c r="K275" s="20"/>
      <c r="L275" s="20"/>
      <c r="N275" s="24"/>
      <c r="O275" s="19">
        <v>3.0</v>
      </c>
      <c r="P275" s="40">
        <v>0.0033222591362126247</v>
      </c>
      <c r="Q275" s="40">
        <v>0.0</v>
      </c>
      <c r="R275" s="40">
        <v>0.0</v>
      </c>
      <c r="S275" s="40">
        <v>0.0</v>
      </c>
      <c r="T275" s="40">
        <v>0.0</v>
      </c>
    </row>
    <row r="276" ht="15.75" customHeight="1">
      <c r="F276" s="24"/>
      <c r="G276" s="19">
        <v>4.0</v>
      </c>
      <c r="H276" s="20">
        <v>2.0</v>
      </c>
      <c r="I276" s="20"/>
      <c r="J276" s="20"/>
      <c r="K276" s="20"/>
      <c r="L276" s="20"/>
      <c r="N276" s="24"/>
      <c r="O276" s="19">
        <v>4.0</v>
      </c>
      <c r="P276" s="40">
        <v>0.006644518272425249</v>
      </c>
      <c r="Q276" s="40">
        <v>0.0</v>
      </c>
      <c r="R276" s="40">
        <v>0.0</v>
      </c>
      <c r="S276" s="40">
        <v>0.0</v>
      </c>
      <c r="T276" s="40">
        <v>0.0</v>
      </c>
    </row>
    <row r="277" ht="15.75" customHeight="1">
      <c r="F277" s="24"/>
      <c r="G277" s="19">
        <v>5.0</v>
      </c>
      <c r="H277" s="20">
        <v>6.0</v>
      </c>
      <c r="I277" s="20">
        <v>2.0</v>
      </c>
      <c r="J277" s="20"/>
      <c r="K277" s="20">
        <v>2.0</v>
      </c>
      <c r="L277" s="20">
        <v>2.0</v>
      </c>
      <c r="N277" s="24"/>
      <c r="O277" s="19">
        <v>5.0</v>
      </c>
      <c r="P277" s="40">
        <v>0.019933554817275746</v>
      </c>
      <c r="Q277" s="40">
        <v>0.01652892561983471</v>
      </c>
      <c r="R277" s="40">
        <v>0.0</v>
      </c>
      <c r="S277" s="40">
        <v>0.16666666666666666</v>
      </c>
      <c r="T277" s="40">
        <v>0.04878048780487805</v>
      </c>
    </row>
    <row r="278" ht="15.75" customHeight="1">
      <c r="F278" s="24"/>
      <c r="G278" s="19">
        <v>6.0</v>
      </c>
      <c r="H278" s="20">
        <v>6.0</v>
      </c>
      <c r="I278" s="20">
        <v>3.0</v>
      </c>
      <c r="J278" s="20"/>
      <c r="K278" s="20"/>
      <c r="L278" s="20">
        <v>2.0</v>
      </c>
      <c r="N278" s="24"/>
      <c r="O278" s="19">
        <v>6.0</v>
      </c>
      <c r="P278" s="40">
        <v>0.019933554817275746</v>
      </c>
      <c r="Q278" s="40">
        <v>0.024793388429752067</v>
      </c>
      <c r="R278" s="40">
        <v>0.0</v>
      </c>
      <c r="S278" s="40">
        <v>0.0</v>
      </c>
      <c r="T278" s="40">
        <v>0.04878048780487805</v>
      </c>
    </row>
    <row r="279" ht="15.75" customHeight="1">
      <c r="F279" s="24"/>
      <c r="G279" s="19">
        <v>7.0</v>
      </c>
      <c r="H279" s="20">
        <v>21.0</v>
      </c>
      <c r="I279" s="20">
        <v>7.0</v>
      </c>
      <c r="J279" s="20">
        <v>1.0</v>
      </c>
      <c r="K279" s="20"/>
      <c r="L279" s="20">
        <v>1.0</v>
      </c>
      <c r="N279" s="24"/>
      <c r="O279" s="19">
        <v>7.0</v>
      </c>
      <c r="P279" s="40">
        <v>0.06976744186046512</v>
      </c>
      <c r="Q279" s="40">
        <v>0.05785123966942149</v>
      </c>
      <c r="R279" s="40">
        <v>0.25</v>
      </c>
      <c r="S279" s="40">
        <v>0.0</v>
      </c>
      <c r="T279" s="40">
        <v>0.024390243902439025</v>
      </c>
    </row>
    <row r="280" ht="15.75" customHeight="1">
      <c r="F280" s="24"/>
      <c r="G280" s="19">
        <v>8.0</v>
      </c>
      <c r="H280" s="20">
        <v>17.0</v>
      </c>
      <c r="I280" s="20">
        <v>11.0</v>
      </c>
      <c r="J280" s="20"/>
      <c r="K280" s="20"/>
      <c r="L280" s="20">
        <v>3.0</v>
      </c>
      <c r="N280" s="24"/>
      <c r="O280" s="19">
        <v>8.0</v>
      </c>
      <c r="P280" s="40">
        <v>0.05647840531561462</v>
      </c>
      <c r="Q280" s="40">
        <v>0.09090909090909091</v>
      </c>
      <c r="R280" s="40">
        <v>0.0</v>
      </c>
      <c r="S280" s="40">
        <v>0.0</v>
      </c>
      <c r="T280" s="40">
        <v>0.07317073170731707</v>
      </c>
    </row>
    <row r="281" ht="15.75" customHeight="1">
      <c r="F281" s="24"/>
      <c r="G281" s="19">
        <v>9.0</v>
      </c>
      <c r="H281" s="20">
        <v>23.0</v>
      </c>
      <c r="I281" s="20">
        <v>3.0</v>
      </c>
      <c r="J281" s="20"/>
      <c r="K281" s="20"/>
      <c r="L281" s="20">
        <v>5.0</v>
      </c>
      <c r="N281" s="24"/>
      <c r="O281" s="19">
        <v>9.0</v>
      </c>
      <c r="P281" s="40">
        <v>0.07641196013289037</v>
      </c>
      <c r="Q281" s="40">
        <v>0.024793388429752067</v>
      </c>
      <c r="R281" s="40">
        <v>0.0</v>
      </c>
      <c r="S281" s="40">
        <v>0.0</v>
      </c>
      <c r="T281" s="40">
        <v>0.12195121951219512</v>
      </c>
    </row>
    <row r="282" ht="15.75" customHeight="1">
      <c r="F282" s="24"/>
      <c r="G282" s="19">
        <v>10.0</v>
      </c>
      <c r="H282" s="20">
        <v>8.0</v>
      </c>
      <c r="I282" s="20">
        <v>9.0</v>
      </c>
      <c r="J282" s="20">
        <v>1.0</v>
      </c>
      <c r="K282" s="20">
        <v>1.0</v>
      </c>
      <c r="L282" s="20">
        <v>3.0</v>
      </c>
      <c r="N282" s="24"/>
      <c r="O282" s="19">
        <v>10.0</v>
      </c>
      <c r="P282" s="40">
        <v>0.026578073089700997</v>
      </c>
      <c r="Q282" s="40">
        <v>0.0743801652892562</v>
      </c>
      <c r="R282" s="40">
        <v>0.25</v>
      </c>
      <c r="S282" s="40">
        <v>0.08333333333333333</v>
      </c>
      <c r="T282" s="40">
        <v>0.07317073170731707</v>
      </c>
    </row>
    <row r="283" ht="15.75" customHeight="1">
      <c r="F283" s="24"/>
      <c r="G283" s="19">
        <v>11.0</v>
      </c>
      <c r="H283" s="20">
        <v>13.0</v>
      </c>
      <c r="I283" s="20">
        <v>11.0</v>
      </c>
      <c r="J283" s="20"/>
      <c r="K283" s="20">
        <v>2.0</v>
      </c>
      <c r="L283" s="20">
        <v>5.0</v>
      </c>
      <c r="N283" s="24"/>
      <c r="O283" s="19">
        <v>11.0</v>
      </c>
      <c r="P283" s="40">
        <v>0.04318936877076412</v>
      </c>
      <c r="Q283" s="40">
        <v>0.09090909090909091</v>
      </c>
      <c r="R283" s="40">
        <v>0.0</v>
      </c>
      <c r="S283" s="40">
        <v>0.16666666666666666</v>
      </c>
      <c r="T283" s="40">
        <v>0.12195121951219512</v>
      </c>
    </row>
    <row r="284" ht="15.75" customHeight="1">
      <c r="F284" s="24"/>
      <c r="G284" s="19">
        <v>12.0</v>
      </c>
      <c r="H284" s="20">
        <v>11.0</v>
      </c>
      <c r="I284" s="20">
        <v>9.0</v>
      </c>
      <c r="J284" s="20"/>
      <c r="K284" s="20">
        <v>1.0</v>
      </c>
      <c r="L284" s="20">
        <v>2.0</v>
      </c>
      <c r="N284" s="24"/>
      <c r="O284" s="19">
        <v>12.0</v>
      </c>
      <c r="P284" s="40">
        <v>0.036544850498338874</v>
      </c>
      <c r="Q284" s="40">
        <v>0.0743801652892562</v>
      </c>
      <c r="R284" s="40">
        <v>0.0</v>
      </c>
      <c r="S284" s="40">
        <v>0.08333333333333333</v>
      </c>
      <c r="T284" s="40">
        <v>0.04878048780487805</v>
      </c>
    </row>
    <row r="285" ht="15.75" customHeight="1">
      <c r="F285" s="24"/>
      <c r="G285" s="19">
        <v>13.0</v>
      </c>
      <c r="H285" s="20">
        <v>7.0</v>
      </c>
      <c r="I285" s="20">
        <v>7.0</v>
      </c>
      <c r="J285" s="20"/>
      <c r="K285" s="20">
        <v>1.0</v>
      </c>
      <c r="L285" s="20">
        <v>6.0</v>
      </c>
      <c r="N285" s="24"/>
      <c r="O285" s="19">
        <v>13.0</v>
      </c>
      <c r="P285" s="40">
        <v>0.023255813953488372</v>
      </c>
      <c r="Q285" s="40">
        <v>0.05785123966942149</v>
      </c>
      <c r="R285" s="40">
        <v>0.0</v>
      </c>
      <c r="S285" s="40">
        <v>0.08333333333333333</v>
      </c>
      <c r="T285" s="40">
        <v>0.14634146341463414</v>
      </c>
    </row>
    <row r="286" ht="15.75" customHeight="1">
      <c r="F286" s="24"/>
      <c r="G286" s="19">
        <v>14.0</v>
      </c>
      <c r="H286" s="20">
        <v>17.0</v>
      </c>
      <c r="I286" s="20">
        <v>7.0</v>
      </c>
      <c r="J286" s="20">
        <v>1.0</v>
      </c>
      <c r="K286" s="20">
        <v>1.0</v>
      </c>
      <c r="L286" s="20">
        <v>6.0</v>
      </c>
      <c r="N286" s="24"/>
      <c r="O286" s="19">
        <v>14.0</v>
      </c>
      <c r="P286" s="40">
        <v>0.05647840531561462</v>
      </c>
      <c r="Q286" s="40">
        <v>0.05785123966942149</v>
      </c>
      <c r="R286" s="40">
        <v>0.25</v>
      </c>
      <c r="S286" s="40">
        <v>0.08333333333333333</v>
      </c>
      <c r="T286" s="40">
        <v>0.14634146341463414</v>
      </c>
    </row>
    <row r="287" ht="15.75" customHeight="1">
      <c r="F287" s="24"/>
      <c r="G287" s="19">
        <v>15.0</v>
      </c>
      <c r="H287" s="20">
        <v>21.0</v>
      </c>
      <c r="I287" s="20">
        <v>6.0</v>
      </c>
      <c r="J287" s="20"/>
      <c r="K287" s="20">
        <v>1.0</v>
      </c>
      <c r="L287" s="20">
        <v>4.0</v>
      </c>
      <c r="N287" s="24"/>
      <c r="O287" s="19">
        <v>15.0</v>
      </c>
      <c r="P287" s="40">
        <v>0.06976744186046512</v>
      </c>
      <c r="Q287" s="40">
        <v>0.049586776859504134</v>
      </c>
      <c r="R287" s="40">
        <v>0.0</v>
      </c>
      <c r="S287" s="40">
        <v>0.08333333333333333</v>
      </c>
      <c r="T287" s="40">
        <v>0.0975609756097561</v>
      </c>
    </row>
    <row r="288" ht="15.75" customHeight="1">
      <c r="F288" s="24"/>
      <c r="G288" s="19">
        <v>16.0</v>
      </c>
      <c r="H288" s="20">
        <v>24.0</v>
      </c>
      <c r="I288" s="20">
        <v>11.0</v>
      </c>
      <c r="J288" s="20">
        <v>1.0</v>
      </c>
      <c r="K288" s="20">
        <v>1.0</v>
      </c>
      <c r="L288" s="20">
        <v>2.0</v>
      </c>
      <c r="N288" s="24"/>
      <c r="O288" s="19">
        <v>16.0</v>
      </c>
      <c r="P288" s="40">
        <v>0.07973421926910298</v>
      </c>
      <c r="Q288" s="40">
        <v>0.09090909090909091</v>
      </c>
      <c r="R288" s="40">
        <v>0.25</v>
      </c>
      <c r="S288" s="40">
        <v>0.08333333333333333</v>
      </c>
      <c r="T288" s="40">
        <v>0.04878048780487805</v>
      </c>
    </row>
    <row r="289" ht="15.75" customHeight="1">
      <c r="F289" s="24"/>
      <c r="G289" s="19">
        <v>17.0</v>
      </c>
      <c r="H289" s="20">
        <v>23.0</v>
      </c>
      <c r="I289" s="20">
        <v>5.0</v>
      </c>
      <c r="J289" s="20"/>
      <c r="K289" s="20"/>
      <c r="L289" s="20"/>
      <c r="N289" s="24"/>
      <c r="O289" s="19">
        <v>17.0</v>
      </c>
      <c r="P289" s="40">
        <v>0.07641196013289037</v>
      </c>
      <c r="Q289" s="40">
        <v>0.04132231404958678</v>
      </c>
      <c r="R289" s="40">
        <v>0.0</v>
      </c>
      <c r="S289" s="40">
        <v>0.0</v>
      </c>
      <c r="T289" s="40">
        <v>0.0</v>
      </c>
    </row>
    <row r="290" ht="15.75" customHeight="1">
      <c r="F290" s="24"/>
      <c r="G290" s="19">
        <v>18.0</v>
      </c>
      <c r="H290" s="20">
        <v>19.0</v>
      </c>
      <c r="I290" s="20">
        <v>7.0</v>
      </c>
      <c r="J290" s="20"/>
      <c r="K290" s="20">
        <v>1.0</v>
      </c>
      <c r="L290" s="20"/>
      <c r="N290" s="24"/>
      <c r="O290" s="19">
        <v>18.0</v>
      </c>
      <c r="P290" s="40">
        <v>0.06312292358803986</v>
      </c>
      <c r="Q290" s="40">
        <v>0.05785123966942149</v>
      </c>
      <c r="R290" s="40">
        <v>0.0</v>
      </c>
      <c r="S290" s="40">
        <v>0.08333333333333333</v>
      </c>
      <c r="T290" s="40">
        <v>0.0</v>
      </c>
    </row>
    <row r="291" ht="15.75" customHeight="1">
      <c r="F291" s="24"/>
      <c r="G291" s="19">
        <v>19.0</v>
      </c>
      <c r="H291" s="20">
        <v>26.0</v>
      </c>
      <c r="I291" s="20">
        <v>6.0</v>
      </c>
      <c r="J291" s="20"/>
      <c r="K291" s="20"/>
      <c r="L291" s="20"/>
      <c r="N291" s="24"/>
      <c r="O291" s="19">
        <v>19.0</v>
      </c>
      <c r="P291" s="40">
        <v>0.08637873754152824</v>
      </c>
      <c r="Q291" s="40">
        <v>0.049586776859504134</v>
      </c>
      <c r="R291" s="40">
        <v>0.0</v>
      </c>
      <c r="S291" s="40">
        <v>0.0</v>
      </c>
      <c r="T291" s="40">
        <v>0.0</v>
      </c>
    </row>
    <row r="292" ht="15.75" customHeight="1">
      <c r="F292" s="24"/>
      <c r="G292" s="19">
        <v>20.0</v>
      </c>
      <c r="H292" s="20">
        <v>24.0</v>
      </c>
      <c r="I292" s="20">
        <v>7.0</v>
      </c>
      <c r="J292" s="20"/>
      <c r="K292" s="20"/>
      <c r="L292" s="20"/>
      <c r="N292" s="24"/>
      <c r="O292" s="19">
        <v>20.0</v>
      </c>
      <c r="P292" s="40">
        <v>0.07973421926910298</v>
      </c>
      <c r="Q292" s="40">
        <v>0.05785123966942149</v>
      </c>
      <c r="R292" s="40">
        <v>0.0</v>
      </c>
      <c r="S292" s="40">
        <v>0.0</v>
      </c>
      <c r="T292" s="40">
        <v>0.0</v>
      </c>
    </row>
    <row r="293" ht="15.75" customHeight="1">
      <c r="F293" s="24"/>
      <c r="G293" s="19">
        <v>21.0</v>
      </c>
      <c r="H293" s="20">
        <v>14.0</v>
      </c>
      <c r="I293" s="20">
        <v>7.0</v>
      </c>
      <c r="J293" s="20"/>
      <c r="K293" s="20"/>
      <c r="L293" s="20"/>
      <c r="N293" s="24"/>
      <c r="O293" s="19">
        <v>21.0</v>
      </c>
      <c r="P293" s="40">
        <v>0.046511627906976744</v>
      </c>
      <c r="Q293" s="40">
        <v>0.05785123966942149</v>
      </c>
      <c r="R293" s="40">
        <v>0.0</v>
      </c>
      <c r="S293" s="40">
        <v>0.0</v>
      </c>
      <c r="T293" s="40">
        <v>0.0</v>
      </c>
    </row>
    <row r="294" ht="15.75" customHeight="1">
      <c r="F294" s="24"/>
      <c r="G294" s="19">
        <v>22.0</v>
      </c>
      <c r="H294" s="20">
        <v>13.0</v>
      </c>
      <c r="I294" s="20">
        <v>1.0</v>
      </c>
      <c r="J294" s="20"/>
      <c r="K294" s="20">
        <v>1.0</v>
      </c>
      <c r="L294" s="20"/>
      <c r="N294" s="24"/>
      <c r="O294" s="19">
        <v>22.0</v>
      </c>
      <c r="P294" s="40">
        <v>0.04318936877076412</v>
      </c>
      <c r="Q294" s="40">
        <v>0.008264462809917356</v>
      </c>
      <c r="R294" s="40">
        <v>0.0</v>
      </c>
      <c r="S294" s="40">
        <v>0.08333333333333333</v>
      </c>
      <c r="T294" s="40">
        <v>0.0</v>
      </c>
    </row>
    <row r="295" ht="15.75" customHeight="1">
      <c r="F295" s="28"/>
      <c r="G295" s="19">
        <v>23.0</v>
      </c>
      <c r="H295" s="20">
        <v>4.0</v>
      </c>
      <c r="I295" s="20">
        <v>1.0</v>
      </c>
      <c r="J295" s="20"/>
      <c r="K295" s="20"/>
      <c r="L295" s="20"/>
      <c r="N295" s="28"/>
      <c r="O295" s="19">
        <v>23.0</v>
      </c>
      <c r="P295" s="40">
        <v>0.013289036544850499</v>
      </c>
      <c r="Q295" s="40">
        <v>0.008264462809917356</v>
      </c>
      <c r="R295" s="40">
        <v>0.0</v>
      </c>
      <c r="S295" s="40">
        <v>0.0</v>
      </c>
      <c r="T295" s="40">
        <v>0.0</v>
      </c>
    </row>
    <row r="296" ht="15.75" customHeight="1">
      <c r="F296" s="56">
        <v>45220.0</v>
      </c>
      <c r="G296" s="19">
        <v>0.0</v>
      </c>
      <c r="H296" s="20">
        <v>2.0</v>
      </c>
      <c r="I296" s="20">
        <v>4.0</v>
      </c>
      <c r="J296" s="20"/>
      <c r="K296" s="20"/>
      <c r="L296" s="20"/>
      <c r="N296" s="56">
        <v>45220.0</v>
      </c>
      <c r="O296" s="19">
        <v>0.0</v>
      </c>
      <c r="P296" s="40">
        <v>0.006269592476489028</v>
      </c>
      <c r="Q296" s="40">
        <v>0.031496062992125984</v>
      </c>
      <c r="R296" s="40">
        <v>0.0</v>
      </c>
      <c r="S296" s="40">
        <v>0.0</v>
      </c>
      <c r="T296" s="40">
        <v>0.0</v>
      </c>
    </row>
    <row r="297" ht="15.75" customHeight="1">
      <c r="F297" s="24"/>
      <c r="G297" s="19">
        <v>1.0</v>
      </c>
      <c r="H297" s="20">
        <v>5.0</v>
      </c>
      <c r="I297" s="20"/>
      <c r="J297" s="20"/>
      <c r="K297" s="20"/>
      <c r="L297" s="20"/>
      <c r="N297" s="24"/>
      <c r="O297" s="19">
        <v>1.0</v>
      </c>
      <c r="P297" s="40">
        <v>0.01567398119122257</v>
      </c>
      <c r="Q297" s="40">
        <v>0.0</v>
      </c>
      <c r="R297" s="40">
        <v>0.0</v>
      </c>
      <c r="S297" s="40">
        <v>0.0</v>
      </c>
      <c r="T297" s="40">
        <v>0.0</v>
      </c>
    </row>
    <row r="298" ht="15.75" customHeight="1">
      <c r="F298" s="24"/>
      <c r="G298" s="19">
        <v>2.0</v>
      </c>
      <c r="H298" s="16">
        <v>4.0</v>
      </c>
      <c r="I298" s="16">
        <v>1.0</v>
      </c>
      <c r="J298" s="16"/>
      <c r="K298" s="16"/>
      <c r="L298" s="16"/>
      <c r="N298" s="24"/>
      <c r="O298" s="19">
        <v>2.0</v>
      </c>
      <c r="P298" s="40">
        <v>0.012539184952978056</v>
      </c>
      <c r="Q298" s="40">
        <v>0.007874015748031496</v>
      </c>
      <c r="R298" s="40">
        <v>0.0</v>
      </c>
      <c r="S298" s="40">
        <v>0.0</v>
      </c>
      <c r="T298" s="40">
        <v>0.0</v>
      </c>
    </row>
    <row r="299" ht="15.75" customHeight="1">
      <c r="F299" s="24"/>
      <c r="G299" s="19">
        <v>3.0</v>
      </c>
      <c r="H299" s="20"/>
      <c r="I299" s="20">
        <v>1.0</v>
      </c>
      <c r="J299" s="20"/>
      <c r="K299" s="20"/>
      <c r="L299" s="20"/>
      <c r="N299" s="24"/>
      <c r="O299" s="19">
        <v>3.0</v>
      </c>
      <c r="P299" s="40">
        <v>0.0</v>
      </c>
      <c r="Q299" s="40">
        <v>0.007874015748031496</v>
      </c>
      <c r="R299" s="40">
        <v>0.0</v>
      </c>
      <c r="S299" s="40">
        <v>0.0</v>
      </c>
      <c r="T299" s="40">
        <v>0.0</v>
      </c>
    </row>
    <row r="300" ht="15.75" customHeight="1">
      <c r="F300" s="24"/>
      <c r="G300" s="19">
        <v>4.0</v>
      </c>
      <c r="H300" s="20">
        <v>1.0</v>
      </c>
      <c r="I300" s="20"/>
      <c r="J300" s="20"/>
      <c r="K300" s="20">
        <v>1.0</v>
      </c>
      <c r="L300" s="20">
        <v>1.0</v>
      </c>
      <c r="N300" s="24"/>
      <c r="O300" s="19">
        <v>4.0</v>
      </c>
      <c r="P300" s="40">
        <v>0.003134796238244514</v>
      </c>
      <c r="Q300" s="40">
        <v>0.0</v>
      </c>
      <c r="R300" s="40">
        <v>0.0</v>
      </c>
      <c r="S300" s="40">
        <v>0.16666666666666666</v>
      </c>
      <c r="T300" s="40">
        <v>0.04</v>
      </c>
    </row>
    <row r="301" ht="15.75" customHeight="1">
      <c r="F301" s="24"/>
      <c r="G301" s="19">
        <v>5.0</v>
      </c>
      <c r="H301" s="20">
        <v>7.0</v>
      </c>
      <c r="I301" s="20">
        <v>3.0</v>
      </c>
      <c r="J301" s="20"/>
      <c r="K301" s="20"/>
      <c r="L301" s="20">
        <v>2.0</v>
      </c>
      <c r="N301" s="24"/>
      <c r="O301" s="19">
        <v>5.0</v>
      </c>
      <c r="P301" s="40">
        <v>0.0219435736677116</v>
      </c>
      <c r="Q301" s="40">
        <v>0.023622047244094488</v>
      </c>
      <c r="R301" s="40">
        <v>0.0</v>
      </c>
      <c r="S301" s="40">
        <v>0.0</v>
      </c>
      <c r="T301" s="40">
        <v>0.08</v>
      </c>
    </row>
    <row r="302" ht="15.75" customHeight="1">
      <c r="F302" s="24"/>
      <c r="G302" s="19">
        <v>6.0</v>
      </c>
      <c r="H302" s="20">
        <v>2.0</v>
      </c>
      <c r="I302" s="20">
        <v>4.0</v>
      </c>
      <c r="J302" s="20"/>
      <c r="K302" s="20">
        <v>1.0</v>
      </c>
      <c r="L302" s="20">
        <v>1.0</v>
      </c>
      <c r="N302" s="24"/>
      <c r="O302" s="19">
        <v>6.0</v>
      </c>
      <c r="P302" s="40">
        <v>0.006269592476489028</v>
      </c>
      <c r="Q302" s="40">
        <v>0.031496062992125984</v>
      </c>
      <c r="R302" s="40">
        <v>0.0</v>
      </c>
      <c r="S302" s="40">
        <v>0.16666666666666666</v>
      </c>
      <c r="T302" s="40">
        <v>0.04</v>
      </c>
    </row>
    <row r="303" ht="15.75" customHeight="1">
      <c r="F303" s="24"/>
      <c r="G303" s="19">
        <v>7.0</v>
      </c>
      <c r="H303" s="20">
        <v>23.0</v>
      </c>
      <c r="I303" s="20">
        <v>10.0</v>
      </c>
      <c r="J303" s="20">
        <v>4.0</v>
      </c>
      <c r="K303" s="20"/>
      <c r="L303" s="20">
        <v>2.0</v>
      </c>
      <c r="N303" s="24"/>
      <c r="O303" s="19">
        <v>7.0</v>
      </c>
      <c r="P303" s="40">
        <v>0.07210031347962383</v>
      </c>
      <c r="Q303" s="40">
        <v>0.07874015748031496</v>
      </c>
      <c r="R303" s="40">
        <v>0.8</v>
      </c>
      <c r="S303" s="40">
        <v>0.0</v>
      </c>
      <c r="T303" s="40">
        <v>0.08</v>
      </c>
    </row>
    <row r="304" ht="15.75" customHeight="1">
      <c r="F304" s="24"/>
      <c r="G304" s="19">
        <v>8.0</v>
      </c>
      <c r="H304" s="20">
        <v>26.0</v>
      </c>
      <c r="I304" s="20">
        <v>6.0</v>
      </c>
      <c r="J304" s="20"/>
      <c r="K304" s="20">
        <v>1.0</v>
      </c>
      <c r="L304" s="20">
        <v>2.0</v>
      </c>
      <c r="N304" s="24"/>
      <c r="O304" s="19">
        <v>8.0</v>
      </c>
      <c r="P304" s="40">
        <v>0.08150470219435736</v>
      </c>
      <c r="Q304" s="40">
        <v>0.047244094488188976</v>
      </c>
      <c r="R304" s="40">
        <v>0.0</v>
      </c>
      <c r="S304" s="40">
        <v>0.16666666666666666</v>
      </c>
      <c r="T304" s="40">
        <v>0.08</v>
      </c>
    </row>
    <row r="305" ht="15.75" customHeight="1">
      <c r="F305" s="24"/>
      <c r="G305" s="19">
        <v>9.0</v>
      </c>
      <c r="H305" s="20">
        <v>19.0</v>
      </c>
      <c r="I305" s="20">
        <v>7.0</v>
      </c>
      <c r="J305" s="20"/>
      <c r="K305" s="20">
        <v>1.0</v>
      </c>
      <c r="L305" s="20">
        <v>4.0</v>
      </c>
      <c r="N305" s="24"/>
      <c r="O305" s="19">
        <v>9.0</v>
      </c>
      <c r="P305" s="40">
        <v>0.05956112852664577</v>
      </c>
      <c r="Q305" s="40">
        <v>0.05511811023622047</v>
      </c>
      <c r="R305" s="40">
        <v>0.0</v>
      </c>
      <c r="S305" s="40">
        <v>0.16666666666666666</v>
      </c>
      <c r="T305" s="40">
        <v>0.16</v>
      </c>
    </row>
    <row r="306" ht="15.75" customHeight="1">
      <c r="F306" s="24"/>
      <c r="G306" s="19">
        <v>10.0</v>
      </c>
      <c r="H306" s="20">
        <v>14.0</v>
      </c>
      <c r="I306" s="20">
        <v>11.0</v>
      </c>
      <c r="J306" s="20"/>
      <c r="K306" s="20"/>
      <c r="L306" s="20">
        <v>3.0</v>
      </c>
      <c r="N306" s="24"/>
      <c r="O306" s="19">
        <v>10.0</v>
      </c>
      <c r="P306" s="40">
        <v>0.0438871473354232</v>
      </c>
      <c r="Q306" s="40">
        <v>0.08661417322834646</v>
      </c>
      <c r="R306" s="40">
        <v>0.0</v>
      </c>
      <c r="S306" s="40">
        <v>0.0</v>
      </c>
      <c r="T306" s="40">
        <v>0.12</v>
      </c>
    </row>
    <row r="307" ht="15.75" customHeight="1">
      <c r="F307" s="24"/>
      <c r="G307" s="19">
        <v>11.0</v>
      </c>
      <c r="H307" s="20">
        <v>23.0</v>
      </c>
      <c r="I307" s="20">
        <v>8.0</v>
      </c>
      <c r="J307" s="20"/>
      <c r="K307" s="20"/>
      <c r="L307" s="20">
        <v>1.0</v>
      </c>
      <c r="N307" s="24"/>
      <c r="O307" s="19">
        <v>11.0</v>
      </c>
      <c r="P307" s="40">
        <v>0.07210031347962383</v>
      </c>
      <c r="Q307" s="40">
        <v>0.06299212598425197</v>
      </c>
      <c r="R307" s="40">
        <v>0.0</v>
      </c>
      <c r="S307" s="40">
        <v>0.0</v>
      </c>
      <c r="T307" s="40">
        <v>0.04</v>
      </c>
    </row>
    <row r="308" ht="15.75" customHeight="1">
      <c r="F308" s="24"/>
      <c r="G308" s="19">
        <v>12.0</v>
      </c>
      <c r="H308" s="20">
        <v>21.0</v>
      </c>
      <c r="I308" s="20">
        <v>5.0</v>
      </c>
      <c r="J308" s="20"/>
      <c r="K308" s="20"/>
      <c r="L308" s="20">
        <v>3.0</v>
      </c>
      <c r="N308" s="24"/>
      <c r="O308" s="19">
        <v>12.0</v>
      </c>
      <c r="P308" s="40">
        <v>0.06583072100313479</v>
      </c>
      <c r="Q308" s="40">
        <v>0.03937007874015748</v>
      </c>
      <c r="R308" s="40">
        <v>0.0</v>
      </c>
      <c r="S308" s="40">
        <v>0.0</v>
      </c>
      <c r="T308" s="40">
        <v>0.12</v>
      </c>
    </row>
    <row r="309" ht="15.75" customHeight="1">
      <c r="F309" s="24"/>
      <c r="G309" s="19">
        <v>13.0</v>
      </c>
      <c r="H309" s="20">
        <v>18.0</v>
      </c>
      <c r="I309" s="20">
        <v>7.0</v>
      </c>
      <c r="J309" s="20"/>
      <c r="K309" s="20"/>
      <c r="L309" s="20">
        <v>2.0</v>
      </c>
      <c r="N309" s="24"/>
      <c r="O309" s="19">
        <v>13.0</v>
      </c>
      <c r="P309" s="40">
        <v>0.05642633228840126</v>
      </c>
      <c r="Q309" s="40">
        <v>0.05511811023622047</v>
      </c>
      <c r="R309" s="40">
        <v>0.0</v>
      </c>
      <c r="S309" s="40">
        <v>0.0</v>
      </c>
      <c r="T309" s="40">
        <v>0.08</v>
      </c>
    </row>
    <row r="310" ht="15.75" customHeight="1">
      <c r="F310" s="24"/>
      <c r="G310" s="19">
        <v>14.0</v>
      </c>
      <c r="H310" s="20">
        <v>24.0</v>
      </c>
      <c r="I310" s="20">
        <v>8.0</v>
      </c>
      <c r="J310" s="20">
        <v>1.0</v>
      </c>
      <c r="K310" s="20"/>
      <c r="L310" s="20">
        <v>1.0</v>
      </c>
      <c r="N310" s="24"/>
      <c r="O310" s="19">
        <v>14.0</v>
      </c>
      <c r="P310" s="40">
        <v>0.07523510971786834</v>
      </c>
      <c r="Q310" s="40">
        <v>0.06299212598425197</v>
      </c>
      <c r="R310" s="40">
        <v>0.2</v>
      </c>
      <c r="S310" s="40">
        <v>0.0</v>
      </c>
      <c r="T310" s="40">
        <v>0.04</v>
      </c>
    </row>
    <row r="311" ht="15.75" customHeight="1">
      <c r="F311" s="24"/>
      <c r="G311" s="19">
        <v>15.0</v>
      </c>
      <c r="H311" s="20">
        <v>24.0</v>
      </c>
      <c r="I311" s="20">
        <v>5.0</v>
      </c>
      <c r="J311" s="20"/>
      <c r="K311" s="20"/>
      <c r="L311" s="20">
        <v>2.0</v>
      </c>
      <c r="N311" s="24"/>
      <c r="O311" s="19">
        <v>15.0</v>
      </c>
      <c r="P311" s="40">
        <v>0.07523510971786834</v>
      </c>
      <c r="Q311" s="40">
        <v>0.03937007874015748</v>
      </c>
      <c r="R311" s="40">
        <v>0.0</v>
      </c>
      <c r="S311" s="40">
        <v>0.0</v>
      </c>
      <c r="T311" s="40">
        <v>0.08</v>
      </c>
    </row>
    <row r="312" ht="15.75" customHeight="1">
      <c r="F312" s="24"/>
      <c r="G312" s="19">
        <v>16.0</v>
      </c>
      <c r="H312" s="20">
        <v>21.0</v>
      </c>
      <c r="I312" s="20">
        <v>10.0</v>
      </c>
      <c r="J312" s="20"/>
      <c r="K312" s="20"/>
      <c r="L312" s="20"/>
      <c r="N312" s="24"/>
      <c r="O312" s="19">
        <v>16.0</v>
      </c>
      <c r="P312" s="40">
        <v>0.06583072100313479</v>
      </c>
      <c r="Q312" s="40">
        <v>0.07874015748031496</v>
      </c>
      <c r="R312" s="40">
        <v>0.0</v>
      </c>
      <c r="S312" s="40">
        <v>0.0</v>
      </c>
      <c r="T312" s="40">
        <v>0.0</v>
      </c>
    </row>
    <row r="313" ht="15.75" customHeight="1">
      <c r="F313" s="24"/>
      <c r="G313" s="19">
        <v>17.0</v>
      </c>
      <c r="H313" s="20">
        <v>29.0</v>
      </c>
      <c r="I313" s="20">
        <v>13.0</v>
      </c>
      <c r="J313" s="20"/>
      <c r="K313" s="20"/>
      <c r="L313" s="20"/>
      <c r="N313" s="24"/>
      <c r="O313" s="19">
        <v>17.0</v>
      </c>
      <c r="P313" s="40">
        <v>0.09090909090909091</v>
      </c>
      <c r="Q313" s="40">
        <v>0.10236220472440945</v>
      </c>
      <c r="R313" s="40">
        <v>0.0</v>
      </c>
      <c r="S313" s="40">
        <v>0.0</v>
      </c>
      <c r="T313" s="40">
        <v>0.0</v>
      </c>
    </row>
    <row r="314" ht="15.75" customHeight="1">
      <c r="F314" s="24"/>
      <c r="G314" s="19">
        <v>18.0</v>
      </c>
      <c r="H314" s="20">
        <v>12.0</v>
      </c>
      <c r="I314" s="20">
        <v>3.0</v>
      </c>
      <c r="J314" s="20"/>
      <c r="K314" s="20"/>
      <c r="L314" s="20">
        <v>1.0</v>
      </c>
      <c r="N314" s="24"/>
      <c r="O314" s="19">
        <v>18.0</v>
      </c>
      <c r="P314" s="40">
        <v>0.03761755485893417</v>
      </c>
      <c r="Q314" s="40">
        <v>0.023622047244094488</v>
      </c>
      <c r="R314" s="40">
        <v>0.0</v>
      </c>
      <c r="S314" s="40">
        <v>0.0</v>
      </c>
      <c r="T314" s="40">
        <v>0.04</v>
      </c>
    </row>
    <row r="315" ht="15.75" customHeight="1">
      <c r="F315" s="24"/>
      <c r="G315" s="19">
        <v>19.0</v>
      </c>
      <c r="H315" s="20">
        <v>15.0</v>
      </c>
      <c r="I315" s="20">
        <v>9.0</v>
      </c>
      <c r="J315" s="20"/>
      <c r="K315" s="20">
        <v>1.0</v>
      </c>
      <c r="L315" s="20"/>
      <c r="N315" s="24"/>
      <c r="O315" s="19">
        <v>19.0</v>
      </c>
      <c r="P315" s="40">
        <v>0.047021943573667714</v>
      </c>
      <c r="Q315" s="40">
        <v>0.07086614173228346</v>
      </c>
      <c r="R315" s="40">
        <v>0.0</v>
      </c>
      <c r="S315" s="40">
        <v>0.16666666666666666</v>
      </c>
      <c r="T315" s="40">
        <v>0.0</v>
      </c>
    </row>
    <row r="316" ht="15.75" customHeight="1">
      <c r="F316" s="24"/>
      <c r="G316" s="19">
        <v>20.0</v>
      </c>
      <c r="H316" s="20">
        <v>13.0</v>
      </c>
      <c r="I316" s="20">
        <v>6.0</v>
      </c>
      <c r="J316" s="20"/>
      <c r="K316" s="20"/>
      <c r="L316" s="20"/>
      <c r="N316" s="24"/>
      <c r="O316" s="19">
        <v>20.0</v>
      </c>
      <c r="P316" s="40">
        <v>0.04075235109717868</v>
      </c>
      <c r="Q316" s="40">
        <v>0.047244094488188976</v>
      </c>
      <c r="R316" s="40">
        <v>0.0</v>
      </c>
      <c r="S316" s="40">
        <v>0.0</v>
      </c>
      <c r="T316" s="40">
        <v>0.0</v>
      </c>
    </row>
    <row r="317" ht="15.75" customHeight="1">
      <c r="F317" s="24"/>
      <c r="G317" s="19">
        <v>21.0</v>
      </c>
      <c r="H317" s="20">
        <v>9.0</v>
      </c>
      <c r="I317" s="20">
        <v>2.0</v>
      </c>
      <c r="J317" s="20"/>
      <c r="K317" s="20">
        <v>1.0</v>
      </c>
      <c r="L317" s="20"/>
      <c r="N317" s="24"/>
      <c r="O317" s="19">
        <v>21.0</v>
      </c>
      <c r="P317" s="40">
        <v>0.02821316614420063</v>
      </c>
      <c r="Q317" s="40">
        <v>0.015748031496062992</v>
      </c>
      <c r="R317" s="40">
        <v>0.0</v>
      </c>
      <c r="S317" s="40">
        <v>0.16666666666666666</v>
      </c>
      <c r="T317" s="40">
        <v>0.0</v>
      </c>
    </row>
    <row r="318" ht="15.75" customHeight="1">
      <c r="F318" s="24"/>
      <c r="G318" s="19">
        <v>22.0</v>
      </c>
      <c r="H318" s="20">
        <v>4.0</v>
      </c>
      <c r="I318" s="20">
        <v>2.0</v>
      </c>
      <c r="J318" s="20"/>
      <c r="K318" s="20"/>
      <c r="L318" s="20"/>
      <c r="N318" s="24"/>
      <c r="O318" s="19">
        <v>22.0</v>
      </c>
      <c r="P318" s="40">
        <v>0.012539184952978056</v>
      </c>
      <c r="Q318" s="40">
        <v>0.015748031496062992</v>
      </c>
      <c r="R318" s="40">
        <v>0.0</v>
      </c>
      <c r="S318" s="40">
        <v>0.0</v>
      </c>
      <c r="T318" s="40">
        <v>0.0</v>
      </c>
    </row>
    <row r="319" ht="15.75" customHeight="1">
      <c r="F319" s="28"/>
      <c r="G319" s="19">
        <v>23.0</v>
      </c>
      <c r="H319" s="20">
        <v>3.0</v>
      </c>
      <c r="I319" s="20">
        <v>2.0</v>
      </c>
      <c r="J319" s="20"/>
      <c r="K319" s="20"/>
      <c r="L319" s="20"/>
      <c r="N319" s="28"/>
      <c r="O319" s="19">
        <v>23.0</v>
      </c>
      <c r="P319" s="40">
        <v>0.009404388714733543</v>
      </c>
      <c r="Q319" s="40">
        <v>0.015748031496062992</v>
      </c>
      <c r="R319" s="40">
        <v>0.0</v>
      </c>
      <c r="S319" s="40">
        <v>0.0</v>
      </c>
      <c r="T319" s="40">
        <v>0.0</v>
      </c>
    </row>
    <row r="320" ht="15.75" customHeight="1">
      <c r="F320" s="56">
        <v>45221.0</v>
      </c>
      <c r="G320" s="19">
        <v>0.0</v>
      </c>
      <c r="H320" s="20">
        <v>4.0</v>
      </c>
      <c r="I320" s="20">
        <v>2.0</v>
      </c>
      <c r="J320" s="20"/>
      <c r="K320" s="20"/>
      <c r="L320" s="20"/>
      <c r="N320" s="56">
        <v>45221.0</v>
      </c>
      <c r="O320" s="19">
        <v>0.0</v>
      </c>
      <c r="P320" s="40">
        <v>0.011527377521613832</v>
      </c>
      <c r="Q320" s="40">
        <v>0.019230769230769232</v>
      </c>
      <c r="R320" s="40">
        <v>0.0</v>
      </c>
      <c r="S320" s="40">
        <v>0.0</v>
      </c>
      <c r="T320" s="40">
        <v>0.0</v>
      </c>
    </row>
    <row r="321" ht="15.75" customHeight="1">
      <c r="F321" s="24"/>
      <c r="G321" s="19">
        <v>1.0</v>
      </c>
      <c r="H321" s="20">
        <v>4.0</v>
      </c>
      <c r="I321" s="20">
        <v>2.0</v>
      </c>
      <c r="J321" s="20"/>
      <c r="K321" s="20"/>
      <c r="L321" s="20"/>
      <c r="N321" s="24"/>
      <c r="O321" s="19">
        <v>1.0</v>
      </c>
      <c r="P321" s="40">
        <v>0.011527377521613832</v>
      </c>
      <c r="Q321" s="40">
        <v>0.019230769230769232</v>
      </c>
      <c r="R321" s="40">
        <v>0.0</v>
      </c>
      <c r="S321" s="40">
        <v>0.0</v>
      </c>
      <c r="T321" s="40">
        <v>0.0</v>
      </c>
    </row>
    <row r="322" ht="15.75" customHeight="1">
      <c r="F322" s="24"/>
      <c r="G322" s="19">
        <v>2.0</v>
      </c>
      <c r="H322" s="16">
        <v>1.0</v>
      </c>
      <c r="I322" s="16"/>
      <c r="J322" s="16"/>
      <c r="K322" s="16"/>
      <c r="L322" s="16"/>
      <c r="N322" s="24"/>
      <c r="O322" s="19">
        <v>2.0</v>
      </c>
      <c r="P322" s="40">
        <v>0.002881844380403458</v>
      </c>
      <c r="Q322" s="40">
        <v>0.0</v>
      </c>
      <c r="R322" s="40">
        <v>0.0</v>
      </c>
      <c r="S322" s="40">
        <v>0.0</v>
      </c>
      <c r="T322" s="40">
        <v>0.0</v>
      </c>
    </row>
    <row r="323" ht="15.75" customHeight="1">
      <c r="F323" s="24"/>
      <c r="G323" s="19">
        <v>3.0</v>
      </c>
      <c r="H323" s="20">
        <v>2.0</v>
      </c>
      <c r="I323" s="20">
        <v>1.0</v>
      </c>
      <c r="J323" s="20"/>
      <c r="K323" s="20"/>
      <c r="L323" s="20"/>
      <c r="N323" s="24"/>
      <c r="O323" s="19">
        <v>3.0</v>
      </c>
      <c r="P323" s="40">
        <v>0.005763688760806916</v>
      </c>
      <c r="Q323" s="40">
        <v>0.009615384615384616</v>
      </c>
      <c r="R323" s="40">
        <v>0.0</v>
      </c>
      <c r="S323" s="40">
        <v>0.0</v>
      </c>
      <c r="T323" s="40">
        <v>0.0</v>
      </c>
    </row>
    <row r="324" ht="15.75" customHeight="1">
      <c r="F324" s="24"/>
      <c r="G324" s="19">
        <v>4.0</v>
      </c>
      <c r="H324" s="20">
        <v>1.0</v>
      </c>
      <c r="I324" s="20"/>
      <c r="J324" s="20"/>
      <c r="K324" s="20"/>
      <c r="L324" s="20">
        <v>1.0</v>
      </c>
      <c r="N324" s="24"/>
      <c r="O324" s="19">
        <v>4.0</v>
      </c>
      <c r="P324" s="40">
        <v>0.002881844380403458</v>
      </c>
      <c r="Q324" s="40">
        <v>0.0</v>
      </c>
      <c r="R324" s="40">
        <v>0.0</v>
      </c>
      <c r="S324" s="40">
        <v>0.0</v>
      </c>
      <c r="T324" s="40">
        <v>0.3333333333333333</v>
      </c>
    </row>
    <row r="325" ht="15.75" customHeight="1">
      <c r="F325" s="24"/>
      <c r="G325" s="19">
        <v>5.0</v>
      </c>
      <c r="H325" s="20">
        <v>4.0</v>
      </c>
      <c r="I325" s="20">
        <v>2.0</v>
      </c>
      <c r="J325" s="20"/>
      <c r="K325" s="20"/>
      <c r="L325" s="20"/>
      <c r="N325" s="24"/>
      <c r="O325" s="19">
        <v>5.0</v>
      </c>
      <c r="P325" s="40">
        <v>0.011527377521613832</v>
      </c>
      <c r="Q325" s="40">
        <v>0.019230769230769232</v>
      </c>
      <c r="R325" s="40">
        <v>0.0</v>
      </c>
      <c r="S325" s="40">
        <v>0.0</v>
      </c>
      <c r="T325" s="40">
        <v>0.0</v>
      </c>
    </row>
    <row r="326" ht="15.75" customHeight="1">
      <c r="F326" s="24"/>
      <c r="G326" s="19">
        <v>6.0</v>
      </c>
      <c r="H326" s="20">
        <v>7.0</v>
      </c>
      <c r="I326" s="20">
        <v>3.0</v>
      </c>
      <c r="J326" s="20">
        <v>1.0</v>
      </c>
      <c r="K326" s="20"/>
      <c r="L326" s="20">
        <v>1.0</v>
      </c>
      <c r="N326" s="24"/>
      <c r="O326" s="19">
        <v>6.0</v>
      </c>
      <c r="P326" s="40">
        <v>0.020172910662824207</v>
      </c>
      <c r="Q326" s="40">
        <v>0.028846153846153848</v>
      </c>
      <c r="R326" s="40">
        <v>0.3333333333333333</v>
      </c>
      <c r="S326" s="40">
        <v>0.0</v>
      </c>
      <c r="T326" s="40">
        <v>0.3333333333333333</v>
      </c>
    </row>
    <row r="327" ht="15.75" customHeight="1">
      <c r="F327" s="24"/>
      <c r="G327" s="19">
        <v>7.0</v>
      </c>
      <c r="H327" s="20">
        <v>18.0</v>
      </c>
      <c r="I327" s="20">
        <v>7.0</v>
      </c>
      <c r="J327" s="20"/>
      <c r="K327" s="20">
        <v>1.0</v>
      </c>
      <c r="L327" s="20"/>
      <c r="N327" s="24"/>
      <c r="O327" s="19">
        <v>7.0</v>
      </c>
      <c r="P327" s="40">
        <v>0.05187319884726225</v>
      </c>
      <c r="Q327" s="40">
        <v>0.0673076923076923</v>
      </c>
      <c r="R327" s="40">
        <v>0.0</v>
      </c>
      <c r="S327" s="40">
        <v>0.25</v>
      </c>
      <c r="T327" s="40">
        <v>0.0</v>
      </c>
    </row>
    <row r="328" ht="15.75" customHeight="1">
      <c r="F328" s="24"/>
      <c r="G328" s="19">
        <v>8.0</v>
      </c>
      <c r="H328" s="20">
        <v>11.0</v>
      </c>
      <c r="I328" s="20">
        <v>1.0</v>
      </c>
      <c r="J328" s="20"/>
      <c r="K328" s="20"/>
      <c r="L328" s="20">
        <v>1.0</v>
      </c>
      <c r="N328" s="24"/>
      <c r="O328" s="19">
        <v>8.0</v>
      </c>
      <c r="P328" s="40">
        <v>0.03170028818443804</v>
      </c>
      <c r="Q328" s="40">
        <v>0.009615384615384616</v>
      </c>
      <c r="R328" s="40">
        <v>0.0</v>
      </c>
      <c r="S328" s="40">
        <v>0.0</v>
      </c>
      <c r="T328" s="40">
        <v>0.3333333333333333</v>
      </c>
    </row>
    <row r="329" ht="15.75" customHeight="1">
      <c r="F329" s="24"/>
      <c r="G329" s="19">
        <v>9.0</v>
      </c>
      <c r="H329" s="20">
        <v>13.0</v>
      </c>
      <c r="I329" s="20">
        <v>3.0</v>
      </c>
      <c r="J329" s="20"/>
      <c r="K329" s="20">
        <v>1.0</v>
      </c>
      <c r="L329" s="20"/>
      <c r="N329" s="24"/>
      <c r="O329" s="19">
        <v>9.0</v>
      </c>
      <c r="P329" s="40">
        <v>0.037463976945244955</v>
      </c>
      <c r="Q329" s="40">
        <v>0.028846153846153848</v>
      </c>
      <c r="R329" s="40">
        <v>0.0</v>
      </c>
      <c r="S329" s="40">
        <v>0.25</v>
      </c>
      <c r="T329" s="40">
        <v>0.0</v>
      </c>
    </row>
    <row r="330" ht="15.75" customHeight="1">
      <c r="F330" s="24"/>
      <c r="G330" s="19">
        <v>10.0</v>
      </c>
      <c r="H330" s="20">
        <v>27.0</v>
      </c>
      <c r="I330" s="20">
        <v>4.0</v>
      </c>
      <c r="J330" s="20"/>
      <c r="K330" s="20"/>
      <c r="L330" s="20"/>
      <c r="N330" s="24"/>
      <c r="O330" s="19">
        <v>10.0</v>
      </c>
      <c r="P330" s="40">
        <v>0.07780979827089338</v>
      </c>
      <c r="Q330" s="40">
        <v>0.038461538461538464</v>
      </c>
      <c r="R330" s="40">
        <v>0.0</v>
      </c>
      <c r="S330" s="40">
        <v>0.0</v>
      </c>
      <c r="T330" s="40">
        <v>0.0</v>
      </c>
    </row>
    <row r="331" ht="15.75" customHeight="1">
      <c r="F331" s="24"/>
      <c r="G331" s="19">
        <v>11.0</v>
      </c>
      <c r="H331" s="20">
        <v>30.0</v>
      </c>
      <c r="I331" s="20">
        <v>10.0</v>
      </c>
      <c r="J331" s="20"/>
      <c r="K331" s="20"/>
      <c r="L331" s="20"/>
      <c r="N331" s="24"/>
      <c r="O331" s="19">
        <v>11.0</v>
      </c>
      <c r="P331" s="40">
        <v>0.08645533141210375</v>
      </c>
      <c r="Q331" s="40">
        <v>0.09615384615384616</v>
      </c>
      <c r="R331" s="40">
        <v>0.0</v>
      </c>
      <c r="S331" s="40">
        <v>0.0</v>
      </c>
      <c r="T331" s="40">
        <v>0.0</v>
      </c>
    </row>
    <row r="332" ht="15.75" customHeight="1">
      <c r="F332" s="24"/>
      <c r="G332" s="19">
        <v>12.0</v>
      </c>
      <c r="H332" s="20">
        <v>20.0</v>
      </c>
      <c r="I332" s="20">
        <v>10.0</v>
      </c>
      <c r="J332" s="20"/>
      <c r="K332" s="20">
        <v>1.0</v>
      </c>
      <c r="L332" s="20"/>
      <c r="N332" s="24"/>
      <c r="O332" s="19">
        <v>12.0</v>
      </c>
      <c r="P332" s="40">
        <v>0.05763688760806916</v>
      </c>
      <c r="Q332" s="40">
        <v>0.09615384615384616</v>
      </c>
      <c r="R332" s="40">
        <v>0.0</v>
      </c>
      <c r="S332" s="40">
        <v>0.25</v>
      </c>
      <c r="T332" s="40">
        <v>0.0</v>
      </c>
    </row>
    <row r="333" ht="15.75" customHeight="1">
      <c r="F333" s="24"/>
      <c r="G333" s="19">
        <v>13.0</v>
      </c>
      <c r="H333" s="20">
        <v>14.0</v>
      </c>
      <c r="I333" s="20">
        <v>3.0</v>
      </c>
      <c r="J333" s="20"/>
      <c r="K333" s="20"/>
      <c r="L333" s="20"/>
      <c r="N333" s="24"/>
      <c r="O333" s="19">
        <v>13.0</v>
      </c>
      <c r="P333" s="40">
        <v>0.040345821325648415</v>
      </c>
      <c r="Q333" s="40">
        <v>0.028846153846153848</v>
      </c>
      <c r="R333" s="40">
        <v>0.0</v>
      </c>
      <c r="S333" s="40">
        <v>0.0</v>
      </c>
      <c r="T333" s="40">
        <v>0.0</v>
      </c>
    </row>
    <row r="334" ht="15.75" customHeight="1">
      <c r="F334" s="24"/>
      <c r="G334" s="19">
        <v>14.0</v>
      </c>
      <c r="H334" s="20">
        <v>26.0</v>
      </c>
      <c r="I334" s="20">
        <v>11.0</v>
      </c>
      <c r="J334" s="20"/>
      <c r="K334" s="20"/>
      <c r="L334" s="20"/>
      <c r="N334" s="24"/>
      <c r="O334" s="19">
        <v>14.0</v>
      </c>
      <c r="P334" s="40">
        <v>0.07492795389048991</v>
      </c>
      <c r="Q334" s="40">
        <v>0.10576923076923077</v>
      </c>
      <c r="R334" s="40">
        <v>0.0</v>
      </c>
      <c r="S334" s="40">
        <v>0.0</v>
      </c>
      <c r="T334" s="40">
        <v>0.0</v>
      </c>
    </row>
    <row r="335" ht="15.75" customHeight="1">
      <c r="F335" s="24"/>
      <c r="G335" s="19">
        <v>15.0</v>
      </c>
      <c r="H335" s="20">
        <v>24.0</v>
      </c>
      <c r="I335" s="20">
        <v>6.0</v>
      </c>
      <c r="J335" s="20"/>
      <c r="K335" s="20"/>
      <c r="L335" s="20"/>
      <c r="N335" s="24"/>
      <c r="O335" s="19">
        <v>15.0</v>
      </c>
      <c r="P335" s="40">
        <v>0.069164265129683</v>
      </c>
      <c r="Q335" s="40">
        <v>0.057692307692307696</v>
      </c>
      <c r="R335" s="40">
        <v>0.0</v>
      </c>
      <c r="S335" s="40">
        <v>0.0</v>
      </c>
      <c r="T335" s="40">
        <v>0.0</v>
      </c>
    </row>
    <row r="336" ht="15.75" customHeight="1">
      <c r="F336" s="24"/>
      <c r="G336" s="19">
        <v>16.0</v>
      </c>
      <c r="H336" s="20">
        <v>32.0</v>
      </c>
      <c r="I336" s="20">
        <v>7.0</v>
      </c>
      <c r="J336" s="20"/>
      <c r="K336" s="20"/>
      <c r="L336" s="20"/>
      <c r="N336" s="24"/>
      <c r="O336" s="19">
        <v>16.0</v>
      </c>
      <c r="P336" s="40">
        <v>0.09221902017291066</v>
      </c>
      <c r="Q336" s="40">
        <v>0.0673076923076923</v>
      </c>
      <c r="R336" s="40">
        <v>0.0</v>
      </c>
      <c r="S336" s="40">
        <v>0.0</v>
      </c>
      <c r="T336" s="40">
        <v>0.0</v>
      </c>
    </row>
    <row r="337" ht="15.75" customHeight="1">
      <c r="F337" s="24"/>
      <c r="G337" s="19">
        <v>17.0</v>
      </c>
      <c r="H337" s="20">
        <v>29.0</v>
      </c>
      <c r="I337" s="20">
        <v>5.0</v>
      </c>
      <c r="J337" s="20"/>
      <c r="K337" s="20">
        <v>1.0</v>
      </c>
      <c r="L337" s="20"/>
      <c r="N337" s="24"/>
      <c r="O337" s="19">
        <v>17.0</v>
      </c>
      <c r="P337" s="40">
        <v>0.08357348703170028</v>
      </c>
      <c r="Q337" s="40">
        <v>0.04807692307692308</v>
      </c>
      <c r="R337" s="40">
        <v>0.0</v>
      </c>
      <c r="S337" s="40">
        <v>0.25</v>
      </c>
      <c r="T337" s="40">
        <v>0.0</v>
      </c>
    </row>
    <row r="338" ht="15.75" customHeight="1">
      <c r="F338" s="24"/>
      <c r="G338" s="19">
        <v>18.0</v>
      </c>
      <c r="H338" s="20">
        <v>21.0</v>
      </c>
      <c r="I338" s="20">
        <v>6.0</v>
      </c>
      <c r="J338" s="20">
        <v>2.0</v>
      </c>
      <c r="K338" s="20"/>
      <c r="L338" s="20"/>
      <c r="N338" s="24"/>
      <c r="O338" s="19">
        <v>18.0</v>
      </c>
      <c r="P338" s="40">
        <v>0.06051873198847262</v>
      </c>
      <c r="Q338" s="40">
        <v>0.057692307692307696</v>
      </c>
      <c r="R338" s="40">
        <v>0.6666666666666666</v>
      </c>
      <c r="S338" s="40">
        <v>0.0</v>
      </c>
      <c r="T338" s="40">
        <v>0.0</v>
      </c>
    </row>
    <row r="339" ht="15.75" customHeight="1">
      <c r="F339" s="24"/>
      <c r="G339" s="19">
        <v>19.0</v>
      </c>
      <c r="H339" s="20">
        <v>23.0</v>
      </c>
      <c r="I339" s="20">
        <v>8.0</v>
      </c>
      <c r="J339" s="20"/>
      <c r="K339" s="20"/>
      <c r="L339" s="20"/>
      <c r="N339" s="24"/>
      <c r="O339" s="19">
        <v>19.0</v>
      </c>
      <c r="P339" s="40">
        <v>0.06628242074927954</v>
      </c>
      <c r="Q339" s="40">
        <v>0.07692307692307693</v>
      </c>
      <c r="R339" s="40">
        <v>0.0</v>
      </c>
      <c r="S339" s="40">
        <v>0.0</v>
      </c>
      <c r="T339" s="40">
        <v>0.0</v>
      </c>
    </row>
    <row r="340" ht="15.75" customHeight="1">
      <c r="F340" s="24"/>
      <c r="G340" s="19">
        <v>20.0</v>
      </c>
      <c r="H340" s="20">
        <v>14.0</v>
      </c>
      <c r="I340" s="20">
        <v>7.0</v>
      </c>
      <c r="J340" s="20"/>
      <c r="K340" s="20"/>
      <c r="L340" s="20"/>
      <c r="N340" s="24"/>
      <c r="O340" s="19">
        <v>20.0</v>
      </c>
      <c r="P340" s="40">
        <v>0.040345821325648415</v>
      </c>
      <c r="Q340" s="40">
        <v>0.0673076923076923</v>
      </c>
      <c r="R340" s="40">
        <v>0.0</v>
      </c>
      <c r="S340" s="40">
        <v>0.0</v>
      </c>
      <c r="T340" s="40">
        <v>0.0</v>
      </c>
    </row>
    <row r="341" ht="15.75" customHeight="1">
      <c r="F341" s="24"/>
      <c r="G341" s="19">
        <v>21.0</v>
      </c>
      <c r="H341" s="20">
        <v>12.0</v>
      </c>
      <c r="I341" s="20">
        <v>2.0</v>
      </c>
      <c r="J341" s="20"/>
      <c r="K341" s="20"/>
      <c r="L341" s="20"/>
      <c r="N341" s="24"/>
      <c r="O341" s="19">
        <v>21.0</v>
      </c>
      <c r="P341" s="40">
        <v>0.0345821325648415</v>
      </c>
      <c r="Q341" s="40">
        <v>0.019230769230769232</v>
      </c>
      <c r="R341" s="40">
        <v>0.0</v>
      </c>
      <c r="S341" s="40">
        <v>0.0</v>
      </c>
      <c r="T341" s="40">
        <v>0.0</v>
      </c>
    </row>
    <row r="342" ht="15.75" customHeight="1">
      <c r="F342" s="24"/>
      <c r="G342" s="19">
        <v>22.0</v>
      </c>
      <c r="H342" s="20">
        <v>3.0</v>
      </c>
      <c r="I342" s="20">
        <v>3.0</v>
      </c>
      <c r="J342" s="20"/>
      <c r="K342" s="20"/>
      <c r="L342" s="20"/>
      <c r="N342" s="24"/>
      <c r="O342" s="19">
        <v>22.0</v>
      </c>
      <c r="P342" s="40">
        <v>0.008645533141210375</v>
      </c>
      <c r="Q342" s="40">
        <v>0.028846153846153848</v>
      </c>
      <c r="R342" s="40">
        <v>0.0</v>
      </c>
      <c r="S342" s="40">
        <v>0.0</v>
      </c>
      <c r="T342" s="40">
        <v>0.0</v>
      </c>
    </row>
    <row r="343" ht="15.75" customHeight="1">
      <c r="F343" s="28"/>
      <c r="G343" s="19">
        <v>23.0</v>
      </c>
      <c r="H343" s="20">
        <v>7.0</v>
      </c>
      <c r="I343" s="20">
        <v>1.0</v>
      </c>
      <c r="J343" s="20"/>
      <c r="K343" s="20"/>
      <c r="L343" s="20"/>
      <c r="N343" s="28"/>
      <c r="O343" s="19">
        <v>23.0</v>
      </c>
      <c r="P343" s="40">
        <v>0.020172910662824207</v>
      </c>
      <c r="Q343" s="40">
        <v>0.009615384615384616</v>
      </c>
      <c r="R343" s="40">
        <v>0.0</v>
      </c>
      <c r="S343" s="40">
        <v>0.0</v>
      </c>
      <c r="T343" s="40">
        <v>0.0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3:C3"/>
    <mergeCell ref="D3:E3"/>
    <mergeCell ref="H3:L3"/>
    <mergeCell ref="H4:L4"/>
    <mergeCell ref="F7:F30"/>
    <mergeCell ref="N7:N30"/>
    <mergeCell ref="N31:N54"/>
    <mergeCell ref="F200:F223"/>
    <mergeCell ref="F224:F247"/>
    <mergeCell ref="F248:F271"/>
    <mergeCell ref="F272:F295"/>
    <mergeCell ref="F296:F319"/>
    <mergeCell ref="F320:F343"/>
    <mergeCell ref="F31:F54"/>
    <mergeCell ref="F55:F78"/>
    <mergeCell ref="F79:F102"/>
    <mergeCell ref="F103:F126"/>
    <mergeCell ref="F127:F150"/>
    <mergeCell ref="F151:F174"/>
    <mergeCell ref="F176:F199"/>
    <mergeCell ref="N224:N247"/>
    <mergeCell ref="N248:N271"/>
    <mergeCell ref="N272:N295"/>
    <mergeCell ref="N296:N319"/>
    <mergeCell ref="N320:N343"/>
    <mergeCell ref="N55:N78"/>
    <mergeCell ref="N79:N102"/>
    <mergeCell ref="N103:N126"/>
    <mergeCell ref="N127:N150"/>
    <mergeCell ref="N151:N174"/>
    <mergeCell ref="N176:N199"/>
    <mergeCell ref="N200:N2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308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309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2" t="s">
        <v>13</v>
      </c>
      <c r="E5" s="101" t="s">
        <v>14</v>
      </c>
    </row>
    <row r="6" ht="15.75" customHeight="1"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56">
        <v>45217.0</v>
      </c>
      <c r="G8" s="19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O8" s="19">
        <v>0.0</v>
      </c>
      <c r="P8" s="40">
        <f t="shared" ref="P8:T8" si="1">H8/H$32</f>
        <v>0</v>
      </c>
      <c r="Q8" s="40">
        <f t="shared" si="1"/>
        <v>0</v>
      </c>
      <c r="R8" s="40">
        <f t="shared" si="1"/>
        <v>0</v>
      </c>
      <c r="S8" s="40">
        <f t="shared" si="1"/>
        <v>0</v>
      </c>
      <c r="T8" s="40">
        <f t="shared" si="1"/>
        <v>0</v>
      </c>
    </row>
    <row r="9" ht="15.75" customHeight="1">
      <c r="F9" s="24"/>
      <c r="G9" s="19">
        <v>1.0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O9" s="19">
        <v>1.0</v>
      </c>
      <c r="P9" s="40">
        <f t="shared" ref="P9:T9" si="2">H9/H$32</f>
        <v>0</v>
      </c>
      <c r="Q9" s="40">
        <f t="shared" si="2"/>
        <v>0</v>
      </c>
      <c r="R9" s="40">
        <f t="shared" si="2"/>
        <v>0</v>
      </c>
      <c r="S9" s="40">
        <f t="shared" si="2"/>
        <v>0</v>
      </c>
      <c r="T9" s="40">
        <f t="shared" si="2"/>
        <v>0</v>
      </c>
    </row>
    <row r="10" ht="15.75" customHeight="1">
      <c r="F10" s="24"/>
      <c r="G10" s="19">
        <v>2.0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O10" s="19">
        <v>2.0</v>
      </c>
      <c r="P10" s="40">
        <f t="shared" ref="P10:T10" si="3">H10/H$32</f>
        <v>0</v>
      </c>
      <c r="Q10" s="40">
        <f t="shared" si="3"/>
        <v>0</v>
      </c>
      <c r="R10" s="40">
        <f t="shared" si="3"/>
        <v>0</v>
      </c>
      <c r="S10" s="40">
        <f t="shared" si="3"/>
        <v>0</v>
      </c>
      <c r="T10" s="40">
        <f t="shared" si="3"/>
        <v>0</v>
      </c>
    </row>
    <row r="11" ht="15.75" customHeight="1">
      <c r="F11" s="24"/>
      <c r="G11" s="19">
        <v>3.0</v>
      </c>
      <c r="H11" s="20">
        <v>0.0</v>
      </c>
      <c r="I11" s="20">
        <v>0.0</v>
      </c>
      <c r="J11" s="20">
        <v>0.0</v>
      </c>
      <c r="K11" s="20">
        <v>0.0</v>
      </c>
      <c r="L11" s="20">
        <v>0.0</v>
      </c>
      <c r="O11" s="19">
        <v>3.0</v>
      </c>
      <c r="P11" s="40">
        <f t="shared" ref="P11:T11" si="4">H11/H$32</f>
        <v>0</v>
      </c>
      <c r="Q11" s="40">
        <f t="shared" si="4"/>
        <v>0</v>
      </c>
      <c r="R11" s="40">
        <f t="shared" si="4"/>
        <v>0</v>
      </c>
      <c r="S11" s="40">
        <f t="shared" si="4"/>
        <v>0</v>
      </c>
      <c r="T11" s="40">
        <f t="shared" si="4"/>
        <v>0</v>
      </c>
    </row>
    <row r="12" ht="15.75" customHeight="1">
      <c r="F12" s="24"/>
      <c r="G12" s="19">
        <v>4.0</v>
      </c>
      <c r="H12" s="20">
        <v>0.0</v>
      </c>
      <c r="I12" s="20">
        <v>0.0</v>
      </c>
      <c r="J12" s="20">
        <v>0.0</v>
      </c>
      <c r="K12" s="20">
        <v>0.0</v>
      </c>
      <c r="L12" s="20">
        <v>0.0</v>
      </c>
      <c r="O12" s="19">
        <v>4.0</v>
      </c>
      <c r="P12" s="40">
        <f t="shared" ref="P12:T12" si="5">H12/H$32</f>
        <v>0</v>
      </c>
      <c r="Q12" s="40">
        <f t="shared" si="5"/>
        <v>0</v>
      </c>
      <c r="R12" s="40">
        <f t="shared" si="5"/>
        <v>0</v>
      </c>
      <c r="S12" s="40">
        <f t="shared" si="5"/>
        <v>0</v>
      </c>
      <c r="T12" s="40">
        <f t="shared" si="5"/>
        <v>0</v>
      </c>
    </row>
    <row r="13" ht="15.75" customHeight="1">
      <c r="F13" s="24"/>
      <c r="G13" s="19">
        <v>5.0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O13" s="19">
        <v>5.0</v>
      </c>
      <c r="P13" s="40">
        <f t="shared" ref="P13:T13" si="6">H13/H$32</f>
        <v>0</v>
      </c>
      <c r="Q13" s="40">
        <f t="shared" si="6"/>
        <v>0</v>
      </c>
      <c r="R13" s="40">
        <f t="shared" si="6"/>
        <v>0</v>
      </c>
      <c r="S13" s="40">
        <f t="shared" si="6"/>
        <v>0</v>
      </c>
      <c r="T13" s="40">
        <f t="shared" si="6"/>
        <v>0</v>
      </c>
    </row>
    <row r="14" ht="15.75" customHeight="1">
      <c r="F14" s="24"/>
      <c r="G14" s="19">
        <v>6.0</v>
      </c>
      <c r="H14" s="20">
        <v>0.0</v>
      </c>
      <c r="I14" s="20">
        <v>0.0</v>
      </c>
      <c r="J14" s="20">
        <v>0.0</v>
      </c>
      <c r="K14" s="20">
        <v>0.0</v>
      </c>
      <c r="L14" s="20">
        <v>1.0</v>
      </c>
      <c r="O14" s="19">
        <v>6.0</v>
      </c>
      <c r="P14" s="40">
        <f t="shared" ref="P14:T14" si="7">H14/H$32</f>
        <v>0</v>
      </c>
      <c r="Q14" s="40">
        <f t="shared" si="7"/>
        <v>0</v>
      </c>
      <c r="R14" s="40">
        <f t="shared" si="7"/>
        <v>0</v>
      </c>
      <c r="S14" s="40">
        <f t="shared" si="7"/>
        <v>0</v>
      </c>
      <c r="T14" s="40">
        <f t="shared" si="7"/>
        <v>0.5</v>
      </c>
    </row>
    <row r="15" ht="15.75" customHeight="1">
      <c r="F15" s="24"/>
      <c r="G15" s="19">
        <v>7.0</v>
      </c>
      <c r="H15" s="20">
        <v>2.0</v>
      </c>
      <c r="I15" s="20">
        <v>1.0</v>
      </c>
      <c r="J15" s="20">
        <v>0.0</v>
      </c>
      <c r="K15" s="20">
        <v>0.0</v>
      </c>
      <c r="L15" s="20">
        <v>0.0</v>
      </c>
      <c r="O15" s="19">
        <v>7.0</v>
      </c>
      <c r="P15" s="40">
        <f t="shared" ref="P15:T15" si="8">H15/H$32</f>
        <v>0.5</v>
      </c>
      <c r="Q15" s="40">
        <f t="shared" si="8"/>
        <v>0.1111111111</v>
      </c>
      <c r="R15" s="40">
        <f t="shared" si="8"/>
        <v>0</v>
      </c>
      <c r="S15" s="40">
        <f t="shared" si="8"/>
        <v>0</v>
      </c>
      <c r="T15" s="40">
        <f t="shared" si="8"/>
        <v>0</v>
      </c>
    </row>
    <row r="16" ht="15.75" customHeight="1">
      <c r="F16" s="24"/>
      <c r="G16" s="19">
        <v>8.0</v>
      </c>
      <c r="H16" s="20">
        <v>0.0</v>
      </c>
      <c r="I16" s="20">
        <v>1.0</v>
      </c>
      <c r="J16" s="20">
        <v>0.0</v>
      </c>
      <c r="K16" s="20">
        <v>0.0</v>
      </c>
      <c r="L16" s="20">
        <v>0.0</v>
      </c>
      <c r="O16" s="19">
        <v>8.0</v>
      </c>
      <c r="P16" s="40">
        <f t="shared" ref="P16:T16" si="9">H16/H$32</f>
        <v>0</v>
      </c>
      <c r="Q16" s="40">
        <f t="shared" si="9"/>
        <v>0.1111111111</v>
      </c>
      <c r="R16" s="40">
        <f t="shared" si="9"/>
        <v>0</v>
      </c>
      <c r="S16" s="40">
        <f t="shared" si="9"/>
        <v>0</v>
      </c>
      <c r="T16" s="40">
        <f t="shared" si="9"/>
        <v>0</v>
      </c>
    </row>
    <row r="17" ht="15.75" customHeight="1">
      <c r="F17" s="24"/>
      <c r="G17" s="19">
        <v>9.0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O17" s="19">
        <v>9.0</v>
      </c>
      <c r="P17" s="40">
        <f t="shared" ref="P17:T17" si="10">H17/H$32</f>
        <v>0</v>
      </c>
      <c r="Q17" s="40">
        <f t="shared" si="10"/>
        <v>0</v>
      </c>
      <c r="R17" s="40">
        <f t="shared" si="10"/>
        <v>0</v>
      </c>
      <c r="S17" s="40">
        <f t="shared" si="10"/>
        <v>0</v>
      </c>
      <c r="T17" s="40">
        <f t="shared" si="10"/>
        <v>0</v>
      </c>
    </row>
    <row r="18" ht="15.75" customHeight="1">
      <c r="F18" s="24"/>
      <c r="G18" s="19">
        <v>10.0</v>
      </c>
      <c r="H18" s="20">
        <v>0.0</v>
      </c>
      <c r="I18" s="20">
        <v>3.0</v>
      </c>
      <c r="J18" s="20">
        <v>0.0</v>
      </c>
      <c r="K18" s="20">
        <v>2.0</v>
      </c>
      <c r="L18" s="20">
        <v>0.0</v>
      </c>
      <c r="O18" s="19">
        <v>10.0</v>
      </c>
      <c r="P18" s="40">
        <f t="shared" ref="P18:T18" si="11">H18/H$32</f>
        <v>0</v>
      </c>
      <c r="Q18" s="40">
        <f t="shared" si="11"/>
        <v>0.3333333333</v>
      </c>
      <c r="R18" s="40">
        <f t="shared" si="11"/>
        <v>0</v>
      </c>
      <c r="S18" s="40">
        <f t="shared" si="11"/>
        <v>0.5</v>
      </c>
      <c r="T18" s="40">
        <f t="shared" si="11"/>
        <v>0</v>
      </c>
    </row>
    <row r="19" ht="15.75" customHeight="1">
      <c r="F19" s="24"/>
      <c r="G19" s="19">
        <v>11.0</v>
      </c>
      <c r="H19" s="20">
        <v>0.0</v>
      </c>
      <c r="I19" s="20">
        <v>1.0</v>
      </c>
      <c r="J19" s="20">
        <v>0.0</v>
      </c>
      <c r="K19" s="20">
        <v>2.0</v>
      </c>
      <c r="L19" s="20">
        <v>0.0</v>
      </c>
      <c r="O19" s="19">
        <v>11.0</v>
      </c>
      <c r="P19" s="40">
        <f t="shared" ref="P19:T19" si="12">H19/H$32</f>
        <v>0</v>
      </c>
      <c r="Q19" s="40">
        <f t="shared" si="12"/>
        <v>0.1111111111</v>
      </c>
      <c r="R19" s="40">
        <f t="shared" si="12"/>
        <v>0</v>
      </c>
      <c r="S19" s="40">
        <f t="shared" si="12"/>
        <v>0.5</v>
      </c>
      <c r="T19" s="40">
        <f t="shared" si="12"/>
        <v>0</v>
      </c>
    </row>
    <row r="20" ht="15.75" customHeight="1">
      <c r="F20" s="24"/>
      <c r="G20" s="19">
        <v>12.0</v>
      </c>
      <c r="H20" s="20">
        <v>0.0</v>
      </c>
      <c r="I20" s="20">
        <v>2.0</v>
      </c>
      <c r="J20" s="20">
        <v>0.0</v>
      </c>
      <c r="K20" s="20">
        <v>0.0</v>
      </c>
      <c r="L20" s="20">
        <v>1.0</v>
      </c>
      <c r="O20" s="19">
        <v>12.0</v>
      </c>
      <c r="P20" s="40">
        <f t="shared" ref="P20:T20" si="13">H20/H$32</f>
        <v>0</v>
      </c>
      <c r="Q20" s="40">
        <f t="shared" si="13"/>
        <v>0.2222222222</v>
      </c>
      <c r="R20" s="40">
        <f t="shared" si="13"/>
        <v>0</v>
      </c>
      <c r="S20" s="40">
        <f t="shared" si="13"/>
        <v>0</v>
      </c>
      <c r="T20" s="40">
        <f t="shared" si="13"/>
        <v>0.5</v>
      </c>
    </row>
    <row r="21" ht="15.75" customHeight="1">
      <c r="F21" s="24"/>
      <c r="G21" s="19">
        <v>13.0</v>
      </c>
      <c r="H21" s="20">
        <v>0.0</v>
      </c>
      <c r="I21" s="20">
        <v>0.0</v>
      </c>
      <c r="J21" s="20">
        <v>1.0</v>
      </c>
      <c r="K21" s="20">
        <v>0.0</v>
      </c>
      <c r="L21" s="20">
        <v>0.0</v>
      </c>
      <c r="O21" s="19">
        <v>13.0</v>
      </c>
      <c r="P21" s="40">
        <f t="shared" ref="P21:T21" si="14">H21/H$32</f>
        <v>0</v>
      </c>
      <c r="Q21" s="40">
        <f t="shared" si="14"/>
        <v>0</v>
      </c>
      <c r="R21" s="40">
        <f t="shared" si="14"/>
        <v>1</v>
      </c>
      <c r="S21" s="40">
        <f t="shared" si="14"/>
        <v>0</v>
      </c>
      <c r="T21" s="40">
        <f t="shared" si="14"/>
        <v>0</v>
      </c>
    </row>
    <row r="22" ht="15.75" customHeight="1">
      <c r="F22" s="24"/>
      <c r="G22" s="19">
        <v>14.0</v>
      </c>
      <c r="H22" s="20">
        <v>0.0</v>
      </c>
      <c r="I22" s="20">
        <v>1.0</v>
      </c>
      <c r="J22" s="20">
        <v>0.0</v>
      </c>
      <c r="K22" s="20">
        <v>0.0</v>
      </c>
      <c r="L22" s="20">
        <v>0.0</v>
      </c>
      <c r="O22" s="19">
        <v>14.0</v>
      </c>
      <c r="P22" s="40">
        <f t="shared" ref="P22:T22" si="15">H22/H$32</f>
        <v>0</v>
      </c>
      <c r="Q22" s="40">
        <f t="shared" si="15"/>
        <v>0.1111111111</v>
      </c>
      <c r="R22" s="40">
        <f t="shared" si="15"/>
        <v>0</v>
      </c>
      <c r="S22" s="40">
        <f t="shared" si="15"/>
        <v>0</v>
      </c>
      <c r="T22" s="40">
        <f t="shared" si="15"/>
        <v>0</v>
      </c>
    </row>
    <row r="23" ht="15.75" customHeight="1">
      <c r="F23" s="24"/>
      <c r="G23" s="19">
        <v>15.0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O23" s="19">
        <v>15.0</v>
      </c>
      <c r="P23" s="40">
        <f t="shared" ref="P23:T23" si="16">H23/H$32</f>
        <v>0</v>
      </c>
      <c r="Q23" s="40">
        <f t="shared" si="16"/>
        <v>0</v>
      </c>
      <c r="R23" s="40">
        <f t="shared" si="16"/>
        <v>0</v>
      </c>
      <c r="S23" s="40">
        <f t="shared" si="16"/>
        <v>0</v>
      </c>
      <c r="T23" s="40">
        <f t="shared" si="16"/>
        <v>0</v>
      </c>
    </row>
    <row r="24" ht="15.75" customHeight="1">
      <c r="F24" s="24"/>
      <c r="G24" s="19">
        <v>16.0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O24" s="19">
        <v>16.0</v>
      </c>
      <c r="P24" s="40">
        <f t="shared" ref="P24:T24" si="17">H24/H$32</f>
        <v>0</v>
      </c>
      <c r="Q24" s="40">
        <f t="shared" si="17"/>
        <v>0</v>
      </c>
      <c r="R24" s="40">
        <f t="shared" si="17"/>
        <v>0</v>
      </c>
      <c r="S24" s="40">
        <f t="shared" si="17"/>
        <v>0</v>
      </c>
      <c r="T24" s="40">
        <f t="shared" si="17"/>
        <v>0</v>
      </c>
    </row>
    <row r="25" ht="15.75" customHeight="1">
      <c r="F25" s="24"/>
      <c r="G25" s="19">
        <v>17.0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O25" s="19">
        <v>17.0</v>
      </c>
      <c r="P25" s="40">
        <f t="shared" ref="P25:T25" si="18">H25/H$32</f>
        <v>0</v>
      </c>
      <c r="Q25" s="40">
        <f t="shared" si="18"/>
        <v>0</v>
      </c>
      <c r="R25" s="40">
        <f t="shared" si="18"/>
        <v>0</v>
      </c>
      <c r="S25" s="40">
        <f t="shared" si="18"/>
        <v>0</v>
      </c>
      <c r="T25" s="40">
        <f t="shared" si="18"/>
        <v>0</v>
      </c>
    </row>
    <row r="26" ht="15.75" customHeight="1">
      <c r="F26" s="24"/>
      <c r="G26" s="19">
        <v>18.0</v>
      </c>
      <c r="H26" s="20">
        <v>2.0</v>
      </c>
      <c r="I26" s="20">
        <v>0.0</v>
      </c>
      <c r="J26" s="20">
        <v>0.0</v>
      </c>
      <c r="K26" s="20">
        <v>0.0</v>
      </c>
      <c r="L26" s="20">
        <v>0.0</v>
      </c>
      <c r="O26" s="19">
        <v>18.0</v>
      </c>
      <c r="P26" s="40">
        <f t="shared" ref="P26:T26" si="19">H26/H$32</f>
        <v>0.5</v>
      </c>
      <c r="Q26" s="40">
        <f t="shared" si="19"/>
        <v>0</v>
      </c>
      <c r="R26" s="40">
        <f t="shared" si="19"/>
        <v>0</v>
      </c>
      <c r="S26" s="40">
        <f t="shared" si="19"/>
        <v>0</v>
      </c>
      <c r="T26" s="40">
        <f t="shared" si="19"/>
        <v>0</v>
      </c>
    </row>
    <row r="27" ht="15.75" customHeight="1">
      <c r="F27" s="24"/>
      <c r="G27" s="19">
        <v>19.0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O27" s="19">
        <v>19.0</v>
      </c>
      <c r="P27" s="40">
        <f t="shared" ref="P27:T27" si="20">H27/H$32</f>
        <v>0</v>
      </c>
      <c r="Q27" s="40">
        <f t="shared" si="20"/>
        <v>0</v>
      </c>
      <c r="R27" s="40">
        <f t="shared" si="20"/>
        <v>0</v>
      </c>
      <c r="S27" s="40">
        <f t="shared" si="20"/>
        <v>0</v>
      </c>
      <c r="T27" s="40">
        <f t="shared" si="20"/>
        <v>0</v>
      </c>
    </row>
    <row r="28" ht="15.75" customHeight="1">
      <c r="F28" s="24"/>
      <c r="G28" s="19">
        <v>20.0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O28" s="19">
        <v>20.0</v>
      </c>
      <c r="P28" s="40">
        <f t="shared" ref="P28:T28" si="21">H28/H$32</f>
        <v>0</v>
      </c>
      <c r="Q28" s="40">
        <f t="shared" si="21"/>
        <v>0</v>
      </c>
      <c r="R28" s="40">
        <f t="shared" si="21"/>
        <v>0</v>
      </c>
      <c r="S28" s="40">
        <f t="shared" si="21"/>
        <v>0</v>
      </c>
      <c r="T28" s="40">
        <f t="shared" si="21"/>
        <v>0</v>
      </c>
    </row>
    <row r="29" ht="15.75" customHeight="1">
      <c r="F29" s="24"/>
      <c r="G29" s="19">
        <v>21.0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O29" s="19">
        <v>21.0</v>
      </c>
      <c r="P29" s="40">
        <f t="shared" ref="P29:T29" si="22">H29/H$32</f>
        <v>0</v>
      </c>
      <c r="Q29" s="40">
        <f t="shared" si="22"/>
        <v>0</v>
      </c>
      <c r="R29" s="40">
        <f t="shared" si="22"/>
        <v>0</v>
      </c>
      <c r="S29" s="40">
        <f t="shared" si="22"/>
        <v>0</v>
      </c>
      <c r="T29" s="40">
        <f t="shared" si="22"/>
        <v>0</v>
      </c>
    </row>
    <row r="30" ht="15.75" customHeight="1">
      <c r="F30" s="24"/>
      <c r="G30" s="19">
        <v>22.0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O30" s="19">
        <v>22.0</v>
      </c>
      <c r="P30" s="40">
        <f t="shared" ref="P30:T30" si="23">H30/H$32</f>
        <v>0</v>
      </c>
      <c r="Q30" s="40">
        <f t="shared" si="23"/>
        <v>0</v>
      </c>
      <c r="R30" s="40">
        <f t="shared" si="23"/>
        <v>0</v>
      </c>
      <c r="S30" s="40">
        <f t="shared" si="23"/>
        <v>0</v>
      </c>
      <c r="T30" s="40">
        <f t="shared" si="23"/>
        <v>0</v>
      </c>
    </row>
    <row r="31" ht="15.75" customHeight="1">
      <c r="F31" s="28"/>
      <c r="G31" s="19">
        <v>23.0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O31" s="19">
        <v>23.0</v>
      </c>
      <c r="P31" s="40">
        <f t="shared" ref="P31:T31" si="24">H31/H$32</f>
        <v>0</v>
      </c>
      <c r="Q31" s="40">
        <f t="shared" si="24"/>
        <v>0</v>
      </c>
      <c r="R31" s="40">
        <f t="shared" si="24"/>
        <v>0</v>
      </c>
      <c r="S31" s="40">
        <f t="shared" si="24"/>
        <v>0</v>
      </c>
      <c r="T31" s="40">
        <f t="shared" si="24"/>
        <v>0</v>
      </c>
    </row>
    <row r="32" ht="15.75" customHeight="1">
      <c r="F32" s="111"/>
      <c r="G32" s="112"/>
      <c r="H32" s="26">
        <f t="shared" ref="H32:L32" si="25">SUM(H8:H31)</f>
        <v>4</v>
      </c>
      <c r="I32" s="26">
        <f t="shared" si="25"/>
        <v>9</v>
      </c>
      <c r="J32" s="26">
        <f t="shared" si="25"/>
        <v>1</v>
      </c>
      <c r="K32" s="26">
        <f t="shared" si="25"/>
        <v>4</v>
      </c>
      <c r="L32" s="26">
        <f t="shared" si="25"/>
        <v>2</v>
      </c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A34" s="16" t="s">
        <v>182</v>
      </c>
      <c r="F34" s="56">
        <v>45208.0</v>
      </c>
      <c r="G34" s="19">
        <f>$G$8</f>
        <v>0</v>
      </c>
      <c r="H34" s="20">
        <v>3.0</v>
      </c>
      <c r="I34" s="20">
        <v>4.0</v>
      </c>
      <c r="J34" s="20">
        <v>0.0</v>
      </c>
      <c r="K34" s="20">
        <v>0.0</v>
      </c>
      <c r="L34" s="20">
        <v>0.0</v>
      </c>
      <c r="N34" s="56">
        <v>45208.0</v>
      </c>
      <c r="O34" s="19">
        <f>$G$8</f>
        <v>0</v>
      </c>
      <c r="P34" s="40">
        <f t="shared" ref="P34:T34" si="26">H34/H$58</f>
        <v>0.006912442396</v>
      </c>
      <c r="Q34" s="40">
        <f t="shared" si="26"/>
        <v>0.02898550725</v>
      </c>
      <c r="R34" s="40">
        <f t="shared" si="26"/>
        <v>0</v>
      </c>
      <c r="S34" s="40">
        <f t="shared" si="26"/>
        <v>0</v>
      </c>
      <c r="T34" s="40">
        <f t="shared" si="26"/>
        <v>0</v>
      </c>
    </row>
    <row r="35" ht="15.75" customHeight="1">
      <c r="A35" s="16" t="s">
        <v>113</v>
      </c>
      <c r="F35" s="24"/>
      <c r="G35" s="19">
        <f>$G$9</f>
        <v>1</v>
      </c>
      <c r="H35" s="20">
        <v>5.0</v>
      </c>
      <c r="I35" s="20">
        <v>1.0</v>
      </c>
      <c r="J35" s="20">
        <v>0.0</v>
      </c>
      <c r="K35" s="20">
        <v>0.0</v>
      </c>
      <c r="L35" s="20">
        <v>0.0</v>
      </c>
      <c r="N35" s="24"/>
      <c r="O35" s="19">
        <f>$G$9</f>
        <v>1</v>
      </c>
      <c r="P35" s="40">
        <f t="shared" ref="P35:T35" si="27">H35/H$58</f>
        <v>0.01152073733</v>
      </c>
      <c r="Q35" s="40">
        <f t="shared" si="27"/>
        <v>0.007246376812</v>
      </c>
      <c r="R35" s="40">
        <f t="shared" si="27"/>
        <v>0</v>
      </c>
      <c r="S35" s="40">
        <f t="shared" si="27"/>
        <v>0</v>
      </c>
      <c r="T35" s="40">
        <f t="shared" si="27"/>
        <v>0</v>
      </c>
    </row>
    <row r="36" ht="15.75" customHeight="1">
      <c r="A36" s="16" t="s">
        <v>183</v>
      </c>
      <c r="F36" s="24"/>
      <c r="G36" s="19">
        <f>$G$10</f>
        <v>2</v>
      </c>
      <c r="H36" s="16">
        <v>3.0</v>
      </c>
      <c r="I36" s="16">
        <v>0.0</v>
      </c>
      <c r="J36" s="16">
        <v>0.0</v>
      </c>
      <c r="K36" s="16">
        <v>0.0</v>
      </c>
      <c r="L36" s="16">
        <v>0.0</v>
      </c>
      <c r="N36" s="24"/>
      <c r="O36" s="19">
        <f>$G$10</f>
        <v>2</v>
      </c>
      <c r="P36" s="40">
        <f t="shared" ref="P36:T36" si="28">H36/H$58</f>
        <v>0.006912442396</v>
      </c>
      <c r="Q36" s="40">
        <f t="shared" si="28"/>
        <v>0</v>
      </c>
      <c r="R36" s="40">
        <f t="shared" si="28"/>
        <v>0</v>
      </c>
      <c r="S36" s="40">
        <f t="shared" si="28"/>
        <v>0</v>
      </c>
      <c r="T36" s="40">
        <f t="shared" si="28"/>
        <v>0</v>
      </c>
    </row>
    <row r="37" ht="15.75" customHeight="1">
      <c r="A37" s="16" t="s">
        <v>184</v>
      </c>
      <c r="F37" s="24"/>
      <c r="G37" s="19">
        <f>$G$11</f>
        <v>3</v>
      </c>
      <c r="H37" s="20">
        <v>3.0</v>
      </c>
      <c r="I37" s="20">
        <v>2.0</v>
      </c>
      <c r="J37" s="20">
        <v>0.0</v>
      </c>
      <c r="K37" s="20">
        <v>0.0</v>
      </c>
      <c r="L37" s="20">
        <v>0.0</v>
      </c>
      <c r="N37" s="24"/>
      <c r="O37" s="19">
        <f>$G$11</f>
        <v>3</v>
      </c>
      <c r="P37" s="40">
        <f t="shared" ref="P37:T37" si="29">H37/H$58</f>
        <v>0.006912442396</v>
      </c>
      <c r="Q37" s="40">
        <f t="shared" si="29"/>
        <v>0.01449275362</v>
      </c>
      <c r="R37" s="40">
        <f t="shared" si="29"/>
        <v>0</v>
      </c>
      <c r="S37" s="40">
        <f t="shared" si="29"/>
        <v>0</v>
      </c>
      <c r="T37" s="40">
        <f t="shared" si="29"/>
        <v>0</v>
      </c>
    </row>
    <row r="38" ht="15.75" customHeight="1">
      <c r="A38" s="16" t="s">
        <v>185</v>
      </c>
      <c r="F38" s="24"/>
      <c r="G38" s="19">
        <f>$G$12</f>
        <v>4</v>
      </c>
      <c r="H38" s="20">
        <v>3.0</v>
      </c>
      <c r="I38" s="20">
        <v>1.0</v>
      </c>
      <c r="J38" s="20">
        <v>1.0</v>
      </c>
      <c r="K38" s="20">
        <v>0.0</v>
      </c>
      <c r="L38" s="20">
        <v>0.0</v>
      </c>
      <c r="N38" s="24"/>
      <c r="O38" s="19">
        <f>$G$12</f>
        <v>4</v>
      </c>
      <c r="P38" s="40">
        <f t="shared" ref="P38:T38" si="30">H38/H$58</f>
        <v>0.006912442396</v>
      </c>
      <c r="Q38" s="40">
        <f t="shared" si="30"/>
        <v>0.007246376812</v>
      </c>
      <c r="R38" s="40">
        <f t="shared" si="30"/>
        <v>0.5</v>
      </c>
      <c r="S38" s="40">
        <f t="shared" si="30"/>
        <v>0</v>
      </c>
      <c r="T38" s="40">
        <f t="shared" si="30"/>
        <v>0</v>
      </c>
    </row>
    <row r="39" ht="15.75" customHeight="1">
      <c r="A39" s="16" t="s">
        <v>69</v>
      </c>
      <c r="F39" s="24"/>
      <c r="G39" s="19">
        <f>$G$13</f>
        <v>5</v>
      </c>
      <c r="H39" s="20">
        <v>2.0</v>
      </c>
      <c r="I39" s="20">
        <v>1.0</v>
      </c>
      <c r="J39" s="20">
        <v>0.0</v>
      </c>
      <c r="K39" s="20">
        <v>0.0</v>
      </c>
      <c r="L39" s="20">
        <v>0.0</v>
      </c>
      <c r="N39" s="24"/>
      <c r="O39" s="19">
        <f>$G$13</f>
        <v>5</v>
      </c>
      <c r="P39" s="40">
        <f t="shared" ref="P39:T39" si="31">H39/H$58</f>
        <v>0.004608294931</v>
      </c>
      <c r="Q39" s="40">
        <f t="shared" si="31"/>
        <v>0.007246376812</v>
      </c>
      <c r="R39" s="40">
        <f t="shared" si="31"/>
        <v>0</v>
      </c>
      <c r="S39" s="40">
        <f t="shared" si="31"/>
        <v>0</v>
      </c>
      <c r="T39" s="40">
        <f t="shared" si="31"/>
        <v>0</v>
      </c>
    </row>
    <row r="40" ht="15.75" customHeight="1">
      <c r="A40" s="16" t="s">
        <v>186</v>
      </c>
      <c r="F40" s="24"/>
      <c r="G40" s="19">
        <f>$G$14</f>
        <v>6</v>
      </c>
      <c r="H40" s="20">
        <v>5.0</v>
      </c>
      <c r="I40" s="20">
        <v>0.0</v>
      </c>
      <c r="J40" s="20">
        <v>0.0</v>
      </c>
      <c r="K40" s="20">
        <v>0.0</v>
      </c>
      <c r="L40" s="20">
        <v>1.0</v>
      </c>
      <c r="N40" s="24"/>
      <c r="O40" s="19">
        <f>$G$14</f>
        <v>6</v>
      </c>
      <c r="P40" s="40">
        <f t="shared" ref="P40:T40" si="32">H40/H$58</f>
        <v>0.01152073733</v>
      </c>
      <c r="Q40" s="40">
        <f t="shared" si="32"/>
        <v>0</v>
      </c>
      <c r="R40" s="40">
        <f t="shared" si="32"/>
        <v>0</v>
      </c>
      <c r="S40" s="40">
        <f t="shared" si="32"/>
        <v>0</v>
      </c>
      <c r="T40" s="40">
        <f t="shared" si="32"/>
        <v>0.05263157895</v>
      </c>
    </row>
    <row r="41" ht="15.75" customHeight="1">
      <c r="A41" s="16" t="s">
        <v>187</v>
      </c>
      <c r="F41" s="24"/>
      <c r="G41" s="19">
        <f>$G$15</f>
        <v>7</v>
      </c>
      <c r="H41" s="20">
        <v>12.0</v>
      </c>
      <c r="I41" s="20">
        <v>6.0</v>
      </c>
      <c r="J41" s="20">
        <v>0.0</v>
      </c>
      <c r="K41" s="20">
        <v>2.0</v>
      </c>
      <c r="L41" s="20">
        <v>1.0</v>
      </c>
      <c r="N41" s="24"/>
      <c r="O41" s="19">
        <f>$G$15</f>
        <v>7</v>
      </c>
      <c r="P41" s="40">
        <f t="shared" ref="P41:T41" si="33">H41/H$58</f>
        <v>0.02764976959</v>
      </c>
      <c r="Q41" s="40">
        <f t="shared" si="33"/>
        <v>0.04347826087</v>
      </c>
      <c r="R41" s="40">
        <f t="shared" si="33"/>
        <v>0</v>
      </c>
      <c r="S41" s="40">
        <f t="shared" si="33"/>
        <v>0.08333333333</v>
      </c>
      <c r="T41" s="40">
        <f t="shared" si="33"/>
        <v>0.05263157895</v>
      </c>
    </row>
    <row r="42" ht="15.75" customHeight="1">
      <c r="A42" s="16" t="s">
        <v>188</v>
      </c>
      <c r="F42" s="24"/>
      <c r="G42" s="19">
        <f>$G$16</f>
        <v>8</v>
      </c>
      <c r="H42" s="20">
        <v>15.0</v>
      </c>
      <c r="I42" s="20">
        <v>7.0</v>
      </c>
      <c r="J42" s="20">
        <v>0.0</v>
      </c>
      <c r="K42" s="20">
        <v>1.0</v>
      </c>
      <c r="L42" s="20">
        <v>2.0</v>
      </c>
      <c r="N42" s="24"/>
      <c r="O42" s="19">
        <f>$G$16</f>
        <v>8</v>
      </c>
      <c r="P42" s="40">
        <f t="shared" ref="P42:T42" si="34">H42/H$58</f>
        <v>0.03456221198</v>
      </c>
      <c r="Q42" s="40">
        <f t="shared" si="34"/>
        <v>0.05072463768</v>
      </c>
      <c r="R42" s="40">
        <f t="shared" si="34"/>
        <v>0</v>
      </c>
      <c r="S42" s="40">
        <f t="shared" si="34"/>
        <v>0.04166666667</v>
      </c>
      <c r="T42" s="40">
        <f t="shared" si="34"/>
        <v>0.1052631579</v>
      </c>
    </row>
    <row r="43" ht="15.75" customHeight="1">
      <c r="A43" s="16" t="s">
        <v>189</v>
      </c>
      <c r="F43" s="24"/>
      <c r="G43" s="19">
        <f>$G$17</f>
        <v>9</v>
      </c>
      <c r="H43" s="20">
        <v>17.0</v>
      </c>
      <c r="I43" s="20">
        <v>2.0</v>
      </c>
      <c r="J43" s="20">
        <v>0.0</v>
      </c>
      <c r="K43" s="20">
        <v>2.0</v>
      </c>
      <c r="L43" s="20">
        <v>1.0</v>
      </c>
      <c r="N43" s="24"/>
      <c r="O43" s="19">
        <f>$G$17</f>
        <v>9</v>
      </c>
      <c r="P43" s="40">
        <f t="shared" ref="P43:T43" si="35">H43/H$58</f>
        <v>0.03917050691</v>
      </c>
      <c r="Q43" s="40">
        <f t="shared" si="35"/>
        <v>0.01449275362</v>
      </c>
      <c r="R43" s="40">
        <f t="shared" si="35"/>
        <v>0</v>
      </c>
      <c r="S43" s="40">
        <f t="shared" si="35"/>
        <v>0.08333333333</v>
      </c>
      <c r="T43" s="40">
        <f t="shared" si="35"/>
        <v>0.05263157895</v>
      </c>
    </row>
    <row r="44" ht="15.75" customHeight="1">
      <c r="A44" s="16" t="s">
        <v>190</v>
      </c>
      <c r="F44" s="24"/>
      <c r="G44" s="19">
        <f>$G$18</f>
        <v>10</v>
      </c>
      <c r="H44" s="20">
        <v>21.0</v>
      </c>
      <c r="I44" s="20">
        <v>12.0</v>
      </c>
      <c r="J44" s="20">
        <v>0.0</v>
      </c>
      <c r="K44" s="20">
        <v>3.0</v>
      </c>
      <c r="L44" s="20">
        <v>4.0</v>
      </c>
      <c r="N44" s="24"/>
      <c r="O44" s="19">
        <f>$G$18</f>
        <v>10</v>
      </c>
      <c r="P44" s="40">
        <f t="shared" ref="P44:T44" si="36">H44/H$58</f>
        <v>0.04838709677</v>
      </c>
      <c r="Q44" s="40">
        <f t="shared" si="36"/>
        <v>0.08695652174</v>
      </c>
      <c r="R44" s="40">
        <f t="shared" si="36"/>
        <v>0</v>
      </c>
      <c r="S44" s="40">
        <f t="shared" si="36"/>
        <v>0.125</v>
      </c>
      <c r="T44" s="40">
        <f t="shared" si="36"/>
        <v>0.2105263158</v>
      </c>
    </row>
    <row r="45" ht="15.75" customHeight="1">
      <c r="A45" s="16" t="s">
        <v>191</v>
      </c>
      <c r="F45" s="24"/>
      <c r="G45" s="19">
        <f>$G$19</f>
        <v>11</v>
      </c>
      <c r="H45" s="20">
        <v>22.0</v>
      </c>
      <c r="I45" s="20">
        <v>6.0</v>
      </c>
      <c r="J45" s="20">
        <v>0.0</v>
      </c>
      <c r="K45" s="20">
        <v>5.0</v>
      </c>
      <c r="L45" s="20">
        <v>0.0</v>
      </c>
      <c r="N45" s="24"/>
      <c r="O45" s="19">
        <f>$G$19</f>
        <v>11</v>
      </c>
      <c r="P45" s="40">
        <f t="shared" ref="P45:T45" si="37">H45/H$58</f>
        <v>0.05069124424</v>
      </c>
      <c r="Q45" s="40">
        <f t="shared" si="37"/>
        <v>0.04347826087</v>
      </c>
      <c r="R45" s="40">
        <f t="shared" si="37"/>
        <v>0</v>
      </c>
      <c r="S45" s="40">
        <f t="shared" si="37"/>
        <v>0.2083333333</v>
      </c>
      <c r="T45" s="40">
        <f t="shared" si="37"/>
        <v>0</v>
      </c>
    </row>
    <row r="46" ht="15.75" customHeight="1">
      <c r="A46" s="16" t="s">
        <v>192</v>
      </c>
      <c r="F46" s="24"/>
      <c r="G46" s="19">
        <f>$G$20</f>
        <v>12</v>
      </c>
      <c r="H46" s="20">
        <v>30.0</v>
      </c>
      <c r="I46" s="20">
        <v>5.0</v>
      </c>
      <c r="J46" s="20">
        <v>0.0</v>
      </c>
      <c r="K46" s="20">
        <v>4.0</v>
      </c>
      <c r="L46" s="20">
        <v>2.0</v>
      </c>
      <c r="N46" s="24"/>
      <c r="O46" s="19">
        <f>$G$20</f>
        <v>12</v>
      </c>
      <c r="P46" s="40">
        <f t="shared" ref="P46:T46" si="38">H46/H$58</f>
        <v>0.06912442396</v>
      </c>
      <c r="Q46" s="40">
        <f t="shared" si="38"/>
        <v>0.03623188406</v>
      </c>
      <c r="R46" s="40">
        <f t="shared" si="38"/>
        <v>0</v>
      </c>
      <c r="S46" s="40">
        <f t="shared" si="38"/>
        <v>0.1666666667</v>
      </c>
      <c r="T46" s="40">
        <f t="shared" si="38"/>
        <v>0.1052631579</v>
      </c>
    </row>
    <row r="47" ht="15.75" customHeight="1">
      <c r="A47" s="16" t="s">
        <v>193</v>
      </c>
      <c r="F47" s="24"/>
      <c r="G47" s="19">
        <f>$G$21</f>
        <v>13</v>
      </c>
      <c r="H47" s="20">
        <v>34.0</v>
      </c>
      <c r="I47" s="20">
        <v>7.0</v>
      </c>
      <c r="J47" s="20">
        <v>0.0</v>
      </c>
      <c r="K47" s="20">
        <v>0.0</v>
      </c>
      <c r="L47" s="20">
        <v>0.0</v>
      </c>
      <c r="N47" s="24"/>
      <c r="O47" s="19">
        <f>$G$21</f>
        <v>13</v>
      </c>
      <c r="P47" s="40">
        <f t="shared" ref="P47:T47" si="39">H47/H$58</f>
        <v>0.07834101382</v>
      </c>
      <c r="Q47" s="40">
        <f t="shared" si="39"/>
        <v>0.05072463768</v>
      </c>
      <c r="R47" s="40">
        <f t="shared" si="39"/>
        <v>0</v>
      </c>
      <c r="S47" s="40">
        <f t="shared" si="39"/>
        <v>0</v>
      </c>
      <c r="T47" s="40">
        <f t="shared" si="39"/>
        <v>0</v>
      </c>
    </row>
    <row r="48" ht="15.75" customHeight="1">
      <c r="A48" s="16" t="s">
        <v>194</v>
      </c>
      <c r="F48" s="24"/>
      <c r="G48" s="19">
        <f>$G$22</f>
        <v>14</v>
      </c>
      <c r="H48" s="20">
        <v>37.0</v>
      </c>
      <c r="I48" s="20">
        <v>13.0</v>
      </c>
      <c r="J48" s="20">
        <v>0.0</v>
      </c>
      <c r="K48" s="20">
        <v>1.0</v>
      </c>
      <c r="L48" s="20">
        <v>1.0</v>
      </c>
      <c r="N48" s="24"/>
      <c r="O48" s="19">
        <f>$G$22</f>
        <v>14</v>
      </c>
      <c r="P48" s="40">
        <f t="shared" ref="P48:T48" si="40">H48/H$58</f>
        <v>0.08525345622</v>
      </c>
      <c r="Q48" s="40">
        <f t="shared" si="40"/>
        <v>0.09420289855</v>
      </c>
      <c r="R48" s="40">
        <f t="shared" si="40"/>
        <v>0</v>
      </c>
      <c r="S48" s="40">
        <f t="shared" si="40"/>
        <v>0.04166666667</v>
      </c>
      <c r="T48" s="40">
        <f t="shared" si="40"/>
        <v>0.05263157895</v>
      </c>
    </row>
    <row r="49" ht="15.75" customHeight="1">
      <c r="A49" s="16" t="s">
        <v>195</v>
      </c>
      <c r="F49" s="24"/>
      <c r="G49" s="19">
        <f>$G$23</f>
        <v>15</v>
      </c>
      <c r="H49" s="20">
        <v>41.0</v>
      </c>
      <c r="I49" s="20">
        <v>13.0</v>
      </c>
      <c r="J49" s="20">
        <v>0.0</v>
      </c>
      <c r="K49" s="20">
        <v>2.0</v>
      </c>
      <c r="L49" s="20">
        <v>0.0</v>
      </c>
      <c r="N49" s="24"/>
      <c r="O49" s="19">
        <f>$G$23</f>
        <v>15</v>
      </c>
      <c r="P49" s="40">
        <f t="shared" ref="P49:T49" si="41">H49/H$58</f>
        <v>0.09447004608</v>
      </c>
      <c r="Q49" s="40">
        <f t="shared" si="41"/>
        <v>0.09420289855</v>
      </c>
      <c r="R49" s="40">
        <f t="shared" si="41"/>
        <v>0</v>
      </c>
      <c r="S49" s="40">
        <f t="shared" si="41"/>
        <v>0.08333333333</v>
      </c>
      <c r="T49" s="40">
        <f t="shared" si="41"/>
        <v>0</v>
      </c>
    </row>
    <row r="50" ht="15.75" customHeight="1">
      <c r="A50" s="16" t="s">
        <v>196</v>
      </c>
      <c r="F50" s="24"/>
      <c r="G50" s="19">
        <f>$G$24</f>
        <v>16</v>
      </c>
      <c r="H50" s="20">
        <v>40.0</v>
      </c>
      <c r="I50" s="20">
        <v>12.0</v>
      </c>
      <c r="J50" s="20">
        <v>0.0</v>
      </c>
      <c r="K50" s="20">
        <v>1.0</v>
      </c>
      <c r="L50" s="20">
        <v>2.0</v>
      </c>
      <c r="N50" s="24"/>
      <c r="O50" s="19">
        <f>$G$24</f>
        <v>16</v>
      </c>
      <c r="P50" s="40">
        <f t="shared" ref="P50:T50" si="42">H50/H$58</f>
        <v>0.09216589862</v>
      </c>
      <c r="Q50" s="40">
        <f t="shared" si="42"/>
        <v>0.08695652174</v>
      </c>
      <c r="R50" s="40">
        <f t="shared" si="42"/>
        <v>0</v>
      </c>
      <c r="S50" s="40">
        <f t="shared" si="42"/>
        <v>0.04166666667</v>
      </c>
      <c r="T50" s="40">
        <f t="shared" si="42"/>
        <v>0.1052631579</v>
      </c>
    </row>
    <row r="51" ht="15.75" customHeight="1">
      <c r="A51" s="16" t="s">
        <v>197</v>
      </c>
      <c r="F51" s="24"/>
      <c r="G51" s="19">
        <f>$G$25</f>
        <v>17</v>
      </c>
      <c r="H51" s="20">
        <v>39.0</v>
      </c>
      <c r="I51" s="20">
        <v>14.0</v>
      </c>
      <c r="J51" s="20">
        <v>0.0</v>
      </c>
      <c r="K51" s="20">
        <v>2.0</v>
      </c>
      <c r="L51" s="20">
        <v>1.0</v>
      </c>
      <c r="N51" s="24"/>
      <c r="O51" s="19">
        <f>$G$25</f>
        <v>17</v>
      </c>
      <c r="P51" s="40">
        <f t="shared" ref="P51:T51" si="43">H51/H$58</f>
        <v>0.08986175115</v>
      </c>
      <c r="Q51" s="40">
        <f t="shared" si="43"/>
        <v>0.1014492754</v>
      </c>
      <c r="R51" s="40">
        <f t="shared" si="43"/>
        <v>0</v>
      </c>
      <c r="S51" s="40">
        <f t="shared" si="43"/>
        <v>0.08333333333</v>
      </c>
      <c r="T51" s="40">
        <f t="shared" si="43"/>
        <v>0.05263157895</v>
      </c>
    </row>
    <row r="52" ht="15.75" customHeight="1">
      <c r="A52" s="16" t="s">
        <v>198</v>
      </c>
      <c r="F52" s="24"/>
      <c r="G52" s="19">
        <f>$G$26</f>
        <v>18</v>
      </c>
      <c r="H52" s="20">
        <v>37.0</v>
      </c>
      <c r="I52" s="20">
        <v>9.0</v>
      </c>
      <c r="J52" s="20">
        <v>1.0</v>
      </c>
      <c r="K52" s="20">
        <v>0.0</v>
      </c>
      <c r="L52" s="20">
        <v>1.0</v>
      </c>
      <c r="N52" s="24"/>
      <c r="O52" s="19">
        <f>$G$26</f>
        <v>18</v>
      </c>
      <c r="P52" s="40">
        <f t="shared" ref="P52:T52" si="44">H52/H$58</f>
        <v>0.08525345622</v>
      </c>
      <c r="Q52" s="40">
        <f t="shared" si="44"/>
        <v>0.0652173913</v>
      </c>
      <c r="R52" s="40">
        <f t="shared" si="44"/>
        <v>0.5</v>
      </c>
      <c r="S52" s="40">
        <f t="shared" si="44"/>
        <v>0</v>
      </c>
      <c r="T52" s="40">
        <f t="shared" si="44"/>
        <v>0.05263157895</v>
      </c>
    </row>
    <row r="53" ht="15.75" customHeight="1">
      <c r="A53" s="16" t="s">
        <v>199</v>
      </c>
      <c r="F53" s="24"/>
      <c r="G53" s="19">
        <f>$G$27</f>
        <v>19</v>
      </c>
      <c r="H53" s="20">
        <v>20.0</v>
      </c>
      <c r="I53" s="20">
        <v>6.0</v>
      </c>
      <c r="J53" s="20">
        <v>0.0</v>
      </c>
      <c r="K53" s="20">
        <v>0.0</v>
      </c>
      <c r="L53" s="20">
        <v>0.0</v>
      </c>
      <c r="N53" s="24"/>
      <c r="O53" s="19">
        <f>$G$27</f>
        <v>19</v>
      </c>
      <c r="P53" s="40">
        <f t="shared" ref="P53:T53" si="45">H53/H$58</f>
        <v>0.04608294931</v>
      </c>
      <c r="Q53" s="40">
        <f t="shared" si="45"/>
        <v>0.04347826087</v>
      </c>
      <c r="R53" s="40">
        <f t="shared" si="45"/>
        <v>0</v>
      </c>
      <c r="S53" s="40">
        <f t="shared" si="45"/>
        <v>0</v>
      </c>
      <c r="T53" s="40">
        <f t="shared" si="45"/>
        <v>0</v>
      </c>
    </row>
    <row r="54" ht="15.75" customHeight="1">
      <c r="A54" s="16" t="s">
        <v>126</v>
      </c>
      <c r="F54" s="24"/>
      <c r="G54" s="19">
        <f>$G$28</f>
        <v>20</v>
      </c>
      <c r="H54" s="20">
        <v>15.0</v>
      </c>
      <c r="I54" s="20">
        <v>6.0</v>
      </c>
      <c r="J54" s="20">
        <v>0.0</v>
      </c>
      <c r="K54" s="20">
        <v>0.0</v>
      </c>
      <c r="L54" s="20">
        <v>1.0</v>
      </c>
      <c r="N54" s="24"/>
      <c r="O54" s="19">
        <f>$G$28</f>
        <v>20</v>
      </c>
      <c r="P54" s="40">
        <f t="shared" ref="P54:T54" si="46">H54/H$58</f>
        <v>0.03456221198</v>
      </c>
      <c r="Q54" s="40">
        <f t="shared" si="46"/>
        <v>0.04347826087</v>
      </c>
      <c r="R54" s="40">
        <f t="shared" si="46"/>
        <v>0</v>
      </c>
      <c r="S54" s="40">
        <f t="shared" si="46"/>
        <v>0</v>
      </c>
      <c r="T54" s="40">
        <f t="shared" si="46"/>
        <v>0.05263157895</v>
      </c>
    </row>
    <row r="55" ht="15.75" customHeight="1">
      <c r="A55" s="16" t="s">
        <v>89</v>
      </c>
      <c r="F55" s="24"/>
      <c r="G55" s="19">
        <f>$G$29</f>
        <v>21</v>
      </c>
      <c r="H55" s="20">
        <v>14.0</v>
      </c>
      <c r="I55" s="20">
        <v>7.0</v>
      </c>
      <c r="J55" s="20">
        <v>0.0</v>
      </c>
      <c r="K55" s="20">
        <v>0.0</v>
      </c>
      <c r="L55" s="20">
        <v>0.0</v>
      </c>
      <c r="N55" s="24"/>
      <c r="O55" s="19">
        <f>$G$29</f>
        <v>21</v>
      </c>
      <c r="P55" s="40">
        <f t="shared" ref="P55:T55" si="47">H55/H$58</f>
        <v>0.03225806452</v>
      </c>
      <c r="Q55" s="40">
        <f t="shared" si="47"/>
        <v>0.05072463768</v>
      </c>
      <c r="R55" s="40">
        <f t="shared" si="47"/>
        <v>0</v>
      </c>
      <c r="S55" s="40">
        <f t="shared" si="47"/>
        <v>0</v>
      </c>
      <c r="T55" s="40">
        <f t="shared" si="47"/>
        <v>0</v>
      </c>
    </row>
    <row r="56" ht="15.75" customHeight="1">
      <c r="A56" s="16" t="s">
        <v>200</v>
      </c>
      <c r="F56" s="24"/>
      <c r="G56" s="19">
        <f>$G$30</f>
        <v>22</v>
      </c>
      <c r="H56" s="20">
        <v>12.0</v>
      </c>
      <c r="I56" s="20">
        <v>2.0</v>
      </c>
      <c r="J56" s="20">
        <v>0.0</v>
      </c>
      <c r="K56" s="20">
        <v>0.0</v>
      </c>
      <c r="L56" s="20">
        <v>1.0</v>
      </c>
      <c r="N56" s="24"/>
      <c r="O56" s="19">
        <f>$G$30</f>
        <v>22</v>
      </c>
      <c r="P56" s="40">
        <f t="shared" ref="P56:T56" si="48">H56/H$58</f>
        <v>0.02764976959</v>
      </c>
      <c r="Q56" s="40">
        <f t="shared" si="48"/>
        <v>0.01449275362</v>
      </c>
      <c r="R56" s="40">
        <f t="shared" si="48"/>
        <v>0</v>
      </c>
      <c r="S56" s="40">
        <f t="shared" si="48"/>
        <v>0</v>
      </c>
      <c r="T56" s="40">
        <f t="shared" si="48"/>
        <v>0.05263157895</v>
      </c>
    </row>
    <row r="57" ht="15.75" customHeight="1">
      <c r="A57" s="16" t="s">
        <v>201</v>
      </c>
      <c r="F57" s="28"/>
      <c r="G57" s="19">
        <f>$G$31</f>
        <v>23</v>
      </c>
      <c r="H57" s="20">
        <v>4.0</v>
      </c>
      <c r="I57" s="20">
        <v>2.0</v>
      </c>
      <c r="J57" s="20">
        <v>0.0</v>
      </c>
      <c r="K57" s="20">
        <v>1.0</v>
      </c>
      <c r="L57" s="20">
        <v>1.0</v>
      </c>
      <c r="N57" s="28"/>
      <c r="O57" s="19">
        <f>$G$31</f>
        <v>23</v>
      </c>
      <c r="P57" s="40">
        <f t="shared" ref="P57:T57" si="49">H57/H$58</f>
        <v>0.009216589862</v>
      </c>
      <c r="Q57" s="40">
        <f t="shared" si="49"/>
        <v>0.01449275362</v>
      </c>
      <c r="R57" s="40">
        <f t="shared" si="49"/>
        <v>0</v>
      </c>
      <c r="S57" s="40">
        <f t="shared" si="49"/>
        <v>0.04166666667</v>
      </c>
      <c r="T57" s="40">
        <f t="shared" si="49"/>
        <v>0.05263157895</v>
      </c>
    </row>
    <row r="58" ht="15.75" customHeight="1">
      <c r="F58" s="111"/>
      <c r="G58" s="112"/>
      <c r="H58" s="26">
        <f t="shared" ref="H58:L58" si="50">SUM(H34:H57)</f>
        <v>434</v>
      </c>
      <c r="I58" s="26">
        <f t="shared" si="50"/>
        <v>138</v>
      </c>
      <c r="J58" s="26">
        <f t="shared" si="50"/>
        <v>2</v>
      </c>
      <c r="K58" s="26">
        <f t="shared" si="50"/>
        <v>24</v>
      </c>
      <c r="L58" s="26">
        <f t="shared" si="50"/>
        <v>19</v>
      </c>
    </row>
    <row r="59" ht="15.75" customHeight="1">
      <c r="G59" s="16"/>
      <c r="H59" s="17">
        <f>$H$7</f>
        <v>31</v>
      </c>
      <c r="I59" s="17">
        <f>$I$7</f>
        <v>32</v>
      </c>
      <c r="J59" s="17">
        <f>$J$7</f>
        <v>41</v>
      </c>
      <c r="K59" s="17">
        <f>$K$7</f>
        <v>42</v>
      </c>
      <c r="L59" s="17">
        <f>$L$7</f>
        <v>5</v>
      </c>
      <c r="O59" s="16"/>
      <c r="P59" s="17">
        <f>$H$7</f>
        <v>31</v>
      </c>
      <c r="Q59" s="17">
        <f>$I$7</f>
        <v>32</v>
      </c>
      <c r="R59" s="17">
        <f>$J$7</f>
        <v>41</v>
      </c>
      <c r="S59" s="17">
        <f>$K$7</f>
        <v>42</v>
      </c>
      <c r="T59" s="17">
        <f>$L$7</f>
        <v>5</v>
      </c>
    </row>
    <row r="60" ht="15.75" customHeight="1">
      <c r="A60" s="16" t="s">
        <v>202</v>
      </c>
      <c r="F60" s="56">
        <v>45209.0</v>
      </c>
      <c r="G60" s="19">
        <f>$G$8</f>
        <v>0</v>
      </c>
      <c r="H60" s="20">
        <v>5.0</v>
      </c>
      <c r="I60" s="20">
        <v>2.0</v>
      </c>
      <c r="J60" s="20">
        <v>0.0</v>
      </c>
      <c r="K60" s="20">
        <v>0.0</v>
      </c>
      <c r="L60" s="20">
        <v>1.0</v>
      </c>
      <c r="N60" s="56">
        <v>45209.0</v>
      </c>
      <c r="O60" s="19">
        <f>$G$8</f>
        <v>0</v>
      </c>
      <c r="P60" s="40">
        <f t="shared" ref="P60:Q60" si="51">H60/H$84</f>
        <v>0.01577287066</v>
      </c>
      <c r="Q60" s="40">
        <f t="shared" si="51"/>
        <v>0.02127659574</v>
      </c>
      <c r="R60" s="40">
        <v>0.0</v>
      </c>
      <c r="S60" s="40">
        <f t="shared" ref="S60:T60" si="52">K60/K$84</f>
        <v>0</v>
      </c>
      <c r="T60" s="40">
        <f t="shared" si="52"/>
        <v>0.04761904762</v>
      </c>
    </row>
    <row r="61" ht="15.75" customHeight="1">
      <c r="A61" s="16" t="s">
        <v>69</v>
      </c>
      <c r="F61" s="24"/>
      <c r="G61" s="19">
        <f>$G$9</f>
        <v>1</v>
      </c>
      <c r="H61" s="20">
        <v>2.0</v>
      </c>
      <c r="I61" s="20">
        <v>1.0</v>
      </c>
      <c r="J61" s="20">
        <v>0.0</v>
      </c>
      <c r="K61" s="20">
        <v>0.0</v>
      </c>
      <c r="L61" s="20">
        <v>0.0</v>
      </c>
      <c r="N61" s="24"/>
      <c r="O61" s="19">
        <f>$G$9</f>
        <v>1</v>
      </c>
      <c r="P61" s="40">
        <f t="shared" ref="P61:Q61" si="53">H61/H$84</f>
        <v>0.006309148265</v>
      </c>
      <c r="Q61" s="40">
        <f t="shared" si="53"/>
        <v>0.01063829787</v>
      </c>
      <c r="R61" s="40">
        <v>0.0</v>
      </c>
      <c r="S61" s="40">
        <f t="shared" ref="S61:T61" si="54">K61/K$84</f>
        <v>0</v>
      </c>
      <c r="T61" s="40">
        <f t="shared" si="54"/>
        <v>0</v>
      </c>
    </row>
    <row r="62" ht="15.75" customHeight="1">
      <c r="A62" s="16" t="s">
        <v>94</v>
      </c>
      <c r="F62" s="24"/>
      <c r="G62" s="19">
        <f>$G$10</f>
        <v>2</v>
      </c>
      <c r="H62" s="16">
        <v>1.0</v>
      </c>
      <c r="I62" s="16">
        <v>0.0</v>
      </c>
      <c r="J62" s="16">
        <v>0.0</v>
      </c>
      <c r="K62" s="16">
        <v>0.0</v>
      </c>
      <c r="L62" s="16">
        <v>0.0</v>
      </c>
      <c r="N62" s="24"/>
      <c r="O62" s="19">
        <f>$G$10</f>
        <v>2</v>
      </c>
      <c r="P62" s="40">
        <f t="shared" ref="P62:Q62" si="55">H62/H$84</f>
        <v>0.003154574132</v>
      </c>
      <c r="Q62" s="40">
        <f t="shared" si="55"/>
        <v>0</v>
      </c>
      <c r="R62" s="40">
        <v>0.0</v>
      </c>
      <c r="S62" s="40">
        <f t="shared" ref="S62:T62" si="56">K62/K$84</f>
        <v>0</v>
      </c>
      <c r="T62" s="40">
        <f t="shared" si="56"/>
        <v>0</v>
      </c>
    </row>
    <row r="63" ht="15.75" customHeight="1">
      <c r="A63" s="16" t="s">
        <v>70</v>
      </c>
      <c r="F63" s="24"/>
      <c r="G63" s="19">
        <f>$G$11</f>
        <v>3</v>
      </c>
      <c r="H63" s="16">
        <v>2.0</v>
      </c>
      <c r="I63" s="16">
        <v>0.0</v>
      </c>
      <c r="J63" s="16">
        <v>0.0</v>
      </c>
      <c r="K63" s="16">
        <v>0.0</v>
      </c>
      <c r="L63" s="16">
        <v>0.0</v>
      </c>
      <c r="N63" s="24"/>
      <c r="O63" s="19">
        <f>$G$11</f>
        <v>3</v>
      </c>
      <c r="P63" s="40">
        <f t="shared" ref="P63:Q63" si="57">H63/H$84</f>
        <v>0.006309148265</v>
      </c>
      <c r="Q63" s="40">
        <f t="shared" si="57"/>
        <v>0</v>
      </c>
      <c r="R63" s="40">
        <v>0.0</v>
      </c>
      <c r="S63" s="40">
        <f t="shared" ref="S63:T63" si="58">K63/K$84</f>
        <v>0</v>
      </c>
      <c r="T63" s="40">
        <f t="shared" si="58"/>
        <v>0</v>
      </c>
    </row>
    <row r="64" ht="15.75" customHeight="1">
      <c r="A64" s="16" t="s">
        <v>94</v>
      </c>
      <c r="F64" s="24"/>
      <c r="G64" s="19">
        <f>$G$12</f>
        <v>4</v>
      </c>
      <c r="H64" s="20">
        <v>1.0</v>
      </c>
      <c r="I64" s="20">
        <v>0.0</v>
      </c>
      <c r="J64" s="20">
        <v>0.0</v>
      </c>
      <c r="K64" s="20">
        <v>0.0</v>
      </c>
      <c r="L64" s="20">
        <v>0.0</v>
      </c>
      <c r="N64" s="24"/>
      <c r="O64" s="19">
        <f>$G$12</f>
        <v>4</v>
      </c>
      <c r="P64" s="40">
        <f t="shared" ref="P64:Q64" si="59">H64/H$84</f>
        <v>0.003154574132</v>
      </c>
      <c r="Q64" s="40">
        <f t="shared" si="59"/>
        <v>0</v>
      </c>
      <c r="R64" s="40">
        <v>0.0</v>
      </c>
      <c r="S64" s="40">
        <f t="shared" ref="S64:T64" si="60">K64/K$84</f>
        <v>0</v>
      </c>
      <c r="T64" s="40">
        <f t="shared" si="60"/>
        <v>0</v>
      </c>
    </row>
    <row r="65" ht="15.75" customHeight="1">
      <c r="A65" s="16" t="s">
        <v>203</v>
      </c>
      <c r="F65" s="24"/>
      <c r="G65" s="19">
        <f>$G$13</f>
        <v>5</v>
      </c>
      <c r="H65" s="16">
        <v>3.0</v>
      </c>
      <c r="I65" s="16">
        <v>1.0</v>
      </c>
      <c r="J65" s="16">
        <v>0.0</v>
      </c>
      <c r="K65" s="16">
        <v>1.0</v>
      </c>
      <c r="L65" s="16">
        <v>1.0</v>
      </c>
      <c r="N65" s="24"/>
      <c r="O65" s="19">
        <f>$G$13</f>
        <v>5</v>
      </c>
      <c r="P65" s="40">
        <f t="shared" ref="P65:Q65" si="61">H65/H$84</f>
        <v>0.009463722397</v>
      </c>
      <c r="Q65" s="40">
        <f t="shared" si="61"/>
        <v>0.01063829787</v>
      </c>
      <c r="R65" s="40">
        <v>0.0</v>
      </c>
      <c r="S65" s="40">
        <f t="shared" ref="S65:T65" si="62">K65/K$84</f>
        <v>0.04</v>
      </c>
      <c r="T65" s="40">
        <f t="shared" si="62"/>
        <v>0.04761904762</v>
      </c>
    </row>
    <row r="66" ht="15.75" customHeight="1">
      <c r="A66" s="16" t="s">
        <v>204</v>
      </c>
      <c r="F66" s="24"/>
      <c r="G66" s="19">
        <f>$G$14</f>
        <v>6</v>
      </c>
      <c r="H66" s="20">
        <v>7.0</v>
      </c>
      <c r="I66" s="20">
        <v>2.0</v>
      </c>
      <c r="J66" s="20">
        <v>0.0</v>
      </c>
      <c r="K66" s="20">
        <v>0.0</v>
      </c>
      <c r="L66" s="20">
        <v>1.0</v>
      </c>
      <c r="N66" s="24"/>
      <c r="O66" s="19">
        <f>$G$14</f>
        <v>6</v>
      </c>
      <c r="P66" s="40">
        <f t="shared" ref="P66:Q66" si="63">H66/H$84</f>
        <v>0.02208201893</v>
      </c>
      <c r="Q66" s="40">
        <f t="shared" si="63"/>
        <v>0.02127659574</v>
      </c>
      <c r="R66" s="40">
        <v>0.0</v>
      </c>
      <c r="S66" s="40">
        <f t="shared" ref="S66:T66" si="64">K66/K$84</f>
        <v>0</v>
      </c>
      <c r="T66" s="40">
        <f t="shared" si="64"/>
        <v>0.04761904762</v>
      </c>
    </row>
    <row r="67" ht="15.75" customHeight="1">
      <c r="A67" s="16" t="s">
        <v>205</v>
      </c>
      <c r="F67" s="24"/>
      <c r="G67" s="19">
        <f>$G$15</f>
        <v>7</v>
      </c>
      <c r="H67" s="20">
        <v>8.0</v>
      </c>
      <c r="I67" s="20">
        <v>4.0</v>
      </c>
      <c r="J67" s="20">
        <v>0.0</v>
      </c>
      <c r="K67" s="20">
        <v>0.0</v>
      </c>
      <c r="L67" s="20">
        <v>0.0</v>
      </c>
      <c r="N67" s="24"/>
      <c r="O67" s="19">
        <f>$G$15</f>
        <v>7</v>
      </c>
      <c r="P67" s="40">
        <f t="shared" ref="P67:Q67" si="65">H67/H$84</f>
        <v>0.02523659306</v>
      </c>
      <c r="Q67" s="40">
        <f t="shared" si="65"/>
        <v>0.04255319149</v>
      </c>
      <c r="R67" s="40">
        <v>0.0</v>
      </c>
      <c r="S67" s="40">
        <f t="shared" ref="S67:T67" si="66">K67/K$84</f>
        <v>0</v>
      </c>
      <c r="T67" s="40">
        <f t="shared" si="66"/>
        <v>0</v>
      </c>
    </row>
    <row r="68" ht="15.75" customHeight="1">
      <c r="A68" s="16" t="s">
        <v>206</v>
      </c>
      <c r="F68" s="24"/>
      <c r="G68" s="19">
        <f>$G$16</f>
        <v>8</v>
      </c>
      <c r="H68" s="20">
        <v>12.0</v>
      </c>
      <c r="I68" s="20">
        <v>4.0</v>
      </c>
      <c r="J68" s="20">
        <v>0.0</v>
      </c>
      <c r="K68" s="20">
        <v>2.0</v>
      </c>
      <c r="L68" s="20">
        <v>2.0</v>
      </c>
      <c r="N68" s="24"/>
      <c r="O68" s="19">
        <f>$G$16</f>
        <v>8</v>
      </c>
      <c r="P68" s="40">
        <f t="shared" ref="P68:Q68" si="67">H68/H$84</f>
        <v>0.03785488959</v>
      </c>
      <c r="Q68" s="40">
        <f t="shared" si="67"/>
        <v>0.04255319149</v>
      </c>
      <c r="R68" s="40">
        <v>0.0</v>
      </c>
      <c r="S68" s="40">
        <f t="shared" ref="S68:T68" si="68">K68/K$84</f>
        <v>0.08</v>
      </c>
      <c r="T68" s="40">
        <f t="shared" si="68"/>
        <v>0.09523809524</v>
      </c>
    </row>
    <row r="69" ht="15.75" customHeight="1">
      <c r="A69" s="16" t="s">
        <v>207</v>
      </c>
      <c r="F69" s="24"/>
      <c r="G69" s="19">
        <f>$G$17</f>
        <v>9</v>
      </c>
      <c r="H69" s="20">
        <v>15.0</v>
      </c>
      <c r="I69" s="20">
        <v>5.0</v>
      </c>
      <c r="J69" s="20">
        <v>0.0</v>
      </c>
      <c r="K69" s="20">
        <v>6.0</v>
      </c>
      <c r="L69" s="20">
        <v>0.0</v>
      </c>
      <c r="N69" s="24"/>
      <c r="O69" s="19">
        <f>$G$17</f>
        <v>9</v>
      </c>
      <c r="P69" s="40">
        <f t="shared" ref="P69:Q69" si="69">H69/H$84</f>
        <v>0.04731861199</v>
      </c>
      <c r="Q69" s="40">
        <f t="shared" si="69"/>
        <v>0.05319148936</v>
      </c>
      <c r="R69" s="40">
        <v>0.0</v>
      </c>
      <c r="S69" s="40">
        <f t="shared" ref="S69:T69" si="70">K69/K$84</f>
        <v>0.24</v>
      </c>
      <c r="T69" s="40">
        <f t="shared" si="70"/>
        <v>0</v>
      </c>
    </row>
    <row r="70" ht="15.75" customHeight="1">
      <c r="A70" s="16" t="s">
        <v>208</v>
      </c>
      <c r="F70" s="24"/>
      <c r="G70" s="19">
        <f>$G$18</f>
        <v>10</v>
      </c>
      <c r="H70" s="20">
        <v>24.0</v>
      </c>
      <c r="I70" s="20">
        <v>3.0</v>
      </c>
      <c r="J70" s="20">
        <v>0.0</v>
      </c>
      <c r="K70" s="20">
        <v>3.0</v>
      </c>
      <c r="L70" s="20">
        <v>3.0</v>
      </c>
      <c r="N70" s="24"/>
      <c r="O70" s="19">
        <f>$G$18</f>
        <v>10</v>
      </c>
      <c r="P70" s="40">
        <f t="shared" ref="P70:Q70" si="71">H70/H$84</f>
        <v>0.07570977918</v>
      </c>
      <c r="Q70" s="40">
        <f t="shared" si="71"/>
        <v>0.03191489362</v>
      </c>
      <c r="R70" s="40">
        <v>0.0</v>
      </c>
      <c r="S70" s="40">
        <f t="shared" ref="S70:T70" si="72">K70/K$84</f>
        <v>0.12</v>
      </c>
      <c r="T70" s="40">
        <f t="shared" si="72"/>
        <v>0.1428571429</v>
      </c>
    </row>
    <row r="71" ht="15.75" customHeight="1">
      <c r="A71" s="16" t="s">
        <v>209</v>
      </c>
      <c r="F71" s="24"/>
      <c r="G71" s="19">
        <f>$G$19</f>
        <v>11</v>
      </c>
      <c r="H71" s="20">
        <v>23.0</v>
      </c>
      <c r="I71" s="20">
        <v>7.0</v>
      </c>
      <c r="J71" s="20">
        <v>0.0</v>
      </c>
      <c r="K71" s="20">
        <v>5.0</v>
      </c>
      <c r="L71" s="20">
        <v>2.0</v>
      </c>
      <c r="N71" s="24"/>
      <c r="O71" s="19">
        <f>$G$19</f>
        <v>11</v>
      </c>
      <c r="P71" s="40">
        <f t="shared" ref="P71:Q71" si="73">H71/H$84</f>
        <v>0.07255520505</v>
      </c>
      <c r="Q71" s="40">
        <f t="shared" si="73"/>
        <v>0.07446808511</v>
      </c>
      <c r="R71" s="40">
        <v>0.0</v>
      </c>
      <c r="S71" s="40">
        <f t="shared" ref="S71:T71" si="74">K71/K$84</f>
        <v>0.2</v>
      </c>
      <c r="T71" s="40">
        <f t="shared" si="74"/>
        <v>0.09523809524</v>
      </c>
    </row>
    <row r="72" ht="15.75" customHeight="1">
      <c r="A72" s="16" t="s">
        <v>210</v>
      </c>
      <c r="F72" s="24"/>
      <c r="G72" s="19">
        <f>$G$20</f>
        <v>12</v>
      </c>
      <c r="H72" s="20">
        <v>25.0</v>
      </c>
      <c r="I72" s="20">
        <v>7.0</v>
      </c>
      <c r="J72" s="20">
        <v>0.0</v>
      </c>
      <c r="K72" s="20">
        <v>2.0</v>
      </c>
      <c r="L72" s="20">
        <v>2.0</v>
      </c>
      <c r="N72" s="24"/>
      <c r="O72" s="19">
        <f>$G$20</f>
        <v>12</v>
      </c>
      <c r="P72" s="40">
        <f t="shared" ref="P72:Q72" si="75">H72/H$84</f>
        <v>0.07886435331</v>
      </c>
      <c r="Q72" s="40">
        <f t="shared" si="75"/>
        <v>0.07446808511</v>
      </c>
      <c r="R72" s="40">
        <v>0.0</v>
      </c>
      <c r="S72" s="40">
        <f t="shared" ref="S72:T72" si="76">K72/K$84</f>
        <v>0.08</v>
      </c>
      <c r="T72" s="40">
        <f t="shared" si="76"/>
        <v>0.09523809524</v>
      </c>
    </row>
    <row r="73" ht="15.75" customHeight="1">
      <c r="A73" s="16" t="s">
        <v>211</v>
      </c>
      <c r="F73" s="24"/>
      <c r="G73" s="19">
        <f>$G$21</f>
        <v>13</v>
      </c>
      <c r="H73" s="20">
        <v>27.0</v>
      </c>
      <c r="I73" s="20">
        <v>4.0</v>
      </c>
      <c r="J73" s="20">
        <v>0.0</v>
      </c>
      <c r="K73" s="20">
        <v>5.0</v>
      </c>
      <c r="L73" s="20">
        <v>2.0</v>
      </c>
      <c r="N73" s="24"/>
      <c r="O73" s="19">
        <f>$G$21</f>
        <v>13</v>
      </c>
      <c r="P73" s="40">
        <f t="shared" ref="P73:Q73" si="77">H73/H$84</f>
        <v>0.08517350158</v>
      </c>
      <c r="Q73" s="40">
        <f t="shared" si="77"/>
        <v>0.04255319149</v>
      </c>
      <c r="R73" s="40">
        <v>0.0</v>
      </c>
      <c r="S73" s="40">
        <f t="shared" ref="S73:T73" si="78">K73/K$84</f>
        <v>0.2</v>
      </c>
      <c r="T73" s="40">
        <f t="shared" si="78"/>
        <v>0.09523809524</v>
      </c>
    </row>
    <row r="74" ht="15.75" customHeight="1">
      <c r="A74" s="16" t="s">
        <v>212</v>
      </c>
      <c r="F74" s="24"/>
      <c r="G74" s="19">
        <f>$G$22</f>
        <v>14</v>
      </c>
      <c r="H74" s="20">
        <v>26.0</v>
      </c>
      <c r="I74" s="20">
        <v>7.0</v>
      </c>
      <c r="J74" s="20">
        <v>0.0</v>
      </c>
      <c r="K74" s="20">
        <v>0.0</v>
      </c>
      <c r="L74" s="20">
        <v>3.0</v>
      </c>
      <c r="N74" s="24"/>
      <c r="O74" s="19">
        <f>$G$22</f>
        <v>14</v>
      </c>
      <c r="P74" s="40">
        <f t="shared" ref="P74:Q74" si="79">H74/H$84</f>
        <v>0.08201892744</v>
      </c>
      <c r="Q74" s="40">
        <f t="shared" si="79"/>
        <v>0.07446808511</v>
      </c>
      <c r="R74" s="40">
        <v>0.0</v>
      </c>
      <c r="S74" s="40">
        <f t="shared" ref="S74:T74" si="80">K74/K$84</f>
        <v>0</v>
      </c>
      <c r="T74" s="40">
        <f t="shared" si="80"/>
        <v>0.1428571429</v>
      </c>
    </row>
    <row r="75" ht="15.75" customHeight="1">
      <c r="A75" s="16" t="s">
        <v>213</v>
      </c>
      <c r="F75" s="24"/>
      <c r="G75" s="19">
        <f>$G$23</f>
        <v>15</v>
      </c>
      <c r="H75" s="20">
        <v>20.0</v>
      </c>
      <c r="I75" s="20">
        <v>10.0</v>
      </c>
      <c r="J75" s="20">
        <v>0.0</v>
      </c>
      <c r="K75" s="20">
        <v>0.0</v>
      </c>
      <c r="L75" s="20">
        <v>1.0</v>
      </c>
      <c r="N75" s="24"/>
      <c r="O75" s="19">
        <f>$G$23</f>
        <v>15</v>
      </c>
      <c r="P75" s="40">
        <f t="shared" ref="P75:Q75" si="81">H75/H$84</f>
        <v>0.06309148265</v>
      </c>
      <c r="Q75" s="40">
        <f t="shared" si="81"/>
        <v>0.1063829787</v>
      </c>
      <c r="R75" s="40">
        <v>0.0</v>
      </c>
      <c r="S75" s="40">
        <f t="shared" ref="S75:T75" si="82">K75/K$84</f>
        <v>0</v>
      </c>
      <c r="T75" s="40">
        <f t="shared" si="82"/>
        <v>0.04761904762</v>
      </c>
    </row>
    <row r="76" ht="15.75" customHeight="1">
      <c r="A76" s="16" t="s">
        <v>214</v>
      </c>
      <c r="F76" s="24"/>
      <c r="G76" s="19">
        <f>$G$24</f>
        <v>16</v>
      </c>
      <c r="H76" s="20">
        <v>27.0</v>
      </c>
      <c r="I76" s="20">
        <v>4.0</v>
      </c>
      <c r="J76" s="20">
        <v>0.0</v>
      </c>
      <c r="K76" s="20">
        <v>0.0</v>
      </c>
      <c r="L76" s="20">
        <v>0.0</v>
      </c>
      <c r="N76" s="24"/>
      <c r="O76" s="19">
        <f>$G$24</f>
        <v>16</v>
      </c>
      <c r="P76" s="40">
        <f t="shared" ref="P76:Q76" si="83">H76/H$84</f>
        <v>0.08517350158</v>
      </c>
      <c r="Q76" s="40">
        <f t="shared" si="83"/>
        <v>0.04255319149</v>
      </c>
      <c r="R76" s="40">
        <v>0.0</v>
      </c>
      <c r="S76" s="40">
        <f t="shared" ref="S76:T76" si="84">K76/K$84</f>
        <v>0</v>
      </c>
      <c r="T76" s="40">
        <f t="shared" si="84"/>
        <v>0</v>
      </c>
    </row>
    <row r="77" ht="15.75" customHeight="1">
      <c r="A77" s="16" t="s">
        <v>215</v>
      </c>
      <c r="F77" s="24"/>
      <c r="G77" s="19">
        <f>$G$25</f>
        <v>17</v>
      </c>
      <c r="H77" s="20">
        <v>18.0</v>
      </c>
      <c r="I77" s="20">
        <v>9.0</v>
      </c>
      <c r="J77" s="20">
        <v>0.0</v>
      </c>
      <c r="K77" s="20">
        <v>0.0</v>
      </c>
      <c r="L77" s="20">
        <v>2.0</v>
      </c>
      <c r="N77" s="24"/>
      <c r="O77" s="19">
        <f>$G$25</f>
        <v>17</v>
      </c>
      <c r="P77" s="40">
        <f t="shared" ref="P77:Q77" si="85">H77/H$84</f>
        <v>0.05678233438</v>
      </c>
      <c r="Q77" s="40">
        <f t="shared" si="85"/>
        <v>0.09574468085</v>
      </c>
      <c r="R77" s="40">
        <v>0.0</v>
      </c>
      <c r="S77" s="40">
        <f t="shared" ref="S77:T77" si="86">K77/K$84</f>
        <v>0</v>
      </c>
      <c r="T77" s="40">
        <f t="shared" si="86"/>
        <v>0.09523809524</v>
      </c>
    </row>
    <row r="78" ht="15.75" customHeight="1">
      <c r="A78" s="16" t="s">
        <v>216</v>
      </c>
      <c r="F78" s="24"/>
      <c r="G78" s="19">
        <f>$G$26</f>
        <v>18</v>
      </c>
      <c r="H78" s="20">
        <v>20.0</v>
      </c>
      <c r="I78" s="20">
        <v>10.0</v>
      </c>
      <c r="J78" s="20">
        <v>0.0</v>
      </c>
      <c r="K78" s="20">
        <v>1.0</v>
      </c>
      <c r="L78" s="20">
        <v>0.0</v>
      </c>
      <c r="N78" s="24"/>
      <c r="O78" s="19">
        <f>$G$26</f>
        <v>18</v>
      </c>
      <c r="P78" s="40">
        <f t="shared" ref="P78:Q78" si="87">H78/H$84</f>
        <v>0.06309148265</v>
      </c>
      <c r="Q78" s="40">
        <f t="shared" si="87"/>
        <v>0.1063829787</v>
      </c>
      <c r="R78" s="40">
        <v>0.0</v>
      </c>
      <c r="S78" s="40">
        <f t="shared" ref="S78:T78" si="88">K78/K$84</f>
        <v>0.04</v>
      </c>
      <c r="T78" s="40">
        <f t="shared" si="88"/>
        <v>0</v>
      </c>
    </row>
    <row r="79" ht="15.75" customHeight="1">
      <c r="A79" s="16" t="s">
        <v>217</v>
      </c>
      <c r="F79" s="24"/>
      <c r="G79" s="19">
        <f>$G$27</f>
        <v>19</v>
      </c>
      <c r="H79" s="20">
        <v>18.0</v>
      </c>
      <c r="I79" s="20">
        <v>6.0</v>
      </c>
      <c r="J79" s="20">
        <v>0.0</v>
      </c>
      <c r="K79" s="20">
        <v>0.0</v>
      </c>
      <c r="L79" s="20">
        <v>1.0</v>
      </c>
      <c r="N79" s="24"/>
      <c r="O79" s="19">
        <f>$G$27</f>
        <v>19</v>
      </c>
      <c r="P79" s="40">
        <f t="shared" ref="P79:Q79" si="89">H79/H$84</f>
        <v>0.05678233438</v>
      </c>
      <c r="Q79" s="40">
        <f t="shared" si="89"/>
        <v>0.06382978723</v>
      </c>
      <c r="R79" s="40">
        <v>0.0</v>
      </c>
      <c r="S79" s="40">
        <f t="shared" ref="S79:T79" si="90">K79/K$84</f>
        <v>0</v>
      </c>
      <c r="T79" s="40">
        <f t="shared" si="90"/>
        <v>0.04761904762</v>
      </c>
    </row>
    <row r="80" ht="15.75" customHeight="1">
      <c r="A80" s="16" t="s">
        <v>218</v>
      </c>
      <c r="F80" s="24"/>
      <c r="G80" s="19">
        <f>$G$28</f>
        <v>20</v>
      </c>
      <c r="H80" s="20">
        <v>15.0</v>
      </c>
      <c r="I80" s="20">
        <v>2.0</v>
      </c>
      <c r="J80" s="20">
        <v>0.0</v>
      </c>
      <c r="K80" s="20">
        <v>0.0</v>
      </c>
      <c r="L80" s="20">
        <v>0.0</v>
      </c>
      <c r="N80" s="24"/>
      <c r="O80" s="19">
        <f>$G$28</f>
        <v>20</v>
      </c>
      <c r="P80" s="40">
        <f t="shared" ref="P80:Q80" si="91">H80/H$84</f>
        <v>0.04731861199</v>
      </c>
      <c r="Q80" s="40">
        <f t="shared" si="91"/>
        <v>0.02127659574</v>
      </c>
      <c r="R80" s="40">
        <v>0.0</v>
      </c>
      <c r="S80" s="40">
        <f t="shared" ref="S80:T80" si="92">K80/K$84</f>
        <v>0</v>
      </c>
      <c r="T80" s="40">
        <f t="shared" si="92"/>
        <v>0</v>
      </c>
    </row>
    <row r="81" ht="15.75" customHeight="1">
      <c r="A81" s="16" t="s">
        <v>219</v>
      </c>
      <c r="F81" s="24"/>
      <c r="G81" s="19">
        <f>$G$29</f>
        <v>21</v>
      </c>
      <c r="H81" s="20">
        <v>9.0</v>
      </c>
      <c r="I81" s="20">
        <v>3.0</v>
      </c>
      <c r="J81" s="20">
        <v>0.0</v>
      </c>
      <c r="K81" s="20">
        <v>0.0</v>
      </c>
      <c r="L81" s="20">
        <v>0.0</v>
      </c>
      <c r="N81" s="24"/>
      <c r="O81" s="19">
        <f>$G$29</f>
        <v>21</v>
      </c>
      <c r="P81" s="40">
        <f t="shared" ref="P81:Q81" si="93">H81/H$84</f>
        <v>0.02839116719</v>
      </c>
      <c r="Q81" s="40">
        <f t="shared" si="93"/>
        <v>0.03191489362</v>
      </c>
      <c r="R81" s="40">
        <v>0.0</v>
      </c>
      <c r="S81" s="40">
        <f t="shared" ref="S81:T81" si="94">K81/K$84</f>
        <v>0</v>
      </c>
      <c r="T81" s="40">
        <f t="shared" si="94"/>
        <v>0</v>
      </c>
    </row>
    <row r="82" ht="15.75" customHeight="1">
      <c r="A82" s="16" t="s">
        <v>157</v>
      </c>
      <c r="F82" s="24"/>
      <c r="G82" s="19">
        <f>$G$30</f>
        <v>22</v>
      </c>
      <c r="H82" s="20">
        <v>4.0</v>
      </c>
      <c r="I82" s="20">
        <v>1.0</v>
      </c>
      <c r="J82" s="20">
        <v>0.0</v>
      </c>
      <c r="K82" s="20">
        <v>0.0</v>
      </c>
      <c r="L82" s="20">
        <v>0.0</v>
      </c>
      <c r="N82" s="24"/>
      <c r="O82" s="19">
        <f>$G$30</f>
        <v>22</v>
      </c>
      <c r="P82" s="40">
        <f t="shared" ref="P82:Q82" si="95">H82/H$84</f>
        <v>0.01261829653</v>
      </c>
      <c r="Q82" s="40">
        <f t="shared" si="95"/>
        <v>0.01063829787</v>
      </c>
      <c r="R82" s="40">
        <v>0.0</v>
      </c>
      <c r="S82" s="40">
        <f t="shared" ref="S82:T82" si="96">K82/K$84</f>
        <v>0</v>
      </c>
      <c r="T82" s="40">
        <f t="shared" si="96"/>
        <v>0</v>
      </c>
    </row>
    <row r="83" ht="15.75" customHeight="1">
      <c r="A83" s="16" t="s">
        <v>74</v>
      </c>
      <c r="F83" s="28"/>
      <c r="G83" s="19">
        <f>$G$31</f>
        <v>23</v>
      </c>
      <c r="H83" s="20">
        <v>5.0</v>
      </c>
      <c r="I83" s="20">
        <v>2.0</v>
      </c>
      <c r="J83" s="20">
        <v>0.0</v>
      </c>
      <c r="K83" s="20">
        <v>0.0</v>
      </c>
      <c r="L83" s="20">
        <v>0.0</v>
      </c>
      <c r="N83" s="28"/>
      <c r="O83" s="19">
        <f>$G$31</f>
        <v>23</v>
      </c>
      <c r="P83" s="40">
        <f t="shared" ref="P83:Q83" si="97">H83/H$84</f>
        <v>0.01577287066</v>
      </c>
      <c r="Q83" s="40">
        <f t="shared" si="97"/>
        <v>0.02127659574</v>
      </c>
      <c r="R83" s="40">
        <v>0.0</v>
      </c>
      <c r="S83" s="40">
        <f t="shared" ref="S83:T83" si="98">K83/K$84</f>
        <v>0</v>
      </c>
      <c r="T83" s="40">
        <f t="shared" si="98"/>
        <v>0</v>
      </c>
    </row>
    <row r="84" ht="15.75" customHeight="1">
      <c r="F84" s="111"/>
      <c r="G84" s="112"/>
      <c r="H84" s="26">
        <f t="shared" ref="H84:L84" si="99">SUM(H60:H83)</f>
        <v>317</v>
      </c>
      <c r="I84" s="26">
        <f t="shared" si="99"/>
        <v>94</v>
      </c>
      <c r="J84" s="26">
        <f t="shared" si="99"/>
        <v>0</v>
      </c>
      <c r="K84" s="26">
        <f t="shared" si="99"/>
        <v>25</v>
      </c>
      <c r="L84" s="26">
        <f t="shared" si="99"/>
        <v>21</v>
      </c>
    </row>
    <row r="85" ht="15.75" customHeight="1">
      <c r="A85" s="16" t="s">
        <v>113</v>
      </c>
      <c r="G85" s="16"/>
      <c r="H85" s="17">
        <f>$H$7</f>
        <v>31</v>
      </c>
      <c r="I85" s="17">
        <f>$I$7</f>
        <v>32</v>
      </c>
      <c r="J85" s="17">
        <f>$J$7</f>
        <v>41</v>
      </c>
      <c r="K85" s="17">
        <f>$K$7</f>
        <v>42</v>
      </c>
      <c r="L85" s="17">
        <f>$L$7</f>
        <v>5</v>
      </c>
      <c r="O85" s="16"/>
      <c r="P85" s="17">
        <f>$H$7</f>
        <v>31</v>
      </c>
      <c r="Q85" s="17">
        <f>$I$7</f>
        <v>32</v>
      </c>
      <c r="R85" s="17">
        <f>$J$7</f>
        <v>41</v>
      </c>
      <c r="S85" s="17">
        <f>$K$7</f>
        <v>42</v>
      </c>
      <c r="T85" s="17">
        <f>$L$7</f>
        <v>5</v>
      </c>
    </row>
    <row r="86" ht="15.75" customHeight="1">
      <c r="A86" s="16" t="s">
        <v>220</v>
      </c>
      <c r="F86" s="56">
        <v>45210.0</v>
      </c>
      <c r="G86" s="19">
        <f>$G$8</f>
        <v>0</v>
      </c>
      <c r="H86" s="20">
        <v>5.0</v>
      </c>
      <c r="I86" s="20">
        <v>1.0</v>
      </c>
      <c r="J86" s="20">
        <v>0.0</v>
      </c>
      <c r="K86" s="20">
        <v>0.0</v>
      </c>
      <c r="L86" s="20">
        <v>0.0</v>
      </c>
      <c r="N86" s="56">
        <v>45210.0</v>
      </c>
      <c r="O86" s="19">
        <f>$G$8</f>
        <v>0</v>
      </c>
      <c r="P86" s="40">
        <f t="shared" ref="P86:T86" si="100">H86/H$110</f>
        <v>0.01779359431</v>
      </c>
      <c r="Q86" s="40">
        <f t="shared" si="100"/>
        <v>0.009090909091</v>
      </c>
      <c r="R86" s="40">
        <f t="shared" si="100"/>
        <v>0</v>
      </c>
      <c r="S86" s="40">
        <f t="shared" si="100"/>
        <v>0</v>
      </c>
      <c r="T86" s="40">
        <f t="shared" si="100"/>
        <v>0</v>
      </c>
    </row>
    <row r="87" ht="15.75" customHeight="1">
      <c r="A87" s="16" t="s">
        <v>70</v>
      </c>
      <c r="F87" s="24"/>
      <c r="G87" s="19">
        <f>$G$9</f>
        <v>1</v>
      </c>
      <c r="H87" s="20">
        <v>0.0</v>
      </c>
      <c r="I87" s="20">
        <v>0.0</v>
      </c>
      <c r="J87" s="20">
        <v>0.0</v>
      </c>
      <c r="K87" s="20">
        <v>0.0</v>
      </c>
      <c r="L87" s="20">
        <v>0.0</v>
      </c>
      <c r="N87" s="24"/>
      <c r="O87" s="19">
        <f>$G$9</f>
        <v>1</v>
      </c>
      <c r="P87" s="40">
        <f t="shared" ref="P87:T87" si="101">H87/H$110</f>
        <v>0</v>
      </c>
      <c r="Q87" s="40">
        <f t="shared" si="101"/>
        <v>0</v>
      </c>
      <c r="R87" s="40">
        <f t="shared" si="101"/>
        <v>0</v>
      </c>
      <c r="S87" s="40">
        <f t="shared" si="101"/>
        <v>0</v>
      </c>
      <c r="T87" s="40">
        <f t="shared" si="101"/>
        <v>0</v>
      </c>
    </row>
    <row r="88" ht="15.75" customHeight="1">
      <c r="A88" s="16" t="s">
        <v>70</v>
      </c>
      <c r="F88" s="24"/>
      <c r="G88" s="19">
        <f>$G$10</f>
        <v>2</v>
      </c>
      <c r="H88" s="16">
        <v>2.0</v>
      </c>
      <c r="I88" s="16">
        <v>0.0</v>
      </c>
      <c r="J88" s="16">
        <v>0.0</v>
      </c>
      <c r="K88" s="16">
        <v>0.0</v>
      </c>
      <c r="L88" s="16">
        <v>0.0</v>
      </c>
      <c r="N88" s="24"/>
      <c r="O88" s="19">
        <f>$G$10</f>
        <v>2</v>
      </c>
      <c r="P88" s="40">
        <f t="shared" ref="P88:T88" si="102">H88/H$110</f>
        <v>0.007117437722</v>
      </c>
      <c r="Q88" s="40">
        <f t="shared" si="102"/>
        <v>0</v>
      </c>
      <c r="R88" s="40">
        <f t="shared" si="102"/>
        <v>0</v>
      </c>
      <c r="S88" s="40">
        <f t="shared" si="102"/>
        <v>0</v>
      </c>
      <c r="T88" s="40">
        <f t="shared" si="102"/>
        <v>0</v>
      </c>
    </row>
    <row r="89" ht="15.75" customHeight="1">
      <c r="A89" s="16" t="s">
        <v>220</v>
      </c>
      <c r="F89" s="24"/>
      <c r="G89" s="19">
        <f>$G$11</f>
        <v>3</v>
      </c>
      <c r="H89" s="20">
        <v>2.0</v>
      </c>
      <c r="I89" s="20">
        <v>0.0</v>
      </c>
      <c r="J89" s="20">
        <v>0.0</v>
      </c>
      <c r="K89" s="20">
        <v>0.0</v>
      </c>
      <c r="L89" s="20">
        <v>0.0</v>
      </c>
      <c r="N89" s="24"/>
      <c r="O89" s="19">
        <f>$G$11</f>
        <v>3</v>
      </c>
      <c r="P89" s="40">
        <f t="shared" ref="P89:T89" si="103">H89/H$110</f>
        <v>0.007117437722</v>
      </c>
      <c r="Q89" s="40">
        <f t="shared" si="103"/>
        <v>0</v>
      </c>
      <c r="R89" s="40">
        <f t="shared" si="103"/>
        <v>0</v>
      </c>
      <c r="S89" s="40">
        <f t="shared" si="103"/>
        <v>0</v>
      </c>
      <c r="T89" s="40">
        <f t="shared" si="103"/>
        <v>0</v>
      </c>
    </row>
    <row r="90" ht="15.75" customHeight="1">
      <c r="A90" s="16" t="s">
        <v>221</v>
      </c>
      <c r="F90" s="24"/>
      <c r="G90" s="19">
        <f>$G$12</f>
        <v>4</v>
      </c>
      <c r="H90" s="20">
        <v>0.0</v>
      </c>
      <c r="I90" s="20">
        <v>0.0</v>
      </c>
      <c r="J90" s="20">
        <v>0.0</v>
      </c>
      <c r="K90" s="20">
        <v>0.0</v>
      </c>
      <c r="L90" s="20">
        <v>0.0</v>
      </c>
      <c r="N90" s="24"/>
      <c r="O90" s="19">
        <f>$G$12</f>
        <v>4</v>
      </c>
      <c r="P90" s="40">
        <f t="shared" ref="P90:T90" si="104">H90/H$110</f>
        <v>0</v>
      </c>
      <c r="Q90" s="40">
        <f t="shared" si="104"/>
        <v>0</v>
      </c>
      <c r="R90" s="40">
        <f t="shared" si="104"/>
        <v>0</v>
      </c>
      <c r="S90" s="40">
        <f t="shared" si="104"/>
        <v>0</v>
      </c>
      <c r="T90" s="40">
        <f t="shared" si="104"/>
        <v>0</v>
      </c>
    </row>
    <row r="91" ht="15.75" customHeight="1">
      <c r="A91" s="16" t="s">
        <v>91</v>
      </c>
      <c r="F91" s="24"/>
      <c r="G91" s="19">
        <f>$G$13</f>
        <v>5</v>
      </c>
      <c r="H91" s="20">
        <v>4.0</v>
      </c>
      <c r="I91" s="20">
        <v>4.0</v>
      </c>
      <c r="J91" s="20">
        <v>0.0</v>
      </c>
      <c r="K91" s="20">
        <v>0.0</v>
      </c>
      <c r="L91" s="20">
        <v>0.0</v>
      </c>
      <c r="N91" s="24"/>
      <c r="O91" s="19">
        <f>$G$13</f>
        <v>5</v>
      </c>
      <c r="P91" s="40">
        <f t="shared" ref="P91:T91" si="105">H91/H$110</f>
        <v>0.01423487544</v>
      </c>
      <c r="Q91" s="40">
        <f t="shared" si="105"/>
        <v>0.03636363636</v>
      </c>
      <c r="R91" s="40">
        <f t="shared" si="105"/>
        <v>0</v>
      </c>
      <c r="S91" s="40">
        <f t="shared" si="105"/>
        <v>0</v>
      </c>
      <c r="T91" s="40">
        <f t="shared" si="105"/>
        <v>0</v>
      </c>
    </row>
    <row r="92" ht="15.75" customHeight="1">
      <c r="A92" s="16" t="s">
        <v>222</v>
      </c>
      <c r="F92" s="24"/>
      <c r="G92" s="19">
        <f>$G$14</f>
        <v>6</v>
      </c>
      <c r="H92" s="20">
        <v>7.0</v>
      </c>
      <c r="I92" s="20">
        <v>1.0</v>
      </c>
      <c r="J92" s="20">
        <v>0.0</v>
      </c>
      <c r="K92" s="20">
        <v>1.0</v>
      </c>
      <c r="L92" s="20">
        <v>0.0</v>
      </c>
      <c r="N92" s="24"/>
      <c r="O92" s="19">
        <f>$G$14</f>
        <v>6</v>
      </c>
      <c r="P92" s="40">
        <f t="shared" ref="P92:T92" si="106">H92/H$110</f>
        <v>0.02491103203</v>
      </c>
      <c r="Q92" s="40">
        <f t="shared" si="106"/>
        <v>0.009090909091</v>
      </c>
      <c r="R92" s="40">
        <f t="shared" si="106"/>
        <v>0</v>
      </c>
      <c r="S92" s="40">
        <f t="shared" si="106"/>
        <v>0.1</v>
      </c>
      <c r="T92" s="40">
        <f t="shared" si="106"/>
        <v>0</v>
      </c>
    </row>
    <row r="93" ht="15.75" customHeight="1">
      <c r="A93" s="16" t="s">
        <v>223</v>
      </c>
      <c r="F93" s="24"/>
      <c r="G93" s="19">
        <f>$G$15</f>
        <v>7</v>
      </c>
      <c r="H93" s="20">
        <v>24.0</v>
      </c>
      <c r="I93" s="20">
        <v>9.0</v>
      </c>
      <c r="J93" s="20">
        <v>1.0</v>
      </c>
      <c r="K93" s="20">
        <v>0.0</v>
      </c>
      <c r="L93" s="20">
        <v>1.0</v>
      </c>
      <c r="N93" s="24"/>
      <c r="O93" s="19">
        <f>$G$15</f>
        <v>7</v>
      </c>
      <c r="P93" s="40">
        <f t="shared" ref="P93:T93" si="107">H93/H$110</f>
        <v>0.08540925267</v>
      </c>
      <c r="Q93" s="40">
        <f t="shared" si="107"/>
        <v>0.08181818182</v>
      </c>
      <c r="R93" s="40">
        <f t="shared" si="107"/>
        <v>0.3333333333</v>
      </c>
      <c r="S93" s="40">
        <f t="shared" si="107"/>
        <v>0</v>
      </c>
      <c r="T93" s="40">
        <f t="shared" si="107"/>
        <v>0.04347826087</v>
      </c>
    </row>
    <row r="94" ht="15.75" customHeight="1">
      <c r="A94" s="16" t="s">
        <v>224</v>
      </c>
      <c r="F94" s="24"/>
      <c r="G94" s="19">
        <f>$G$16</f>
        <v>8</v>
      </c>
      <c r="H94" s="20">
        <v>21.0</v>
      </c>
      <c r="I94" s="20">
        <v>3.0</v>
      </c>
      <c r="J94" s="20">
        <v>0.0</v>
      </c>
      <c r="K94" s="20">
        <v>1.0</v>
      </c>
      <c r="L94" s="20">
        <v>2.0</v>
      </c>
      <c r="N94" s="24"/>
      <c r="O94" s="19">
        <f>$G$16</f>
        <v>8</v>
      </c>
      <c r="P94" s="40">
        <f t="shared" ref="P94:T94" si="108">H94/H$110</f>
        <v>0.07473309609</v>
      </c>
      <c r="Q94" s="40">
        <f t="shared" si="108"/>
        <v>0.02727272727</v>
      </c>
      <c r="R94" s="40">
        <f t="shared" si="108"/>
        <v>0</v>
      </c>
      <c r="S94" s="40">
        <f t="shared" si="108"/>
        <v>0.1</v>
      </c>
      <c r="T94" s="40">
        <f t="shared" si="108"/>
        <v>0.08695652174</v>
      </c>
    </row>
    <row r="95" ht="15.75" customHeight="1">
      <c r="A95" s="16" t="s">
        <v>225</v>
      </c>
      <c r="F95" s="24"/>
      <c r="G95" s="19">
        <f>$G$17</f>
        <v>9</v>
      </c>
      <c r="H95" s="20">
        <v>17.0</v>
      </c>
      <c r="I95" s="20">
        <v>4.0</v>
      </c>
      <c r="J95" s="20">
        <v>0.0</v>
      </c>
      <c r="K95" s="20">
        <v>1.0</v>
      </c>
      <c r="L95" s="20">
        <v>3.0</v>
      </c>
      <c r="N95" s="24"/>
      <c r="O95" s="19">
        <f>$G$17</f>
        <v>9</v>
      </c>
      <c r="P95" s="40">
        <f t="shared" ref="P95:T95" si="109">H95/H$110</f>
        <v>0.06049822064</v>
      </c>
      <c r="Q95" s="40">
        <f t="shared" si="109"/>
        <v>0.03636363636</v>
      </c>
      <c r="R95" s="40">
        <f t="shared" si="109"/>
        <v>0</v>
      </c>
      <c r="S95" s="40">
        <f t="shared" si="109"/>
        <v>0.1</v>
      </c>
      <c r="T95" s="40">
        <f t="shared" si="109"/>
        <v>0.1304347826</v>
      </c>
    </row>
    <row r="96" ht="15.75" customHeight="1">
      <c r="A96" s="16" t="s">
        <v>226</v>
      </c>
      <c r="F96" s="24"/>
      <c r="G96" s="19">
        <f>$G$18</f>
        <v>10</v>
      </c>
      <c r="H96" s="20">
        <v>14.0</v>
      </c>
      <c r="I96" s="20">
        <v>13.0</v>
      </c>
      <c r="J96" s="20">
        <v>0.0</v>
      </c>
      <c r="K96" s="20">
        <v>0.0</v>
      </c>
      <c r="L96" s="20">
        <v>0.0</v>
      </c>
      <c r="N96" s="24"/>
      <c r="O96" s="19">
        <f>$G$18</f>
        <v>10</v>
      </c>
      <c r="P96" s="40">
        <f t="shared" ref="P96:T96" si="110">H96/H$110</f>
        <v>0.04982206406</v>
      </c>
      <c r="Q96" s="40">
        <f t="shared" si="110"/>
        <v>0.1181818182</v>
      </c>
      <c r="R96" s="40">
        <f t="shared" si="110"/>
        <v>0</v>
      </c>
      <c r="S96" s="40">
        <f t="shared" si="110"/>
        <v>0</v>
      </c>
      <c r="T96" s="40">
        <f t="shared" si="110"/>
        <v>0</v>
      </c>
    </row>
    <row r="97" ht="15.75" customHeight="1">
      <c r="A97" s="16" t="s">
        <v>227</v>
      </c>
      <c r="F97" s="24"/>
      <c r="G97" s="19">
        <f>$G$19</f>
        <v>11</v>
      </c>
      <c r="H97" s="20">
        <v>20.0</v>
      </c>
      <c r="I97" s="20">
        <v>4.0</v>
      </c>
      <c r="J97" s="20">
        <v>0.0</v>
      </c>
      <c r="K97" s="20">
        <v>1.0</v>
      </c>
      <c r="L97" s="20">
        <v>5.0</v>
      </c>
      <c r="N97" s="24"/>
      <c r="O97" s="19">
        <f>$G$19</f>
        <v>11</v>
      </c>
      <c r="P97" s="40">
        <f t="shared" ref="P97:T97" si="111">H97/H$110</f>
        <v>0.07117437722</v>
      </c>
      <c r="Q97" s="40">
        <f t="shared" si="111"/>
        <v>0.03636363636</v>
      </c>
      <c r="R97" s="40">
        <f t="shared" si="111"/>
        <v>0</v>
      </c>
      <c r="S97" s="40">
        <f t="shared" si="111"/>
        <v>0.1</v>
      </c>
      <c r="T97" s="40">
        <f t="shared" si="111"/>
        <v>0.2173913043</v>
      </c>
    </row>
    <row r="98" ht="15.75" customHeight="1">
      <c r="A98" s="16" t="s">
        <v>228</v>
      </c>
      <c r="F98" s="24"/>
      <c r="G98" s="19">
        <f>$G$20</f>
        <v>12</v>
      </c>
      <c r="H98" s="20">
        <v>9.0</v>
      </c>
      <c r="I98" s="20">
        <v>4.0</v>
      </c>
      <c r="J98" s="20">
        <v>1.0</v>
      </c>
      <c r="K98" s="20">
        <v>0.0</v>
      </c>
      <c r="L98" s="20">
        <v>2.0</v>
      </c>
      <c r="N98" s="24"/>
      <c r="O98" s="19">
        <f>$G$20</f>
        <v>12</v>
      </c>
      <c r="P98" s="40">
        <f t="shared" ref="P98:T98" si="112">H98/H$110</f>
        <v>0.03202846975</v>
      </c>
      <c r="Q98" s="40">
        <f t="shared" si="112"/>
        <v>0.03636363636</v>
      </c>
      <c r="R98" s="40">
        <f t="shared" si="112"/>
        <v>0.3333333333</v>
      </c>
      <c r="S98" s="40">
        <f t="shared" si="112"/>
        <v>0</v>
      </c>
      <c r="T98" s="40">
        <f t="shared" si="112"/>
        <v>0.08695652174</v>
      </c>
    </row>
    <row r="99" ht="15.75" customHeight="1">
      <c r="A99" s="16" t="s">
        <v>229</v>
      </c>
      <c r="F99" s="24"/>
      <c r="G99" s="19">
        <f>$G$21</f>
        <v>13</v>
      </c>
      <c r="H99" s="20">
        <v>15.0</v>
      </c>
      <c r="I99" s="20">
        <v>6.0</v>
      </c>
      <c r="J99" s="20">
        <v>0.0</v>
      </c>
      <c r="K99" s="20">
        <v>0.0</v>
      </c>
      <c r="L99" s="20">
        <v>2.0</v>
      </c>
      <c r="N99" s="24"/>
      <c r="O99" s="19">
        <f>$G$21</f>
        <v>13</v>
      </c>
      <c r="P99" s="40">
        <f t="shared" ref="P99:T99" si="113">H99/H$110</f>
        <v>0.05338078292</v>
      </c>
      <c r="Q99" s="40">
        <f t="shared" si="113"/>
        <v>0.05454545455</v>
      </c>
      <c r="R99" s="40">
        <f t="shared" si="113"/>
        <v>0</v>
      </c>
      <c r="S99" s="40">
        <f t="shared" si="113"/>
        <v>0</v>
      </c>
      <c r="T99" s="40">
        <f t="shared" si="113"/>
        <v>0.08695652174</v>
      </c>
    </row>
    <row r="100" ht="15.75" customHeight="1">
      <c r="A100" s="16" t="s">
        <v>230</v>
      </c>
      <c r="F100" s="24"/>
      <c r="G100" s="19">
        <f>$G$22</f>
        <v>14</v>
      </c>
      <c r="H100" s="20">
        <v>14.0</v>
      </c>
      <c r="I100" s="20">
        <v>7.0</v>
      </c>
      <c r="J100" s="20">
        <v>0.0</v>
      </c>
      <c r="K100" s="20">
        <v>1.0</v>
      </c>
      <c r="L100" s="20">
        <v>3.0</v>
      </c>
      <c r="N100" s="24"/>
      <c r="O100" s="19">
        <f>$G$22</f>
        <v>14</v>
      </c>
      <c r="P100" s="40">
        <f t="shared" ref="P100:T100" si="114">H100/H$110</f>
        <v>0.04982206406</v>
      </c>
      <c r="Q100" s="40">
        <f t="shared" si="114"/>
        <v>0.06363636364</v>
      </c>
      <c r="R100" s="40">
        <f t="shared" si="114"/>
        <v>0</v>
      </c>
      <c r="S100" s="40">
        <f t="shared" si="114"/>
        <v>0.1</v>
      </c>
      <c r="T100" s="40">
        <f t="shared" si="114"/>
        <v>0.1304347826</v>
      </c>
    </row>
    <row r="101" ht="15.75" customHeight="1">
      <c r="A101" s="16" t="s">
        <v>231</v>
      </c>
      <c r="F101" s="24"/>
      <c r="G101" s="19">
        <f>$G$23</f>
        <v>15</v>
      </c>
      <c r="H101" s="20">
        <v>21.0</v>
      </c>
      <c r="I101" s="20">
        <v>5.0</v>
      </c>
      <c r="J101" s="20">
        <v>1.0</v>
      </c>
      <c r="K101" s="20">
        <v>0.0</v>
      </c>
      <c r="L101" s="20">
        <v>1.0</v>
      </c>
      <c r="N101" s="24"/>
      <c r="O101" s="19">
        <f>$G$23</f>
        <v>15</v>
      </c>
      <c r="P101" s="40">
        <f t="shared" ref="P101:T101" si="115">H101/H$110</f>
        <v>0.07473309609</v>
      </c>
      <c r="Q101" s="40">
        <f t="shared" si="115"/>
        <v>0.04545454545</v>
      </c>
      <c r="R101" s="40">
        <f t="shared" si="115"/>
        <v>0.3333333333</v>
      </c>
      <c r="S101" s="40">
        <f t="shared" si="115"/>
        <v>0</v>
      </c>
      <c r="T101" s="40">
        <f t="shared" si="115"/>
        <v>0.04347826087</v>
      </c>
    </row>
    <row r="102" ht="15.75" customHeight="1">
      <c r="A102" s="16" t="s">
        <v>232</v>
      </c>
      <c r="F102" s="24"/>
      <c r="G102" s="19">
        <f>$G$24</f>
        <v>16</v>
      </c>
      <c r="H102" s="20">
        <v>25.0</v>
      </c>
      <c r="I102" s="20">
        <v>10.0</v>
      </c>
      <c r="J102" s="20">
        <v>0.0</v>
      </c>
      <c r="K102" s="20">
        <v>1.0</v>
      </c>
      <c r="L102" s="20">
        <v>2.0</v>
      </c>
      <c r="N102" s="24"/>
      <c r="O102" s="19">
        <f>$G$24</f>
        <v>16</v>
      </c>
      <c r="P102" s="40">
        <f t="shared" ref="P102:T102" si="116">H102/H$110</f>
        <v>0.08896797153</v>
      </c>
      <c r="Q102" s="40">
        <f t="shared" si="116"/>
        <v>0.09090909091</v>
      </c>
      <c r="R102" s="40">
        <f t="shared" si="116"/>
        <v>0</v>
      </c>
      <c r="S102" s="40">
        <f t="shared" si="116"/>
        <v>0.1</v>
      </c>
      <c r="T102" s="40">
        <f t="shared" si="116"/>
        <v>0.08695652174</v>
      </c>
    </row>
    <row r="103" ht="15.75" customHeight="1">
      <c r="A103" s="16" t="s">
        <v>233</v>
      </c>
      <c r="F103" s="24"/>
      <c r="G103" s="19">
        <f>$G$25</f>
        <v>17</v>
      </c>
      <c r="H103" s="20">
        <v>16.0</v>
      </c>
      <c r="I103" s="20">
        <v>14.0</v>
      </c>
      <c r="J103" s="20">
        <v>0.0</v>
      </c>
      <c r="K103" s="20">
        <v>1.0</v>
      </c>
      <c r="L103" s="20">
        <v>1.0</v>
      </c>
      <c r="N103" s="24"/>
      <c r="O103" s="19">
        <f>$G$25</f>
        <v>17</v>
      </c>
      <c r="P103" s="40">
        <f t="shared" ref="P103:T103" si="117">H103/H$110</f>
        <v>0.05693950178</v>
      </c>
      <c r="Q103" s="40">
        <f t="shared" si="117"/>
        <v>0.1272727273</v>
      </c>
      <c r="R103" s="40">
        <f t="shared" si="117"/>
        <v>0</v>
      </c>
      <c r="S103" s="40">
        <f t="shared" si="117"/>
        <v>0.1</v>
      </c>
      <c r="T103" s="40">
        <f t="shared" si="117"/>
        <v>0.04347826087</v>
      </c>
    </row>
    <row r="104" ht="15.75" customHeight="1">
      <c r="A104" s="16" t="s">
        <v>234</v>
      </c>
      <c r="F104" s="24"/>
      <c r="G104" s="19">
        <f>$G$26</f>
        <v>18</v>
      </c>
      <c r="H104" s="20">
        <v>20.0</v>
      </c>
      <c r="I104" s="20">
        <v>8.0</v>
      </c>
      <c r="J104" s="20">
        <v>0.0</v>
      </c>
      <c r="K104" s="20">
        <v>1.0</v>
      </c>
      <c r="L104" s="20">
        <v>1.0</v>
      </c>
      <c r="N104" s="24"/>
      <c r="O104" s="19">
        <f>$G$26</f>
        <v>18</v>
      </c>
      <c r="P104" s="40">
        <f t="shared" ref="P104:T104" si="118">H104/H$110</f>
        <v>0.07117437722</v>
      </c>
      <c r="Q104" s="40">
        <f t="shared" si="118"/>
        <v>0.07272727273</v>
      </c>
      <c r="R104" s="40">
        <f t="shared" si="118"/>
        <v>0</v>
      </c>
      <c r="S104" s="40">
        <f t="shared" si="118"/>
        <v>0.1</v>
      </c>
      <c r="T104" s="40">
        <f t="shared" si="118"/>
        <v>0.04347826087</v>
      </c>
    </row>
    <row r="105" ht="15.75" customHeight="1">
      <c r="A105" s="16" t="s">
        <v>205</v>
      </c>
      <c r="F105" s="24"/>
      <c r="G105" s="19">
        <f>$G$27</f>
        <v>19</v>
      </c>
      <c r="H105" s="20">
        <v>21.0</v>
      </c>
      <c r="I105" s="20">
        <v>9.0</v>
      </c>
      <c r="J105" s="20">
        <v>0.0</v>
      </c>
      <c r="K105" s="20">
        <v>1.0</v>
      </c>
      <c r="L105" s="20">
        <v>0.0</v>
      </c>
      <c r="N105" s="24"/>
      <c r="O105" s="19">
        <f>$G$27</f>
        <v>19</v>
      </c>
      <c r="P105" s="40">
        <f t="shared" ref="P105:T105" si="119">H105/H$110</f>
        <v>0.07473309609</v>
      </c>
      <c r="Q105" s="40">
        <f t="shared" si="119"/>
        <v>0.08181818182</v>
      </c>
      <c r="R105" s="40">
        <f t="shared" si="119"/>
        <v>0</v>
      </c>
      <c r="S105" s="40">
        <f t="shared" si="119"/>
        <v>0.1</v>
      </c>
      <c r="T105" s="40">
        <f t="shared" si="119"/>
        <v>0</v>
      </c>
    </row>
    <row r="106" ht="15.75" customHeight="1">
      <c r="A106" s="16" t="s">
        <v>235</v>
      </c>
      <c r="F106" s="24"/>
      <c r="G106" s="19">
        <f>$G$28</f>
        <v>20</v>
      </c>
      <c r="H106" s="20">
        <v>8.0</v>
      </c>
      <c r="I106" s="20">
        <v>4.0</v>
      </c>
      <c r="J106" s="20">
        <v>0.0</v>
      </c>
      <c r="K106" s="20">
        <v>0.0</v>
      </c>
      <c r="L106" s="20">
        <v>0.0</v>
      </c>
      <c r="N106" s="24"/>
      <c r="O106" s="19">
        <f>$G$28</f>
        <v>20</v>
      </c>
      <c r="P106" s="40">
        <f t="shared" ref="P106:T106" si="120">H106/H$110</f>
        <v>0.02846975089</v>
      </c>
      <c r="Q106" s="40">
        <f t="shared" si="120"/>
        <v>0.03636363636</v>
      </c>
      <c r="R106" s="40">
        <f t="shared" si="120"/>
        <v>0</v>
      </c>
      <c r="S106" s="40">
        <f t="shared" si="120"/>
        <v>0</v>
      </c>
      <c r="T106" s="40">
        <f t="shared" si="120"/>
        <v>0</v>
      </c>
    </row>
    <row r="107" ht="15.75" customHeight="1">
      <c r="A107" s="16" t="s">
        <v>236</v>
      </c>
      <c r="F107" s="24"/>
      <c r="G107" s="19">
        <f>$G$29</f>
        <v>21</v>
      </c>
      <c r="H107" s="20">
        <v>7.0</v>
      </c>
      <c r="I107" s="20">
        <v>0.0</v>
      </c>
      <c r="J107" s="20">
        <v>0.0</v>
      </c>
      <c r="K107" s="20">
        <v>0.0</v>
      </c>
      <c r="L107" s="20">
        <v>0.0</v>
      </c>
      <c r="N107" s="24"/>
      <c r="O107" s="19">
        <f>$G$29</f>
        <v>21</v>
      </c>
      <c r="P107" s="40">
        <f t="shared" ref="P107:T107" si="121">H107/H$110</f>
        <v>0.02491103203</v>
      </c>
      <c r="Q107" s="40">
        <f t="shared" si="121"/>
        <v>0</v>
      </c>
      <c r="R107" s="40">
        <f t="shared" si="121"/>
        <v>0</v>
      </c>
      <c r="S107" s="40">
        <f t="shared" si="121"/>
        <v>0</v>
      </c>
      <c r="T107" s="40">
        <f t="shared" si="121"/>
        <v>0</v>
      </c>
    </row>
    <row r="108" ht="15.75" customHeight="1">
      <c r="A108" s="16" t="s">
        <v>184</v>
      </c>
      <c r="F108" s="24"/>
      <c r="G108" s="19">
        <f>$G$30</f>
        <v>22</v>
      </c>
      <c r="H108" s="20">
        <v>6.0</v>
      </c>
      <c r="I108" s="20">
        <v>2.0</v>
      </c>
      <c r="J108" s="20">
        <v>0.0</v>
      </c>
      <c r="K108" s="20">
        <v>1.0</v>
      </c>
      <c r="L108" s="20">
        <v>0.0</v>
      </c>
      <c r="N108" s="24"/>
      <c r="O108" s="19">
        <f>$G$30</f>
        <v>22</v>
      </c>
      <c r="P108" s="40">
        <f t="shared" ref="P108:T108" si="122">H108/H$110</f>
        <v>0.02135231317</v>
      </c>
      <c r="Q108" s="40">
        <f t="shared" si="122"/>
        <v>0.01818181818</v>
      </c>
      <c r="R108" s="40">
        <f t="shared" si="122"/>
        <v>0</v>
      </c>
      <c r="S108" s="40">
        <f t="shared" si="122"/>
        <v>0.1</v>
      </c>
      <c r="T108" s="40">
        <f t="shared" si="122"/>
        <v>0</v>
      </c>
    </row>
    <row r="109" ht="15.75" customHeight="1">
      <c r="F109" s="28"/>
      <c r="G109" s="19">
        <f>$G$31</f>
        <v>23</v>
      </c>
      <c r="H109" s="20">
        <v>3.0</v>
      </c>
      <c r="I109" s="20">
        <v>2.0</v>
      </c>
      <c r="J109" s="20">
        <v>0.0</v>
      </c>
      <c r="K109" s="20">
        <v>0.0</v>
      </c>
      <c r="L109" s="20">
        <v>0.0</v>
      </c>
      <c r="N109" s="28"/>
      <c r="O109" s="19">
        <f>$G$31</f>
        <v>23</v>
      </c>
      <c r="P109" s="40">
        <f t="shared" ref="P109:T109" si="123">H109/H$110</f>
        <v>0.01067615658</v>
      </c>
      <c r="Q109" s="40">
        <f t="shared" si="123"/>
        <v>0.01818181818</v>
      </c>
      <c r="R109" s="40">
        <f t="shared" si="123"/>
        <v>0</v>
      </c>
      <c r="S109" s="40">
        <f t="shared" si="123"/>
        <v>0</v>
      </c>
      <c r="T109" s="40">
        <f t="shared" si="123"/>
        <v>0</v>
      </c>
    </row>
    <row r="110" ht="15.75" customHeight="1">
      <c r="F110" s="111"/>
      <c r="G110" s="112"/>
      <c r="H110" s="26">
        <f t="shared" ref="H110:L110" si="124">SUM(H86:H109)</f>
        <v>281</v>
      </c>
      <c r="I110" s="26">
        <f t="shared" si="124"/>
        <v>110</v>
      </c>
      <c r="J110" s="26">
        <f t="shared" si="124"/>
        <v>3</v>
      </c>
      <c r="K110" s="26">
        <f t="shared" si="124"/>
        <v>10</v>
      </c>
      <c r="L110" s="26">
        <f t="shared" si="124"/>
        <v>23</v>
      </c>
    </row>
    <row r="111" ht="15.75" customHeight="1">
      <c r="A111" s="16" t="s">
        <v>69</v>
      </c>
      <c r="G111" s="16"/>
      <c r="H111" s="17">
        <f>$H$7</f>
        <v>31</v>
      </c>
      <c r="I111" s="17">
        <f>$I$7</f>
        <v>32</v>
      </c>
      <c r="J111" s="17">
        <f>$J$7</f>
        <v>41</v>
      </c>
      <c r="K111" s="17">
        <f>$K$7</f>
        <v>42</v>
      </c>
      <c r="L111" s="17">
        <f>$L$7</f>
        <v>5</v>
      </c>
      <c r="O111" s="16"/>
      <c r="P111" s="17">
        <f>$H$7</f>
        <v>31</v>
      </c>
      <c r="Q111" s="17">
        <f>$I$7</f>
        <v>32</v>
      </c>
      <c r="R111" s="17">
        <f>$J$7</f>
        <v>41</v>
      </c>
      <c r="S111" s="17">
        <f>$K$7</f>
        <v>42</v>
      </c>
      <c r="T111" s="17">
        <f>$L$7</f>
        <v>5</v>
      </c>
    </row>
    <row r="112" ht="15.75" customHeight="1">
      <c r="A112" s="16" t="s">
        <v>92</v>
      </c>
      <c r="F112" s="56">
        <v>45211.0</v>
      </c>
      <c r="G112" s="19">
        <f>$G$8</f>
        <v>0</v>
      </c>
      <c r="H112" s="20">
        <v>2.0</v>
      </c>
      <c r="I112" s="20">
        <v>1.0</v>
      </c>
      <c r="J112" s="20">
        <v>0.0</v>
      </c>
      <c r="K112" s="20">
        <v>0.0</v>
      </c>
      <c r="L112" s="20">
        <v>0.0</v>
      </c>
      <c r="N112" s="56">
        <v>45211.0</v>
      </c>
      <c r="O112" s="19">
        <f>$G$8</f>
        <v>0</v>
      </c>
      <c r="P112" s="40">
        <f t="shared" ref="P112:T112" si="125">H112/H$136</f>
        <v>0.00790513834</v>
      </c>
      <c r="Q112" s="40">
        <f t="shared" si="125"/>
        <v>0.01041666667</v>
      </c>
      <c r="R112" s="40">
        <f t="shared" si="125"/>
        <v>0</v>
      </c>
      <c r="S112" s="40">
        <f t="shared" si="125"/>
        <v>0</v>
      </c>
      <c r="T112" s="40">
        <f t="shared" si="125"/>
        <v>0</v>
      </c>
    </row>
    <row r="113" ht="15.75" customHeight="1">
      <c r="A113" s="16" t="s">
        <v>94</v>
      </c>
      <c r="F113" s="24"/>
      <c r="G113" s="19">
        <f>$G$9</f>
        <v>1</v>
      </c>
      <c r="H113" s="20">
        <v>1.0</v>
      </c>
      <c r="I113" s="20">
        <v>2.0</v>
      </c>
      <c r="J113" s="20">
        <v>0.0</v>
      </c>
      <c r="K113" s="20">
        <v>0.0</v>
      </c>
      <c r="L113" s="20">
        <v>0.0</v>
      </c>
      <c r="N113" s="24"/>
      <c r="O113" s="19">
        <f>$G$9</f>
        <v>1</v>
      </c>
      <c r="P113" s="40">
        <f t="shared" ref="P113:T113" si="126">H113/H$136</f>
        <v>0.00395256917</v>
      </c>
      <c r="Q113" s="40">
        <f t="shared" si="126"/>
        <v>0.02083333333</v>
      </c>
      <c r="R113" s="40">
        <f t="shared" si="126"/>
        <v>0</v>
      </c>
      <c r="S113" s="40">
        <f t="shared" si="126"/>
        <v>0</v>
      </c>
      <c r="T113" s="40">
        <f t="shared" si="126"/>
        <v>0</v>
      </c>
    </row>
    <row r="114" ht="15.75" customHeight="1">
      <c r="A114" s="16" t="s">
        <v>237</v>
      </c>
      <c r="F114" s="24"/>
      <c r="G114" s="19">
        <f>$G$10</f>
        <v>2</v>
      </c>
      <c r="H114" s="16">
        <v>1.0</v>
      </c>
      <c r="I114" s="16">
        <v>0.0</v>
      </c>
      <c r="J114" s="16">
        <v>0.0</v>
      </c>
      <c r="K114" s="16">
        <v>0.0</v>
      </c>
      <c r="L114" s="16">
        <v>0.0</v>
      </c>
      <c r="N114" s="24"/>
      <c r="O114" s="19">
        <f>$G$10</f>
        <v>2</v>
      </c>
      <c r="P114" s="40">
        <f t="shared" ref="P114:T114" si="127">H114/H$136</f>
        <v>0.00395256917</v>
      </c>
      <c r="Q114" s="40">
        <f t="shared" si="127"/>
        <v>0</v>
      </c>
      <c r="R114" s="40">
        <f t="shared" si="127"/>
        <v>0</v>
      </c>
      <c r="S114" s="40">
        <f t="shared" si="127"/>
        <v>0</v>
      </c>
      <c r="T114" s="40">
        <f t="shared" si="127"/>
        <v>0</v>
      </c>
    </row>
    <row r="115" ht="15.75" customHeight="1">
      <c r="A115" s="16" t="s">
        <v>175</v>
      </c>
      <c r="F115" s="24"/>
      <c r="G115" s="19">
        <f>$G$11</f>
        <v>3</v>
      </c>
      <c r="H115" s="20">
        <v>1.0</v>
      </c>
      <c r="I115" s="20">
        <v>0.0</v>
      </c>
      <c r="J115" s="20">
        <v>0.0</v>
      </c>
      <c r="K115" s="20">
        <v>1.0</v>
      </c>
      <c r="L115" s="20">
        <v>0.0</v>
      </c>
      <c r="N115" s="24"/>
      <c r="O115" s="19">
        <f>$G$11</f>
        <v>3</v>
      </c>
      <c r="P115" s="40">
        <f t="shared" ref="P115:T115" si="128">H115/H$136</f>
        <v>0.00395256917</v>
      </c>
      <c r="Q115" s="40">
        <f t="shared" si="128"/>
        <v>0</v>
      </c>
      <c r="R115" s="40">
        <f t="shared" si="128"/>
        <v>0</v>
      </c>
      <c r="S115" s="40">
        <f t="shared" si="128"/>
        <v>0.125</v>
      </c>
      <c r="T115" s="40">
        <f t="shared" si="128"/>
        <v>0</v>
      </c>
    </row>
    <row r="116" ht="15.75" customHeight="1">
      <c r="A116" s="16" t="s">
        <v>238</v>
      </c>
      <c r="F116" s="24"/>
      <c r="G116" s="19">
        <f>$G$12</f>
        <v>4</v>
      </c>
      <c r="H116" s="20">
        <v>1.0</v>
      </c>
      <c r="I116" s="20">
        <v>1.0</v>
      </c>
      <c r="J116" s="20">
        <v>0.0</v>
      </c>
      <c r="K116" s="20">
        <v>0.0</v>
      </c>
      <c r="L116" s="20">
        <v>0.0</v>
      </c>
      <c r="N116" s="24"/>
      <c r="O116" s="19">
        <f>$G$12</f>
        <v>4</v>
      </c>
      <c r="P116" s="40">
        <f t="shared" ref="P116:T116" si="129">H116/H$136</f>
        <v>0.00395256917</v>
      </c>
      <c r="Q116" s="40">
        <f t="shared" si="129"/>
        <v>0.01041666667</v>
      </c>
      <c r="R116" s="40">
        <f t="shared" si="129"/>
        <v>0</v>
      </c>
      <c r="S116" s="40">
        <f t="shared" si="129"/>
        <v>0</v>
      </c>
      <c r="T116" s="40">
        <f t="shared" si="129"/>
        <v>0</v>
      </c>
    </row>
    <row r="117" ht="15.75" customHeight="1">
      <c r="A117" s="16" t="s">
        <v>239</v>
      </c>
      <c r="F117" s="24"/>
      <c r="G117" s="19">
        <f>$G$13</f>
        <v>5</v>
      </c>
      <c r="H117" s="20">
        <v>6.0</v>
      </c>
      <c r="I117" s="20">
        <v>1.0</v>
      </c>
      <c r="J117" s="20">
        <v>0.0</v>
      </c>
      <c r="K117" s="20">
        <v>1.0</v>
      </c>
      <c r="L117" s="20">
        <v>2.0</v>
      </c>
      <c r="N117" s="24"/>
      <c r="O117" s="19">
        <f>$G$13</f>
        <v>5</v>
      </c>
      <c r="P117" s="40">
        <f t="shared" ref="P117:T117" si="130">H117/H$136</f>
        <v>0.02371541502</v>
      </c>
      <c r="Q117" s="40">
        <f t="shared" si="130"/>
        <v>0.01041666667</v>
      </c>
      <c r="R117" s="40">
        <f t="shared" si="130"/>
        <v>0</v>
      </c>
      <c r="S117" s="40">
        <f t="shared" si="130"/>
        <v>0.125</v>
      </c>
      <c r="T117" s="40">
        <f t="shared" si="130"/>
        <v>0.06060606061</v>
      </c>
    </row>
    <row r="118" ht="15.75" customHeight="1">
      <c r="A118" s="16" t="s">
        <v>240</v>
      </c>
      <c r="F118" s="24"/>
      <c r="G118" s="19">
        <f>$G$14</f>
        <v>6</v>
      </c>
      <c r="H118" s="20">
        <v>10.0</v>
      </c>
      <c r="I118" s="20">
        <v>3.0</v>
      </c>
      <c r="J118" s="20">
        <v>0.0</v>
      </c>
      <c r="K118" s="20">
        <v>0.0</v>
      </c>
      <c r="L118" s="20">
        <v>0.0</v>
      </c>
      <c r="N118" s="24"/>
      <c r="O118" s="19">
        <f>$G$14</f>
        <v>6</v>
      </c>
      <c r="P118" s="40">
        <f t="shared" ref="P118:T118" si="131">H118/H$136</f>
        <v>0.0395256917</v>
      </c>
      <c r="Q118" s="40">
        <f t="shared" si="131"/>
        <v>0.03125</v>
      </c>
      <c r="R118" s="40">
        <f t="shared" si="131"/>
        <v>0</v>
      </c>
      <c r="S118" s="40">
        <f t="shared" si="131"/>
        <v>0</v>
      </c>
      <c r="T118" s="40">
        <f t="shared" si="131"/>
        <v>0</v>
      </c>
    </row>
    <row r="119" ht="15.75" customHeight="1">
      <c r="A119" s="16" t="s">
        <v>241</v>
      </c>
      <c r="F119" s="24"/>
      <c r="G119" s="19">
        <f>$G$15</f>
        <v>7</v>
      </c>
      <c r="H119" s="20">
        <v>28.0</v>
      </c>
      <c r="I119" s="20">
        <v>6.0</v>
      </c>
      <c r="J119" s="20">
        <v>1.0</v>
      </c>
      <c r="K119" s="20">
        <v>0.0</v>
      </c>
      <c r="L119" s="20">
        <v>1.0</v>
      </c>
      <c r="N119" s="24"/>
      <c r="O119" s="19">
        <f>$G$15</f>
        <v>7</v>
      </c>
      <c r="P119" s="40">
        <f t="shared" ref="P119:T119" si="132">H119/H$136</f>
        <v>0.1106719368</v>
      </c>
      <c r="Q119" s="40">
        <f t="shared" si="132"/>
        <v>0.0625</v>
      </c>
      <c r="R119" s="40">
        <f t="shared" si="132"/>
        <v>0.2</v>
      </c>
      <c r="S119" s="40">
        <f t="shared" si="132"/>
        <v>0</v>
      </c>
      <c r="T119" s="40">
        <f t="shared" si="132"/>
        <v>0.0303030303</v>
      </c>
    </row>
    <row r="120" ht="15.75" customHeight="1">
      <c r="A120" s="16" t="s">
        <v>242</v>
      </c>
      <c r="F120" s="24"/>
      <c r="G120" s="19">
        <f>$G$16</f>
        <v>8</v>
      </c>
      <c r="H120" s="20">
        <v>17.0</v>
      </c>
      <c r="I120" s="20">
        <v>8.0</v>
      </c>
      <c r="J120" s="20">
        <v>0.0</v>
      </c>
      <c r="K120" s="20">
        <v>1.0</v>
      </c>
      <c r="L120" s="20">
        <v>2.0</v>
      </c>
      <c r="N120" s="24"/>
      <c r="O120" s="19">
        <f>$G$16</f>
        <v>8</v>
      </c>
      <c r="P120" s="40">
        <f t="shared" ref="P120:T120" si="133">H120/H$136</f>
        <v>0.06719367589</v>
      </c>
      <c r="Q120" s="40">
        <f t="shared" si="133"/>
        <v>0.08333333333</v>
      </c>
      <c r="R120" s="40">
        <f t="shared" si="133"/>
        <v>0</v>
      </c>
      <c r="S120" s="40">
        <f t="shared" si="133"/>
        <v>0.125</v>
      </c>
      <c r="T120" s="40">
        <f t="shared" si="133"/>
        <v>0.06060606061</v>
      </c>
    </row>
    <row r="121" ht="15.75" customHeight="1">
      <c r="A121" s="16" t="s">
        <v>243</v>
      </c>
      <c r="F121" s="24"/>
      <c r="G121" s="19">
        <f>$G$17</f>
        <v>9</v>
      </c>
      <c r="H121" s="20">
        <v>10.0</v>
      </c>
      <c r="I121" s="20">
        <v>8.0</v>
      </c>
      <c r="J121" s="20">
        <v>0.0</v>
      </c>
      <c r="K121" s="20">
        <v>0.0</v>
      </c>
      <c r="L121" s="20">
        <v>3.0</v>
      </c>
      <c r="N121" s="24"/>
      <c r="O121" s="19">
        <f>$G$17</f>
        <v>9</v>
      </c>
      <c r="P121" s="40">
        <f t="shared" ref="P121:T121" si="134">H121/H$136</f>
        <v>0.0395256917</v>
      </c>
      <c r="Q121" s="40">
        <f t="shared" si="134"/>
        <v>0.08333333333</v>
      </c>
      <c r="R121" s="40">
        <f t="shared" si="134"/>
        <v>0</v>
      </c>
      <c r="S121" s="40">
        <f t="shared" si="134"/>
        <v>0</v>
      </c>
      <c r="T121" s="40">
        <f t="shared" si="134"/>
        <v>0.09090909091</v>
      </c>
    </row>
    <row r="122" ht="15.75" customHeight="1">
      <c r="A122" s="16" t="s">
        <v>244</v>
      </c>
      <c r="F122" s="24"/>
      <c r="G122" s="19">
        <f>$G$18</f>
        <v>10</v>
      </c>
      <c r="H122" s="20">
        <v>14.0</v>
      </c>
      <c r="I122" s="20">
        <v>9.0</v>
      </c>
      <c r="J122" s="20">
        <v>2.0</v>
      </c>
      <c r="K122" s="20">
        <v>0.0</v>
      </c>
      <c r="L122" s="20">
        <v>5.0</v>
      </c>
      <c r="N122" s="24"/>
      <c r="O122" s="19">
        <f>$G$18</f>
        <v>10</v>
      </c>
      <c r="P122" s="40">
        <f t="shared" ref="P122:T122" si="135">H122/H$136</f>
        <v>0.05533596838</v>
      </c>
      <c r="Q122" s="40">
        <f t="shared" si="135"/>
        <v>0.09375</v>
      </c>
      <c r="R122" s="40">
        <f t="shared" si="135"/>
        <v>0.4</v>
      </c>
      <c r="S122" s="40">
        <f t="shared" si="135"/>
        <v>0</v>
      </c>
      <c r="T122" s="40">
        <f t="shared" si="135"/>
        <v>0.1515151515</v>
      </c>
    </row>
    <row r="123" ht="15.75" customHeight="1">
      <c r="A123" s="16" t="s">
        <v>245</v>
      </c>
      <c r="F123" s="24"/>
      <c r="G123" s="19">
        <f>$G$19</f>
        <v>11</v>
      </c>
      <c r="H123" s="20">
        <v>17.0</v>
      </c>
      <c r="I123" s="20">
        <v>9.0</v>
      </c>
      <c r="J123" s="20">
        <v>0.0</v>
      </c>
      <c r="K123" s="20">
        <v>1.0</v>
      </c>
      <c r="L123" s="20">
        <v>5.0</v>
      </c>
      <c r="N123" s="24"/>
      <c r="O123" s="19">
        <f>$G$19</f>
        <v>11</v>
      </c>
      <c r="P123" s="40">
        <f t="shared" ref="P123:T123" si="136">H123/H$136</f>
        <v>0.06719367589</v>
      </c>
      <c r="Q123" s="40">
        <f t="shared" si="136"/>
        <v>0.09375</v>
      </c>
      <c r="R123" s="40">
        <f t="shared" si="136"/>
        <v>0</v>
      </c>
      <c r="S123" s="40">
        <f t="shared" si="136"/>
        <v>0.125</v>
      </c>
      <c r="T123" s="40">
        <f t="shared" si="136"/>
        <v>0.1515151515</v>
      </c>
    </row>
    <row r="124" ht="15.75" customHeight="1">
      <c r="A124" s="16" t="s">
        <v>246</v>
      </c>
      <c r="F124" s="24"/>
      <c r="G124" s="19">
        <f>$G$20</f>
        <v>12</v>
      </c>
      <c r="H124" s="20">
        <v>13.0</v>
      </c>
      <c r="I124" s="20">
        <v>3.0</v>
      </c>
      <c r="J124" s="20">
        <v>0.0</v>
      </c>
      <c r="K124" s="20">
        <v>0.0</v>
      </c>
      <c r="L124" s="20">
        <v>5.0</v>
      </c>
      <c r="N124" s="24"/>
      <c r="O124" s="19">
        <f>$G$20</f>
        <v>12</v>
      </c>
      <c r="P124" s="40">
        <f t="shared" ref="P124:T124" si="137">H124/H$136</f>
        <v>0.05138339921</v>
      </c>
      <c r="Q124" s="40">
        <f t="shared" si="137"/>
        <v>0.03125</v>
      </c>
      <c r="R124" s="40">
        <f t="shared" si="137"/>
        <v>0</v>
      </c>
      <c r="S124" s="40">
        <f t="shared" si="137"/>
        <v>0</v>
      </c>
      <c r="T124" s="40">
        <f t="shared" si="137"/>
        <v>0.1515151515</v>
      </c>
    </row>
    <row r="125" ht="15.75" customHeight="1">
      <c r="A125" s="16" t="s">
        <v>247</v>
      </c>
      <c r="F125" s="24"/>
      <c r="G125" s="19">
        <f>$G$21</f>
        <v>13</v>
      </c>
      <c r="H125" s="20">
        <v>11.0</v>
      </c>
      <c r="I125" s="20">
        <v>5.0</v>
      </c>
      <c r="J125" s="20">
        <v>0.0</v>
      </c>
      <c r="K125" s="20">
        <v>2.0</v>
      </c>
      <c r="L125" s="20">
        <v>1.0</v>
      </c>
      <c r="N125" s="24"/>
      <c r="O125" s="19">
        <f>$G$21</f>
        <v>13</v>
      </c>
      <c r="P125" s="40">
        <f t="shared" ref="P125:T125" si="138">H125/H$136</f>
        <v>0.04347826087</v>
      </c>
      <c r="Q125" s="40">
        <f t="shared" si="138"/>
        <v>0.05208333333</v>
      </c>
      <c r="R125" s="40">
        <f t="shared" si="138"/>
        <v>0</v>
      </c>
      <c r="S125" s="40">
        <f t="shared" si="138"/>
        <v>0.25</v>
      </c>
      <c r="T125" s="40">
        <f t="shared" si="138"/>
        <v>0.0303030303</v>
      </c>
    </row>
    <row r="126" ht="15.75" customHeight="1">
      <c r="A126" s="16" t="s">
        <v>248</v>
      </c>
      <c r="F126" s="24"/>
      <c r="G126" s="19">
        <f>$G$22</f>
        <v>14</v>
      </c>
      <c r="H126" s="20">
        <v>8.0</v>
      </c>
      <c r="I126" s="20">
        <v>7.0</v>
      </c>
      <c r="J126" s="20">
        <v>0.0</v>
      </c>
      <c r="K126" s="20">
        <v>0.0</v>
      </c>
      <c r="L126" s="20">
        <v>2.0</v>
      </c>
      <c r="N126" s="24"/>
      <c r="O126" s="19">
        <f>$G$22</f>
        <v>14</v>
      </c>
      <c r="P126" s="40">
        <f t="shared" ref="P126:T126" si="139">H126/H$136</f>
        <v>0.03162055336</v>
      </c>
      <c r="Q126" s="40">
        <f t="shared" si="139"/>
        <v>0.07291666667</v>
      </c>
      <c r="R126" s="40">
        <f t="shared" si="139"/>
        <v>0</v>
      </c>
      <c r="S126" s="40">
        <f t="shared" si="139"/>
        <v>0</v>
      </c>
      <c r="T126" s="40">
        <f t="shared" si="139"/>
        <v>0.06060606061</v>
      </c>
    </row>
    <row r="127" ht="15.75" customHeight="1">
      <c r="A127" s="16" t="s">
        <v>249</v>
      </c>
      <c r="F127" s="24"/>
      <c r="G127" s="19">
        <f>$G$23</f>
        <v>15</v>
      </c>
      <c r="H127" s="20">
        <v>13.0</v>
      </c>
      <c r="I127" s="20">
        <v>6.0</v>
      </c>
      <c r="J127" s="20">
        <v>0.0</v>
      </c>
      <c r="K127" s="20">
        <v>1.0</v>
      </c>
      <c r="L127" s="20">
        <v>1.0</v>
      </c>
      <c r="N127" s="24"/>
      <c r="O127" s="19">
        <f>$G$23</f>
        <v>15</v>
      </c>
      <c r="P127" s="40">
        <f t="shared" ref="P127:T127" si="140">H127/H$136</f>
        <v>0.05138339921</v>
      </c>
      <c r="Q127" s="40">
        <f t="shared" si="140"/>
        <v>0.0625</v>
      </c>
      <c r="R127" s="40">
        <f t="shared" si="140"/>
        <v>0</v>
      </c>
      <c r="S127" s="40">
        <f t="shared" si="140"/>
        <v>0.125</v>
      </c>
      <c r="T127" s="40">
        <f t="shared" si="140"/>
        <v>0.0303030303</v>
      </c>
    </row>
    <row r="128" ht="15.75" customHeight="1">
      <c r="A128" s="16" t="s">
        <v>250</v>
      </c>
      <c r="F128" s="24"/>
      <c r="G128" s="19">
        <f>$G$24</f>
        <v>16</v>
      </c>
      <c r="H128" s="20">
        <v>21.0</v>
      </c>
      <c r="I128" s="20">
        <v>5.0</v>
      </c>
      <c r="J128" s="20">
        <v>2.0</v>
      </c>
      <c r="K128" s="20">
        <v>0.0</v>
      </c>
      <c r="L128" s="20">
        <v>4.0</v>
      </c>
      <c r="N128" s="24"/>
      <c r="O128" s="19">
        <f>$G$24</f>
        <v>16</v>
      </c>
      <c r="P128" s="40">
        <f t="shared" ref="P128:T128" si="141">H128/H$136</f>
        <v>0.08300395257</v>
      </c>
      <c r="Q128" s="40">
        <f t="shared" si="141"/>
        <v>0.05208333333</v>
      </c>
      <c r="R128" s="40">
        <f t="shared" si="141"/>
        <v>0.4</v>
      </c>
      <c r="S128" s="40">
        <f t="shared" si="141"/>
        <v>0</v>
      </c>
      <c r="T128" s="40">
        <f t="shared" si="141"/>
        <v>0.1212121212</v>
      </c>
    </row>
    <row r="129" ht="15.75" customHeight="1">
      <c r="A129" s="16" t="s">
        <v>217</v>
      </c>
      <c r="F129" s="24"/>
      <c r="G129" s="19">
        <f>$G$25</f>
        <v>17</v>
      </c>
      <c r="H129" s="20">
        <v>22.0</v>
      </c>
      <c r="I129" s="20">
        <v>6.0</v>
      </c>
      <c r="J129" s="20">
        <v>0.0</v>
      </c>
      <c r="K129" s="20">
        <v>1.0</v>
      </c>
      <c r="L129" s="20">
        <v>0.0</v>
      </c>
      <c r="N129" s="24"/>
      <c r="O129" s="19">
        <f>$G$25</f>
        <v>17</v>
      </c>
      <c r="P129" s="40">
        <f t="shared" ref="P129:T129" si="142">H129/H$136</f>
        <v>0.08695652174</v>
      </c>
      <c r="Q129" s="40">
        <f t="shared" si="142"/>
        <v>0.0625</v>
      </c>
      <c r="R129" s="40">
        <f t="shared" si="142"/>
        <v>0</v>
      </c>
      <c r="S129" s="40">
        <f t="shared" si="142"/>
        <v>0.125</v>
      </c>
      <c r="T129" s="40">
        <f t="shared" si="142"/>
        <v>0</v>
      </c>
    </row>
    <row r="130" ht="15.75" customHeight="1">
      <c r="A130" s="16" t="s">
        <v>251</v>
      </c>
      <c r="F130" s="24"/>
      <c r="G130" s="19">
        <f>$G$26</f>
        <v>18</v>
      </c>
      <c r="H130" s="20">
        <v>18.0</v>
      </c>
      <c r="I130" s="20">
        <v>6.0</v>
      </c>
      <c r="J130" s="20">
        <v>0.0</v>
      </c>
      <c r="K130" s="20">
        <v>0.0</v>
      </c>
      <c r="L130" s="20">
        <v>1.0</v>
      </c>
      <c r="N130" s="24"/>
      <c r="O130" s="19">
        <f>$G$26</f>
        <v>18</v>
      </c>
      <c r="P130" s="40">
        <f t="shared" ref="P130:T130" si="143">H130/H$136</f>
        <v>0.07114624506</v>
      </c>
      <c r="Q130" s="40">
        <f t="shared" si="143"/>
        <v>0.0625</v>
      </c>
      <c r="R130" s="40">
        <f t="shared" si="143"/>
        <v>0</v>
      </c>
      <c r="S130" s="40">
        <f t="shared" si="143"/>
        <v>0</v>
      </c>
      <c r="T130" s="40">
        <f t="shared" si="143"/>
        <v>0.0303030303</v>
      </c>
    </row>
    <row r="131" ht="15.75" customHeight="1">
      <c r="A131" s="16" t="s">
        <v>252</v>
      </c>
      <c r="F131" s="24"/>
      <c r="G131" s="19">
        <f>$G$27</f>
        <v>19</v>
      </c>
      <c r="H131" s="20">
        <v>9.0</v>
      </c>
      <c r="I131" s="20">
        <v>4.0</v>
      </c>
      <c r="J131" s="20">
        <v>0.0</v>
      </c>
      <c r="K131" s="20">
        <v>0.0</v>
      </c>
      <c r="L131" s="20">
        <v>0.0</v>
      </c>
      <c r="N131" s="24"/>
      <c r="O131" s="19">
        <f>$G$27</f>
        <v>19</v>
      </c>
      <c r="P131" s="40">
        <f t="shared" ref="P131:T131" si="144">H131/H$136</f>
        <v>0.03557312253</v>
      </c>
      <c r="Q131" s="40">
        <f t="shared" si="144"/>
        <v>0.04166666667</v>
      </c>
      <c r="R131" s="40">
        <f t="shared" si="144"/>
        <v>0</v>
      </c>
      <c r="S131" s="40">
        <f t="shared" si="144"/>
        <v>0</v>
      </c>
      <c r="T131" s="40">
        <f t="shared" si="144"/>
        <v>0</v>
      </c>
    </row>
    <row r="132" ht="15.75" customHeight="1">
      <c r="A132" s="16" t="s">
        <v>253</v>
      </c>
      <c r="F132" s="24"/>
      <c r="G132" s="19">
        <f>$G$28</f>
        <v>20</v>
      </c>
      <c r="H132" s="20">
        <v>11.0</v>
      </c>
      <c r="I132" s="20">
        <v>1.0</v>
      </c>
      <c r="J132" s="20">
        <v>0.0</v>
      </c>
      <c r="K132" s="20">
        <v>0.0</v>
      </c>
      <c r="L132" s="20">
        <v>1.0</v>
      </c>
      <c r="N132" s="24"/>
      <c r="O132" s="19">
        <f>$G$28</f>
        <v>20</v>
      </c>
      <c r="P132" s="40">
        <f t="shared" ref="P132:T132" si="145">H132/H$136</f>
        <v>0.04347826087</v>
      </c>
      <c r="Q132" s="40">
        <f t="shared" si="145"/>
        <v>0.01041666667</v>
      </c>
      <c r="R132" s="40">
        <f t="shared" si="145"/>
        <v>0</v>
      </c>
      <c r="S132" s="40">
        <f t="shared" si="145"/>
        <v>0</v>
      </c>
      <c r="T132" s="40">
        <f t="shared" si="145"/>
        <v>0.0303030303</v>
      </c>
    </row>
    <row r="133" ht="15.75" customHeight="1">
      <c r="A133" s="16" t="s">
        <v>184</v>
      </c>
      <c r="F133" s="24"/>
      <c r="G133" s="19">
        <f>$G$29</f>
        <v>21</v>
      </c>
      <c r="H133" s="20">
        <v>12.0</v>
      </c>
      <c r="I133" s="20">
        <v>2.0</v>
      </c>
      <c r="J133" s="20">
        <v>0.0</v>
      </c>
      <c r="K133" s="20">
        <v>0.0</v>
      </c>
      <c r="L133" s="20">
        <v>0.0</v>
      </c>
      <c r="N133" s="24"/>
      <c r="O133" s="19">
        <f>$G$29</f>
        <v>21</v>
      </c>
      <c r="P133" s="40">
        <f t="shared" ref="P133:T133" si="146">H133/H$136</f>
        <v>0.04743083004</v>
      </c>
      <c r="Q133" s="40">
        <f t="shared" si="146"/>
        <v>0.02083333333</v>
      </c>
      <c r="R133" s="40">
        <f t="shared" si="146"/>
        <v>0</v>
      </c>
      <c r="S133" s="40">
        <f t="shared" si="146"/>
        <v>0</v>
      </c>
      <c r="T133" s="40">
        <f t="shared" si="146"/>
        <v>0</v>
      </c>
    </row>
    <row r="134" ht="15.75" customHeight="1">
      <c r="A134" s="16" t="s">
        <v>157</v>
      </c>
      <c r="F134" s="24"/>
      <c r="G134" s="19">
        <f>$G$30</f>
        <v>22</v>
      </c>
      <c r="H134" s="20">
        <v>3.0</v>
      </c>
      <c r="I134" s="20">
        <v>2.0</v>
      </c>
      <c r="J134" s="20">
        <v>0.0</v>
      </c>
      <c r="K134" s="20">
        <v>0.0</v>
      </c>
      <c r="L134" s="20">
        <v>0.0</v>
      </c>
      <c r="N134" s="24"/>
      <c r="O134" s="19">
        <f>$G$30</f>
        <v>22</v>
      </c>
      <c r="P134" s="40">
        <f t="shared" ref="P134:T134" si="147">H134/H$136</f>
        <v>0.01185770751</v>
      </c>
      <c r="Q134" s="40">
        <f t="shared" si="147"/>
        <v>0.02083333333</v>
      </c>
      <c r="R134" s="40">
        <f t="shared" si="147"/>
        <v>0</v>
      </c>
      <c r="S134" s="40">
        <f t="shared" si="147"/>
        <v>0</v>
      </c>
      <c r="T134" s="40">
        <f t="shared" si="147"/>
        <v>0</v>
      </c>
    </row>
    <row r="135" ht="15.75" customHeight="1">
      <c r="F135" s="28"/>
      <c r="G135" s="19">
        <f>$G$31</f>
        <v>23</v>
      </c>
      <c r="H135" s="20">
        <v>4.0</v>
      </c>
      <c r="I135" s="20">
        <v>1.0</v>
      </c>
      <c r="J135" s="20">
        <v>0.0</v>
      </c>
      <c r="K135" s="20">
        <v>0.0</v>
      </c>
      <c r="L135" s="20">
        <v>0.0</v>
      </c>
      <c r="N135" s="28"/>
      <c r="O135" s="19">
        <f>$G$31</f>
        <v>23</v>
      </c>
      <c r="P135" s="40">
        <f t="shared" ref="P135:T135" si="148">H135/H$136</f>
        <v>0.01581027668</v>
      </c>
      <c r="Q135" s="40">
        <f t="shared" si="148"/>
        <v>0.01041666667</v>
      </c>
      <c r="R135" s="40">
        <f t="shared" si="148"/>
        <v>0</v>
      </c>
      <c r="S135" s="40">
        <f t="shared" si="148"/>
        <v>0</v>
      </c>
      <c r="T135" s="40">
        <f t="shared" si="148"/>
        <v>0</v>
      </c>
    </row>
    <row r="136" ht="15.75" customHeight="1">
      <c r="F136" s="111"/>
      <c r="G136" s="112"/>
      <c r="H136" s="26">
        <f t="shared" ref="H136:L136" si="149">SUM(H112:H135)</f>
        <v>253</v>
      </c>
      <c r="I136" s="26">
        <f t="shared" si="149"/>
        <v>96</v>
      </c>
      <c r="J136" s="26">
        <f t="shared" si="149"/>
        <v>5</v>
      </c>
      <c r="K136" s="26">
        <f t="shared" si="149"/>
        <v>8</v>
      </c>
      <c r="L136" s="26">
        <f t="shared" si="149"/>
        <v>33</v>
      </c>
    </row>
    <row r="137" ht="15.75" customHeight="1">
      <c r="A137" s="16" t="s">
        <v>94</v>
      </c>
      <c r="G137" s="16"/>
      <c r="H137" s="17">
        <f>$H$7</f>
        <v>31</v>
      </c>
      <c r="I137" s="17">
        <f>$I$7</f>
        <v>32</v>
      </c>
      <c r="J137" s="17">
        <f>$J$7</f>
        <v>41</v>
      </c>
      <c r="K137" s="17">
        <f>$K$7</f>
        <v>42</v>
      </c>
      <c r="L137" s="17">
        <f>$L$7</f>
        <v>5</v>
      </c>
      <c r="O137" s="16"/>
      <c r="P137" s="17">
        <f>$H$7</f>
        <v>31</v>
      </c>
      <c r="Q137" s="17">
        <f>$I$7</f>
        <v>32</v>
      </c>
      <c r="R137" s="17">
        <f>$J$7</f>
        <v>41</v>
      </c>
      <c r="S137" s="17">
        <f>$K$7</f>
        <v>42</v>
      </c>
      <c r="T137" s="17">
        <f>$L$7</f>
        <v>5</v>
      </c>
    </row>
    <row r="138" ht="15.75" customHeight="1">
      <c r="A138" s="16" t="s">
        <v>94</v>
      </c>
      <c r="F138" s="56">
        <v>45212.0</v>
      </c>
      <c r="G138" s="19">
        <f>$G$8</f>
        <v>0</v>
      </c>
      <c r="H138" s="20">
        <v>1.0</v>
      </c>
      <c r="I138" s="20">
        <v>0.0</v>
      </c>
      <c r="J138" s="20">
        <v>0.0</v>
      </c>
      <c r="K138" s="20">
        <v>0.0</v>
      </c>
      <c r="L138" s="20">
        <v>0.0</v>
      </c>
      <c r="N138" s="56">
        <v>45212.0</v>
      </c>
      <c r="O138" s="19">
        <f>$G$8</f>
        <v>0</v>
      </c>
      <c r="P138" s="40">
        <f t="shared" ref="P138:T138" si="150">H138/H$162</f>
        <v>0.003663003663</v>
      </c>
      <c r="Q138" s="40">
        <f t="shared" si="150"/>
        <v>0</v>
      </c>
      <c r="R138" s="40">
        <f t="shared" si="150"/>
        <v>0</v>
      </c>
      <c r="S138" s="40">
        <f t="shared" si="150"/>
        <v>0</v>
      </c>
      <c r="T138" s="40">
        <f t="shared" si="150"/>
        <v>0</v>
      </c>
    </row>
    <row r="139" ht="15.75" customHeight="1">
      <c r="A139" s="16" t="s">
        <v>254</v>
      </c>
      <c r="F139" s="24"/>
      <c r="G139" s="19">
        <f>$G$9</f>
        <v>1</v>
      </c>
      <c r="H139" s="20">
        <v>1.0</v>
      </c>
      <c r="I139" s="20">
        <v>0.0</v>
      </c>
      <c r="J139" s="20">
        <v>0.0</v>
      </c>
      <c r="K139" s="20">
        <v>0.0</v>
      </c>
      <c r="L139" s="20">
        <v>0.0</v>
      </c>
      <c r="N139" s="24"/>
      <c r="O139" s="19">
        <f>$G$9</f>
        <v>1</v>
      </c>
      <c r="P139" s="40">
        <f t="shared" ref="P139:T139" si="151">H139/H$162</f>
        <v>0.003663003663</v>
      </c>
      <c r="Q139" s="40">
        <f t="shared" si="151"/>
        <v>0</v>
      </c>
      <c r="R139" s="40">
        <f t="shared" si="151"/>
        <v>0</v>
      </c>
      <c r="S139" s="40">
        <f t="shared" si="151"/>
        <v>0</v>
      </c>
      <c r="T139" s="40">
        <f t="shared" si="151"/>
        <v>0</v>
      </c>
    </row>
    <row r="140" ht="15.75" customHeight="1">
      <c r="A140" s="16" t="s">
        <v>94</v>
      </c>
      <c r="F140" s="24"/>
      <c r="G140" s="19">
        <f>$G$10</f>
        <v>2</v>
      </c>
      <c r="H140" s="16">
        <v>2.0</v>
      </c>
      <c r="I140" s="16">
        <v>0.0</v>
      </c>
      <c r="J140" s="16">
        <v>0.0</v>
      </c>
      <c r="K140" s="16">
        <v>0.0</v>
      </c>
      <c r="L140" s="16">
        <v>1.0</v>
      </c>
      <c r="N140" s="24"/>
      <c r="O140" s="19">
        <f>$G$10</f>
        <v>2</v>
      </c>
      <c r="P140" s="40">
        <f t="shared" ref="P140:T140" si="152">H140/H$162</f>
        <v>0.007326007326</v>
      </c>
      <c r="Q140" s="40">
        <f t="shared" si="152"/>
        <v>0</v>
      </c>
      <c r="R140" s="40">
        <f t="shared" si="152"/>
        <v>0</v>
      </c>
      <c r="S140" s="40">
        <f t="shared" si="152"/>
        <v>0</v>
      </c>
      <c r="T140" s="40">
        <f t="shared" si="152"/>
        <v>0.05</v>
      </c>
    </row>
    <row r="141" ht="15.75" customHeight="1">
      <c r="A141" s="16" t="s">
        <v>255</v>
      </c>
      <c r="F141" s="24"/>
      <c r="G141" s="19">
        <f>$G$11</f>
        <v>3</v>
      </c>
      <c r="H141" s="20">
        <v>1.0</v>
      </c>
      <c r="I141" s="20">
        <v>0.0</v>
      </c>
      <c r="J141" s="20">
        <v>0.0</v>
      </c>
      <c r="K141" s="20">
        <v>0.0</v>
      </c>
      <c r="L141" s="20">
        <v>0.0</v>
      </c>
      <c r="N141" s="24"/>
      <c r="O141" s="19">
        <f>$G$11</f>
        <v>3</v>
      </c>
      <c r="P141" s="40">
        <f t="shared" ref="P141:T141" si="153">H141/H$162</f>
        <v>0.003663003663</v>
      </c>
      <c r="Q141" s="40">
        <f t="shared" si="153"/>
        <v>0</v>
      </c>
      <c r="R141" s="40">
        <f t="shared" si="153"/>
        <v>0</v>
      </c>
      <c r="S141" s="40">
        <f t="shared" si="153"/>
        <v>0</v>
      </c>
      <c r="T141" s="40">
        <f t="shared" si="153"/>
        <v>0</v>
      </c>
    </row>
    <row r="142" ht="15.75" customHeight="1">
      <c r="A142" s="16" t="s">
        <v>115</v>
      </c>
      <c r="F142" s="24"/>
      <c r="G142" s="19">
        <f>$G$12</f>
        <v>4</v>
      </c>
      <c r="H142" s="20">
        <v>0.0</v>
      </c>
      <c r="I142" s="20">
        <v>0.0</v>
      </c>
      <c r="J142" s="20">
        <v>0.0</v>
      </c>
      <c r="K142" s="20">
        <v>0.0</v>
      </c>
      <c r="L142" s="20">
        <v>1.0</v>
      </c>
      <c r="N142" s="24"/>
      <c r="O142" s="19">
        <f>$G$12</f>
        <v>4</v>
      </c>
      <c r="P142" s="40">
        <f t="shared" ref="P142:T142" si="154">H142/H$162</f>
        <v>0</v>
      </c>
      <c r="Q142" s="40">
        <f t="shared" si="154"/>
        <v>0</v>
      </c>
      <c r="R142" s="40">
        <f t="shared" si="154"/>
        <v>0</v>
      </c>
      <c r="S142" s="40">
        <f t="shared" si="154"/>
        <v>0</v>
      </c>
      <c r="T142" s="40">
        <f t="shared" si="154"/>
        <v>0.05</v>
      </c>
    </row>
    <row r="143" ht="15.75" customHeight="1">
      <c r="A143" s="16" t="s">
        <v>256</v>
      </c>
      <c r="F143" s="24"/>
      <c r="G143" s="19">
        <f>$G$13</f>
        <v>5</v>
      </c>
      <c r="H143" s="20">
        <v>4.0</v>
      </c>
      <c r="I143" s="20">
        <v>3.0</v>
      </c>
      <c r="J143" s="20">
        <v>0.0</v>
      </c>
      <c r="K143" s="20">
        <v>1.0</v>
      </c>
      <c r="L143" s="20">
        <v>0.0</v>
      </c>
      <c r="N143" s="24"/>
      <c r="O143" s="19">
        <f>$G$13</f>
        <v>5</v>
      </c>
      <c r="P143" s="40">
        <f t="shared" ref="P143:T143" si="155">H143/H$162</f>
        <v>0.01465201465</v>
      </c>
      <c r="Q143" s="40">
        <f t="shared" si="155"/>
        <v>0.02727272727</v>
      </c>
      <c r="R143" s="40">
        <f t="shared" si="155"/>
        <v>0</v>
      </c>
      <c r="S143" s="40">
        <f t="shared" si="155"/>
        <v>0.07692307692</v>
      </c>
      <c r="T143" s="40">
        <f t="shared" si="155"/>
        <v>0</v>
      </c>
    </row>
    <row r="144" ht="15.75" customHeight="1">
      <c r="A144" s="16" t="s">
        <v>257</v>
      </c>
      <c r="F144" s="24"/>
      <c r="G144" s="19">
        <f>$G$14</f>
        <v>6</v>
      </c>
      <c r="H144" s="20">
        <v>10.0</v>
      </c>
      <c r="I144" s="20">
        <v>2.0</v>
      </c>
      <c r="J144" s="20">
        <v>0.0</v>
      </c>
      <c r="K144" s="20">
        <v>0.0</v>
      </c>
      <c r="L144" s="20">
        <v>2.0</v>
      </c>
      <c r="N144" s="24"/>
      <c r="O144" s="19">
        <f>$G$14</f>
        <v>6</v>
      </c>
      <c r="P144" s="40">
        <f t="shared" ref="P144:T144" si="156">H144/H$162</f>
        <v>0.03663003663</v>
      </c>
      <c r="Q144" s="40">
        <f t="shared" si="156"/>
        <v>0.01818181818</v>
      </c>
      <c r="R144" s="40">
        <f t="shared" si="156"/>
        <v>0</v>
      </c>
      <c r="S144" s="40">
        <f t="shared" si="156"/>
        <v>0</v>
      </c>
      <c r="T144" s="40">
        <f t="shared" si="156"/>
        <v>0.1</v>
      </c>
    </row>
    <row r="145" ht="15.75" customHeight="1">
      <c r="A145" s="16" t="s">
        <v>258</v>
      </c>
      <c r="F145" s="24"/>
      <c r="G145" s="19">
        <f>$G$15</f>
        <v>7</v>
      </c>
      <c r="H145" s="20">
        <v>26.0</v>
      </c>
      <c r="I145" s="20">
        <v>6.0</v>
      </c>
      <c r="J145" s="20">
        <v>1.0</v>
      </c>
      <c r="K145" s="20">
        <v>0.0</v>
      </c>
      <c r="L145" s="20">
        <v>1.0</v>
      </c>
      <c r="N145" s="24"/>
      <c r="O145" s="19">
        <f>$G$15</f>
        <v>7</v>
      </c>
      <c r="P145" s="40">
        <f t="shared" ref="P145:T145" si="157">H145/H$162</f>
        <v>0.09523809524</v>
      </c>
      <c r="Q145" s="40">
        <f t="shared" si="157"/>
        <v>0.05454545455</v>
      </c>
      <c r="R145" s="40">
        <f t="shared" si="157"/>
        <v>0.25</v>
      </c>
      <c r="S145" s="40">
        <f t="shared" si="157"/>
        <v>0</v>
      </c>
      <c r="T145" s="40">
        <f t="shared" si="157"/>
        <v>0.05</v>
      </c>
    </row>
    <row r="146" ht="15.75" customHeight="1">
      <c r="A146" s="16" t="s">
        <v>259</v>
      </c>
      <c r="F146" s="24"/>
      <c r="G146" s="19">
        <f>$G$16</f>
        <v>8</v>
      </c>
      <c r="H146" s="20">
        <v>23.0</v>
      </c>
      <c r="I146" s="20">
        <v>7.0</v>
      </c>
      <c r="J146" s="20">
        <v>0.0</v>
      </c>
      <c r="K146" s="20">
        <v>0.0</v>
      </c>
      <c r="L146" s="20">
        <v>1.0</v>
      </c>
      <c r="N146" s="24"/>
      <c r="O146" s="19">
        <f>$G$16</f>
        <v>8</v>
      </c>
      <c r="P146" s="40">
        <f t="shared" ref="P146:T146" si="158">H146/H$162</f>
        <v>0.08424908425</v>
      </c>
      <c r="Q146" s="40">
        <f t="shared" si="158"/>
        <v>0.06363636364</v>
      </c>
      <c r="R146" s="40">
        <f t="shared" si="158"/>
        <v>0</v>
      </c>
      <c r="S146" s="40">
        <f t="shared" si="158"/>
        <v>0</v>
      </c>
      <c r="T146" s="40">
        <f t="shared" si="158"/>
        <v>0.05</v>
      </c>
    </row>
    <row r="147" ht="15.75" customHeight="1">
      <c r="A147" s="16" t="s">
        <v>260</v>
      </c>
      <c r="F147" s="24"/>
      <c r="G147" s="19">
        <f>$G$17</f>
        <v>9</v>
      </c>
      <c r="H147" s="20">
        <v>15.0</v>
      </c>
      <c r="I147" s="20">
        <v>5.0</v>
      </c>
      <c r="J147" s="20">
        <v>0.0</v>
      </c>
      <c r="K147" s="20">
        <v>3.0</v>
      </c>
      <c r="L147" s="20">
        <v>3.0</v>
      </c>
      <c r="N147" s="24"/>
      <c r="O147" s="19">
        <f>$G$17</f>
        <v>9</v>
      </c>
      <c r="P147" s="40">
        <f t="shared" ref="P147:T147" si="159">H147/H$162</f>
        <v>0.05494505495</v>
      </c>
      <c r="Q147" s="40">
        <f t="shared" si="159"/>
        <v>0.04545454545</v>
      </c>
      <c r="R147" s="40">
        <f t="shared" si="159"/>
        <v>0</v>
      </c>
      <c r="S147" s="40">
        <f t="shared" si="159"/>
        <v>0.2307692308</v>
      </c>
      <c r="T147" s="40">
        <f t="shared" si="159"/>
        <v>0.15</v>
      </c>
    </row>
    <row r="148" ht="15.75" customHeight="1">
      <c r="A148" s="16" t="s">
        <v>261</v>
      </c>
      <c r="F148" s="24"/>
      <c r="G148" s="19">
        <f>$G$18</f>
        <v>10</v>
      </c>
      <c r="H148" s="20">
        <v>17.0</v>
      </c>
      <c r="I148" s="20">
        <v>9.0</v>
      </c>
      <c r="J148" s="20">
        <v>0.0</v>
      </c>
      <c r="K148" s="20">
        <v>0.0</v>
      </c>
      <c r="L148" s="20">
        <v>2.0</v>
      </c>
      <c r="N148" s="24"/>
      <c r="O148" s="19">
        <f>$G$18</f>
        <v>10</v>
      </c>
      <c r="P148" s="40">
        <f t="shared" ref="P148:T148" si="160">H148/H$162</f>
        <v>0.06227106227</v>
      </c>
      <c r="Q148" s="40">
        <f t="shared" si="160"/>
        <v>0.08181818182</v>
      </c>
      <c r="R148" s="40">
        <f t="shared" si="160"/>
        <v>0</v>
      </c>
      <c r="S148" s="40">
        <f t="shared" si="160"/>
        <v>0</v>
      </c>
      <c r="T148" s="40">
        <f t="shared" si="160"/>
        <v>0.1</v>
      </c>
    </row>
    <row r="149" ht="15.75" customHeight="1">
      <c r="A149" s="16" t="s">
        <v>262</v>
      </c>
      <c r="F149" s="24"/>
      <c r="G149" s="19">
        <f>$G$19</f>
        <v>11</v>
      </c>
      <c r="H149" s="20">
        <v>12.0</v>
      </c>
      <c r="I149" s="20">
        <v>11.0</v>
      </c>
      <c r="J149" s="20">
        <v>1.0</v>
      </c>
      <c r="K149" s="20">
        <v>1.0</v>
      </c>
      <c r="L149" s="20">
        <v>3.0</v>
      </c>
      <c r="N149" s="24"/>
      <c r="O149" s="19">
        <f>$G$19</f>
        <v>11</v>
      </c>
      <c r="P149" s="40">
        <f t="shared" ref="P149:T149" si="161">H149/H$162</f>
        <v>0.04395604396</v>
      </c>
      <c r="Q149" s="40">
        <f t="shared" si="161"/>
        <v>0.1</v>
      </c>
      <c r="R149" s="40">
        <f t="shared" si="161"/>
        <v>0.25</v>
      </c>
      <c r="S149" s="40">
        <f t="shared" si="161"/>
        <v>0.07692307692</v>
      </c>
      <c r="T149" s="40">
        <f t="shared" si="161"/>
        <v>0.15</v>
      </c>
    </row>
    <row r="150" ht="15.75" customHeight="1">
      <c r="A150" s="16" t="s">
        <v>263</v>
      </c>
      <c r="F150" s="24"/>
      <c r="G150" s="19">
        <f>$G$20</f>
        <v>12</v>
      </c>
      <c r="H150" s="20">
        <v>11.0</v>
      </c>
      <c r="I150" s="20">
        <v>9.0</v>
      </c>
      <c r="J150" s="20">
        <v>0.0</v>
      </c>
      <c r="K150" s="20">
        <v>2.0</v>
      </c>
      <c r="L150" s="20">
        <v>1.0</v>
      </c>
      <c r="N150" s="24"/>
      <c r="O150" s="19">
        <f>$G$20</f>
        <v>12</v>
      </c>
      <c r="P150" s="40">
        <f t="shared" ref="P150:T150" si="162">H150/H$162</f>
        <v>0.04029304029</v>
      </c>
      <c r="Q150" s="40">
        <f t="shared" si="162"/>
        <v>0.08181818182</v>
      </c>
      <c r="R150" s="40">
        <f t="shared" si="162"/>
        <v>0</v>
      </c>
      <c r="S150" s="40">
        <f t="shared" si="162"/>
        <v>0.1538461538</v>
      </c>
      <c r="T150" s="40">
        <f t="shared" si="162"/>
        <v>0.05</v>
      </c>
    </row>
    <row r="151" ht="15.75" customHeight="1">
      <c r="A151" s="16" t="s">
        <v>264</v>
      </c>
      <c r="F151" s="24"/>
      <c r="G151" s="19">
        <f>$G$21</f>
        <v>13</v>
      </c>
      <c r="H151" s="20">
        <v>12.0</v>
      </c>
      <c r="I151" s="20">
        <v>7.0</v>
      </c>
      <c r="J151" s="20">
        <v>0.0</v>
      </c>
      <c r="K151" s="20">
        <v>2.0</v>
      </c>
      <c r="L151" s="20">
        <v>1.0</v>
      </c>
      <c r="N151" s="24"/>
      <c r="O151" s="19">
        <f>$G$21</f>
        <v>13</v>
      </c>
      <c r="P151" s="40">
        <f t="shared" ref="P151:T151" si="163">H151/H$162</f>
        <v>0.04395604396</v>
      </c>
      <c r="Q151" s="40">
        <f t="shared" si="163"/>
        <v>0.06363636364</v>
      </c>
      <c r="R151" s="40">
        <f t="shared" si="163"/>
        <v>0</v>
      </c>
      <c r="S151" s="40">
        <f t="shared" si="163"/>
        <v>0.1538461538</v>
      </c>
      <c r="T151" s="40">
        <f t="shared" si="163"/>
        <v>0.05</v>
      </c>
    </row>
    <row r="152" ht="15.75" customHeight="1">
      <c r="A152" s="16" t="s">
        <v>265</v>
      </c>
      <c r="F152" s="24"/>
      <c r="G152" s="19">
        <f>$G$22</f>
        <v>14</v>
      </c>
      <c r="H152" s="20">
        <v>10.0</v>
      </c>
      <c r="I152" s="20">
        <v>8.0</v>
      </c>
      <c r="J152" s="20">
        <v>0.0</v>
      </c>
      <c r="K152" s="20">
        <v>1.0</v>
      </c>
      <c r="L152" s="20">
        <v>0.0</v>
      </c>
      <c r="N152" s="24"/>
      <c r="O152" s="19">
        <f>$G$22</f>
        <v>14</v>
      </c>
      <c r="P152" s="40">
        <f t="shared" ref="P152:T152" si="164">H152/H$162</f>
        <v>0.03663003663</v>
      </c>
      <c r="Q152" s="40">
        <f t="shared" si="164"/>
        <v>0.07272727273</v>
      </c>
      <c r="R152" s="40">
        <f t="shared" si="164"/>
        <v>0</v>
      </c>
      <c r="S152" s="40">
        <f t="shared" si="164"/>
        <v>0.07692307692</v>
      </c>
      <c r="T152" s="40">
        <f t="shared" si="164"/>
        <v>0</v>
      </c>
    </row>
    <row r="153" ht="15.75" customHeight="1">
      <c r="A153" s="16" t="s">
        <v>266</v>
      </c>
      <c r="F153" s="24"/>
      <c r="G153" s="19">
        <f>$G$23</f>
        <v>15</v>
      </c>
      <c r="H153" s="20">
        <v>14.0</v>
      </c>
      <c r="I153" s="20">
        <v>7.0</v>
      </c>
      <c r="J153" s="20">
        <v>1.0</v>
      </c>
      <c r="K153" s="20">
        <v>0.0</v>
      </c>
      <c r="L153" s="20">
        <v>0.0</v>
      </c>
      <c r="N153" s="24"/>
      <c r="O153" s="19">
        <f>$G$23</f>
        <v>15</v>
      </c>
      <c r="P153" s="40">
        <f t="shared" ref="P153:T153" si="165">H153/H$162</f>
        <v>0.05128205128</v>
      </c>
      <c r="Q153" s="40">
        <f t="shared" si="165"/>
        <v>0.06363636364</v>
      </c>
      <c r="R153" s="40">
        <f t="shared" si="165"/>
        <v>0.25</v>
      </c>
      <c r="S153" s="40">
        <f t="shared" si="165"/>
        <v>0</v>
      </c>
      <c r="T153" s="40">
        <f t="shared" si="165"/>
        <v>0</v>
      </c>
    </row>
    <row r="154" ht="15.75" customHeight="1">
      <c r="A154" s="16" t="s">
        <v>267</v>
      </c>
      <c r="F154" s="24"/>
      <c r="G154" s="19">
        <f>$G$24</f>
        <v>16</v>
      </c>
      <c r="H154" s="20">
        <v>21.0</v>
      </c>
      <c r="I154" s="20">
        <v>10.0</v>
      </c>
      <c r="J154" s="20">
        <v>1.0</v>
      </c>
      <c r="K154" s="20">
        <v>0.0</v>
      </c>
      <c r="L154" s="20">
        <v>1.0</v>
      </c>
      <c r="N154" s="24"/>
      <c r="O154" s="19">
        <f>$G$24</f>
        <v>16</v>
      </c>
      <c r="P154" s="40">
        <f t="shared" ref="P154:T154" si="166">H154/H$162</f>
        <v>0.07692307692</v>
      </c>
      <c r="Q154" s="40">
        <f t="shared" si="166"/>
        <v>0.09090909091</v>
      </c>
      <c r="R154" s="40">
        <f t="shared" si="166"/>
        <v>0.25</v>
      </c>
      <c r="S154" s="40">
        <f t="shared" si="166"/>
        <v>0</v>
      </c>
      <c r="T154" s="40">
        <f t="shared" si="166"/>
        <v>0.05</v>
      </c>
    </row>
    <row r="155" ht="15.75" customHeight="1">
      <c r="A155" s="16" t="s">
        <v>268</v>
      </c>
      <c r="F155" s="24"/>
      <c r="G155" s="19">
        <f>$G$25</f>
        <v>17</v>
      </c>
      <c r="H155" s="20">
        <v>25.0</v>
      </c>
      <c r="I155" s="20">
        <v>5.0</v>
      </c>
      <c r="J155" s="20">
        <v>0.0</v>
      </c>
      <c r="K155" s="20">
        <v>1.0</v>
      </c>
      <c r="L155" s="20">
        <v>1.0</v>
      </c>
      <c r="N155" s="24"/>
      <c r="O155" s="19">
        <f>$G$25</f>
        <v>17</v>
      </c>
      <c r="P155" s="40">
        <f t="shared" ref="P155:T155" si="167">H155/H$162</f>
        <v>0.09157509158</v>
      </c>
      <c r="Q155" s="40">
        <f t="shared" si="167"/>
        <v>0.04545454545</v>
      </c>
      <c r="R155" s="40">
        <f t="shared" si="167"/>
        <v>0</v>
      </c>
      <c r="S155" s="40">
        <f t="shared" si="167"/>
        <v>0.07692307692</v>
      </c>
      <c r="T155" s="40">
        <f t="shared" si="167"/>
        <v>0.05</v>
      </c>
    </row>
    <row r="156" ht="15.75" customHeight="1">
      <c r="A156" s="16" t="s">
        <v>269</v>
      </c>
      <c r="F156" s="24"/>
      <c r="G156" s="19">
        <f>$G$26</f>
        <v>18</v>
      </c>
      <c r="H156" s="20">
        <v>14.0</v>
      </c>
      <c r="I156" s="20">
        <v>5.0</v>
      </c>
      <c r="J156" s="20">
        <v>0.0</v>
      </c>
      <c r="K156" s="20">
        <v>1.0</v>
      </c>
      <c r="L156" s="20">
        <v>0.0</v>
      </c>
      <c r="N156" s="24"/>
      <c r="O156" s="19">
        <f>$G$26</f>
        <v>18</v>
      </c>
      <c r="P156" s="40">
        <f t="shared" ref="P156:T156" si="168">H156/H$162</f>
        <v>0.05128205128</v>
      </c>
      <c r="Q156" s="40">
        <f t="shared" si="168"/>
        <v>0.04545454545</v>
      </c>
      <c r="R156" s="40">
        <f t="shared" si="168"/>
        <v>0</v>
      </c>
      <c r="S156" s="40">
        <f t="shared" si="168"/>
        <v>0.07692307692</v>
      </c>
      <c r="T156" s="40">
        <f t="shared" si="168"/>
        <v>0</v>
      </c>
    </row>
    <row r="157" ht="15.75" customHeight="1">
      <c r="A157" s="16" t="s">
        <v>251</v>
      </c>
      <c r="F157" s="24"/>
      <c r="G157" s="19">
        <f>$G$27</f>
        <v>19</v>
      </c>
      <c r="H157" s="20">
        <v>22.0</v>
      </c>
      <c r="I157" s="20">
        <v>5.0</v>
      </c>
      <c r="J157" s="20">
        <v>0.0</v>
      </c>
      <c r="K157" s="20">
        <v>0.0</v>
      </c>
      <c r="L157" s="20">
        <v>0.0</v>
      </c>
      <c r="N157" s="24"/>
      <c r="O157" s="19">
        <f>$G$27</f>
        <v>19</v>
      </c>
      <c r="P157" s="40">
        <f t="shared" ref="P157:T157" si="169">H157/H$162</f>
        <v>0.08058608059</v>
      </c>
      <c r="Q157" s="40">
        <f t="shared" si="169"/>
        <v>0.04545454545</v>
      </c>
      <c r="R157" s="40">
        <f t="shared" si="169"/>
        <v>0</v>
      </c>
      <c r="S157" s="40">
        <f t="shared" si="169"/>
        <v>0</v>
      </c>
      <c r="T157" s="40">
        <f t="shared" si="169"/>
        <v>0</v>
      </c>
    </row>
    <row r="158" ht="15.75" customHeight="1">
      <c r="A158" s="16" t="s">
        <v>270</v>
      </c>
      <c r="F158" s="24"/>
      <c r="G158" s="19">
        <f>$G$28</f>
        <v>20</v>
      </c>
      <c r="H158" s="20">
        <v>9.0</v>
      </c>
      <c r="I158" s="20">
        <v>4.0</v>
      </c>
      <c r="J158" s="20">
        <v>0.0</v>
      </c>
      <c r="K158" s="20">
        <v>0.0</v>
      </c>
      <c r="L158" s="20">
        <v>0.0</v>
      </c>
      <c r="N158" s="24"/>
      <c r="O158" s="19">
        <f>$G$28</f>
        <v>20</v>
      </c>
      <c r="P158" s="40">
        <f t="shared" ref="P158:T158" si="170">H158/H$162</f>
        <v>0.03296703297</v>
      </c>
      <c r="Q158" s="40">
        <f t="shared" si="170"/>
        <v>0.03636363636</v>
      </c>
      <c r="R158" s="40">
        <f t="shared" si="170"/>
        <v>0</v>
      </c>
      <c r="S158" s="40">
        <f t="shared" si="170"/>
        <v>0</v>
      </c>
      <c r="T158" s="40">
        <f t="shared" si="170"/>
        <v>0</v>
      </c>
    </row>
    <row r="159" ht="15.75" customHeight="1">
      <c r="A159" s="16" t="s">
        <v>271</v>
      </c>
      <c r="F159" s="24"/>
      <c r="G159" s="19">
        <f>$G$29</f>
        <v>21</v>
      </c>
      <c r="H159" s="20">
        <v>10.0</v>
      </c>
      <c r="I159" s="20">
        <v>2.0</v>
      </c>
      <c r="J159" s="20">
        <v>0.0</v>
      </c>
      <c r="K159" s="20">
        <v>0.0</v>
      </c>
      <c r="L159" s="20">
        <v>1.0</v>
      </c>
      <c r="N159" s="24"/>
      <c r="O159" s="19">
        <f>$G$29</f>
        <v>21</v>
      </c>
      <c r="P159" s="40">
        <f t="shared" ref="P159:T159" si="171">H159/H$162</f>
        <v>0.03663003663</v>
      </c>
      <c r="Q159" s="40">
        <f t="shared" si="171"/>
        <v>0.01818181818</v>
      </c>
      <c r="R159" s="40">
        <f t="shared" si="171"/>
        <v>0</v>
      </c>
      <c r="S159" s="40">
        <f t="shared" si="171"/>
        <v>0</v>
      </c>
      <c r="T159" s="40">
        <f t="shared" si="171"/>
        <v>0.05</v>
      </c>
    </row>
    <row r="160" ht="15.75" customHeight="1">
      <c r="A160" s="16" t="s">
        <v>272</v>
      </c>
      <c r="F160" s="24"/>
      <c r="G160" s="19">
        <f>$G$30</f>
        <v>22</v>
      </c>
      <c r="H160" s="20">
        <v>5.0</v>
      </c>
      <c r="I160" s="20">
        <v>5.0</v>
      </c>
      <c r="J160" s="20">
        <v>0.0</v>
      </c>
      <c r="K160" s="20">
        <v>1.0</v>
      </c>
      <c r="L160" s="20">
        <v>1.0</v>
      </c>
      <c r="N160" s="24"/>
      <c r="O160" s="19">
        <f>$G$30</f>
        <v>22</v>
      </c>
      <c r="P160" s="40">
        <f t="shared" ref="P160:T160" si="172">H160/H$162</f>
        <v>0.01831501832</v>
      </c>
      <c r="Q160" s="40">
        <f t="shared" si="172"/>
        <v>0.04545454545</v>
      </c>
      <c r="R160" s="40">
        <f t="shared" si="172"/>
        <v>0</v>
      </c>
      <c r="S160" s="40">
        <f t="shared" si="172"/>
        <v>0.07692307692</v>
      </c>
      <c r="T160" s="40">
        <f t="shared" si="172"/>
        <v>0.05</v>
      </c>
    </row>
    <row r="161" ht="15.75" customHeight="1">
      <c r="F161" s="28"/>
      <c r="G161" s="19">
        <f>$G$31</f>
        <v>23</v>
      </c>
      <c r="H161" s="20">
        <v>8.0</v>
      </c>
      <c r="I161" s="20">
        <v>0.0</v>
      </c>
      <c r="J161" s="20">
        <v>0.0</v>
      </c>
      <c r="K161" s="20">
        <v>0.0</v>
      </c>
      <c r="L161" s="20">
        <v>0.0</v>
      </c>
      <c r="N161" s="28"/>
      <c r="O161" s="19">
        <f>$G$31</f>
        <v>23</v>
      </c>
      <c r="P161" s="40">
        <f t="shared" ref="P161:T161" si="173">H161/H$162</f>
        <v>0.0293040293</v>
      </c>
      <c r="Q161" s="40">
        <f t="shared" si="173"/>
        <v>0</v>
      </c>
      <c r="R161" s="40">
        <f t="shared" si="173"/>
        <v>0</v>
      </c>
      <c r="S161" s="40">
        <f t="shared" si="173"/>
        <v>0</v>
      </c>
      <c r="T161" s="40">
        <f t="shared" si="173"/>
        <v>0</v>
      </c>
    </row>
    <row r="162" ht="15.75" customHeight="1">
      <c r="F162" s="111"/>
      <c r="G162" s="112"/>
      <c r="H162" s="26">
        <f t="shared" ref="H162:L162" si="174">SUM(H138:H161)</f>
        <v>273</v>
      </c>
      <c r="I162" s="26">
        <f t="shared" si="174"/>
        <v>110</v>
      </c>
      <c r="J162" s="26">
        <f t="shared" si="174"/>
        <v>4</v>
      </c>
      <c r="K162" s="26">
        <f t="shared" si="174"/>
        <v>13</v>
      </c>
      <c r="L162" s="26">
        <f t="shared" si="174"/>
        <v>20</v>
      </c>
    </row>
    <row r="163" ht="15.75" customHeight="1">
      <c r="A163" s="16" t="s">
        <v>134</v>
      </c>
      <c r="G163" s="16"/>
      <c r="H163" s="17">
        <f>$H$7</f>
        <v>31</v>
      </c>
      <c r="I163" s="17">
        <f>$I$7</f>
        <v>32</v>
      </c>
      <c r="J163" s="17">
        <f>$J$7</f>
        <v>41</v>
      </c>
      <c r="K163" s="17">
        <f>$K$7</f>
        <v>42</v>
      </c>
      <c r="L163" s="17">
        <f>$L$7</f>
        <v>5</v>
      </c>
      <c r="O163" s="16"/>
      <c r="P163" s="17">
        <f>$H$7</f>
        <v>31</v>
      </c>
      <c r="Q163" s="17">
        <f>$I$7</f>
        <v>32</v>
      </c>
      <c r="R163" s="17">
        <f>$J$7</f>
        <v>41</v>
      </c>
      <c r="S163" s="17">
        <f>$K$7</f>
        <v>42</v>
      </c>
      <c r="T163" s="17">
        <f>$L$7</f>
        <v>5</v>
      </c>
    </row>
    <row r="164" ht="15.75" customHeight="1">
      <c r="A164" s="16" t="s">
        <v>273</v>
      </c>
      <c r="F164" s="56">
        <v>45213.0</v>
      </c>
      <c r="G164" s="19">
        <f>$G$8</f>
        <v>0</v>
      </c>
      <c r="H164" s="20">
        <v>4.0</v>
      </c>
      <c r="I164" s="20">
        <v>0.0</v>
      </c>
      <c r="J164" s="20">
        <v>0.0</v>
      </c>
      <c r="K164" s="20">
        <v>0.0</v>
      </c>
      <c r="L164" s="20">
        <v>1.0</v>
      </c>
      <c r="N164" s="56">
        <v>45213.0</v>
      </c>
      <c r="O164" s="19">
        <f>$G$8</f>
        <v>0</v>
      </c>
      <c r="P164" s="40">
        <f t="shared" ref="P164:T164" si="175">H164/H$188</f>
        <v>0.01204819277</v>
      </c>
      <c r="Q164" s="40">
        <f t="shared" si="175"/>
        <v>0</v>
      </c>
      <c r="R164" s="40">
        <f t="shared" si="175"/>
        <v>0</v>
      </c>
      <c r="S164" s="40">
        <f t="shared" si="175"/>
        <v>0</v>
      </c>
      <c r="T164" s="40">
        <f t="shared" si="175"/>
        <v>0.05</v>
      </c>
    </row>
    <row r="165" ht="15.75" customHeight="1">
      <c r="A165" s="16" t="s">
        <v>274</v>
      </c>
      <c r="F165" s="24"/>
      <c r="G165" s="19">
        <f>$G$9</f>
        <v>1</v>
      </c>
      <c r="H165" s="20">
        <v>2.0</v>
      </c>
      <c r="I165" s="20">
        <v>1.0</v>
      </c>
      <c r="J165" s="20">
        <v>0.0</v>
      </c>
      <c r="K165" s="20">
        <v>0.0</v>
      </c>
      <c r="L165" s="20">
        <v>1.0</v>
      </c>
      <c r="N165" s="24"/>
      <c r="O165" s="19">
        <f>$G$9</f>
        <v>1</v>
      </c>
      <c r="P165" s="40">
        <f t="shared" ref="P165:T165" si="176">H165/H$188</f>
        <v>0.006024096386</v>
      </c>
      <c r="Q165" s="40">
        <f t="shared" si="176"/>
        <v>0.009615384615</v>
      </c>
      <c r="R165" s="40">
        <f t="shared" si="176"/>
        <v>0</v>
      </c>
      <c r="S165" s="40">
        <f t="shared" si="176"/>
        <v>0</v>
      </c>
      <c r="T165" s="40">
        <f t="shared" si="176"/>
        <v>0.05</v>
      </c>
    </row>
    <row r="166" ht="15.75" customHeight="1">
      <c r="A166" s="16" t="s">
        <v>94</v>
      </c>
      <c r="F166" s="24"/>
      <c r="G166" s="19">
        <f>$G$10</f>
        <v>2</v>
      </c>
      <c r="H166" s="16">
        <v>2.0</v>
      </c>
      <c r="I166" s="16">
        <v>2.0</v>
      </c>
      <c r="J166" s="16">
        <v>0.0</v>
      </c>
      <c r="K166" s="16">
        <v>0.0</v>
      </c>
      <c r="L166" s="16">
        <v>1.0</v>
      </c>
      <c r="N166" s="24"/>
      <c r="O166" s="19">
        <f>$G$10</f>
        <v>2</v>
      </c>
      <c r="P166" s="40">
        <f t="shared" ref="P166:T166" si="177">H166/H$188</f>
        <v>0.006024096386</v>
      </c>
      <c r="Q166" s="40">
        <f t="shared" si="177"/>
        <v>0.01923076923</v>
      </c>
      <c r="R166" s="40">
        <f t="shared" si="177"/>
        <v>0</v>
      </c>
      <c r="S166" s="40">
        <f t="shared" si="177"/>
        <v>0</v>
      </c>
      <c r="T166" s="40">
        <f t="shared" si="177"/>
        <v>0.05</v>
      </c>
    </row>
    <row r="167" ht="15.75" customHeight="1">
      <c r="A167" s="16" t="s">
        <v>275</v>
      </c>
      <c r="F167" s="24"/>
      <c r="G167" s="19">
        <f>$G$11</f>
        <v>3</v>
      </c>
      <c r="H167" s="20">
        <v>1.0</v>
      </c>
      <c r="I167" s="20">
        <v>0.0</v>
      </c>
      <c r="J167" s="20">
        <v>0.0</v>
      </c>
      <c r="K167" s="20">
        <v>0.0</v>
      </c>
      <c r="L167" s="20">
        <v>0.0</v>
      </c>
      <c r="N167" s="24"/>
      <c r="O167" s="19">
        <f>$G$11</f>
        <v>3</v>
      </c>
      <c r="P167" s="40">
        <f t="shared" ref="P167:T167" si="178">H167/H$188</f>
        <v>0.003012048193</v>
      </c>
      <c r="Q167" s="40">
        <f t="shared" si="178"/>
        <v>0</v>
      </c>
      <c r="R167" s="40">
        <f t="shared" si="178"/>
        <v>0</v>
      </c>
      <c r="S167" s="40">
        <f t="shared" si="178"/>
        <v>0</v>
      </c>
      <c r="T167" s="40">
        <f t="shared" si="178"/>
        <v>0</v>
      </c>
    </row>
    <row r="168" ht="15.75" customHeight="1">
      <c r="A168" s="16" t="s">
        <v>276</v>
      </c>
      <c r="F168" s="24"/>
      <c r="G168" s="19">
        <f>$G$12</f>
        <v>4</v>
      </c>
      <c r="H168" s="20">
        <v>1.0</v>
      </c>
      <c r="I168" s="20">
        <v>0.0</v>
      </c>
      <c r="J168" s="20">
        <v>0.0</v>
      </c>
      <c r="K168" s="20">
        <v>2.0</v>
      </c>
      <c r="L168" s="20">
        <v>0.0</v>
      </c>
      <c r="N168" s="24"/>
      <c r="O168" s="19">
        <f>$G$12</f>
        <v>4</v>
      </c>
      <c r="P168" s="40">
        <f t="shared" ref="P168:T168" si="179">H168/H$188</f>
        <v>0.003012048193</v>
      </c>
      <c r="Q168" s="40">
        <f t="shared" si="179"/>
        <v>0</v>
      </c>
      <c r="R168" s="40">
        <f t="shared" si="179"/>
        <v>0</v>
      </c>
      <c r="S168" s="40">
        <f t="shared" si="179"/>
        <v>0.2222222222</v>
      </c>
      <c r="T168" s="40">
        <f t="shared" si="179"/>
        <v>0</v>
      </c>
    </row>
    <row r="169" ht="15.75" customHeight="1">
      <c r="A169" s="16" t="s">
        <v>277</v>
      </c>
      <c r="F169" s="24"/>
      <c r="G169" s="19">
        <f>$G$13</f>
        <v>5</v>
      </c>
      <c r="H169" s="20">
        <v>7.0</v>
      </c>
      <c r="I169" s="20">
        <v>0.0</v>
      </c>
      <c r="J169" s="20">
        <v>0.0</v>
      </c>
      <c r="K169" s="20">
        <v>0.0</v>
      </c>
      <c r="L169" s="20">
        <v>1.0</v>
      </c>
      <c r="N169" s="24"/>
      <c r="O169" s="19">
        <f>$G$13</f>
        <v>5</v>
      </c>
      <c r="P169" s="40">
        <f t="shared" ref="P169:T169" si="180">H169/H$188</f>
        <v>0.02108433735</v>
      </c>
      <c r="Q169" s="40">
        <f t="shared" si="180"/>
        <v>0</v>
      </c>
      <c r="R169" s="40">
        <f t="shared" si="180"/>
        <v>0</v>
      </c>
      <c r="S169" s="40">
        <f t="shared" si="180"/>
        <v>0</v>
      </c>
      <c r="T169" s="40">
        <f t="shared" si="180"/>
        <v>0.05</v>
      </c>
    </row>
    <row r="170" ht="15.75" customHeight="1">
      <c r="A170" s="16" t="s">
        <v>278</v>
      </c>
      <c r="F170" s="24"/>
      <c r="G170" s="19">
        <f>$G$14</f>
        <v>6</v>
      </c>
      <c r="H170" s="20">
        <v>8.0</v>
      </c>
      <c r="I170" s="20">
        <v>0.0</v>
      </c>
      <c r="J170" s="20">
        <v>1.0</v>
      </c>
      <c r="K170" s="20">
        <v>1.0</v>
      </c>
      <c r="L170" s="20">
        <v>2.0</v>
      </c>
      <c r="N170" s="24"/>
      <c r="O170" s="19">
        <f>$G$14</f>
        <v>6</v>
      </c>
      <c r="P170" s="40">
        <f t="shared" ref="P170:T170" si="181">H170/H$188</f>
        <v>0.02409638554</v>
      </c>
      <c r="Q170" s="40">
        <f t="shared" si="181"/>
        <v>0</v>
      </c>
      <c r="R170" s="40">
        <f t="shared" si="181"/>
        <v>1</v>
      </c>
      <c r="S170" s="40">
        <f t="shared" si="181"/>
        <v>0.1111111111</v>
      </c>
      <c r="T170" s="40">
        <f t="shared" si="181"/>
        <v>0.1</v>
      </c>
    </row>
    <row r="171" ht="15.75" customHeight="1">
      <c r="A171" s="16" t="s">
        <v>86</v>
      </c>
      <c r="F171" s="24"/>
      <c r="G171" s="19">
        <f>$G$15</f>
        <v>7</v>
      </c>
      <c r="H171" s="20">
        <v>12.0</v>
      </c>
      <c r="I171" s="20">
        <v>7.0</v>
      </c>
      <c r="J171" s="20">
        <v>0.0</v>
      </c>
      <c r="K171" s="20">
        <v>0.0</v>
      </c>
      <c r="L171" s="20">
        <v>1.0</v>
      </c>
      <c r="N171" s="24"/>
      <c r="O171" s="19">
        <f>$G$15</f>
        <v>7</v>
      </c>
      <c r="P171" s="40">
        <f t="shared" ref="P171:T171" si="182">H171/H$188</f>
        <v>0.03614457831</v>
      </c>
      <c r="Q171" s="40">
        <f t="shared" si="182"/>
        <v>0.06730769231</v>
      </c>
      <c r="R171" s="40">
        <f t="shared" si="182"/>
        <v>0</v>
      </c>
      <c r="S171" s="40">
        <f t="shared" si="182"/>
        <v>0</v>
      </c>
      <c r="T171" s="40">
        <f t="shared" si="182"/>
        <v>0.05</v>
      </c>
    </row>
    <row r="172" ht="15.75" customHeight="1">
      <c r="A172" s="16" t="s">
        <v>279</v>
      </c>
      <c r="F172" s="24"/>
      <c r="G172" s="19">
        <f>$G$16</f>
        <v>8</v>
      </c>
      <c r="H172" s="20">
        <v>25.0</v>
      </c>
      <c r="I172" s="20">
        <v>5.0</v>
      </c>
      <c r="J172" s="20">
        <v>0.0</v>
      </c>
      <c r="K172" s="20">
        <v>0.0</v>
      </c>
      <c r="L172" s="20">
        <v>1.0</v>
      </c>
      <c r="N172" s="24"/>
      <c r="O172" s="19">
        <f>$G$16</f>
        <v>8</v>
      </c>
      <c r="P172" s="40">
        <f t="shared" ref="P172:T172" si="183">H172/H$188</f>
        <v>0.07530120482</v>
      </c>
      <c r="Q172" s="40">
        <f t="shared" si="183"/>
        <v>0.04807692308</v>
      </c>
      <c r="R172" s="40">
        <f t="shared" si="183"/>
        <v>0</v>
      </c>
      <c r="S172" s="40">
        <f t="shared" si="183"/>
        <v>0</v>
      </c>
      <c r="T172" s="40">
        <f t="shared" si="183"/>
        <v>0.05</v>
      </c>
    </row>
    <row r="173" ht="15.75" customHeight="1">
      <c r="A173" s="16" t="s">
        <v>280</v>
      </c>
      <c r="F173" s="24"/>
      <c r="G173" s="19">
        <f>$G$17</f>
        <v>9</v>
      </c>
      <c r="H173" s="20">
        <v>31.0</v>
      </c>
      <c r="I173" s="20">
        <v>8.0</v>
      </c>
      <c r="J173" s="20">
        <v>0.0</v>
      </c>
      <c r="K173" s="20">
        <v>2.0</v>
      </c>
      <c r="L173" s="20">
        <v>2.0</v>
      </c>
      <c r="N173" s="24"/>
      <c r="O173" s="19">
        <f>$G$17</f>
        <v>9</v>
      </c>
      <c r="P173" s="40">
        <f t="shared" ref="P173:T173" si="184">H173/H$188</f>
        <v>0.09337349398</v>
      </c>
      <c r="Q173" s="40">
        <f t="shared" si="184"/>
        <v>0.07692307692</v>
      </c>
      <c r="R173" s="40">
        <f t="shared" si="184"/>
        <v>0</v>
      </c>
      <c r="S173" s="40">
        <f t="shared" si="184"/>
        <v>0.2222222222</v>
      </c>
      <c r="T173" s="40">
        <f t="shared" si="184"/>
        <v>0.1</v>
      </c>
    </row>
    <row r="174" ht="15.75" customHeight="1">
      <c r="A174" s="16" t="s">
        <v>281</v>
      </c>
      <c r="F174" s="24"/>
      <c r="G174" s="19">
        <f>$G$18</f>
        <v>10</v>
      </c>
      <c r="H174" s="20">
        <v>19.0</v>
      </c>
      <c r="I174" s="20">
        <v>8.0</v>
      </c>
      <c r="J174" s="20">
        <v>0.0</v>
      </c>
      <c r="K174" s="20">
        <v>1.0</v>
      </c>
      <c r="L174" s="20">
        <v>1.0</v>
      </c>
      <c r="N174" s="24"/>
      <c r="O174" s="19">
        <f>$G$18</f>
        <v>10</v>
      </c>
      <c r="P174" s="40">
        <f t="shared" ref="P174:T174" si="185">H174/H$188</f>
        <v>0.05722891566</v>
      </c>
      <c r="Q174" s="40">
        <f t="shared" si="185"/>
        <v>0.07692307692</v>
      </c>
      <c r="R174" s="40">
        <f t="shared" si="185"/>
        <v>0</v>
      </c>
      <c r="S174" s="40">
        <f t="shared" si="185"/>
        <v>0.1111111111</v>
      </c>
      <c r="T174" s="40">
        <f t="shared" si="185"/>
        <v>0.05</v>
      </c>
    </row>
    <row r="175" ht="15.75" customHeight="1">
      <c r="A175" s="16" t="s">
        <v>282</v>
      </c>
      <c r="F175" s="24"/>
      <c r="G175" s="19">
        <f>$G$19</f>
        <v>11</v>
      </c>
      <c r="H175" s="20">
        <v>22.0</v>
      </c>
      <c r="I175" s="20">
        <v>14.0</v>
      </c>
      <c r="J175" s="20">
        <v>0.0</v>
      </c>
      <c r="K175" s="20">
        <v>0.0</v>
      </c>
      <c r="L175" s="20">
        <v>2.0</v>
      </c>
      <c r="N175" s="24"/>
      <c r="O175" s="19">
        <f>$G$19</f>
        <v>11</v>
      </c>
      <c r="P175" s="40">
        <f t="shared" ref="P175:T175" si="186">H175/H$188</f>
        <v>0.06626506024</v>
      </c>
      <c r="Q175" s="40">
        <f t="shared" si="186"/>
        <v>0.1346153846</v>
      </c>
      <c r="R175" s="40">
        <f t="shared" si="186"/>
        <v>0</v>
      </c>
      <c r="S175" s="40">
        <f t="shared" si="186"/>
        <v>0</v>
      </c>
      <c r="T175" s="40">
        <f t="shared" si="186"/>
        <v>0.1</v>
      </c>
    </row>
    <row r="176" ht="15.75" customHeight="1">
      <c r="A176" s="16" t="s">
        <v>283</v>
      </c>
      <c r="F176" s="24"/>
      <c r="G176" s="19">
        <f>$G$20</f>
        <v>12</v>
      </c>
      <c r="H176" s="20">
        <v>17.0</v>
      </c>
      <c r="I176" s="20">
        <v>7.0</v>
      </c>
      <c r="J176" s="20">
        <v>0.0</v>
      </c>
      <c r="K176" s="20">
        <v>1.0</v>
      </c>
      <c r="L176" s="20">
        <v>3.0</v>
      </c>
      <c r="N176" s="24"/>
      <c r="O176" s="19">
        <f>$G$20</f>
        <v>12</v>
      </c>
      <c r="P176" s="40">
        <f t="shared" ref="P176:T176" si="187">H176/H$188</f>
        <v>0.05120481928</v>
      </c>
      <c r="Q176" s="40">
        <f t="shared" si="187"/>
        <v>0.06730769231</v>
      </c>
      <c r="R176" s="40">
        <f t="shared" si="187"/>
        <v>0</v>
      </c>
      <c r="S176" s="40">
        <f t="shared" si="187"/>
        <v>0.1111111111</v>
      </c>
      <c r="T176" s="40">
        <f t="shared" si="187"/>
        <v>0.15</v>
      </c>
    </row>
    <row r="177" ht="15.75" customHeight="1">
      <c r="A177" s="16" t="s">
        <v>284</v>
      </c>
      <c r="F177" s="24"/>
      <c r="G177" s="19">
        <f>$G$21</f>
        <v>13</v>
      </c>
      <c r="H177" s="20">
        <v>14.0</v>
      </c>
      <c r="I177" s="20">
        <v>9.0</v>
      </c>
      <c r="J177" s="20">
        <v>0.0</v>
      </c>
      <c r="K177" s="20">
        <v>0.0</v>
      </c>
      <c r="L177" s="20">
        <v>0.0</v>
      </c>
      <c r="N177" s="24"/>
      <c r="O177" s="19">
        <f>$G$21</f>
        <v>13</v>
      </c>
      <c r="P177" s="40">
        <f t="shared" ref="P177:T177" si="188">H177/H$188</f>
        <v>0.0421686747</v>
      </c>
      <c r="Q177" s="40">
        <f t="shared" si="188"/>
        <v>0.08653846154</v>
      </c>
      <c r="R177" s="40">
        <f t="shared" si="188"/>
        <v>0</v>
      </c>
      <c r="S177" s="40">
        <f t="shared" si="188"/>
        <v>0</v>
      </c>
      <c r="T177" s="40">
        <f t="shared" si="188"/>
        <v>0</v>
      </c>
    </row>
    <row r="178" ht="15.75" customHeight="1">
      <c r="A178" s="16" t="s">
        <v>285</v>
      </c>
      <c r="F178" s="24"/>
      <c r="G178" s="19">
        <f>$G$22</f>
        <v>14</v>
      </c>
      <c r="H178" s="20">
        <v>23.0</v>
      </c>
      <c r="I178" s="20">
        <v>6.0</v>
      </c>
      <c r="J178" s="20">
        <v>0.0</v>
      </c>
      <c r="K178" s="20">
        <v>0.0</v>
      </c>
      <c r="L178" s="20">
        <v>1.0</v>
      </c>
      <c r="N178" s="24"/>
      <c r="O178" s="19">
        <f>$G$22</f>
        <v>14</v>
      </c>
      <c r="P178" s="40">
        <f t="shared" ref="P178:T178" si="189">H178/H$188</f>
        <v>0.06927710843</v>
      </c>
      <c r="Q178" s="40">
        <f t="shared" si="189"/>
        <v>0.05769230769</v>
      </c>
      <c r="R178" s="40">
        <f t="shared" si="189"/>
        <v>0</v>
      </c>
      <c r="S178" s="40">
        <f t="shared" si="189"/>
        <v>0</v>
      </c>
      <c r="T178" s="40">
        <f t="shared" si="189"/>
        <v>0.05</v>
      </c>
    </row>
    <row r="179" ht="15.75" customHeight="1">
      <c r="A179" s="16" t="s">
        <v>286</v>
      </c>
      <c r="F179" s="24"/>
      <c r="G179" s="19">
        <f>$G$23</f>
        <v>15</v>
      </c>
      <c r="H179" s="20">
        <v>31.0</v>
      </c>
      <c r="I179" s="20">
        <v>7.0</v>
      </c>
      <c r="J179" s="20">
        <v>0.0</v>
      </c>
      <c r="K179" s="20">
        <v>0.0</v>
      </c>
      <c r="L179" s="20">
        <v>1.0</v>
      </c>
      <c r="N179" s="24"/>
      <c r="O179" s="19">
        <f>$G$23</f>
        <v>15</v>
      </c>
      <c r="P179" s="40">
        <f t="shared" ref="P179:T179" si="190">H179/H$188</f>
        <v>0.09337349398</v>
      </c>
      <c r="Q179" s="40">
        <f t="shared" si="190"/>
        <v>0.06730769231</v>
      </c>
      <c r="R179" s="40">
        <f t="shared" si="190"/>
        <v>0</v>
      </c>
      <c r="S179" s="40">
        <f t="shared" si="190"/>
        <v>0</v>
      </c>
      <c r="T179" s="40">
        <f t="shared" si="190"/>
        <v>0.05</v>
      </c>
    </row>
    <row r="180" ht="15.75" customHeight="1">
      <c r="A180" s="16" t="s">
        <v>287</v>
      </c>
      <c r="F180" s="24"/>
      <c r="G180" s="19">
        <f>$G$24</f>
        <v>16</v>
      </c>
      <c r="H180" s="20">
        <v>27.0</v>
      </c>
      <c r="I180" s="20">
        <v>11.0</v>
      </c>
      <c r="J180" s="20">
        <v>0.0</v>
      </c>
      <c r="K180" s="20">
        <v>1.0</v>
      </c>
      <c r="L180" s="20">
        <v>1.0</v>
      </c>
      <c r="N180" s="24"/>
      <c r="O180" s="19">
        <f>$G$24</f>
        <v>16</v>
      </c>
      <c r="P180" s="40">
        <f t="shared" ref="P180:T180" si="191">H180/H$188</f>
        <v>0.0813253012</v>
      </c>
      <c r="Q180" s="40">
        <f t="shared" si="191"/>
        <v>0.1057692308</v>
      </c>
      <c r="R180" s="40">
        <f t="shared" si="191"/>
        <v>0</v>
      </c>
      <c r="S180" s="40">
        <f t="shared" si="191"/>
        <v>0.1111111111</v>
      </c>
      <c r="T180" s="40">
        <f t="shared" si="191"/>
        <v>0.05</v>
      </c>
    </row>
    <row r="181" ht="15.75" customHeight="1">
      <c r="A181" s="16" t="s">
        <v>131</v>
      </c>
      <c r="F181" s="24"/>
      <c r="G181" s="19">
        <f>$G$25</f>
        <v>17</v>
      </c>
      <c r="H181" s="20">
        <v>24.0</v>
      </c>
      <c r="I181" s="20">
        <v>5.0</v>
      </c>
      <c r="J181" s="20">
        <v>0.0</v>
      </c>
      <c r="K181" s="20">
        <v>0.0</v>
      </c>
      <c r="L181" s="20">
        <v>1.0</v>
      </c>
      <c r="N181" s="24"/>
      <c r="O181" s="19">
        <f>$G$25</f>
        <v>17</v>
      </c>
      <c r="P181" s="40">
        <f t="shared" ref="P181:T181" si="192">H181/H$188</f>
        <v>0.07228915663</v>
      </c>
      <c r="Q181" s="40">
        <f t="shared" si="192"/>
        <v>0.04807692308</v>
      </c>
      <c r="R181" s="40">
        <f t="shared" si="192"/>
        <v>0</v>
      </c>
      <c r="S181" s="40">
        <f t="shared" si="192"/>
        <v>0</v>
      </c>
      <c r="T181" s="40">
        <f t="shared" si="192"/>
        <v>0.05</v>
      </c>
    </row>
    <row r="182" ht="15.75" customHeight="1">
      <c r="A182" s="16" t="s">
        <v>288</v>
      </c>
      <c r="F182" s="24"/>
      <c r="G182" s="19">
        <f>$G$26</f>
        <v>18</v>
      </c>
      <c r="H182" s="20">
        <v>13.0</v>
      </c>
      <c r="I182" s="20">
        <v>3.0</v>
      </c>
      <c r="J182" s="20">
        <v>0.0</v>
      </c>
      <c r="K182" s="20">
        <v>0.0</v>
      </c>
      <c r="L182" s="20">
        <v>0.0</v>
      </c>
      <c r="N182" s="24"/>
      <c r="O182" s="19">
        <f>$G$26</f>
        <v>18</v>
      </c>
      <c r="P182" s="40">
        <f t="shared" ref="P182:T182" si="193">H182/H$188</f>
        <v>0.03915662651</v>
      </c>
      <c r="Q182" s="40">
        <f t="shared" si="193"/>
        <v>0.02884615385</v>
      </c>
      <c r="R182" s="40">
        <f t="shared" si="193"/>
        <v>0</v>
      </c>
      <c r="S182" s="40">
        <f t="shared" si="193"/>
        <v>0</v>
      </c>
      <c r="T182" s="40">
        <f t="shared" si="193"/>
        <v>0</v>
      </c>
    </row>
    <row r="183" ht="15.75" customHeight="1">
      <c r="A183" s="16" t="s">
        <v>289</v>
      </c>
      <c r="F183" s="24"/>
      <c r="G183" s="19">
        <f>$G$27</f>
        <v>19</v>
      </c>
      <c r="H183" s="20">
        <v>16.0</v>
      </c>
      <c r="I183" s="20">
        <v>1.0</v>
      </c>
      <c r="J183" s="20">
        <v>0.0</v>
      </c>
      <c r="K183" s="20">
        <v>0.0</v>
      </c>
      <c r="L183" s="20">
        <v>0.0</v>
      </c>
      <c r="N183" s="24"/>
      <c r="O183" s="19">
        <f>$G$27</f>
        <v>19</v>
      </c>
      <c r="P183" s="40">
        <f t="shared" ref="P183:T183" si="194">H183/H$188</f>
        <v>0.04819277108</v>
      </c>
      <c r="Q183" s="40">
        <f t="shared" si="194"/>
        <v>0.009615384615</v>
      </c>
      <c r="R183" s="40">
        <f t="shared" si="194"/>
        <v>0</v>
      </c>
      <c r="S183" s="40">
        <f t="shared" si="194"/>
        <v>0</v>
      </c>
      <c r="T183" s="40">
        <f t="shared" si="194"/>
        <v>0</v>
      </c>
    </row>
    <row r="184" ht="15.75" customHeight="1">
      <c r="A184" s="16" t="s">
        <v>239</v>
      </c>
      <c r="F184" s="24"/>
      <c r="G184" s="19">
        <f>$G$28</f>
        <v>20</v>
      </c>
      <c r="H184" s="20">
        <v>14.0</v>
      </c>
      <c r="I184" s="20">
        <v>3.0</v>
      </c>
      <c r="J184" s="20">
        <v>0.0</v>
      </c>
      <c r="K184" s="20">
        <v>0.0</v>
      </c>
      <c r="L184" s="20">
        <v>0.0</v>
      </c>
      <c r="N184" s="24"/>
      <c r="O184" s="19">
        <f>$G$28</f>
        <v>20</v>
      </c>
      <c r="P184" s="40">
        <f t="shared" ref="P184:T184" si="195">H184/H$188</f>
        <v>0.0421686747</v>
      </c>
      <c r="Q184" s="40">
        <f t="shared" si="195"/>
        <v>0.02884615385</v>
      </c>
      <c r="R184" s="40">
        <f t="shared" si="195"/>
        <v>0</v>
      </c>
      <c r="S184" s="40">
        <f t="shared" si="195"/>
        <v>0</v>
      </c>
      <c r="T184" s="40">
        <f t="shared" si="195"/>
        <v>0</v>
      </c>
    </row>
    <row r="185" ht="15.75" customHeight="1">
      <c r="A185" s="16" t="s">
        <v>290</v>
      </c>
      <c r="F185" s="24"/>
      <c r="G185" s="19">
        <f>$G$29</f>
        <v>21</v>
      </c>
      <c r="H185" s="20">
        <v>10.0</v>
      </c>
      <c r="I185" s="20">
        <v>3.0</v>
      </c>
      <c r="J185" s="20">
        <v>0.0</v>
      </c>
      <c r="K185" s="20">
        <v>0.0</v>
      </c>
      <c r="L185" s="20">
        <v>0.0</v>
      </c>
      <c r="N185" s="24"/>
      <c r="O185" s="19">
        <f>$G$29</f>
        <v>21</v>
      </c>
      <c r="P185" s="40">
        <f t="shared" ref="P185:T185" si="196">H185/H$188</f>
        <v>0.03012048193</v>
      </c>
      <c r="Q185" s="40">
        <f t="shared" si="196"/>
        <v>0.02884615385</v>
      </c>
      <c r="R185" s="40">
        <f t="shared" si="196"/>
        <v>0</v>
      </c>
      <c r="S185" s="40">
        <f t="shared" si="196"/>
        <v>0</v>
      </c>
      <c r="T185" s="40">
        <f t="shared" si="196"/>
        <v>0</v>
      </c>
    </row>
    <row r="186" ht="15.75" customHeight="1">
      <c r="A186" s="16" t="s">
        <v>291</v>
      </c>
      <c r="F186" s="24"/>
      <c r="G186" s="19">
        <f>$G$30</f>
        <v>22</v>
      </c>
      <c r="H186" s="20">
        <v>4.0</v>
      </c>
      <c r="I186" s="20">
        <v>4.0</v>
      </c>
      <c r="J186" s="20">
        <v>0.0</v>
      </c>
      <c r="K186" s="20">
        <v>1.0</v>
      </c>
      <c r="L186" s="20">
        <v>0.0</v>
      </c>
      <c r="N186" s="24"/>
      <c r="O186" s="19">
        <f>$G$30</f>
        <v>22</v>
      </c>
      <c r="P186" s="40">
        <f t="shared" ref="P186:T186" si="197">H186/H$188</f>
        <v>0.01204819277</v>
      </c>
      <c r="Q186" s="40">
        <f t="shared" si="197"/>
        <v>0.03846153846</v>
      </c>
      <c r="R186" s="40">
        <f t="shared" si="197"/>
        <v>0</v>
      </c>
      <c r="S186" s="40">
        <f t="shared" si="197"/>
        <v>0.1111111111</v>
      </c>
      <c r="T186" s="40">
        <f t="shared" si="197"/>
        <v>0</v>
      </c>
    </row>
    <row r="187" ht="15.75" customHeight="1">
      <c r="F187" s="28"/>
      <c r="G187" s="19">
        <f>$G$31</f>
        <v>23</v>
      </c>
      <c r="H187" s="20">
        <v>5.0</v>
      </c>
      <c r="I187" s="20">
        <v>0.0</v>
      </c>
      <c r="J187" s="20">
        <v>0.0</v>
      </c>
      <c r="K187" s="20">
        <v>0.0</v>
      </c>
      <c r="L187" s="20">
        <v>0.0</v>
      </c>
      <c r="N187" s="28"/>
      <c r="O187" s="19">
        <f>$G$31</f>
        <v>23</v>
      </c>
      <c r="P187" s="40">
        <f t="shared" ref="P187:T187" si="198">H187/H$188</f>
        <v>0.01506024096</v>
      </c>
      <c r="Q187" s="40">
        <f t="shared" si="198"/>
        <v>0</v>
      </c>
      <c r="R187" s="40">
        <f t="shared" si="198"/>
        <v>0</v>
      </c>
      <c r="S187" s="40">
        <f t="shared" si="198"/>
        <v>0</v>
      </c>
      <c r="T187" s="40">
        <f t="shared" si="198"/>
        <v>0</v>
      </c>
    </row>
    <row r="188" ht="15.75" customHeight="1">
      <c r="F188" s="111"/>
      <c r="G188" s="112"/>
      <c r="H188" s="26">
        <f t="shared" ref="H188:L188" si="199">SUM(H164:H187)</f>
        <v>332</v>
      </c>
      <c r="I188" s="26">
        <f t="shared" si="199"/>
        <v>104</v>
      </c>
      <c r="J188" s="26">
        <f t="shared" si="199"/>
        <v>1</v>
      </c>
      <c r="K188" s="26">
        <f t="shared" si="199"/>
        <v>9</v>
      </c>
      <c r="L188" s="26">
        <f t="shared" si="199"/>
        <v>20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O189" s="16"/>
      <c r="P189" s="17">
        <f>$H$7</f>
        <v>31</v>
      </c>
      <c r="Q189" s="17">
        <f>$I$7</f>
        <v>32</v>
      </c>
      <c r="R189" s="17">
        <f>$J$7</f>
        <v>41</v>
      </c>
      <c r="S189" s="17">
        <f>$K$7</f>
        <v>42</v>
      </c>
      <c r="T189" s="17">
        <f>$L$7</f>
        <v>5</v>
      </c>
    </row>
    <row r="190" ht="15.75" customHeight="1">
      <c r="A190" s="16" t="s">
        <v>292</v>
      </c>
      <c r="F190" s="56">
        <v>45214.0</v>
      </c>
      <c r="G190" s="19">
        <f>$G$8</f>
        <v>0</v>
      </c>
      <c r="H190" s="20">
        <v>7.0</v>
      </c>
      <c r="I190" s="20">
        <v>1.0</v>
      </c>
      <c r="J190" s="20">
        <v>0.0</v>
      </c>
      <c r="K190" s="20">
        <v>0.0</v>
      </c>
      <c r="L190" s="20">
        <v>0.0</v>
      </c>
      <c r="N190" s="56">
        <v>45214.0</v>
      </c>
      <c r="O190" s="19">
        <f>$G$8</f>
        <v>0</v>
      </c>
      <c r="P190" s="40">
        <f t="shared" ref="P190:T190" si="200">H190/H$214</f>
        <v>0.02046783626</v>
      </c>
      <c r="Q190" s="40">
        <f t="shared" si="200"/>
        <v>0.01041666667</v>
      </c>
      <c r="R190" s="40">
        <f t="shared" si="200"/>
        <v>0</v>
      </c>
      <c r="S190" s="40">
        <f t="shared" si="200"/>
        <v>0</v>
      </c>
      <c r="T190" s="40">
        <f t="shared" si="200"/>
        <v>0</v>
      </c>
    </row>
    <row r="191" ht="15.75" customHeight="1">
      <c r="A191" s="16" t="s">
        <v>184</v>
      </c>
      <c r="F191" s="24"/>
      <c r="G191" s="19">
        <f>$G$9</f>
        <v>1</v>
      </c>
      <c r="H191" s="20">
        <v>3.0</v>
      </c>
      <c r="I191" s="20">
        <v>2.0</v>
      </c>
      <c r="J191" s="20">
        <v>0.0</v>
      </c>
      <c r="K191" s="20">
        <v>0.0</v>
      </c>
      <c r="L191" s="20">
        <v>0.0</v>
      </c>
      <c r="N191" s="24"/>
      <c r="O191" s="19">
        <f>$G$9</f>
        <v>1</v>
      </c>
      <c r="P191" s="40">
        <f t="shared" ref="P191:T191" si="201">H191/H$214</f>
        <v>0.008771929825</v>
      </c>
      <c r="Q191" s="40">
        <f t="shared" si="201"/>
        <v>0.02083333333</v>
      </c>
      <c r="R191" s="40">
        <f t="shared" si="201"/>
        <v>0</v>
      </c>
      <c r="S191" s="40">
        <f t="shared" si="201"/>
        <v>0</v>
      </c>
      <c r="T191" s="40">
        <f t="shared" si="201"/>
        <v>0</v>
      </c>
    </row>
    <row r="192" ht="15.75" customHeight="1">
      <c r="A192" s="16" t="s">
        <v>175</v>
      </c>
      <c r="F192" s="24"/>
      <c r="G192" s="19">
        <f>$G$10</f>
        <v>2</v>
      </c>
      <c r="H192" s="16">
        <v>1.0</v>
      </c>
      <c r="I192" s="16">
        <v>1.0</v>
      </c>
      <c r="J192" s="16">
        <v>0.0</v>
      </c>
      <c r="K192" s="16">
        <v>0.0</v>
      </c>
      <c r="L192" s="16">
        <v>0.0</v>
      </c>
      <c r="N192" s="24"/>
      <c r="O192" s="19">
        <f>$G$10</f>
        <v>2</v>
      </c>
      <c r="P192" s="40">
        <f t="shared" ref="P192:T192" si="202">H192/H$214</f>
        <v>0.002923976608</v>
      </c>
      <c r="Q192" s="40">
        <f t="shared" si="202"/>
        <v>0.01041666667</v>
      </c>
      <c r="R192" s="40">
        <f t="shared" si="202"/>
        <v>0</v>
      </c>
      <c r="S192" s="40">
        <f t="shared" si="202"/>
        <v>0</v>
      </c>
      <c r="T192" s="40">
        <f t="shared" si="202"/>
        <v>0</v>
      </c>
    </row>
    <row r="193" ht="15.75" customHeight="1">
      <c r="A193" s="16" t="s">
        <v>175</v>
      </c>
      <c r="F193" s="24"/>
      <c r="G193" s="19">
        <f>$G$11</f>
        <v>3</v>
      </c>
      <c r="H193" s="20">
        <v>1.0</v>
      </c>
      <c r="I193" s="20">
        <v>1.0</v>
      </c>
      <c r="J193" s="20">
        <v>0.0</v>
      </c>
      <c r="K193" s="20">
        <v>0.0</v>
      </c>
      <c r="L193" s="20">
        <v>0.0</v>
      </c>
      <c r="N193" s="24"/>
      <c r="O193" s="19">
        <f>$G$11</f>
        <v>3</v>
      </c>
      <c r="P193" s="40">
        <f t="shared" ref="P193:T193" si="203">H193/H$214</f>
        <v>0.002923976608</v>
      </c>
      <c r="Q193" s="40">
        <f t="shared" si="203"/>
        <v>0.01041666667</v>
      </c>
      <c r="R193" s="40">
        <f t="shared" si="203"/>
        <v>0</v>
      </c>
      <c r="S193" s="40">
        <f t="shared" si="203"/>
        <v>0</v>
      </c>
      <c r="T193" s="40">
        <f t="shared" si="203"/>
        <v>0</v>
      </c>
    </row>
    <row r="194" ht="15.75" customHeight="1">
      <c r="A194" s="16" t="s">
        <v>293</v>
      </c>
      <c r="F194" s="24"/>
      <c r="G194" s="19">
        <f>$G$12</f>
        <v>4</v>
      </c>
      <c r="H194" s="20">
        <v>0.0</v>
      </c>
      <c r="I194" s="20">
        <v>0.0</v>
      </c>
      <c r="J194" s="20">
        <v>0.0</v>
      </c>
      <c r="K194" s="20">
        <v>1.0</v>
      </c>
      <c r="L194" s="20">
        <v>1.0</v>
      </c>
      <c r="N194" s="24"/>
      <c r="O194" s="19">
        <f>$G$12</f>
        <v>4</v>
      </c>
      <c r="P194" s="40">
        <f t="shared" ref="P194:T194" si="204">H194/H$214</f>
        <v>0</v>
      </c>
      <c r="Q194" s="40">
        <f t="shared" si="204"/>
        <v>0</v>
      </c>
      <c r="R194" s="40">
        <f t="shared" si="204"/>
        <v>0</v>
      </c>
      <c r="S194" s="40">
        <f t="shared" si="204"/>
        <v>0.5</v>
      </c>
      <c r="T194" s="40">
        <f t="shared" si="204"/>
        <v>0.2</v>
      </c>
    </row>
    <row r="195" ht="15.75" customHeight="1">
      <c r="A195" s="16" t="s">
        <v>183</v>
      </c>
      <c r="F195" s="24"/>
      <c r="G195" s="19">
        <f>$G$13</f>
        <v>5</v>
      </c>
      <c r="H195" s="20">
        <v>3.0</v>
      </c>
      <c r="I195" s="20">
        <v>0.0</v>
      </c>
      <c r="J195" s="20">
        <v>0.0</v>
      </c>
      <c r="K195" s="20">
        <v>0.0</v>
      </c>
      <c r="L195" s="20">
        <v>0.0</v>
      </c>
      <c r="N195" s="24"/>
      <c r="O195" s="19">
        <f>$G$13</f>
        <v>5</v>
      </c>
      <c r="P195" s="40">
        <f t="shared" ref="P195:T195" si="205">H195/H$214</f>
        <v>0.008771929825</v>
      </c>
      <c r="Q195" s="40">
        <f t="shared" si="205"/>
        <v>0</v>
      </c>
      <c r="R195" s="40">
        <f t="shared" si="205"/>
        <v>0</v>
      </c>
      <c r="S195" s="40">
        <f t="shared" si="205"/>
        <v>0</v>
      </c>
      <c r="T195" s="40">
        <f t="shared" si="205"/>
        <v>0</v>
      </c>
    </row>
    <row r="196" ht="15.75" customHeight="1">
      <c r="A196" s="16" t="s">
        <v>294</v>
      </c>
      <c r="F196" s="24"/>
      <c r="G196" s="19">
        <f>$G$14</f>
        <v>6</v>
      </c>
      <c r="H196" s="20">
        <v>5.0</v>
      </c>
      <c r="I196" s="20">
        <v>4.0</v>
      </c>
      <c r="J196" s="20">
        <v>0.0</v>
      </c>
      <c r="K196" s="20">
        <v>0.0</v>
      </c>
      <c r="L196" s="20">
        <v>0.0</v>
      </c>
      <c r="N196" s="24"/>
      <c r="O196" s="19">
        <f>$G$14</f>
        <v>6</v>
      </c>
      <c r="P196" s="40">
        <f t="shared" ref="P196:T196" si="206">H196/H$214</f>
        <v>0.01461988304</v>
      </c>
      <c r="Q196" s="40">
        <f t="shared" si="206"/>
        <v>0.04166666667</v>
      </c>
      <c r="R196" s="40">
        <f t="shared" si="206"/>
        <v>0</v>
      </c>
      <c r="S196" s="40">
        <f t="shared" si="206"/>
        <v>0</v>
      </c>
      <c r="T196" s="40">
        <f t="shared" si="206"/>
        <v>0</v>
      </c>
    </row>
    <row r="197" ht="15.75" customHeight="1">
      <c r="A197" s="16" t="s">
        <v>295</v>
      </c>
      <c r="F197" s="24"/>
      <c r="G197" s="19">
        <f>$G$15</f>
        <v>7</v>
      </c>
      <c r="H197" s="20">
        <v>6.0</v>
      </c>
      <c r="I197" s="20">
        <v>5.0</v>
      </c>
      <c r="J197" s="20">
        <v>0.0</v>
      </c>
      <c r="K197" s="20">
        <v>0.0</v>
      </c>
      <c r="L197" s="20">
        <v>0.0</v>
      </c>
      <c r="N197" s="24"/>
      <c r="O197" s="19">
        <f>$G$15</f>
        <v>7</v>
      </c>
      <c r="P197" s="40">
        <f t="shared" ref="P197:T197" si="207">H197/H$214</f>
        <v>0.01754385965</v>
      </c>
      <c r="Q197" s="40">
        <f t="shared" si="207"/>
        <v>0.05208333333</v>
      </c>
      <c r="R197" s="40">
        <f t="shared" si="207"/>
        <v>0</v>
      </c>
      <c r="S197" s="40">
        <f t="shared" si="207"/>
        <v>0</v>
      </c>
      <c r="T197" s="40">
        <f t="shared" si="207"/>
        <v>0</v>
      </c>
    </row>
    <row r="198" ht="15.75" customHeight="1">
      <c r="A198" s="16" t="s">
        <v>296</v>
      </c>
      <c r="F198" s="24"/>
      <c r="G198" s="19">
        <f>$G$16</f>
        <v>8</v>
      </c>
      <c r="H198" s="20">
        <v>9.0</v>
      </c>
      <c r="I198" s="20">
        <v>5.0</v>
      </c>
      <c r="J198" s="20">
        <v>0.0</v>
      </c>
      <c r="K198" s="20">
        <v>0.0</v>
      </c>
      <c r="L198" s="20">
        <v>0.0</v>
      </c>
      <c r="N198" s="24"/>
      <c r="O198" s="19">
        <f>$G$16</f>
        <v>8</v>
      </c>
      <c r="P198" s="40">
        <f t="shared" ref="P198:T198" si="208">H198/H$214</f>
        <v>0.02631578947</v>
      </c>
      <c r="Q198" s="40">
        <f t="shared" si="208"/>
        <v>0.05208333333</v>
      </c>
      <c r="R198" s="40">
        <f t="shared" si="208"/>
        <v>0</v>
      </c>
      <c r="S198" s="40">
        <f t="shared" si="208"/>
        <v>0</v>
      </c>
      <c r="T198" s="40">
        <f t="shared" si="208"/>
        <v>0</v>
      </c>
    </row>
    <row r="199" ht="15.75" customHeight="1">
      <c r="A199" s="16" t="s">
        <v>297</v>
      </c>
      <c r="F199" s="24"/>
      <c r="G199" s="19">
        <f>$G$17</f>
        <v>9</v>
      </c>
      <c r="H199" s="20">
        <v>21.0</v>
      </c>
      <c r="I199" s="20">
        <v>5.0</v>
      </c>
      <c r="J199" s="20">
        <v>0.0</v>
      </c>
      <c r="K199" s="20">
        <v>0.0</v>
      </c>
      <c r="L199" s="20">
        <v>0.0</v>
      </c>
      <c r="N199" s="24"/>
      <c r="O199" s="19">
        <f>$G$17</f>
        <v>9</v>
      </c>
      <c r="P199" s="40">
        <f t="shared" ref="P199:T199" si="209">H199/H$214</f>
        <v>0.06140350877</v>
      </c>
      <c r="Q199" s="40">
        <f t="shared" si="209"/>
        <v>0.05208333333</v>
      </c>
      <c r="R199" s="40">
        <f t="shared" si="209"/>
        <v>0</v>
      </c>
      <c r="S199" s="40">
        <f t="shared" si="209"/>
        <v>0</v>
      </c>
      <c r="T199" s="40">
        <f t="shared" si="209"/>
        <v>0</v>
      </c>
    </row>
    <row r="200" ht="15.75" customHeight="1">
      <c r="A200" s="16" t="s">
        <v>298</v>
      </c>
      <c r="F200" s="24"/>
      <c r="G200" s="19">
        <f>$G$18</f>
        <v>10</v>
      </c>
      <c r="H200" s="20">
        <v>24.0</v>
      </c>
      <c r="I200" s="20">
        <v>6.0</v>
      </c>
      <c r="J200" s="20">
        <v>0.0</v>
      </c>
      <c r="K200" s="20">
        <v>0.0</v>
      </c>
      <c r="L200" s="20">
        <v>0.0</v>
      </c>
      <c r="N200" s="24"/>
      <c r="O200" s="19">
        <f>$G$18</f>
        <v>10</v>
      </c>
      <c r="P200" s="40">
        <f t="shared" ref="P200:T200" si="210">H200/H$214</f>
        <v>0.0701754386</v>
      </c>
      <c r="Q200" s="40">
        <f t="shared" si="210"/>
        <v>0.0625</v>
      </c>
      <c r="R200" s="40">
        <f t="shared" si="210"/>
        <v>0</v>
      </c>
      <c r="S200" s="40">
        <f t="shared" si="210"/>
        <v>0</v>
      </c>
      <c r="T200" s="40">
        <f t="shared" si="210"/>
        <v>0</v>
      </c>
    </row>
    <row r="201" ht="15.75" customHeight="1">
      <c r="A201" s="16" t="s">
        <v>299</v>
      </c>
      <c r="F201" s="24"/>
      <c r="G201" s="19">
        <f>$G$19</f>
        <v>11</v>
      </c>
      <c r="H201" s="20">
        <v>27.0</v>
      </c>
      <c r="I201" s="20">
        <v>4.0</v>
      </c>
      <c r="J201" s="20">
        <v>0.0</v>
      </c>
      <c r="K201" s="20">
        <v>0.0</v>
      </c>
      <c r="L201" s="20">
        <v>1.0</v>
      </c>
      <c r="N201" s="24"/>
      <c r="O201" s="19">
        <f>$G$19</f>
        <v>11</v>
      </c>
      <c r="P201" s="40">
        <f t="shared" ref="P201:T201" si="211">H201/H$214</f>
        <v>0.07894736842</v>
      </c>
      <c r="Q201" s="40">
        <f t="shared" si="211"/>
        <v>0.04166666667</v>
      </c>
      <c r="R201" s="40">
        <f t="shared" si="211"/>
        <v>0</v>
      </c>
      <c r="S201" s="40">
        <f t="shared" si="211"/>
        <v>0</v>
      </c>
      <c r="T201" s="40">
        <f t="shared" si="211"/>
        <v>0.2</v>
      </c>
    </row>
    <row r="202" ht="15.75" customHeight="1">
      <c r="A202" s="16" t="s">
        <v>300</v>
      </c>
      <c r="F202" s="24"/>
      <c r="G202" s="19">
        <f>$G$20</f>
        <v>12</v>
      </c>
      <c r="H202" s="20">
        <v>30.0</v>
      </c>
      <c r="I202" s="20">
        <v>7.0</v>
      </c>
      <c r="J202" s="20">
        <v>0.0</v>
      </c>
      <c r="K202" s="20">
        <v>0.0</v>
      </c>
      <c r="L202" s="20">
        <v>0.0</v>
      </c>
      <c r="N202" s="24"/>
      <c r="O202" s="19">
        <f>$G$20</f>
        <v>12</v>
      </c>
      <c r="P202" s="40">
        <f t="shared" ref="P202:T202" si="212">H202/H$214</f>
        <v>0.08771929825</v>
      </c>
      <c r="Q202" s="40">
        <f t="shared" si="212"/>
        <v>0.07291666667</v>
      </c>
      <c r="R202" s="40">
        <f t="shared" si="212"/>
        <v>0</v>
      </c>
      <c r="S202" s="40">
        <f t="shared" si="212"/>
        <v>0</v>
      </c>
      <c r="T202" s="40">
        <f t="shared" si="212"/>
        <v>0</v>
      </c>
    </row>
    <row r="203" ht="15.75" customHeight="1">
      <c r="A203" s="16" t="s">
        <v>301</v>
      </c>
      <c r="F203" s="24"/>
      <c r="G203" s="19">
        <f>$G$21</f>
        <v>13</v>
      </c>
      <c r="H203" s="20">
        <v>21.0</v>
      </c>
      <c r="I203" s="20">
        <v>7.0</v>
      </c>
      <c r="J203" s="20">
        <v>0.0</v>
      </c>
      <c r="K203" s="20">
        <v>0.0</v>
      </c>
      <c r="L203" s="20">
        <v>1.0</v>
      </c>
      <c r="N203" s="24"/>
      <c r="O203" s="19">
        <f>$G$21</f>
        <v>13</v>
      </c>
      <c r="P203" s="40">
        <f t="shared" ref="P203:T203" si="213">H203/H$214</f>
        <v>0.06140350877</v>
      </c>
      <c r="Q203" s="40">
        <f t="shared" si="213"/>
        <v>0.07291666667</v>
      </c>
      <c r="R203" s="40">
        <f t="shared" si="213"/>
        <v>0</v>
      </c>
      <c r="S203" s="40">
        <f t="shared" si="213"/>
        <v>0</v>
      </c>
      <c r="T203" s="40">
        <f t="shared" si="213"/>
        <v>0.2</v>
      </c>
    </row>
    <row r="204" ht="15.75" customHeight="1">
      <c r="A204" s="16" t="s">
        <v>302</v>
      </c>
      <c r="F204" s="24"/>
      <c r="G204" s="19">
        <f>$G$22</f>
        <v>14</v>
      </c>
      <c r="H204" s="20">
        <v>29.0</v>
      </c>
      <c r="I204" s="20">
        <v>9.0</v>
      </c>
      <c r="J204" s="20">
        <v>0.0</v>
      </c>
      <c r="K204" s="20">
        <v>1.0</v>
      </c>
      <c r="L204" s="20">
        <v>1.0</v>
      </c>
      <c r="N204" s="24"/>
      <c r="O204" s="19">
        <f>$G$22</f>
        <v>14</v>
      </c>
      <c r="P204" s="40">
        <f t="shared" ref="P204:T204" si="214">H204/H$214</f>
        <v>0.08479532164</v>
      </c>
      <c r="Q204" s="40">
        <f t="shared" si="214"/>
        <v>0.09375</v>
      </c>
      <c r="R204" s="40">
        <f t="shared" si="214"/>
        <v>0</v>
      </c>
      <c r="S204" s="40">
        <f t="shared" si="214"/>
        <v>0.5</v>
      </c>
      <c r="T204" s="40">
        <f t="shared" si="214"/>
        <v>0.2</v>
      </c>
    </row>
    <row r="205" ht="15.75" customHeight="1">
      <c r="A205" s="16" t="s">
        <v>303</v>
      </c>
      <c r="F205" s="24"/>
      <c r="G205" s="19">
        <f>$G$23</f>
        <v>15</v>
      </c>
      <c r="H205" s="20">
        <v>29.0</v>
      </c>
      <c r="I205" s="20">
        <v>6.0</v>
      </c>
      <c r="J205" s="20">
        <v>1.0</v>
      </c>
      <c r="K205" s="20">
        <v>0.0</v>
      </c>
      <c r="L205" s="20">
        <v>1.0</v>
      </c>
      <c r="N205" s="24"/>
      <c r="O205" s="19">
        <f>$G$23</f>
        <v>15</v>
      </c>
      <c r="P205" s="40">
        <f t="shared" ref="P205:T205" si="215">H205/H$214</f>
        <v>0.08479532164</v>
      </c>
      <c r="Q205" s="40">
        <f t="shared" si="215"/>
        <v>0.0625</v>
      </c>
      <c r="R205" s="40">
        <f t="shared" si="215"/>
        <v>0.5</v>
      </c>
      <c r="S205" s="40">
        <f t="shared" si="215"/>
        <v>0</v>
      </c>
      <c r="T205" s="40">
        <f t="shared" si="215"/>
        <v>0.2</v>
      </c>
    </row>
    <row r="206" ht="15.75" customHeight="1">
      <c r="A206" s="16" t="s">
        <v>300</v>
      </c>
      <c r="F206" s="24"/>
      <c r="G206" s="19">
        <f>$G$24</f>
        <v>16</v>
      </c>
      <c r="H206" s="20">
        <v>30.0</v>
      </c>
      <c r="I206" s="20">
        <v>7.0</v>
      </c>
      <c r="J206" s="20">
        <v>0.0</v>
      </c>
      <c r="K206" s="20">
        <v>0.0</v>
      </c>
      <c r="L206" s="20">
        <v>0.0</v>
      </c>
      <c r="N206" s="24"/>
      <c r="O206" s="19">
        <f>$G$24</f>
        <v>16</v>
      </c>
      <c r="P206" s="40">
        <f t="shared" ref="P206:T206" si="216">H206/H$214</f>
        <v>0.08771929825</v>
      </c>
      <c r="Q206" s="40">
        <f t="shared" si="216"/>
        <v>0.07291666667</v>
      </c>
      <c r="R206" s="40">
        <f t="shared" si="216"/>
        <v>0</v>
      </c>
      <c r="S206" s="40">
        <f t="shared" si="216"/>
        <v>0</v>
      </c>
      <c r="T206" s="40">
        <f t="shared" si="216"/>
        <v>0</v>
      </c>
    </row>
    <row r="207" ht="15.75" customHeight="1">
      <c r="A207" s="16" t="s">
        <v>304</v>
      </c>
      <c r="F207" s="24"/>
      <c r="G207" s="19">
        <f>$G$25</f>
        <v>17</v>
      </c>
      <c r="H207" s="20">
        <v>29.0</v>
      </c>
      <c r="I207" s="20">
        <v>7.0</v>
      </c>
      <c r="J207" s="20">
        <v>0.0</v>
      </c>
      <c r="K207" s="20">
        <v>0.0</v>
      </c>
      <c r="L207" s="20">
        <v>0.0</v>
      </c>
      <c r="N207" s="24"/>
      <c r="O207" s="19">
        <f>$G$25</f>
        <v>17</v>
      </c>
      <c r="P207" s="40">
        <f t="shared" ref="P207:T207" si="217">H207/H$214</f>
        <v>0.08479532164</v>
      </c>
      <c r="Q207" s="40">
        <f t="shared" si="217"/>
        <v>0.07291666667</v>
      </c>
      <c r="R207" s="40">
        <f t="shared" si="217"/>
        <v>0</v>
      </c>
      <c r="S207" s="40">
        <f t="shared" si="217"/>
        <v>0</v>
      </c>
      <c r="T207" s="40">
        <f t="shared" si="217"/>
        <v>0</v>
      </c>
    </row>
    <row r="208" ht="15.75" customHeight="1">
      <c r="A208" s="16" t="s">
        <v>109</v>
      </c>
      <c r="F208" s="24"/>
      <c r="G208" s="19">
        <f>$G$26</f>
        <v>18</v>
      </c>
      <c r="H208" s="20">
        <v>21.0</v>
      </c>
      <c r="I208" s="20">
        <v>6.0</v>
      </c>
      <c r="J208" s="20">
        <v>0.0</v>
      </c>
      <c r="K208" s="20">
        <v>0.0</v>
      </c>
      <c r="L208" s="20">
        <v>0.0</v>
      </c>
      <c r="N208" s="24"/>
      <c r="O208" s="19">
        <f>$G$26</f>
        <v>18</v>
      </c>
      <c r="P208" s="40">
        <f t="shared" ref="P208:T208" si="218">H208/H$214</f>
        <v>0.06140350877</v>
      </c>
      <c r="Q208" s="40">
        <f t="shared" si="218"/>
        <v>0.0625</v>
      </c>
      <c r="R208" s="40">
        <f t="shared" si="218"/>
        <v>0</v>
      </c>
      <c r="S208" s="40">
        <f t="shared" si="218"/>
        <v>0</v>
      </c>
      <c r="T208" s="40">
        <f t="shared" si="218"/>
        <v>0</v>
      </c>
    </row>
    <row r="209" ht="15.75" customHeight="1">
      <c r="A209" s="16" t="s">
        <v>172</v>
      </c>
      <c r="F209" s="24"/>
      <c r="G209" s="19">
        <f>$G$27</f>
        <v>19</v>
      </c>
      <c r="H209" s="20">
        <v>13.0</v>
      </c>
      <c r="I209" s="20">
        <v>4.0</v>
      </c>
      <c r="J209" s="20">
        <v>0.0</v>
      </c>
      <c r="K209" s="20">
        <v>0.0</v>
      </c>
      <c r="L209" s="20">
        <v>0.0</v>
      </c>
      <c r="N209" s="24"/>
      <c r="O209" s="19">
        <f>$G$27</f>
        <v>19</v>
      </c>
      <c r="P209" s="40">
        <f t="shared" ref="P209:T209" si="219">H209/H$214</f>
        <v>0.03801169591</v>
      </c>
      <c r="Q209" s="40">
        <f t="shared" si="219"/>
        <v>0.04166666667</v>
      </c>
      <c r="R209" s="40">
        <f t="shared" si="219"/>
        <v>0</v>
      </c>
      <c r="S209" s="40">
        <f t="shared" si="219"/>
        <v>0</v>
      </c>
      <c r="T209" s="40">
        <f t="shared" si="219"/>
        <v>0</v>
      </c>
    </row>
    <row r="210" ht="15.75" customHeight="1">
      <c r="A210" s="16" t="s">
        <v>305</v>
      </c>
      <c r="F210" s="24"/>
      <c r="G210" s="19">
        <f>$G$28</f>
        <v>20</v>
      </c>
      <c r="H210" s="20">
        <v>15.0</v>
      </c>
      <c r="I210" s="20">
        <v>6.0</v>
      </c>
      <c r="J210" s="20">
        <v>1.0</v>
      </c>
      <c r="K210" s="20">
        <v>0.0</v>
      </c>
      <c r="L210" s="20">
        <v>0.0</v>
      </c>
      <c r="N210" s="24"/>
      <c r="O210" s="19">
        <f>$G$28</f>
        <v>20</v>
      </c>
      <c r="P210" s="40">
        <f t="shared" ref="P210:T210" si="220">H210/H$214</f>
        <v>0.04385964912</v>
      </c>
      <c r="Q210" s="40">
        <f t="shared" si="220"/>
        <v>0.0625</v>
      </c>
      <c r="R210" s="40">
        <f t="shared" si="220"/>
        <v>0.5</v>
      </c>
      <c r="S210" s="40">
        <f t="shared" si="220"/>
        <v>0</v>
      </c>
      <c r="T210" s="40">
        <f t="shared" si="220"/>
        <v>0</v>
      </c>
    </row>
    <row r="211" ht="15.75" customHeight="1">
      <c r="A211" s="16" t="s">
        <v>90</v>
      </c>
      <c r="F211" s="24"/>
      <c r="G211" s="19">
        <f>$G$29</f>
        <v>21</v>
      </c>
      <c r="H211" s="20">
        <v>10.0</v>
      </c>
      <c r="I211" s="20">
        <v>1.0</v>
      </c>
      <c r="J211" s="20">
        <v>0.0</v>
      </c>
      <c r="K211" s="20">
        <v>0.0</v>
      </c>
      <c r="L211" s="20">
        <v>0.0</v>
      </c>
      <c r="N211" s="24"/>
      <c r="O211" s="19">
        <f>$G$29</f>
        <v>21</v>
      </c>
      <c r="P211" s="40">
        <f t="shared" ref="P211:T211" si="221">H211/H$214</f>
        <v>0.02923976608</v>
      </c>
      <c r="Q211" s="40">
        <f t="shared" si="221"/>
        <v>0.01041666667</v>
      </c>
      <c r="R211" s="40">
        <f t="shared" si="221"/>
        <v>0</v>
      </c>
      <c r="S211" s="40">
        <f t="shared" si="221"/>
        <v>0</v>
      </c>
      <c r="T211" s="40">
        <f t="shared" si="221"/>
        <v>0</v>
      </c>
    </row>
    <row r="212" ht="15.75" customHeight="1">
      <c r="A212" s="16" t="s">
        <v>133</v>
      </c>
      <c r="F212" s="24"/>
      <c r="G212" s="19">
        <f>$G$30</f>
        <v>22</v>
      </c>
      <c r="H212" s="20">
        <v>6.0</v>
      </c>
      <c r="I212" s="20">
        <v>2.0</v>
      </c>
      <c r="J212" s="20">
        <v>0.0</v>
      </c>
      <c r="K212" s="20">
        <v>0.0</v>
      </c>
      <c r="L212" s="20">
        <v>0.0</v>
      </c>
      <c r="N212" s="24"/>
      <c r="O212" s="19">
        <f>$G$30</f>
        <v>22</v>
      </c>
      <c r="P212" s="40">
        <f t="shared" ref="P212:T212" si="222">H212/H$214</f>
        <v>0.01754385965</v>
      </c>
      <c r="Q212" s="40">
        <f t="shared" si="222"/>
        <v>0.02083333333</v>
      </c>
      <c r="R212" s="40">
        <f t="shared" si="222"/>
        <v>0</v>
      </c>
      <c r="S212" s="40">
        <f t="shared" si="222"/>
        <v>0</v>
      </c>
      <c r="T212" s="40">
        <f t="shared" si="222"/>
        <v>0</v>
      </c>
    </row>
    <row r="213" ht="15.75" customHeight="1">
      <c r="A213" s="16" t="s">
        <v>70</v>
      </c>
      <c r="F213" s="28"/>
      <c r="G213" s="19">
        <f>$G$31</f>
        <v>23</v>
      </c>
      <c r="H213" s="20">
        <v>2.0</v>
      </c>
      <c r="I213" s="20">
        <v>0.0</v>
      </c>
      <c r="J213" s="20">
        <v>0.0</v>
      </c>
      <c r="K213" s="20">
        <v>0.0</v>
      </c>
      <c r="L213" s="20">
        <v>0.0</v>
      </c>
      <c r="N213" s="28"/>
      <c r="O213" s="19">
        <f>$G$31</f>
        <v>23</v>
      </c>
      <c r="P213" s="40">
        <f t="shared" ref="P213:T213" si="223">H213/H$214</f>
        <v>0.005847953216</v>
      </c>
      <c r="Q213" s="40">
        <f t="shared" si="223"/>
        <v>0</v>
      </c>
      <c r="R213" s="40">
        <f t="shared" si="223"/>
        <v>0</v>
      </c>
      <c r="S213" s="40">
        <f t="shared" si="223"/>
        <v>0</v>
      </c>
      <c r="T213" s="40">
        <f t="shared" si="223"/>
        <v>0</v>
      </c>
    </row>
    <row r="214" ht="15.75" customHeight="1">
      <c r="D214" s="59"/>
      <c r="F214" s="111"/>
      <c r="G214" s="112"/>
      <c r="H214" s="26">
        <f t="shared" ref="H214:L214" si="224">SUM(H190:H213)</f>
        <v>342</v>
      </c>
      <c r="I214" s="26">
        <f t="shared" si="224"/>
        <v>96</v>
      </c>
      <c r="J214" s="26">
        <f t="shared" si="224"/>
        <v>2</v>
      </c>
      <c r="K214" s="26">
        <f t="shared" si="224"/>
        <v>2</v>
      </c>
      <c r="L214" s="26">
        <f t="shared" si="224"/>
        <v>5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2.0</v>
      </c>
      <c r="I216" s="20">
        <v>2.0</v>
      </c>
      <c r="J216" s="20"/>
      <c r="K216" s="20"/>
      <c r="L216" s="20"/>
      <c r="N216" s="56">
        <v>45215.0</v>
      </c>
      <c r="O216" s="19">
        <f>$G$8</f>
        <v>0</v>
      </c>
      <c r="P216" s="40">
        <f t="shared" ref="P216:T216" si="225">H216/H$240</f>
        <v>0.007407407407</v>
      </c>
      <c r="Q216" s="40">
        <f t="shared" si="225"/>
        <v>0.01449275362</v>
      </c>
      <c r="R216" s="40">
        <f t="shared" si="225"/>
        <v>0</v>
      </c>
      <c r="S216" s="40">
        <f t="shared" si="225"/>
        <v>0</v>
      </c>
      <c r="T216" s="40">
        <f t="shared" si="225"/>
        <v>0</v>
      </c>
    </row>
    <row r="217" ht="15.75" customHeight="1">
      <c r="F217" s="24"/>
      <c r="G217" s="19">
        <f>$G$9</f>
        <v>1</v>
      </c>
      <c r="H217" s="20">
        <v>2.0</v>
      </c>
      <c r="I217" s="20"/>
      <c r="J217" s="20"/>
      <c r="K217" s="20"/>
      <c r="L217" s="20"/>
      <c r="N217" s="24"/>
      <c r="O217" s="19">
        <f>$G$9</f>
        <v>1</v>
      </c>
      <c r="P217" s="40">
        <f t="shared" ref="P217:T217" si="226">H217/H$240</f>
        <v>0.007407407407</v>
      </c>
      <c r="Q217" s="40">
        <f t="shared" si="226"/>
        <v>0</v>
      </c>
      <c r="R217" s="40">
        <f t="shared" si="226"/>
        <v>0</v>
      </c>
      <c r="S217" s="40">
        <f t="shared" si="226"/>
        <v>0</v>
      </c>
      <c r="T217" s="40">
        <f t="shared" si="226"/>
        <v>0</v>
      </c>
    </row>
    <row r="218" ht="15.75" customHeight="1">
      <c r="F218" s="24"/>
      <c r="G218" s="19">
        <f>$G$10</f>
        <v>2</v>
      </c>
      <c r="H218" s="16">
        <v>1.0</v>
      </c>
      <c r="I218" s="16"/>
      <c r="J218" s="16"/>
      <c r="K218" s="16"/>
      <c r="L218" s="16"/>
      <c r="N218" s="24"/>
      <c r="O218" s="19">
        <f>$G$10</f>
        <v>2</v>
      </c>
      <c r="P218" s="40">
        <f t="shared" ref="P218:T218" si="227">H218/H$240</f>
        <v>0.003703703704</v>
      </c>
      <c r="Q218" s="40">
        <f t="shared" si="227"/>
        <v>0</v>
      </c>
      <c r="R218" s="40">
        <f t="shared" si="227"/>
        <v>0</v>
      </c>
      <c r="S218" s="40">
        <f t="shared" si="227"/>
        <v>0</v>
      </c>
      <c r="T218" s="40">
        <f t="shared" si="227"/>
        <v>0</v>
      </c>
    </row>
    <row r="219" ht="15.75" customHeight="1">
      <c r="F219" s="24"/>
      <c r="G219" s="19">
        <f>$G$11</f>
        <v>3</v>
      </c>
      <c r="H219" s="20">
        <v>2.0</v>
      </c>
      <c r="I219" s="20"/>
      <c r="J219" s="20"/>
      <c r="K219" s="20"/>
      <c r="L219" s="20"/>
      <c r="N219" s="24"/>
      <c r="O219" s="19">
        <f>$G$11</f>
        <v>3</v>
      </c>
      <c r="P219" s="40">
        <f t="shared" ref="P219:T219" si="228">H219/H$240</f>
        <v>0.007407407407</v>
      </c>
      <c r="Q219" s="40">
        <f t="shared" si="228"/>
        <v>0</v>
      </c>
      <c r="R219" s="40">
        <f t="shared" si="228"/>
        <v>0</v>
      </c>
      <c r="S219" s="40">
        <f t="shared" si="228"/>
        <v>0</v>
      </c>
      <c r="T219" s="40">
        <f t="shared" si="228"/>
        <v>0</v>
      </c>
    </row>
    <row r="220" ht="15.75" customHeight="1">
      <c r="F220" s="24"/>
      <c r="G220" s="19">
        <f>$G$12</f>
        <v>4</v>
      </c>
      <c r="H220" s="20">
        <v>1.0</v>
      </c>
      <c r="I220" s="20"/>
      <c r="J220" s="20"/>
      <c r="K220" s="20"/>
      <c r="L220" s="20"/>
      <c r="N220" s="24"/>
      <c r="O220" s="19">
        <f>$G$12</f>
        <v>4</v>
      </c>
      <c r="P220" s="40">
        <f t="shared" ref="P220:T220" si="229">H220/H$240</f>
        <v>0.003703703704</v>
      </c>
      <c r="Q220" s="40">
        <f t="shared" si="229"/>
        <v>0</v>
      </c>
      <c r="R220" s="40">
        <f t="shared" si="229"/>
        <v>0</v>
      </c>
      <c r="S220" s="40">
        <f t="shared" si="229"/>
        <v>0</v>
      </c>
      <c r="T220" s="40">
        <f t="shared" si="229"/>
        <v>0</v>
      </c>
    </row>
    <row r="221" ht="15.75" customHeight="1">
      <c r="F221" s="24"/>
      <c r="G221" s="19">
        <f>$G$13</f>
        <v>5</v>
      </c>
      <c r="H221" s="20">
        <v>4.0</v>
      </c>
      <c r="I221" s="20">
        <v>1.0</v>
      </c>
      <c r="J221" s="20"/>
      <c r="K221" s="20"/>
      <c r="L221" s="20">
        <v>1.0</v>
      </c>
      <c r="N221" s="24"/>
      <c r="O221" s="19">
        <f>$G$13</f>
        <v>5</v>
      </c>
      <c r="P221" s="40">
        <f t="shared" ref="P221:T221" si="230">H221/H$240</f>
        <v>0.01481481481</v>
      </c>
      <c r="Q221" s="40">
        <f t="shared" si="230"/>
        <v>0.007246376812</v>
      </c>
      <c r="R221" s="40">
        <f t="shared" si="230"/>
        <v>0</v>
      </c>
      <c r="S221" s="40">
        <f t="shared" si="230"/>
        <v>0</v>
      </c>
      <c r="T221" s="40">
        <f t="shared" si="230"/>
        <v>0.04</v>
      </c>
    </row>
    <row r="222" ht="15.75" customHeight="1">
      <c r="F222" s="24"/>
      <c r="G222" s="19">
        <f>$G$14</f>
        <v>6</v>
      </c>
      <c r="H222" s="20">
        <v>9.0</v>
      </c>
      <c r="I222" s="20">
        <v>3.0</v>
      </c>
      <c r="J222" s="20"/>
      <c r="K222" s="20"/>
      <c r="L222" s="20">
        <v>1.0</v>
      </c>
      <c r="N222" s="24"/>
      <c r="O222" s="19">
        <f>$G$14</f>
        <v>6</v>
      </c>
      <c r="P222" s="40">
        <f t="shared" ref="P222:T222" si="231">H222/H$240</f>
        <v>0.03333333333</v>
      </c>
      <c r="Q222" s="40">
        <f t="shared" si="231"/>
        <v>0.02173913043</v>
      </c>
      <c r="R222" s="40">
        <f t="shared" si="231"/>
        <v>0</v>
      </c>
      <c r="S222" s="40">
        <f t="shared" si="231"/>
        <v>0</v>
      </c>
      <c r="T222" s="40">
        <f t="shared" si="231"/>
        <v>0.04</v>
      </c>
    </row>
    <row r="223" ht="15.75" customHeight="1">
      <c r="F223" s="24"/>
      <c r="G223" s="19">
        <f>$G$15</f>
        <v>7</v>
      </c>
      <c r="H223" s="20">
        <v>25.0</v>
      </c>
      <c r="I223" s="20">
        <v>3.0</v>
      </c>
      <c r="J223" s="20">
        <v>1.0</v>
      </c>
      <c r="K223" s="20">
        <v>1.0</v>
      </c>
      <c r="L223" s="20">
        <v>1.0</v>
      </c>
      <c r="N223" s="24"/>
      <c r="O223" s="19">
        <f>$G$15</f>
        <v>7</v>
      </c>
      <c r="P223" s="40">
        <f t="shared" ref="P223:T223" si="232">H223/H$240</f>
        <v>0.09259259259</v>
      </c>
      <c r="Q223" s="40">
        <f t="shared" si="232"/>
        <v>0.02173913043</v>
      </c>
      <c r="R223" s="40">
        <f t="shared" si="232"/>
        <v>0.5</v>
      </c>
      <c r="S223" s="40">
        <f t="shared" si="232"/>
        <v>0.1111111111</v>
      </c>
      <c r="T223" s="40">
        <f t="shared" si="232"/>
        <v>0.04</v>
      </c>
    </row>
    <row r="224" ht="15.75" customHeight="1">
      <c r="F224" s="24"/>
      <c r="G224" s="19">
        <f>$G$16</f>
        <v>8</v>
      </c>
      <c r="H224" s="20">
        <v>13.0</v>
      </c>
      <c r="I224" s="20">
        <v>15.0</v>
      </c>
      <c r="J224" s="20"/>
      <c r="K224" s="20"/>
      <c r="L224" s="20"/>
      <c r="N224" s="24"/>
      <c r="O224" s="19">
        <f>$G$16</f>
        <v>8</v>
      </c>
      <c r="P224" s="40">
        <f t="shared" ref="P224:T224" si="233">H224/H$240</f>
        <v>0.04814814815</v>
      </c>
      <c r="Q224" s="40">
        <f t="shared" si="233"/>
        <v>0.1086956522</v>
      </c>
      <c r="R224" s="40">
        <f t="shared" si="233"/>
        <v>0</v>
      </c>
      <c r="S224" s="40">
        <f t="shared" si="233"/>
        <v>0</v>
      </c>
      <c r="T224" s="40">
        <f t="shared" si="233"/>
        <v>0</v>
      </c>
    </row>
    <row r="225" ht="15.75" customHeight="1">
      <c r="F225" s="24"/>
      <c r="G225" s="19">
        <f>$G$17</f>
        <v>9</v>
      </c>
      <c r="H225" s="20">
        <v>14.0</v>
      </c>
      <c r="I225" s="20">
        <v>4.0</v>
      </c>
      <c r="J225" s="20"/>
      <c r="K225" s="20">
        <v>1.0</v>
      </c>
      <c r="L225" s="20">
        <v>3.0</v>
      </c>
      <c r="N225" s="24"/>
      <c r="O225" s="19">
        <f>$G$17</f>
        <v>9</v>
      </c>
      <c r="P225" s="40">
        <f t="shared" ref="P225:T225" si="234">H225/H$240</f>
        <v>0.05185185185</v>
      </c>
      <c r="Q225" s="40">
        <f t="shared" si="234"/>
        <v>0.02898550725</v>
      </c>
      <c r="R225" s="40">
        <f t="shared" si="234"/>
        <v>0</v>
      </c>
      <c r="S225" s="40">
        <f t="shared" si="234"/>
        <v>0.1111111111</v>
      </c>
      <c r="T225" s="40">
        <f t="shared" si="234"/>
        <v>0.12</v>
      </c>
    </row>
    <row r="226" ht="15.75" customHeight="1">
      <c r="F226" s="24"/>
      <c r="G226" s="19">
        <f>$G$18</f>
        <v>10</v>
      </c>
      <c r="H226" s="20">
        <v>16.0</v>
      </c>
      <c r="I226" s="20">
        <v>9.0</v>
      </c>
      <c r="J226" s="20"/>
      <c r="K226" s="20"/>
      <c r="L226" s="20">
        <v>3.0</v>
      </c>
      <c r="N226" s="24"/>
      <c r="O226" s="19">
        <f>$G$18</f>
        <v>10</v>
      </c>
      <c r="P226" s="40">
        <f t="shared" ref="P226:T226" si="235">H226/H$240</f>
        <v>0.05925925926</v>
      </c>
      <c r="Q226" s="40">
        <f t="shared" si="235"/>
        <v>0.0652173913</v>
      </c>
      <c r="R226" s="40">
        <f t="shared" si="235"/>
        <v>0</v>
      </c>
      <c r="S226" s="40">
        <f t="shared" si="235"/>
        <v>0</v>
      </c>
      <c r="T226" s="40">
        <f t="shared" si="235"/>
        <v>0.12</v>
      </c>
    </row>
    <row r="227" ht="15.75" customHeight="1">
      <c r="F227" s="24"/>
      <c r="G227" s="19">
        <f>$G$19</f>
        <v>11</v>
      </c>
      <c r="H227" s="20">
        <v>12.0</v>
      </c>
      <c r="I227" s="20">
        <v>13.0</v>
      </c>
      <c r="J227" s="20"/>
      <c r="K227" s="20"/>
      <c r="L227" s="20">
        <v>2.0</v>
      </c>
      <c r="N227" s="24"/>
      <c r="O227" s="19">
        <f>$G$19</f>
        <v>11</v>
      </c>
      <c r="P227" s="40">
        <f t="shared" ref="P227:T227" si="236">H227/H$240</f>
        <v>0.04444444444</v>
      </c>
      <c r="Q227" s="40">
        <f t="shared" si="236"/>
        <v>0.09420289855</v>
      </c>
      <c r="R227" s="40">
        <f t="shared" si="236"/>
        <v>0</v>
      </c>
      <c r="S227" s="40">
        <f t="shared" si="236"/>
        <v>0</v>
      </c>
      <c r="T227" s="40">
        <f t="shared" si="236"/>
        <v>0.08</v>
      </c>
    </row>
    <row r="228" ht="15.75" customHeight="1">
      <c r="F228" s="24"/>
      <c r="G228" s="19">
        <f>$G$20</f>
        <v>12</v>
      </c>
      <c r="H228" s="20">
        <v>18.0</v>
      </c>
      <c r="I228" s="20">
        <v>8.0</v>
      </c>
      <c r="J228" s="20"/>
      <c r="K228" s="20">
        <v>1.0</v>
      </c>
      <c r="L228" s="20">
        <v>1.0</v>
      </c>
      <c r="N228" s="24"/>
      <c r="O228" s="19">
        <f>$G$20</f>
        <v>12</v>
      </c>
      <c r="P228" s="40">
        <f t="shared" ref="P228:T228" si="237">H228/H$240</f>
        <v>0.06666666667</v>
      </c>
      <c r="Q228" s="40">
        <f t="shared" si="237"/>
        <v>0.05797101449</v>
      </c>
      <c r="R228" s="40">
        <f t="shared" si="237"/>
        <v>0</v>
      </c>
      <c r="S228" s="40">
        <f t="shared" si="237"/>
        <v>0.1111111111</v>
      </c>
      <c r="T228" s="40">
        <f t="shared" si="237"/>
        <v>0.04</v>
      </c>
    </row>
    <row r="229" ht="15.75" customHeight="1">
      <c r="F229" s="24"/>
      <c r="G229" s="19">
        <f>$G$21</f>
        <v>13</v>
      </c>
      <c r="H229" s="20">
        <v>15.0</v>
      </c>
      <c r="I229" s="20">
        <v>14.0</v>
      </c>
      <c r="J229" s="20">
        <v>1.0</v>
      </c>
      <c r="K229" s="20"/>
      <c r="L229" s="20"/>
      <c r="N229" s="24"/>
      <c r="O229" s="19">
        <f>$G$21</f>
        <v>13</v>
      </c>
      <c r="P229" s="40">
        <f t="shared" ref="P229:T229" si="238">H229/H$240</f>
        <v>0.05555555556</v>
      </c>
      <c r="Q229" s="40">
        <f t="shared" si="238"/>
        <v>0.1014492754</v>
      </c>
      <c r="R229" s="40">
        <f t="shared" si="238"/>
        <v>0.5</v>
      </c>
      <c r="S229" s="40">
        <f t="shared" si="238"/>
        <v>0</v>
      </c>
      <c r="T229" s="40">
        <f t="shared" si="238"/>
        <v>0</v>
      </c>
    </row>
    <row r="230" ht="15.75" customHeight="1">
      <c r="F230" s="24"/>
      <c r="G230" s="19">
        <f>$G$22</f>
        <v>14</v>
      </c>
      <c r="H230" s="20">
        <v>12.0</v>
      </c>
      <c r="I230" s="20">
        <v>16.0</v>
      </c>
      <c r="J230" s="20"/>
      <c r="K230" s="20"/>
      <c r="L230" s="20">
        <v>2.0</v>
      </c>
      <c r="N230" s="24"/>
      <c r="O230" s="19">
        <f>$G$22</f>
        <v>14</v>
      </c>
      <c r="P230" s="40">
        <f t="shared" ref="P230:T230" si="239">H230/H$240</f>
        <v>0.04444444444</v>
      </c>
      <c r="Q230" s="40">
        <f t="shared" si="239"/>
        <v>0.115942029</v>
      </c>
      <c r="R230" s="40">
        <f t="shared" si="239"/>
        <v>0</v>
      </c>
      <c r="S230" s="40">
        <f t="shared" si="239"/>
        <v>0</v>
      </c>
      <c r="T230" s="40">
        <f t="shared" si="239"/>
        <v>0.08</v>
      </c>
    </row>
    <row r="231" ht="15.75" customHeight="1">
      <c r="F231" s="24"/>
      <c r="G231" s="19">
        <f>$G$23</f>
        <v>15</v>
      </c>
      <c r="H231" s="20">
        <v>10.0</v>
      </c>
      <c r="I231" s="20">
        <v>13.0</v>
      </c>
      <c r="J231" s="20"/>
      <c r="K231" s="20"/>
      <c r="L231" s="20">
        <v>2.0</v>
      </c>
      <c r="N231" s="24"/>
      <c r="O231" s="19">
        <f>$G$23</f>
        <v>15</v>
      </c>
      <c r="P231" s="40">
        <f t="shared" ref="P231:T231" si="240">H231/H$240</f>
        <v>0.03703703704</v>
      </c>
      <c r="Q231" s="40">
        <f t="shared" si="240"/>
        <v>0.09420289855</v>
      </c>
      <c r="R231" s="40">
        <f t="shared" si="240"/>
        <v>0</v>
      </c>
      <c r="S231" s="40">
        <f t="shared" si="240"/>
        <v>0</v>
      </c>
      <c r="T231" s="40">
        <f t="shared" si="240"/>
        <v>0.08</v>
      </c>
    </row>
    <row r="232" ht="15.75" customHeight="1">
      <c r="F232" s="24"/>
      <c r="G232" s="19">
        <f>$G$24</f>
        <v>16</v>
      </c>
      <c r="H232" s="20">
        <v>26.0</v>
      </c>
      <c r="I232" s="20">
        <v>12.0</v>
      </c>
      <c r="J232" s="20"/>
      <c r="K232" s="20">
        <v>1.0</v>
      </c>
      <c r="L232" s="20">
        <v>4.0</v>
      </c>
      <c r="N232" s="24"/>
      <c r="O232" s="19">
        <f>$G$24</f>
        <v>16</v>
      </c>
      <c r="P232" s="40">
        <f t="shared" ref="P232:T232" si="241">H232/H$240</f>
        <v>0.0962962963</v>
      </c>
      <c r="Q232" s="40">
        <f t="shared" si="241"/>
        <v>0.08695652174</v>
      </c>
      <c r="R232" s="40">
        <f t="shared" si="241"/>
        <v>0</v>
      </c>
      <c r="S232" s="40">
        <f t="shared" si="241"/>
        <v>0.1111111111</v>
      </c>
      <c r="T232" s="40">
        <f t="shared" si="241"/>
        <v>0.16</v>
      </c>
    </row>
    <row r="233" ht="15.75" customHeight="1">
      <c r="F233" s="24"/>
      <c r="G233" s="19">
        <f>$G$25</f>
        <v>17</v>
      </c>
      <c r="H233" s="20">
        <v>23.0</v>
      </c>
      <c r="I233" s="20">
        <v>6.0</v>
      </c>
      <c r="J233" s="20"/>
      <c r="K233" s="20">
        <v>2.0</v>
      </c>
      <c r="L233" s="20">
        <v>1.0</v>
      </c>
      <c r="N233" s="24"/>
      <c r="O233" s="19">
        <f>$G$25</f>
        <v>17</v>
      </c>
      <c r="P233" s="40">
        <f t="shared" ref="P233:T233" si="242">H233/H$240</f>
        <v>0.08518518519</v>
      </c>
      <c r="Q233" s="40">
        <f t="shared" si="242"/>
        <v>0.04347826087</v>
      </c>
      <c r="R233" s="40">
        <f t="shared" si="242"/>
        <v>0</v>
      </c>
      <c r="S233" s="40">
        <f t="shared" si="242"/>
        <v>0.2222222222</v>
      </c>
      <c r="T233" s="40">
        <f t="shared" si="242"/>
        <v>0.04</v>
      </c>
    </row>
    <row r="234" ht="15.75" customHeight="1">
      <c r="F234" s="24"/>
      <c r="G234" s="19">
        <f>$G$26</f>
        <v>18</v>
      </c>
      <c r="H234" s="20">
        <v>15.0</v>
      </c>
      <c r="I234" s="20">
        <v>4.0</v>
      </c>
      <c r="J234" s="20"/>
      <c r="K234" s="20">
        <v>2.0</v>
      </c>
      <c r="L234" s="20">
        <v>1.0</v>
      </c>
      <c r="N234" s="24"/>
      <c r="O234" s="19">
        <f>$G$26</f>
        <v>18</v>
      </c>
      <c r="P234" s="40">
        <f t="shared" ref="P234:T234" si="243">H234/H$240</f>
        <v>0.05555555556</v>
      </c>
      <c r="Q234" s="40">
        <f t="shared" si="243"/>
        <v>0.02898550725</v>
      </c>
      <c r="R234" s="40">
        <f t="shared" si="243"/>
        <v>0</v>
      </c>
      <c r="S234" s="40">
        <f t="shared" si="243"/>
        <v>0.2222222222</v>
      </c>
      <c r="T234" s="40">
        <f t="shared" si="243"/>
        <v>0.04</v>
      </c>
    </row>
    <row r="235" ht="15.75" customHeight="1">
      <c r="F235" s="24"/>
      <c r="G235" s="19">
        <f>$G$27</f>
        <v>19</v>
      </c>
      <c r="H235" s="20">
        <v>16.0</v>
      </c>
      <c r="I235" s="20">
        <v>6.0</v>
      </c>
      <c r="J235" s="20"/>
      <c r="K235" s="20"/>
      <c r="L235" s="20">
        <v>2.0</v>
      </c>
      <c r="N235" s="24"/>
      <c r="O235" s="19">
        <f>$G$27</f>
        <v>19</v>
      </c>
      <c r="P235" s="40">
        <f t="shared" ref="P235:T235" si="244">H235/H$240</f>
        <v>0.05925925926</v>
      </c>
      <c r="Q235" s="40">
        <f t="shared" si="244"/>
        <v>0.04347826087</v>
      </c>
      <c r="R235" s="40">
        <f t="shared" si="244"/>
        <v>0</v>
      </c>
      <c r="S235" s="40">
        <f t="shared" si="244"/>
        <v>0</v>
      </c>
      <c r="T235" s="40">
        <f t="shared" si="244"/>
        <v>0.08</v>
      </c>
    </row>
    <row r="236" ht="15.75" customHeight="1">
      <c r="F236" s="24"/>
      <c r="G236" s="19">
        <f>$G$28</f>
        <v>20</v>
      </c>
      <c r="H236" s="20">
        <v>13.0</v>
      </c>
      <c r="I236" s="20">
        <v>5.0</v>
      </c>
      <c r="J236" s="20"/>
      <c r="K236" s="20"/>
      <c r="L236" s="20">
        <v>1.0</v>
      </c>
      <c r="N236" s="24"/>
      <c r="O236" s="19">
        <f>$G$28</f>
        <v>20</v>
      </c>
      <c r="P236" s="40">
        <f t="shared" ref="P236:T236" si="245">H236/H$240</f>
        <v>0.04814814815</v>
      </c>
      <c r="Q236" s="40">
        <f t="shared" si="245"/>
        <v>0.03623188406</v>
      </c>
      <c r="R236" s="40">
        <f t="shared" si="245"/>
        <v>0</v>
      </c>
      <c r="S236" s="40">
        <f t="shared" si="245"/>
        <v>0</v>
      </c>
      <c r="T236" s="40">
        <f t="shared" si="245"/>
        <v>0.04</v>
      </c>
    </row>
    <row r="237" ht="15.75" customHeight="1">
      <c r="F237" s="24"/>
      <c r="G237" s="19">
        <f>$G$29</f>
        <v>21</v>
      </c>
      <c r="H237" s="20">
        <v>9.0</v>
      </c>
      <c r="I237" s="20">
        <v>2.0</v>
      </c>
      <c r="J237" s="20"/>
      <c r="K237" s="20"/>
      <c r="L237" s="20"/>
      <c r="N237" s="24"/>
      <c r="O237" s="19">
        <f>$G$29</f>
        <v>21</v>
      </c>
      <c r="P237" s="40">
        <f t="shared" ref="P237:T237" si="246">H237/H$240</f>
        <v>0.03333333333</v>
      </c>
      <c r="Q237" s="40">
        <f t="shared" si="246"/>
        <v>0.01449275362</v>
      </c>
      <c r="R237" s="40">
        <f t="shared" si="246"/>
        <v>0</v>
      </c>
      <c r="S237" s="40">
        <f t="shared" si="246"/>
        <v>0</v>
      </c>
      <c r="T237" s="40">
        <f t="shared" si="246"/>
        <v>0</v>
      </c>
    </row>
    <row r="238" ht="15.75" customHeight="1">
      <c r="F238" s="24"/>
      <c r="G238" s="19">
        <f>$G$30</f>
        <v>22</v>
      </c>
      <c r="H238" s="20">
        <v>6.0</v>
      </c>
      <c r="I238" s="20">
        <v>2.0</v>
      </c>
      <c r="J238" s="20"/>
      <c r="K238" s="20">
        <v>1.0</v>
      </c>
      <c r="L238" s="20"/>
      <c r="N238" s="24"/>
      <c r="O238" s="19">
        <f>$G$30</f>
        <v>22</v>
      </c>
      <c r="P238" s="40">
        <f t="shared" ref="P238:T238" si="247">H238/H$240</f>
        <v>0.02222222222</v>
      </c>
      <c r="Q238" s="40">
        <f t="shared" si="247"/>
        <v>0.01449275362</v>
      </c>
      <c r="R238" s="40">
        <f t="shared" si="247"/>
        <v>0</v>
      </c>
      <c r="S238" s="40">
        <f t="shared" si="247"/>
        <v>0.1111111111</v>
      </c>
      <c r="T238" s="40">
        <f t="shared" si="247"/>
        <v>0</v>
      </c>
    </row>
    <row r="239" ht="15.75" customHeight="1">
      <c r="F239" s="28"/>
      <c r="G239" s="19">
        <f>$G$31</f>
        <v>23</v>
      </c>
      <c r="H239" s="20">
        <v>6.0</v>
      </c>
      <c r="I239" s="20"/>
      <c r="J239" s="20"/>
      <c r="K239" s="20"/>
      <c r="L239" s="20"/>
      <c r="N239" s="28"/>
      <c r="O239" s="19">
        <f>$G$31</f>
        <v>23</v>
      </c>
      <c r="P239" s="40">
        <f t="shared" ref="P239:T239" si="248">H239/H$240</f>
        <v>0.02222222222</v>
      </c>
      <c r="Q239" s="40">
        <f t="shared" si="248"/>
        <v>0</v>
      </c>
      <c r="R239" s="40">
        <f t="shared" si="248"/>
        <v>0</v>
      </c>
      <c r="S239" s="40">
        <f t="shared" si="248"/>
        <v>0</v>
      </c>
      <c r="T239" s="40">
        <f t="shared" si="248"/>
        <v>0</v>
      </c>
    </row>
    <row r="240" ht="15.75" customHeight="1">
      <c r="F240" s="111"/>
      <c r="G240" s="112"/>
      <c r="H240" s="26">
        <f t="shared" ref="H240:L240" si="249">SUM(H216:H239)</f>
        <v>270</v>
      </c>
      <c r="I240" s="26">
        <f t="shared" si="249"/>
        <v>138</v>
      </c>
      <c r="J240" s="26">
        <f t="shared" si="249"/>
        <v>2</v>
      </c>
      <c r="K240" s="26">
        <f t="shared" si="249"/>
        <v>9</v>
      </c>
      <c r="L240" s="26">
        <f t="shared" si="249"/>
        <v>25</v>
      </c>
    </row>
    <row r="241" ht="15.75" customHeight="1">
      <c r="G241" s="16"/>
      <c r="H241" s="17">
        <f>$H$7</f>
        <v>31</v>
      </c>
      <c r="I241" s="17">
        <f>$I$7</f>
        <v>32</v>
      </c>
      <c r="J241" s="17">
        <f>$J$7</f>
        <v>41</v>
      </c>
      <c r="K241" s="17">
        <f>$K$7</f>
        <v>42</v>
      </c>
      <c r="L241" s="17">
        <f>$L$7</f>
        <v>5</v>
      </c>
      <c r="O241" s="16"/>
      <c r="P241" s="17">
        <f>$H$7</f>
        <v>31</v>
      </c>
      <c r="Q241" s="17">
        <f>$I$7</f>
        <v>32</v>
      </c>
      <c r="R241" s="17">
        <f>$J$7</f>
        <v>41</v>
      </c>
      <c r="S241" s="17">
        <f>$K$7</f>
        <v>42</v>
      </c>
      <c r="T241" s="17">
        <f>$L$7</f>
        <v>5</v>
      </c>
    </row>
    <row r="242" ht="15.75" customHeight="1">
      <c r="F242" s="56">
        <v>45216.0</v>
      </c>
      <c r="G242" s="19">
        <f>$G$8</f>
        <v>0</v>
      </c>
      <c r="H242" s="20">
        <v>2.0</v>
      </c>
      <c r="I242" s="20">
        <v>1.0</v>
      </c>
      <c r="J242" s="20"/>
      <c r="K242" s="20"/>
      <c r="L242" s="20"/>
      <c r="N242" s="56">
        <v>45216.0</v>
      </c>
      <c r="O242" s="19">
        <f>$G$8</f>
        <v>0</v>
      </c>
      <c r="P242" s="40">
        <f t="shared" ref="P242:T242" si="250">H242/H$266</f>
        <v>0.007407407407</v>
      </c>
      <c r="Q242" s="40">
        <f t="shared" si="250"/>
        <v>0.0078125</v>
      </c>
      <c r="R242" s="40">
        <f t="shared" si="250"/>
        <v>0</v>
      </c>
      <c r="S242" s="40">
        <f t="shared" si="250"/>
        <v>0</v>
      </c>
      <c r="T242" s="40">
        <f t="shared" si="250"/>
        <v>0</v>
      </c>
    </row>
    <row r="243" ht="15.75" customHeight="1">
      <c r="F243" s="24"/>
      <c r="G243" s="19">
        <f>$G$9</f>
        <v>1</v>
      </c>
      <c r="H243" s="20">
        <v>1.0</v>
      </c>
      <c r="I243" s="20"/>
      <c r="J243" s="20"/>
      <c r="K243" s="20"/>
      <c r="L243" s="20">
        <v>1.0</v>
      </c>
      <c r="N243" s="24"/>
      <c r="O243" s="19">
        <f>$G$9</f>
        <v>1</v>
      </c>
      <c r="P243" s="40">
        <f t="shared" ref="P243:T243" si="251">H243/H$266</f>
        <v>0.003703703704</v>
      </c>
      <c r="Q243" s="40">
        <f t="shared" si="251"/>
        <v>0</v>
      </c>
      <c r="R243" s="40">
        <f t="shared" si="251"/>
        <v>0</v>
      </c>
      <c r="S243" s="40">
        <f t="shared" si="251"/>
        <v>0</v>
      </c>
      <c r="T243" s="40">
        <f t="shared" si="251"/>
        <v>0.02</v>
      </c>
    </row>
    <row r="244" ht="15.75" customHeight="1">
      <c r="F244" s="24"/>
      <c r="G244" s="19">
        <f>$G$10</f>
        <v>2</v>
      </c>
      <c r="H244" s="16">
        <v>2.0</v>
      </c>
      <c r="I244" s="16"/>
      <c r="J244" s="16"/>
      <c r="K244" s="16"/>
      <c r="L244" s="16"/>
      <c r="N244" s="24"/>
      <c r="O244" s="19">
        <f>$G$10</f>
        <v>2</v>
      </c>
      <c r="P244" s="40">
        <f t="shared" ref="P244:T244" si="252">H244/H$266</f>
        <v>0.007407407407</v>
      </c>
      <c r="Q244" s="40">
        <f t="shared" si="252"/>
        <v>0</v>
      </c>
      <c r="R244" s="40">
        <f t="shared" si="252"/>
        <v>0</v>
      </c>
      <c r="S244" s="40">
        <f t="shared" si="252"/>
        <v>0</v>
      </c>
      <c r="T244" s="40">
        <f t="shared" si="252"/>
        <v>0</v>
      </c>
    </row>
    <row r="245" ht="15.75" customHeight="1">
      <c r="F245" s="24"/>
      <c r="G245" s="19">
        <f>$G$11</f>
        <v>3</v>
      </c>
      <c r="H245" s="20">
        <v>1.0</v>
      </c>
      <c r="I245" s="20"/>
      <c r="J245" s="20"/>
      <c r="K245" s="20"/>
      <c r="L245" s="20"/>
      <c r="N245" s="24"/>
      <c r="O245" s="19">
        <f>$G$11</f>
        <v>3</v>
      </c>
      <c r="P245" s="40">
        <f t="shared" ref="P245:T245" si="253">H245/H$266</f>
        <v>0.003703703704</v>
      </c>
      <c r="Q245" s="40">
        <f t="shared" si="253"/>
        <v>0</v>
      </c>
      <c r="R245" s="40">
        <f t="shared" si="253"/>
        <v>0</v>
      </c>
      <c r="S245" s="40">
        <f t="shared" si="253"/>
        <v>0</v>
      </c>
      <c r="T245" s="40">
        <f t="shared" si="253"/>
        <v>0</v>
      </c>
    </row>
    <row r="246" ht="15.75" customHeight="1">
      <c r="F246" s="24"/>
      <c r="G246" s="19">
        <f>$G$12</f>
        <v>4</v>
      </c>
      <c r="H246" s="20"/>
      <c r="I246" s="20"/>
      <c r="J246" s="20"/>
      <c r="K246" s="20"/>
      <c r="L246" s="20"/>
      <c r="N246" s="24"/>
      <c r="O246" s="19">
        <f>$G$12</f>
        <v>4</v>
      </c>
      <c r="P246" s="40">
        <f t="shared" ref="P246:T246" si="254">H246/H$266</f>
        <v>0</v>
      </c>
      <c r="Q246" s="40">
        <f t="shared" si="254"/>
        <v>0</v>
      </c>
      <c r="R246" s="40">
        <f t="shared" si="254"/>
        <v>0</v>
      </c>
      <c r="S246" s="40">
        <f t="shared" si="254"/>
        <v>0</v>
      </c>
      <c r="T246" s="40">
        <f t="shared" si="254"/>
        <v>0</v>
      </c>
    </row>
    <row r="247" ht="15.75" customHeight="1">
      <c r="F247" s="24"/>
      <c r="G247" s="19">
        <f>$G$13</f>
        <v>5</v>
      </c>
      <c r="H247" s="20">
        <v>3.0</v>
      </c>
      <c r="I247" s="20">
        <v>1.0</v>
      </c>
      <c r="J247" s="20"/>
      <c r="K247" s="20">
        <v>1.0</v>
      </c>
      <c r="L247" s="20">
        <v>3.0</v>
      </c>
      <c r="N247" s="24"/>
      <c r="O247" s="19">
        <f>$G$13</f>
        <v>5</v>
      </c>
      <c r="P247" s="40">
        <f t="shared" ref="P247:T247" si="255">H247/H$266</f>
        <v>0.01111111111</v>
      </c>
      <c r="Q247" s="40">
        <f t="shared" si="255"/>
        <v>0.0078125</v>
      </c>
      <c r="R247" s="40">
        <f t="shared" si="255"/>
        <v>0</v>
      </c>
      <c r="S247" s="40">
        <f t="shared" si="255"/>
        <v>0.08333333333</v>
      </c>
      <c r="T247" s="40">
        <f t="shared" si="255"/>
        <v>0.06</v>
      </c>
    </row>
    <row r="248" ht="15.75" customHeight="1">
      <c r="F248" s="24"/>
      <c r="G248" s="19">
        <f>$G$14</f>
        <v>6</v>
      </c>
      <c r="H248" s="20">
        <v>6.0</v>
      </c>
      <c r="I248" s="20"/>
      <c r="J248" s="20"/>
      <c r="K248" s="20"/>
      <c r="L248" s="20">
        <v>2.0</v>
      </c>
      <c r="N248" s="24"/>
      <c r="O248" s="19">
        <f>$G$14</f>
        <v>6</v>
      </c>
      <c r="P248" s="40">
        <f t="shared" ref="P248:T248" si="256">H248/H$266</f>
        <v>0.02222222222</v>
      </c>
      <c r="Q248" s="40">
        <f t="shared" si="256"/>
        <v>0</v>
      </c>
      <c r="R248" s="40">
        <f t="shared" si="256"/>
        <v>0</v>
      </c>
      <c r="S248" s="40">
        <f t="shared" si="256"/>
        <v>0</v>
      </c>
      <c r="T248" s="40">
        <f t="shared" si="256"/>
        <v>0.04</v>
      </c>
    </row>
    <row r="249" ht="15.75" customHeight="1">
      <c r="F249" s="24"/>
      <c r="G249" s="19">
        <f>$G$15</f>
        <v>7</v>
      </c>
      <c r="H249" s="20">
        <v>33.0</v>
      </c>
      <c r="I249" s="20">
        <v>10.0</v>
      </c>
      <c r="J249" s="20">
        <v>1.0</v>
      </c>
      <c r="K249" s="20"/>
      <c r="L249" s="20">
        <v>2.0</v>
      </c>
      <c r="N249" s="24"/>
      <c r="O249" s="19">
        <f>$G$15</f>
        <v>7</v>
      </c>
      <c r="P249" s="40">
        <f t="shared" ref="P249:T249" si="257">H249/H$266</f>
        <v>0.1222222222</v>
      </c>
      <c r="Q249" s="40">
        <f t="shared" si="257"/>
        <v>0.078125</v>
      </c>
      <c r="R249" s="40">
        <f t="shared" si="257"/>
        <v>0.5</v>
      </c>
      <c r="S249" s="40">
        <f t="shared" si="257"/>
        <v>0</v>
      </c>
      <c r="T249" s="40">
        <f t="shared" si="257"/>
        <v>0.04</v>
      </c>
    </row>
    <row r="250" ht="15.75" customHeight="1">
      <c r="F250" s="24"/>
      <c r="G250" s="19">
        <f>$G$16</f>
        <v>8</v>
      </c>
      <c r="H250" s="20">
        <v>18.0</v>
      </c>
      <c r="I250" s="20">
        <v>8.0</v>
      </c>
      <c r="J250" s="20"/>
      <c r="K250" s="20"/>
      <c r="L250" s="20">
        <v>2.0</v>
      </c>
      <c r="N250" s="24"/>
      <c r="O250" s="19">
        <f>$G$16</f>
        <v>8</v>
      </c>
      <c r="P250" s="40">
        <f t="shared" ref="P250:T250" si="258">H250/H$266</f>
        <v>0.06666666667</v>
      </c>
      <c r="Q250" s="40">
        <f t="shared" si="258"/>
        <v>0.0625</v>
      </c>
      <c r="R250" s="40">
        <f t="shared" si="258"/>
        <v>0</v>
      </c>
      <c r="S250" s="40">
        <f t="shared" si="258"/>
        <v>0</v>
      </c>
      <c r="T250" s="40">
        <f t="shared" si="258"/>
        <v>0.04</v>
      </c>
    </row>
    <row r="251" ht="15.75" customHeight="1">
      <c r="F251" s="24"/>
      <c r="G251" s="19">
        <f>$G$17</f>
        <v>9</v>
      </c>
      <c r="H251" s="20">
        <v>9.0</v>
      </c>
      <c r="I251" s="20">
        <v>12.0</v>
      </c>
      <c r="J251" s="20"/>
      <c r="K251" s="20"/>
      <c r="L251" s="20">
        <v>5.0</v>
      </c>
      <c r="N251" s="24"/>
      <c r="O251" s="19">
        <f>$G$17</f>
        <v>9</v>
      </c>
      <c r="P251" s="40">
        <f t="shared" ref="P251:T251" si="259">H251/H$266</f>
        <v>0.03333333333</v>
      </c>
      <c r="Q251" s="40">
        <f t="shared" si="259"/>
        <v>0.09375</v>
      </c>
      <c r="R251" s="40">
        <f t="shared" si="259"/>
        <v>0</v>
      </c>
      <c r="S251" s="40">
        <f t="shared" si="259"/>
        <v>0</v>
      </c>
      <c r="T251" s="40">
        <f t="shared" si="259"/>
        <v>0.1</v>
      </c>
    </row>
    <row r="252" ht="15.75" customHeight="1">
      <c r="F252" s="24"/>
      <c r="G252" s="19">
        <f>$G$18</f>
        <v>10</v>
      </c>
      <c r="H252" s="20">
        <v>10.0</v>
      </c>
      <c r="I252" s="20">
        <v>8.0</v>
      </c>
      <c r="J252" s="20"/>
      <c r="K252" s="20">
        <v>2.0</v>
      </c>
      <c r="L252" s="20">
        <v>5.0</v>
      </c>
      <c r="N252" s="24"/>
      <c r="O252" s="19">
        <f>$G$18</f>
        <v>10</v>
      </c>
      <c r="P252" s="40">
        <f t="shared" ref="P252:T252" si="260">H252/H$266</f>
        <v>0.03703703704</v>
      </c>
      <c r="Q252" s="40">
        <f t="shared" si="260"/>
        <v>0.0625</v>
      </c>
      <c r="R252" s="40">
        <f t="shared" si="260"/>
        <v>0</v>
      </c>
      <c r="S252" s="40">
        <f t="shared" si="260"/>
        <v>0.1666666667</v>
      </c>
      <c r="T252" s="40">
        <f t="shared" si="260"/>
        <v>0.1</v>
      </c>
    </row>
    <row r="253" ht="15.75" customHeight="1">
      <c r="F253" s="24"/>
      <c r="G253" s="19">
        <f>$G$19</f>
        <v>11</v>
      </c>
      <c r="H253" s="20">
        <v>15.0</v>
      </c>
      <c r="I253" s="20">
        <v>11.0</v>
      </c>
      <c r="J253" s="20"/>
      <c r="K253" s="20">
        <v>1.0</v>
      </c>
      <c r="L253" s="20">
        <v>4.0</v>
      </c>
      <c r="N253" s="24"/>
      <c r="O253" s="19">
        <f>$G$19</f>
        <v>11</v>
      </c>
      <c r="P253" s="40">
        <f t="shared" ref="P253:T253" si="261">H253/H$266</f>
        <v>0.05555555556</v>
      </c>
      <c r="Q253" s="40">
        <f t="shared" si="261"/>
        <v>0.0859375</v>
      </c>
      <c r="R253" s="40">
        <f t="shared" si="261"/>
        <v>0</v>
      </c>
      <c r="S253" s="40">
        <f t="shared" si="261"/>
        <v>0.08333333333</v>
      </c>
      <c r="T253" s="40">
        <f t="shared" si="261"/>
        <v>0.08</v>
      </c>
    </row>
    <row r="254" ht="15.75" customHeight="1">
      <c r="F254" s="24"/>
      <c r="G254" s="19">
        <f>$G$20</f>
        <v>12</v>
      </c>
      <c r="H254" s="20">
        <v>15.0</v>
      </c>
      <c r="I254" s="20">
        <v>4.0</v>
      </c>
      <c r="J254" s="20"/>
      <c r="K254" s="20">
        <v>1.0</v>
      </c>
      <c r="L254" s="20">
        <v>4.0</v>
      </c>
      <c r="N254" s="24"/>
      <c r="O254" s="19">
        <f>$G$20</f>
        <v>12</v>
      </c>
      <c r="P254" s="40">
        <f t="shared" ref="P254:T254" si="262">H254/H$266</f>
        <v>0.05555555556</v>
      </c>
      <c r="Q254" s="40">
        <f t="shared" si="262"/>
        <v>0.03125</v>
      </c>
      <c r="R254" s="40">
        <f t="shared" si="262"/>
        <v>0</v>
      </c>
      <c r="S254" s="40">
        <f t="shared" si="262"/>
        <v>0.08333333333</v>
      </c>
      <c r="T254" s="40">
        <f t="shared" si="262"/>
        <v>0.08</v>
      </c>
    </row>
    <row r="255" ht="15.75" customHeight="1">
      <c r="F255" s="24"/>
      <c r="G255" s="19">
        <f>$G$21</f>
        <v>13</v>
      </c>
      <c r="H255" s="20">
        <v>20.0</v>
      </c>
      <c r="I255" s="20">
        <v>10.0</v>
      </c>
      <c r="J255" s="20"/>
      <c r="K255" s="20"/>
      <c r="L255" s="20">
        <v>2.0</v>
      </c>
      <c r="N255" s="24"/>
      <c r="O255" s="19">
        <f>$G$21</f>
        <v>13</v>
      </c>
      <c r="P255" s="40">
        <f t="shared" ref="P255:T255" si="263">H255/H$266</f>
        <v>0.07407407407</v>
      </c>
      <c r="Q255" s="40">
        <f t="shared" si="263"/>
        <v>0.078125</v>
      </c>
      <c r="R255" s="40">
        <f t="shared" si="263"/>
        <v>0</v>
      </c>
      <c r="S255" s="40">
        <f t="shared" si="263"/>
        <v>0</v>
      </c>
      <c r="T255" s="40">
        <f t="shared" si="263"/>
        <v>0.04</v>
      </c>
    </row>
    <row r="256" ht="15.75" customHeight="1">
      <c r="F256" s="24"/>
      <c r="G256" s="19">
        <f>$G$22</f>
        <v>14</v>
      </c>
      <c r="H256" s="20">
        <v>11.0</v>
      </c>
      <c r="I256" s="20">
        <v>10.0</v>
      </c>
      <c r="J256" s="20"/>
      <c r="K256" s="20">
        <v>2.0</v>
      </c>
      <c r="L256" s="20">
        <v>6.0</v>
      </c>
      <c r="N256" s="24"/>
      <c r="O256" s="19">
        <f>$G$22</f>
        <v>14</v>
      </c>
      <c r="P256" s="40">
        <f t="shared" ref="P256:T256" si="264">H256/H$266</f>
        <v>0.04074074074</v>
      </c>
      <c r="Q256" s="40">
        <f t="shared" si="264"/>
        <v>0.078125</v>
      </c>
      <c r="R256" s="40">
        <f t="shared" si="264"/>
        <v>0</v>
      </c>
      <c r="S256" s="40">
        <f t="shared" si="264"/>
        <v>0.1666666667</v>
      </c>
      <c r="T256" s="40">
        <f t="shared" si="264"/>
        <v>0.12</v>
      </c>
    </row>
    <row r="257" ht="15.75" customHeight="1">
      <c r="F257" s="24"/>
      <c r="G257" s="19">
        <f>$G$23</f>
        <v>15</v>
      </c>
      <c r="H257" s="20">
        <v>17.0</v>
      </c>
      <c r="I257" s="20">
        <v>7.0</v>
      </c>
      <c r="J257" s="20"/>
      <c r="K257" s="20">
        <v>2.0</v>
      </c>
      <c r="L257" s="20">
        <v>5.0</v>
      </c>
      <c r="N257" s="24"/>
      <c r="O257" s="19">
        <f>$G$23</f>
        <v>15</v>
      </c>
      <c r="P257" s="40">
        <f t="shared" ref="P257:T257" si="265">H257/H$266</f>
        <v>0.06296296296</v>
      </c>
      <c r="Q257" s="40">
        <f t="shared" si="265"/>
        <v>0.0546875</v>
      </c>
      <c r="R257" s="40">
        <f t="shared" si="265"/>
        <v>0</v>
      </c>
      <c r="S257" s="40">
        <f t="shared" si="265"/>
        <v>0.1666666667</v>
      </c>
      <c r="T257" s="40">
        <f t="shared" si="265"/>
        <v>0.1</v>
      </c>
    </row>
    <row r="258" ht="15.75" customHeight="1">
      <c r="F258" s="24"/>
      <c r="G258" s="19">
        <f>$G$24</f>
        <v>16</v>
      </c>
      <c r="H258" s="20">
        <v>21.0</v>
      </c>
      <c r="I258" s="20">
        <v>8.0</v>
      </c>
      <c r="J258" s="20"/>
      <c r="K258" s="20">
        <v>1.0</v>
      </c>
      <c r="L258" s="20">
        <v>4.0</v>
      </c>
      <c r="N258" s="24"/>
      <c r="O258" s="19">
        <f>$G$24</f>
        <v>16</v>
      </c>
      <c r="P258" s="40">
        <f t="shared" ref="P258:T258" si="266">H258/H$266</f>
        <v>0.07777777778</v>
      </c>
      <c r="Q258" s="40">
        <f t="shared" si="266"/>
        <v>0.0625</v>
      </c>
      <c r="R258" s="40">
        <f t="shared" si="266"/>
        <v>0</v>
      </c>
      <c r="S258" s="40">
        <f t="shared" si="266"/>
        <v>0.08333333333</v>
      </c>
      <c r="T258" s="40">
        <f t="shared" si="266"/>
        <v>0.08</v>
      </c>
    </row>
    <row r="259" ht="15.75" customHeight="1">
      <c r="F259" s="24"/>
      <c r="G259" s="19">
        <f>$G$25</f>
        <v>17</v>
      </c>
      <c r="H259" s="20">
        <v>18.0</v>
      </c>
      <c r="I259" s="20">
        <v>11.0</v>
      </c>
      <c r="J259" s="20"/>
      <c r="K259" s="20">
        <v>1.0</v>
      </c>
      <c r="L259" s="20"/>
      <c r="N259" s="24"/>
      <c r="O259" s="19">
        <f>$G$25</f>
        <v>17</v>
      </c>
      <c r="P259" s="40">
        <f t="shared" ref="P259:T259" si="267">H259/H$266</f>
        <v>0.06666666667</v>
      </c>
      <c r="Q259" s="40">
        <f t="shared" si="267"/>
        <v>0.0859375</v>
      </c>
      <c r="R259" s="40">
        <f t="shared" si="267"/>
        <v>0</v>
      </c>
      <c r="S259" s="40">
        <f t="shared" si="267"/>
        <v>0.08333333333</v>
      </c>
      <c r="T259" s="40">
        <f t="shared" si="267"/>
        <v>0</v>
      </c>
    </row>
    <row r="260" ht="15.75" customHeight="1">
      <c r="F260" s="24"/>
      <c r="G260" s="19">
        <f>$G$26</f>
        <v>18</v>
      </c>
      <c r="H260" s="20">
        <v>23.0</v>
      </c>
      <c r="I260" s="20">
        <v>11.0</v>
      </c>
      <c r="J260" s="20">
        <v>1.0</v>
      </c>
      <c r="K260" s="20"/>
      <c r="L260" s="20">
        <v>2.0</v>
      </c>
      <c r="N260" s="24"/>
      <c r="O260" s="19">
        <f>$G$26</f>
        <v>18</v>
      </c>
      <c r="P260" s="40">
        <f t="shared" ref="P260:T260" si="268">H260/H$266</f>
        <v>0.08518518519</v>
      </c>
      <c r="Q260" s="40">
        <f t="shared" si="268"/>
        <v>0.0859375</v>
      </c>
      <c r="R260" s="40">
        <f t="shared" si="268"/>
        <v>0.5</v>
      </c>
      <c r="S260" s="40">
        <f t="shared" si="268"/>
        <v>0</v>
      </c>
      <c r="T260" s="40">
        <f t="shared" si="268"/>
        <v>0.04</v>
      </c>
    </row>
    <row r="261" ht="15.75" customHeight="1">
      <c r="F261" s="24"/>
      <c r="G261" s="19">
        <f>$G$27</f>
        <v>19</v>
      </c>
      <c r="H261" s="20">
        <v>18.0</v>
      </c>
      <c r="I261" s="20">
        <v>7.0</v>
      </c>
      <c r="J261" s="20"/>
      <c r="K261" s="20"/>
      <c r="L261" s="20">
        <v>1.0</v>
      </c>
      <c r="N261" s="24"/>
      <c r="O261" s="19">
        <f>$G$27</f>
        <v>19</v>
      </c>
      <c r="P261" s="40">
        <f t="shared" ref="P261:T261" si="269">H261/H$266</f>
        <v>0.06666666667</v>
      </c>
      <c r="Q261" s="40">
        <f t="shared" si="269"/>
        <v>0.0546875</v>
      </c>
      <c r="R261" s="40">
        <f t="shared" si="269"/>
        <v>0</v>
      </c>
      <c r="S261" s="40">
        <f t="shared" si="269"/>
        <v>0</v>
      </c>
      <c r="T261" s="40">
        <f t="shared" si="269"/>
        <v>0.02</v>
      </c>
    </row>
    <row r="262" ht="15.75" customHeight="1">
      <c r="F262" s="24"/>
      <c r="G262" s="19">
        <f>$G$28</f>
        <v>20</v>
      </c>
      <c r="H262" s="20">
        <v>10.0</v>
      </c>
      <c r="I262" s="20">
        <v>5.0</v>
      </c>
      <c r="J262" s="20"/>
      <c r="K262" s="20"/>
      <c r="L262" s="20">
        <v>1.0</v>
      </c>
      <c r="N262" s="24"/>
      <c r="O262" s="19">
        <f>$G$28</f>
        <v>20</v>
      </c>
      <c r="P262" s="40">
        <f t="shared" ref="P262:T262" si="270">H262/H$266</f>
        <v>0.03703703704</v>
      </c>
      <c r="Q262" s="40">
        <f t="shared" si="270"/>
        <v>0.0390625</v>
      </c>
      <c r="R262" s="40">
        <f t="shared" si="270"/>
        <v>0</v>
      </c>
      <c r="S262" s="40">
        <f t="shared" si="270"/>
        <v>0</v>
      </c>
      <c r="T262" s="40">
        <f t="shared" si="270"/>
        <v>0.02</v>
      </c>
    </row>
    <row r="263" ht="15.75" customHeight="1">
      <c r="F263" s="24"/>
      <c r="G263" s="19">
        <f>$G$29</f>
        <v>21</v>
      </c>
      <c r="H263" s="20">
        <v>10.0</v>
      </c>
      <c r="I263" s="20">
        <v>1.0</v>
      </c>
      <c r="J263" s="20"/>
      <c r="K263" s="20">
        <v>1.0</v>
      </c>
      <c r="L263" s="20">
        <v>1.0</v>
      </c>
      <c r="N263" s="24"/>
      <c r="O263" s="19">
        <f>$G$29</f>
        <v>21</v>
      </c>
      <c r="P263" s="40">
        <f t="shared" ref="P263:T263" si="271">H263/H$266</f>
        <v>0.03703703704</v>
      </c>
      <c r="Q263" s="40">
        <f t="shared" si="271"/>
        <v>0.0078125</v>
      </c>
      <c r="R263" s="40">
        <f t="shared" si="271"/>
        <v>0</v>
      </c>
      <c r="S263" s="40">
        <f t="shared" si="271"/>
        <v>0.08333333333</v>
      </c>
      <c r="T263" s="40">
        <f t="shared" si="271"/>
        <v>0.02</v>
      </c>
    </row>
    <row r="264" ht="15.75" customHeight="1">
      <c r="F264" s="24"/>
      <c r="G264" s="19">
        <f>$G$30</f>
        <v>22</v>
      </c>
      <c r="H264" s="20">
        <v>4.0</v>
      </c>
      <c r="I264" s="20">
        <v>1.0</v>
      </c>
      <c r="J264" s="20"/>
      <c r="K264" s="20"/>
      <c r="L264" s="20"/>
      <c r="N264" s="24"/>
      <c r="O264" s="19">
        <f>$G$30</f>
        <v>22</v>
      </c>
      <c r="P264" s="40">
        <f t="shared" ref="P264:T264" si="272">H264/H$266</f>
        <v>0.01481481481</v>
      </c>
      <c r="Q264" s="40">
        <f t="shared" si="272"/>
        <v>0.0078125</v>
      </c>
      <c r="R264" s="40">
        <f t="shared" si="272"/>
        <v>0</v>
      </c>
      <c r="S264" s="40">
        <f t="shared" si="272"/>
        <v>0</v>
      </c>
      <c r="T264" s="40">
        <f t="shared" si="272"/>
        <v>0</v>
      </c>
    </row>
    <row r="265" ht="15.75" customHeight="1">
      <c r="F265" s="28"/>
      <c r="G265" s="19">
        <f>$G$31</f>
        <v>23</v>
      </c>
      <c r="H265" s="20">
        <v>3.0</v>
      </c>
      <c r="I265" s="20">
        <v>2.0</v>
      </c>
      <c r="J265" s="20"/>
      <c r="K265" s="20"/>
      <c r="L265" s="20"/>
      <c r="N265" s="28"/>
      <c r="O265" s="19">
        <f>$G$31</f>
        <v>23</v>
      </c>
      <c r="P265" s="40">
        <f t="shared" ref="P265:T265" si="273">H265/H$266</f>
        <v>0.01111111111</v>
      </c>
      <c r="Q265" s="40">
        <f t="shared" si="273"/>
        <v>0.015625</v>
      </c>
      <c r="R265" s="40">
        <f t="shared" si="273"/>
        <v>0</v>
      </c>
      <c r="S265" s="40">
        <f t="shared" si="273"/>
        <v>0</v>
      </c>
      <c r="T265" s="40">
        <f t="shared" si="273"/>
        <v>0</v>
      </c>
    </row>
    <row r="266" ht="15.75" customHeight="1">
      <c r="F266" s="111"/>
      <c r="G266" s="112"/>
      <c r="H266" s="26">
        <f t="shared" ref="H266:L266" si="274">SUM(H242:H265)</f>
        <v>270</v>
      </c>
      <c r="I266" s="26">
        <f t="shared" si="274"/>
        <v>128</v>
      </c>
      <c r="J266" s="26">
        <f t="shared" si="274"/>
        <v>2</v>
      </c>
      <c r="K266" s="26">
        <f t="shared" si="274"/>
        <v>12</v>
      </c>
      <c r="L266" s="26">
        <f t="shared" si="274"/>
        <v>50</v>
      </c>
    </row>
    <row r="267" ht="15.75" customHeight="1">
      <c r="G267" s="16"/>
      <c r="H267" s="17">
        <f>$H$7</f>
        <v>31</v>
      </c>
      <c r="I267" s="17">
        <f>$I$7</f>
        <v>32</v>
      </c>
      <c r="J267" s="17">
        <f>$J$7</f>
        <v>41</v>
      </c>
      <c r="K267" s="17">
        <f>$K$7</f>
        <v>42</v>
      </c>
      <c r="L267" s="17">
        <f>$L$7</f>
        <v>5</v>
      </c>
      <c r="O267" s="16"/>
      <c r="P267" s="17">
        <f>$H$7</f>
        <v>31</v>
      </c>
      <c r="Q267" s="17">
        <f>$I$7</f>
        <v>32</v>
      </c>
      <c r="R267" s="17">
        <f>$J$7</f>
        <v>41</v>
      </c>
      <c r="S267" s="17">
        <f>$K$7</f>
        <v>42</v>
      </c>
      <c r="T267" s="17">
        <f>$L$7</f>
        <v>5</v>
      </c>
    </row>
    <row r="268" ht="15.75" customHeight="1">
      <c r="F268" s="56">
        <v>45217.0</v>
      </c>
      <c r="G268" s="19">
        <f>$G$8</f>
        <v>0</v>
      </c>
      <c r="H268" s="20">
        <v>4.0</v>
      </c>
      <c r="I268" s="20"/>
      <c r="J268" s="20"/>
      <c r="K268" s="20"/>
      <c r="L268" s="20"/>
      <c r="N268" s="56">
        <v>45217.0</v>
      </c>
      <c r="O268" s="19">
        <f>$G$8</f>
        <v>0</v>
      </c>
      <c r="P268" s="40">
        <f t="shared" ref="P268:T268" si="275">H268/H$292</f>
        <v>0.01593625498</v>
      </c>
      <c r="Q268" s="40">
        <f t="shared" si="275"/>
        <v>0</v>
      </c>
      <c r="R268" s="40">
        <f t="shared" si="275"/>
        <v>0</v>
      </c>
      <c r="S268" s="40">
        <f t="shared" si="275"/>
        <v>0</v>
      </c>
      <c r="T268" s="40">
        <f t="shared" si="275"/>
        <v>0</v>
      </c>
    </row>
    <row r="269" ht="15.75" customHeight="1">
      <c r="F269" s="24"/>
      <c r="G269" s="19">
        <f>$G$9</f>
        <v>1</v>
      </c>
      <c r="H269" s="20">
        <v>1.0</v>
      </c>
      <c r="I269" s="20"/>
      <c r="J269" s="20"/>
      <c r="K269" s="20">
        <v>1.0</v>
      </c>
      <c r="L269" s="20"/>
      <c r="N269" s="24"/>
      <c r="O269" s="19">
        <f>$G$9</f>
        <v>1</v>
      </c>
      <c r="P269" s="40">
        <f t="shared" ref="P269:T269" si="276">H269/H$292</f>
        <v>0.003984063745</v>
      </c>
      <c r="Q269" s="40">
        <f t="shared" si="276"/>
        <v>0</v>
      </c>
      <c r="R269" s="40">
        <f t="shared" si="276"/>
        <v>0</v>
      </c>
      <c r="S269" s="40">
        <f t="shared" si="276"/>
        <v>0.09090909091</v>
      </c>
      <c r="T269" s="40">
        <f t="shared" si="276"/>
        <v>0</v>
      </c>
    </row>
    <row r="270" ht="15.75" customHeight="1">
      <c r="F270" s="24"/>
      <c r="G270" s="19">
        <f>$G$10</f>
        <v>2</v>
      </c>
      <c r="H270" s="20">
        <v>1.0</v>
      </c>
      <c r="I270" s="16"/>
      <c r="J270" s="16"/>
      <c r="K270" s="16"/>
      <c r="L270" s="16"/>
      <c r="N270" s="24"/>
      <c r="O270" s="19">
        <f>$G$10</f>
        <v>2</v>
      </c>
      <c r="P270" s="40">
        <f t="shared" ref="P270:T270" si="277">H270/H$292</f>
        <v>0.003984063745</v>
      </c>
      <c r="Q270" s="40">
        <f t="shared" si="277"/>
        <v>0</v>
      </c>
      <c r="R270" s="40">
        <f t="shared" si="277"/>
        <v>0</v>
      </c>
      <c r="S270" s="40">
        <f t="shared" si="277"/>
        <v>0</v>
      </c>
      <c r="T270" s="40">
        <f t="shared" si="277"/>
        <v>0</v>
      </c>
    </row>
    <row r="271" ht="15.75" customHeight="1">
      <c r="F271" s="24"/>
      <c r="G271" s="19">
        <f>$G$11</f>
        <v>3</v>
      </c>
      <c r="I271" s="20"/>
      <c r="J271" s="20"/>
      <c r="K271" s="20"/>
      <c r="L271" s="20"/>
      <c r="N271" s="24"/>
      <c r="O271" s="19">
        <f>$G$11</f>
        <v>3</v>
      </c>
      <c r="P271" s="40">
        <f t="shared" ref="P271:T271" si="278">H271/H$292</f>
        <v>0</v>
      </c>
      <c r="Q271" s="40">
        <f t="shared" si="278"/>
        <v>0</v>
      </c>
      <c r="R271" s="40">
        <f t="shared" si="278"/>
        <v>0</v>
      </c>
      <c r="S271" s="40">
        <f t="shared" si="278"/>
        <v>0</v>
      </c>
      <c r="T271" s="40">
        <f t="shared" si="278"/>
        <v>0</v>
      </c>
    </row>
    <row r="272" ht="15.75" customHeight="1">
      <c r="F272" s="24"/>
      <c r="G272" s="19">
        <f>$G$12</f>
        <v>4</v>
      </c>
      <c r="H272" s="20"/>
      <c r="I272" s="20"/>
      <c r="J272" s="20"/>
      <c r="K272" s="20"/>
      <c r="L272" s="20"/>
      <c r="N272" s="24"/>
      <c r="O272" s="19">
        <f>$G$12</f>
        <v>4</v>
      </c>
      <c r="P272" s="40">
        <f t="shared" ref="P272:T272" si="279">H272/H$292</f>
        <v>0</v>
      </c>
      <c r="Q272" s="40">
        <f t="shared" si="279"/>
        <v>0</v>
      </c>
      <c r="R272" s="40">
        <f t="shared" si="279"/>
        <v>0</v>
      </c>
      <c r="S272" s="40">
        <f t="shared" si="279"/>
        <v>0</v>
      </c>
      <c r="T272" s="40">
        <f t="shared" si="279"/>
        <v>0</v>
      </c>
    </row>
    <row r="273" ht="15.75" customHeight="1">
      <c r="F273" s="24"/>
      <c r="G273" s="19">
        <f>$G$13</f>
        <v>5</v>
      </c>
      <c r="H273" s="20">
        <v>4.0</v>
      </c>
      <c r="I273" s="20">
        <v>3.0</v>
      </c>
      <c r="J273" s="20"/>
      <c r="K273" s="20">
        <v>1.0</v>
      </c>
      <c r="L273" s="20">
        <v>2.0</v>
      </c>
      <c r="N273" s="24"/>
      <c r="O273" s="19">
        <f>$G$13</f>
        <v>5</v>
      </c>
      <c r="P273" s="40">
        <f t="shared" ref="P273:T273" si="280">H273/H$292</f>
        <v>0.01593625498</v>
      </c>
      <c r="Q273" s="40">
        <f t="shared" si="280"/>
        <v>0.02857142857</v>
      </c>
      <c r="R273" s="40">
        <f t="shared" si="280"/>
        <v>0</v>
      </c>
      <c r="S273" s="40">
        <f t="shared" si="280"/>
        <v>0.09090909091</v>
      </c>
      <c r="T273" s="40">
        <f t="shared" si="280"/>
        <v>0.04545454545</v>
      </c>
    </row>
    <row r="274" ht="15.75" customHeight="1">
      <c r="F274" s="24"/>
      <c r="G274" s="19">
        <f>$G$14</f>
        <v>6</v>
      </c>
      <c r="H274" s="20">
        <v>5.0</v>
      </c>
      <c r="I274" s="20">
        <v>3.0</v>
      </c>
      <c r="J274" s="20"/>
      <c r="K274" s="20"/>
      <c r="L274" s="20">
        <v>2.0</v>
      </c>
      <c r="N274" s="24"/>
      <c r="O274" s="19">
        <f>$G$14</f>
        <v>6</v>
      </c>
      <c r="P274" s="40">
        <f t="shared" ref="P274:T274" si="281">H274/H$292</f>
        <v>0.01992031873</v>
      </c>
      <c r="Q274" s="40">
        <f t="shared" si="281"/>
        <v>0.02857142857</v>
      </c>
      <c r="R274" s="40">
        <f t="shared" si="281"/>
        <v>0</v>
      </c>
      <c r="S274" s="40">
        <f t="shared" si="281"/>
        <v>0</v>
      </c>
      <c r="T274" s="40">
        <f t="shared" si="281"/>
        <v>0.04545454545</v>
      </c>
    </row>
    <row r="275" ht="15.75" customHeight="1">
      <c r="F275" s="24"/>
      <c r="G275" s="19">
        <f>$G$15</f>
        <v>7</v>
      </c>
      <c r="H275" s="20">
        <v>31.0</v>
      </c>
      <c r="I275" s="20">
        <v>5.0</v>
      </c>
      <c r="J275" s="20">
        <v>1.0</v>
      </c>
      <c r="K275" s="20"/>
      <c r="L275" s="20">
        <v>1.0</v>
      </c>
      <c r="N275" s="24"/>
      <c r="O275" s="19">
        <f>$G$15</f>
        <v>7</v>
      </c>
      <c r="P275" s="40">
        <f t="shared" ref="P275:T275" si="282">H275/H$292</f>
        <v>0.1235059761</v>
      </c>
      <c r="Q275" s="40">
        <f t="shared" si="282"/>
        <v>0.04761904762</v>
      </c>
      <c r="R275" s="40">
        <f t="shared" si="282"/>
        <v>0.5</v>
      </c>
      <c r="S275" s="40">
        <f t="shared" si="282"/>
        <v>0</v>
      </c>
      <c r="T275" s="40">
        <f t="shared" si="282"/>
        <v>0.02272727273</v>
      </c>
    </row>
    <row r="276" ht="15.75" customHeight="1">
      <c r="F276" s="24"/>
      <c r="G276" s="19">
        <f>$G$16</f>
        <v>8</v>
      </c>
      <c r="H276" s="20">
        <v>16.0</v>
      </c>
      <c r="I276" s="20">
        <v>10.0</v>
      </c>
      <c r="J276" s="20"/>
      <c r="K276" s="20"/>
      <c r="L276" s="20">
        <v>4.0</v>
      </c>
      <c r="N276" s="24"/>
      <c r="O276" s="19">
        <f>$G$16</f>
        <v>8</v>
      </c>
      <c r="P276" s="40">
        <f t="shared" ref="P276:T276" si="283">H276/H$292</f>
        <v>0.06374501992</v>
      </c>
      <c r="Q276" s="40">
        <f t="shared" si="283"/>
        <v>0.09523809524</v>
      </c>
      <c r="R276" s="40">
        <f t="shared" si="283"/>
        <v>0</v>
      </c>
      <c r="S276" s="40">
        <f t="shared" si="283"/>
        <v>0</v>
      </c>
      <c r="T276" s="40">
        <f t="shared" si="283"/>
        <v>0.09090909091</v>
      </c>
    </row>
    <row r="277" ht="15.75" customHeight="1">
      <c r="F277" s="24"/>
      <c r="G277" s="19">
        <f>$G$17</f>
        <v>9</v>
      </c>
      <c r="H277" s="20">
        <v>7.0</v>
      </c>
      <c r="I277" s="20">
        <v>2.0</v>
      </c>
      <c r="J277" s="20"/>
      <c r="K277" s="20"/>
      <c r="L277" s="20">
        <v>6.0</v>
      </c>
      <c r="N277" s="24"/>
      <c r="O277" s="19">
        <f>$G$17</f>
        <v>9</v>
      </c>
      <c r="P277" s="40">
        <f t="shared" ref="P277:T277" si="284">H277/H$292</f>
        <v>0.02788844622</v>
      </c>
      <c r="Q277" s="40">
        <f t="shared" si="284"/>
        <v>0.01904761905</v>
      </c>
      <c r="R277" s="40">
        <f t="shared" si="284"/>
        <v>0</v>
      </c>
      <c r="S277" s="40">
        <f t="shared" si="284"/>
        <v>0</v>
      </c>
      <c r="T277" s="40">
        <f t="shared" si="284"/>
        <v>0.1363636364</v>
      </c>
    </row>
    <row r="278" ht="15.75" customHeight="1">
      <c r="F278" s="24"/>
      <c r="G278" s="19">
        <f>$G$18</f>
        <v>10</v>
      </c>
      <c r="H278" s="20">
        <v>13.0</v>
      </c>
      <c r="I278" s="20">
        <v>8.0</v>
      </c>
      <c r="J278" s="20"/>
      <c r="K278" s="20">
        <v>1.0</v>
      </c>
      <c r="L278" s="20">
        <v>4.0</v>
      </c>
      <c r="N278" s="24"/>
      <c r="O278" s="19">
        <f>$G$18</f>
        <v>10</v>
      </c>
      <c r="P278" s="40">
        <f t="shared" ref="P278:T278" si="285">H278/H$292</f>
        <v>0.05179282869</v>
      </c>
      <c r="Q278" s="40">
        <f t="shared" si="285"/>
        <v>0.07619047619</v>
      </c>
      <c r="R278" s="40">
        <f t="shared" si="285"/>
        <v>0</v>
      </c>
      <c r="S278" s="40">
        <f t="shared" si="285"/>
        <v>0.09090909091</v>
      </c>
      <c r="T278" s="40">
        <f t="shared" si="285"/>
        <v>0.09090909091</v>
      </c>
    </row>
    <row r="279" ht="15.75" customHeight="1">
      <c r="F279" s="24"/>
      <c r="G279" s="19">
        <f>$G$19</f>
        <v>11</v>
      </c>
      <c r="H279" s="20">
        <v>11.0</v>
      </c>
      <c r="I279" s="20">
        <v>8.0</v>
      </c>
      <c r="J279" s="20"/>
      <c r="K279" s="20">
        <v>1.0</v>
      </c>
      <c r="L279" s="20">
        <v>5.0</v>
      </c>
      <c r="N279" s="24"/>
      <c r="O279" s="19">
        <f>$G$19</f>
        <v>11</v>
      </c>
      <c r="P279" s="40">
        <f t="shared" ref="P279:T279" si="286">H279/H$292</f>
        <v>0.0438247012</v>
      </c>
      <c r="Q279" s="40">
        <f t="shared" si="286"/>
        <v>0.07619047619</v>
      </c>
      <c r="R279" s="40">
        <f t="shared" si="286"/>
        <v>0</v>
      </c>
      <c r="S279" s="40">
        <f t="shared" si="286"/>
        <v>0.09090909091</v>
      </c>
      <c r="T279" s="40">
        <f t="shared" si="286"/>
        <v>0.1136363636</v>
      </c>
    </row>
    <row r="280" ht="15.75" customHeight="1">
      <c r="F280" s="24"/>
      <c r="G280" s="19">
        <f>$G$20</f>
        <v>12</v>
      </c>
      <c r="H280" s="20">
        <v>9.0</v>
      </c>
      <c r="I280" s="20">
        <v>6.0</v>
      </c>
      <c r="J280" s="20"/>
      <c r="K280" s="20">
        <v>2.0</v>
      </c>
      <c r="L280" s="20">
        <v>4.0</v>
      </c>
      <c r="N280" s="24"/>
      <c r="O280" s="19">
        <f>$G$20</f>
        <v>12</v>
      </c>
      <c r="P280" s="40">
        <f t="shared" ref="P280:T280" si="287">H280/H$292</f>
        <v>0.03585657371</v>
      </c>
      <c r="Q280" s="40">
        <f t="shared" si="287"/>
        <v>0.05714285714</v>
      </c>
      <c r="R280" s="40">
        <f t="shared" si="287"/>
        <v>0</v>
      </c>
      <c r="S280" s="40">
        <f t="shared" si="287"/>
        <v>0.1818181818</v>
      </c>
      <c r="T280" s="40">
        <f t="shared" si="287"/>
        <v>0.09090909091</v>
      </c>
    </row>
    <row r="281" ht="15.75" customHeight="1">
      <c r="F281" s="24"/>
      <c r="G281" s="19">
        <f>$G$21</f>
        <v>13</v>
      </c>
      <c r="H281" s="20">
        <v>10.0</v>
      </c>
      <c r="I281" s="20">
        <v>5.0</v>
      </c>
      <c r="J281" s="20"/>
      <c r="K281" s="20">
        <v>1.0</v>
      </c>
      <c r="L281" s="20">
        <v>3.0</v>
      </c>
      <c r="N281" s="24"/>
      <c r="O281" s="19">
        <f>$G$21</f>
        <v>13</v>
      </c>
      <c r="P281" s="40">
        <f t="shared" ref="P281:T281" si="288">H281/H$292</f>
        <v>0.03984063745</v>
      </c>
      <c r="Q281" s="40">
        <f t="shared" si="288"/>
        <v>0.04761904762</v>
      </c>
      <c r="R281" s="40">
        <f t="shared" si="288"/>
        <v>0</v>
      </c>
      <c r="S281" s="40">
        <f t="shared" si="288"/>
        <v>0.09090909091</v>
      </c>
      <c r="T281" s="40">
        <f t="shared" si="288"/>
        <v>0.06818181818</v>
      </c>
    </row>
    <row r="282" ht="15.75" customHeight="1">
      <c r="F282" s="24"/>
      <c r="G282" s="19">
        <f>$G$22</f>
        <v>14</v>
      </c>
      <c r="H282" s="20">
        <v>15.0</v>
      </c>
      <c r="I282" s="20">
        <v>14.0</v>
      </c>
      <c r="J282" s="20">
        <v>1.0</v>
      </c>
      <c r="K282" s="20">
        <v>1.0</v>
      </c>
      <c r="L282" s="20">
        <v>3.0</v>
      </c>
      <c r="N282" s="24"/>
      <c r="O282" s="19">
        <f>$G$22</f>
        <v>14</v>
      </c>
      <c r="P282" s="40">
        <f t="shared" ref="P282:T282" si="289">H282/H$292</f>
        <v>0.05976095618</v>
      </c>
      <c r="Q282" s="40">
        <f t="shared" si="289"/>
        <v>0.1333333333</v>
      </c>
      <c r="R282" s="40">
        <f t="shared" si="289"/>
        <v>0.5</v>
      </c>
      <c r="S282" s="40">
        <f t="shared" si="289"/>
        <v>0.09090909091</v>
      </c>
      <c r="T282" s="40">
        <f t="shared" si="289"/>
        <v>0.06818181818</v>
      </c>
    </row>
    <row r="283" ht="15.75" customHeight="1">
      <c r="F283" s="24"/>
      <c r="G283" s="19">
        <f>$G$23</f>
        <v>15</v>
      </c>
      <c r="H283" s="20">
        <v>20.0</v>
      </c>
      <c r="I283" s="20">
        <v>8.0</v>
      </c>
      <c r="J283" s="20"/>
      <c r="K283" s="20"/>
      <c r="L283" s="20">
        <v>6.0</v>
      </c>
      <c r="N283" s="24"/>
      <c r="O283" s="19">
        <f>$G$23</f>
        <v>15</v>
      </c>
      <c r="P283" s="40">
        <f t="shared" ref="P283:T283" si="290">H283/H$292</f>
        <v>0.0796812749</v>
      </c>
      <c r="Q283" s="40">
        <f t="shared" si="290"/>
        <v>0.07619047619</v>
      </c>
      <c r="R283" s="40">
        <f t="shared" si="290"/>
        <v>0</v>
      </c>
      <c r="S283" s="40">
        <f t="shared" si="290"/>
        <v>0</v>
      </c>
      <c r="T283" s="40">
        <f t="shared" si="290"/>
        <v>0.1363636364</v>
      </c>
    </row>
    <row r="284" ht="15.75" customHeight="1">
      <c r="F284" s="24"/>
      <c r="G284" s="19">
        <f>$G$24</f>
        <v>16</v>
      </c>
      <c r="H284" s="20">
        <v>25.0</v>
      </c>
      <c r="I284" s="20">
        <v>4.0</v>
      </c>
      <c r="J284" s="20"/>
      <c r="K284" s="20"/>
      <c r="L284" s="20"/>
      <c r="N284" s="24"/>
      <c r="O284" s="19">
        <f>$G$24</f>
        <v>16</v>
      </c>
      <c r="P284" s="40">
        <f t="shared" ref="P284:T284" si="291">H284/H$292</f>
        <v>0.09960159363</v>
      </c>
      <c r="Q284" s="40">
        <f t="shared" si="291"/>
        <v>0.0380952381</v>
      </c>
      <c r="R284" s="40">
        <f t="shared" si="291"/>
        <v>0</v>
      </c>
      <c r="S284" s="40">
        <f t="shared" si="291"/>
        <v>0</v>
      </c>
      <c r="T284" s="40">
        <f t="shared" si="291"/>
        <v>0</v>
      </c>
    </row>
    <row r="285" ht="15.75" customHeight="1">
      <c r="F285" s="24"/>
      <c r="G285" s="19">
        <f>$G$25</f>
        <v>17</v>
      </c>
      <c r="H285" s="20">
        <v>19.0</v>
      </c>
      <c r="I285" s="20">
        <v>11.0</v>
      </c>
      <c r="J285" s="20"/>
      <c r="K285" s="20">
        <v>1.0</v>
      </c>
      <c r="L285" s="20">
        <v>3.0</v>
      </c>
      <c r="N285" s="24"/>
      <c r="O285" s="19">
        <f>$G$25</f>
        <v>17</v>
      </c>
      <c r="P285" s="40">
        <f t="shared" ref="P285:T285" si="292">H285/H$292</f>
        <v>0.07569721116</v>
      </c>
      <c r="Q285" s="40">
        <f t="shared" si="292"/>
        <v>0.1047619048</v>
      </c>
      <c r="R285" s="40">
        <f t="shared" si="292"/>
        <v>0</v>
      </c>
      <c r="S285" s="40">
        <f t="shared" si="292"/>
        <v>0.09090909091</v>
      </c>
      <c r="T285" s="40">
        <f t="shared" si="292"/>
        <v>0.06818181818</v>
      </c>
    </row>
    <row r="286" ht="15.75" customHeight="1">
      <c r="F286" s="24"/>
      <c r="G286" s="19">
        <f>$G$26</f>
        <v>18</v>
      </c>
      <c r="H286" s="20">
        <v>16.0</v>
      </c>
      <c r="I286" s="20">
        <v>5.0</v>
      </c>
      <c r="J286" s="20"/>
      <c r="K286" s="20">
        <v>1.0</v>
      </c>
      <c r="L286" s="20"/>
      <c r="N286" s="24"/>
      <c r="O286" s="19">
        <f>$G$26</f>
        <v>18</v>
      </c>
      <c r="P286" s="40">
        <f t="shared" ref="P286:T286" si="293">H286/H$292</f>
        <v>0.06374501992</v>
      </c>
      <c r="Q286" s="40">
        <f t="shared" si="293"/>
        <v>0.04761904762</v>
      </c>
      <c r="R286" s="40">
        <f t="shared" si="293"/>
        <v>0</v>
      </c>
      <c r="S286" s="40">
        <f t="shared" si="293"/>
        <v>0.09090909091</v>
      </c>
      <c r="T286" s="40">
        <f t="shared" si="293"/>
        <v>0</v>
      </c>
    </row>
    <row r="287" ht="15.75" customHeight="1">
      <c r="F287" s="24"/>
      <c r="G287" s="19">
        <f>$G$27</f>
        <v>19</v>
      </c>
      <c r="H287" s="20">
        <v>16.0</v>
      </c>
      <c r="I287" s="20">
        <v>4.0</v>
      </c>
      <c r="J287" s="20"/>
      <c r="K287" s="20"/>
      <c r="L287" s="20"/>
      <c r="N287" s="24"/>
      <c r="O287" s="19">
        <f>$G$27</f>
        <v>19</v>
      </c>
      <c r="P287" s="40">
        <f t="shared" ref="P287:T287" si="294">H287/H$292</f>
        <v>0.06374501992</v>
      </c>
      <c r="Q287" s="40">
        <f t="shared" si="294"/>
        <v>0.0380952381</v>
      </c>
      <c r="R287" s="40">
        <f t="shared" si="294"/>
        <v>0</v>
      </c>
      <c r="S287" s="40">
        <f t="shared" si="294"/>
        <v>0</v>
      </c>
      <c r="T287" s="40">
        <f t="shared" si="294"/>
        <v>0</v>
      </c>
    </row>
    <row r="288" ht="15.75" customHeight="1">
      <c r="F288" s="24"/>
      <c r="G288" s="19">
        <f>$G$28</f>
        <v>20</v>
      </c>
      <c r="H288" s="20">
        <v>9.0</v>
      </c>
      <c r="I288" s="20">
        <v>2.0</v>
      </c>
      <c r="J288" s="20"/>
      <c r="K288" s="20"/>
      <c r="L288" s="20">
        <v>1.0</v>
      </c>
      <c r="N288" s="24"/>
      <c r="O288" s="19">
        <f>$G$28</f>
        <v>20</v>
      </c>
      <c r="P288" s="40">
        <f t="shared" ref="P288:T288" si="295">H288/H$292</f>
        <v>0.03585657371</v>
      </c>
      <c r="Q288" s="40">
        <f t="shared" si="295"/>
        <v>0.01904761905</v>
      </c>
      <c r="R288" s="40">
        <f t="shared" si="295"/>
        <v>0</v>
      </c>
      <c r="S288" s="40">
        <f t="shared" si="295"/>
        <v>0</v>
      </c>
      <c r="T288" s="40">
        <f t="shared" si="295"/>
        <v>0.02272727273</v>
      </c>
    </row>
    <row r="289" ht="15.75" customHeight="1">
      <c r="F289" s="24"/>
      <c r="G289" s="19">
        <f>$G$29</f>
        <v>21</v>
      </c>
      <c r="H289" s="20">
        <v>11.0</v>
      </c>
      <c r="I289" s="20">
        <v>6.0</v>
      </c>
      <c r="J289" s="20"/>
      <c r="K289" s="20">
        <v>1.0</v>
      </c>
      <c r="L289" s="20"/>
      <c r="N289" s="24"/>
      <c r="O289" s="19">
        <f>$G$29</f>
        <v>21</v>
      </c>
      <c r="P289" s="40">
        <f t="shared" ref="P289:T289" si="296">H289/H$292</f>
        <v>0.0438247012</v>
      </c>
      <c r="Q289" s="40">
        <f t="shared" si="296"/>
        <v>0.05714285714</v>
      </c>
      <c r="R289" s="40">
        <f t="shared" si="296"/>
        <v>0</v>
      </c>
      <c r="S289" s="40">
        <f t="shared" si="296"/>
        <v>0.09090909091</v>
      </c>
      <c r="T289" s="40">
        <f t="shared" si="296"/>
        <v>0</v>
      </c>
    </row>
    <row r="290" ht="15.75" customHeight="1">
      <c r="F290" s="24"/>
      <c r="G290" s="19">
        <f>$G$30</f>
        <v>22</v>
      </c>
      <c r="H290" s="20">
        <v>6.0</v>
      </c>
      <c r="I290" s="20">
        <v>1.0</v>
      </c>
      <c r="J290" s="20"/>
      <c r="K290" s="20"/>
      <c r="L290" s="20"/>
      <c r="N290" s="24"/>
      <c r="O290" s="19">
        <f>$G$30</f>
        <v>22</v>
      </c>
      <c r="P290" s="40">
        <f t="shared" ref="P290:T290" si="297">H290/H$292</f>
        <v>0.02390438247</v>
      </c>
      <c r="Q290" s="40">
        <f t="shared" si="297"/>
        <v>0.009523809524</v>
      </c>
      <c r="R290" s="40">
        <f t="shared" si="297"/>
        <v>0</v>
      </c>
      <c r="S290" s="40">
        <f t="shared" si="297"/>
        <v>0</v>
      </c>
      <c r="T290" s="40">
        <f t="shared" si="297"/>
        <v>0</v>
      </c>
    </row>
    <row r="291" ht="15.75" customHeight="1">
      <c r="F291" s="28"/>
      <c r="G291" s="19">
        <f>$G$31</f>
        <v>23</v>
      </c>
      <c r="H291" s="20">
        <v>2.0</v>
      </c>
      <c r="I291" s="20"/>
      <c r="J291" s="20"/>
      <c r="K291" s="20"/>
      <c r="L291" s="20"/>
      <c r="N291" s="28"/>
      <c r="O291" s="19">
        <f>$G$31</f>
        <v>23</v>
      </c>
      <c r="P291" s="40">
        <f t="shared" ref="P291:T291" si="298">H291/H$292</f>
        <v>0.00796812749</v>
      </c>
      <c r="Q291" s="40">
        <f t="shared" si="298"/>
        <v>0</v>
      </c>
      <c r="R291" s="40">
        <f t="shared" si="298"/>
        <v>0</v>
      </c>
      <c r="S291" s="40">
        <f t="shared" si="298"/>
        <v>0</v>
      </c>
      <c r="T291" s="40">
        <f t="shared" si="298"/>
        <v>0</v>
      </c>
    </row>
    <row r="292" ht="15.75" customHeight="1">
      <c r="F292" s="111"/>
      <c r="G292" s="112"/>
      <c r="H292" s="26">
        <f t="shared" ref="H292:L292" si="299">SUM(H268:H291)</f>
        <v>251</v>
      </c>
      <c r="I292" s="26">
        <f t="shared" si="299"/>
        <v>105</v>
      </c>
      <c r="J292" s="26">
        <f t="shared" si="299"/>
        <v>2</v>
      </c>
      <c r="K292" s="26">
        <f t="shared" si="299"/>
        <v>11</v>
      </c>
      <c r="L292" s="26">
        <f t="shared" si="299"/>
        <v>44</v>
      </c>
    </row>
    <row r="293" ht="15.75" customHeight="1">
      <c r="G293" s="16"/>
      <c r="H293" s="17">
        <f>$H$7</f>
        <v>31</v>
      </c>
      <c r="I293" s="17">
        <f>$I$7</f>
        <v>32</v>
      </c>
      <c r="J293" s="17">
        <f>$J$7</f>
        <v>41</v>
      </c>
      <c r="K293" s="17">
        <f>$K$7</f>
        <v>42</v>
      </c>
      <c r="L293" s="17">
        <f>$L$7</f>
        <v>5</v>
      </c>
      <c r="O293" s="16"/>
      <c r="P293" s="17">
        <f>$H$7</f>
        <v>31</v>
      </c>
      <c r="Q293" s="17">
        <f>$I$7</f>
        <v>32</v>
      </c>
      <c r="R293" s="17">
        <f>$J$7</f>
        <v>41</v>
      </c>
      <c r="S293" s="17">
        <f>$K$7</f>
        <v>42</v>
      </c>
      <c r="T293" s="17">
        <f>$L$7</f>
        <v>5</v>
      </c>
    </row>
    <row r="294" ht="15.75" customHeight="1">
      <c r="F294" s="56">
        <v>45218.0</v>
      </c>
      <c r="G294" s="19">
        <f>$G$8</f>
        <v>0</v>
      </c>
      <c r="H294" s="19">
        <v>2.0</v>
      </c>
      <c r="I294" s="60">
        <v>2.0</v>
      </c>
      <c r="J294" s="98"/>
      <c r="K294" s="98"/>
      <c r="L294" s="98"/>
      <c r="N294" s="56">
        <v>45218.0</v>
      </c>
      <c r="O294" s="19">
        <f>$G$8</f>
        <v>0</v>
      </c>
      <c r="P294" s="44">
        <f t="shared" ref="P294:T294" si="300">H294/H$318</f>
        <v>0.004926108374</v>
      </c>
      <c r="Q294" s="44">
        <f t="shared" si="300"/>
        <v>0.01176470588</v>
      </c>
      <c r="R294" s="44">
        <f t="shared" si="300"/>
        <v>0</v>
      </c>
      <c r="S294" s="44">
        <f t="shared" si="300"/>
        <v>0</v>
      </c>
      <c r="T294" s="44">
        <f t="shared" si="300"/>
        <v>0</v>
      </c>
    </row>
    <row r="295" ht="15.75" customHeight="1">
      <c r="F295" s="24"/>
      <c r="G295" s="19">
        <f>$G$9</f>
        <v>1</v>
      </c>
      <c r="H295" s="27"/>
      <c r="I295" s="31">
        <v>1.0</v>
      </c>
      <c r="J295" s="20"/>
      <c r="K295" s="31">
        <v>1.0</v>
      </c>
      <c r="L295" s="20"/>
      <c r="N295" s="24"/>
      <c r="O295" s="19">
        <f>$G$9</f>
        <v>1</v>
      </c>
      <c r="P295" s="44">
        <f t="shared" ref="P295:T295" si="301">H295/H$318</f>
        <v>0</v>
      </c>
      <c r="Q295" s="44">
        <f t="shared" si="301"/>
        <v>0.005882352941</v>
      </c>
      <c r="R295" s="44">
        <f t="shared" si="301"/>
        <v>0</v>
      </c>
      <c r="S295" s="44">
        <f t="shared" si="301"/>
        <v>0.03846153846</v>
      </c>
      <c r="T295" s="44">
        <f t="shared" si="301"/>
        <v>0</v>
      </c>
    </row>
    <row r="296" ht="15.75" customHeight="1">
      <c r="F296" s="24"/>
      <c r="G296" s="19">
        <f>$G$10</f>
        <v>2</v>
      </c>
      <c r="H296" s="45">
        <v>2.0</v>
      </c>
      <c r="I296" s="31">
        <v>1.0</v>
      </c>
      <c r="J296" s="20"/>
      <c r="K296" s="20"/>
      <c r="L296" s="20"/>
      <c r="N296" s="24"/>
      <c r="O296" s="19">
        <f>$G$10</f>
        <v>2</v>
      </c>
      <c r="P296" s="44">
        <f t="shared" ref="P296:T296" si="302">H296/H$318</f>
        <v>0.004926108374</v>
      </c>
      <c r="Q296" s="44">
        <f t="shared" si="302"/>
        <v>0.005882352941</v>
      </c>
      <c r="R296" s="44">
        <f t="shared" si="302"/>
        <v>0</v>
      </c>
      <c r="S296" s="44">
        <f t="shared" si="302"/>
        <v>0</v>
      </c>
      <c r="T296" s="44">
        <f t="shared" si="302"/>
        <v>0</v>
      </c>
    </row>
    <row r="297" ht="15.75" customHeight="1">
      <c r="F297" s="24"/>
      <c r="G297" s="19">
        <f>$G$11</f>
        <v>3</v>
      </c>
      <c r="H297" s="45">
        <v>1.0</v>
      </c>
      <c r="I297" s="31">
        <v>1.0</v>
      </c>
      <c r="J297" s="20"/>
      <c r="K297" s="20"/>
      <c r="L297" s="20"/>
      <c r="N297" s="24"/>
      <c r="O297" s="19">
        <f>$G$11</f>
        <v>3</v>
      </c>
      <c r="P297" s="44">
        <f t="shared" ref="P297:T297" si="303">H297/H$318</f>
        <v>0.002463054187</v>
      </c>
      <c r="Q297" s="44">
        <f t="shared" si="303"/>
        <v>0.005882352941</v>
      </c>
      <c r="R297" s="44">
        <f t="shared" si="303"/>
        <v>0</v>
      </c>
      <c r="S297" s="44">
        <f t="shared" si="303"/>
        <v>0</v>
      </c>
      <c r="T297" s="44">
        <f t="shared" si="303"/>
        <v>0</v>
      </c>
    </row>
    <row r="298" ht="15.75" customHeight="1">
      <c r="F298" s="24"/>
      <c r="G298" s="19">
        <f>$G$12</f>
        <v>4</v>
      </c>
      <c r="H298" s="45">
        <v>1.0</v>
      </c>
      <c r="I298" s="20"/>
      <c r="J298" s="20"/>
      <c r="K298" s="20"/>
      <c r="L298" s="20"/>
      <c r="N298" s="24"/>
      <c r="O298" s="19">
        <f>$G$12</f>
        <v>4</v>
      </c>
      <c r="P298" s="44">
        <f t="shared" ref="P298:T298" si="304">H298/H$318</f>
        <v>0.002463054187</v>
      </c>
      <c r="Q298" s="44">
        <f t="shared" si="304"/>
        <v>0</v>
      </c>
      <c r="R298" s="44">
        <f t="shared" si="304"/>
        <v>0</v>
      </c>
      <c r="S298" s="44">
        <f t="shared" si="304"/>
        <v>0</v>
      </c>
      <c r="T298" s="44">
        <f t="shared" si="304"/>
        <v>0</v>
      </c>
    </row>
    <row r="299" ht="15.75" customHeight="1">
      <c r="F299" s="24"/>
      <c r="G299" s="19">
        <f>$G$13</f>
        <v>5</v>
      </c>
      <c r="H299" s="45">
        <v>8.0</v>
      </c>
      <c r="I299" s="31">
        <v>2.0</v>
      </c>
      <c r="J299" s="20"/>
      <c r="K299" s="31">
        <v>2.0</v>
      </c>
      <c r="L299" s="20"/>
      <c r="N299" s="24"/>
      <c r="O299" s="19">
        <f>$G$13</f>
        <v>5</v>
      </c>
      <c r="P299" s="44">
        <f t="shared" ref="P299:T299" si="305">H299/H$318</f>
        <v>0.0197044335</v>
      </c>
      <c r="Q299" s="44">
        <f t="shared" si="305"/>
        <v>0.01176470588</v>
      </c>
      <c r="R299" s="44">
        <f t="shared" si="305"/>
        <v>0</v>
      </c>
      <c r="S299" s="44">
        <f t="shared" si="305"/>
        <v>0.07692307692</v>
      </c>
      <c r="T299" s="44">
        <f t="shared" si="305"/>
        <v>0</v>
      </c>
    </row>
    <row r="300" ht="15.75" customHeight="1">
      <c r="F300" s="24"/>
      <c r="G300" s="19">
        <f>$G$14</f>
        <v>6</v>
      </c>
      <c r="H300" s="45">
        <v>16.0</v>
      </c>
      <c r="I300" s="31">
        <v>5.0</v>
      </c>
      <c r="J300" s="20"/>
      <c r="K300" s="31">
        <v>1.0</v>
      </c>
      <c r="L300" s="31">
        <v>4.0</v>
      </c>
      <c r="N300" s="24"/>
      <c r="O300" s="19">
        <f>$G$14</f>
        <v>6</v>
      </c>
      <c r="P300" s="44">
        <f t="shared" ref="P300:T300" si="306">H300/H$318</f>
        <v>0.039408867</v>
      </c>
      <c r="Q300" s="44">
        <f t="shared" si="306"/>
        <v>0.02941176471</v>
      </c>
      <c r="R300" s="44">
        <f t="shared" si="306"/>
        <v>0</v>
      </c>
      <c r="S300" s="44">
        <f t="shared" si="306"/>
        <v>0.03846153846</v>
      </c>
      <c r="T300" s="44">
        <f t="shared" si="306"/>
        <v>0.06153846154</v>
      </c>
    </row>
    <row r="301" ht="15.75" customHeight="1">
      <c r="F301" s="24"/>
      <c r="G301" s="19">
        <f>$G$15</f>
        <v>7</v>
      </c>
      <c r="H301" s="45">
        <v>39.0</v>
      </c>
      <c r="I301" s="31">
        <v>11.0</v>
      </c>
      <c r="J301" s="20"/>
      <c r="K301" s="31">
        <v>1.0</v>
      </c>
      <c r="L301" s="31">
        <v>4.0</v>
      </c>
      <c r="N301" s="24"/>
      <c r="O301" s="19">
        <f>$G$15</f>
        <v>7</v>
      </c>
      <c r="P301" s="44">
        <f t="shared" ref="P301:T301" si="307">H301/H$318</f>
        <v>0.0960591133</v>
      </c>
      <c r="Q301" s="44">
        <f t="shared" si="307"/>
        <v>0.06470588235</v>
      </c>
      <c r="R301" s="44">
        <f t="shared" si="307"/>
        <v>0</v>
      </c>
      <c r="S301" s="44">
        <f t="shared" si="307"/>
        <v>0.03846153846</v>
      </c>
      <c r="T301" s="44">
        <f t="shared" si="307"/>
        <v>0.06153846154</v>
      </c>
    </row>
    <row r="302" ht="15.75" customHeight="1">
      <c r="F302" s="24"/>
      <c r="G302" s="19">
        <f>$G$16</f>
        <v>8</v>
      </c>
      <c r="H302" s="45">
        <v>21.0</v>
      </c>
      <c r="I302" s="31">
        <v>13.0</v>
      </c>
      <c r="J302" s="20"/>
      <c r="K302" s="31">
        <v>2.0</v>
      </c>
      <c r="L302" s="31">
        <v>1.0</v>
      </c>
      <c r="N302" s="24"/>
      <c r="O302" s="19">
        <f>$G$16</f>
        <v>8</v>
      </c>
      <c r="P302" s="44">
        <f t="shared" ref="P302:T302" si="308">H302/H$318</f>
        <v>0.05172413793</v>
      </c>
      <c r="Q302" s="44">
        <f t="shared" si="308"/>
        <v>0.07647058824</v>
      </c>
      <c r="R302" s="44">
        <f t="shared" si="308"/>
        <v>0</v>
      </c>
      <c r="S302" s="44">
        <f t="shared" si="308"/>
        <v>0.07692307692</v>
      </c>
      <c r="T302" s="44">
        <f t="shared" si="308"/>
        <v>0.01538461538</v>
      </c>
    </row>
    <row r="303" ht="15.75" customHeight="1">
      <c r="F303" s="24"/>
      <c r="G303" s="19">
        <f>$G$17</f>
        <v>9</v>
      </c>
      <c r="H303" s="45">
        <v>27.0</v>
      </c>
      <c r="I303" s="31">
        <v>9.0</v>
      </c>
      <c r="J303" s="31">
        <v>1.0</v>
      </c>
      <c r="K303" s="31">
        <v>2.0</v>
      </c>
      <c r="L303" s="31">
        <v>6.0</v>
      </c>
      <c r="N303" s="24"/>
      <c r="O303" s="19">
        <f>$G$17</f>
        <v>9</v>
      </c>
      <c r="P303" s="44">
        <f t="shared" ref="P303:T303" si="309">H303/H$318</f>
        <v>0.06650246305</v>
      </c>
      <c r="Q303" s="44">
        <f t="shared" si="309"/>
        <v>0.05294117647</v>
      </c>
      <c r="R303" s="44">
        <f t="shared" si="309"/>
        <v>0.125</v>
      </c>
      <c r="S303" s="44">
        <f t="shared" si="309"/>
        <v>0.07692307692</v>
      </c>
      <c r="T303" s="44">
        <f t="shared" si="309"/>
        <v>0.09230769231</v>
      </c>
    </row>
    <row r="304" ht="15.75" customHeight="1">
      <c r="F304" s="24"/>
      <c r="G304" s="19">
        <f>$G$18</f>
        <v>10</v>
      </c>
      <c r="H304" s="45">
        <v>22.0</v>
      </c>
      <c r="I304" s="31">
        <v>10.0</v>
      </c>
      <c r="J304" s="31">
        <v>1.0</v>
      </c>
      <c r="K304" s="31">
        <v>2.0</v>
      </c>
      <c r="L304" s="31">
        <v>6.0</v>
      </c>
      <c r="N304" s="24"/>
      <c r="O304" s="19">
        <f>$G$18</f>
        <v>10</v>
      </c>
      <c r="P304" s="44">
        <f t="shared" ref="P304:T304" si="310">H304/H$318</f>
        <v>0.05418719212</v>
      </c>
      <c r="Q304" s="44">
        <f t="shared" si="310"/>
        <v>0.05882352941</v>
      </c>
      <c r="R304" s="44">
        <f t="shared" si="310"/>
        <v>0.125</v>
      </c>
      <c r="S304" s="44">
        <f t="shared" si="310"/>
        <v>0.07692307692</v>
      </c>
      <c r="T304" s="44">
        <f t="shared" si="310"/>
        <v>0.09230769231</v>
      </c>
    </row>
    <row r="305" ht="15.75" customHeight="1">
      <c r="F305" s="24"/>
      <c r="G305" s="19">
        <f>$G$19</f>
        <v>11</v>
      </c>
      <c r="H305" s="45">
        <v>21.0</v>
      </c>
      <c r="I305" s="31">
        <v>10.0</v>
      </c>
      <c r="J305" s="31">
        <v>1.0</v>
      </c>
      <c r="K305" s="31">
        <v>2.0</v>
      </c>
      <c r="L305" s="31">
        <v>6.0</v>
      </c>
      <c r="N305" s="24"/>
      <c r="O305" s="19">
        <f>$G$19</f>
        <v>11</v>
      </c>
      <c r="P305" s="44">
        <f t="shared" ref="P305:T305" si="311">H305/H$318</f>
        <v>0.05172413793</v>
      </c>
      <c r="Q305" s="44">
        <f t="shared" si="311"/>
        <v>0.05882352941</v>
      </c>
      <c r="R305" s="44">
        <f t="shared" si="311"/>
        <v>0.125</v>
      </c>
      <c r="S305" s="44">
        <f t="shared" si="311"/>
        <v>0.07692307692</v>
      </c>
      <c r="T305" s="44">
        <f t="shared" si="311"/>
        <v>0.09230769231</v>
      </c>
    </row>
    <row r="306" ht="15.75" customHeight="1">
      <c r="F306" s="24"/>
      <c r="G306" s="19">
        <f>$G$20</f>
        <v>12</v>
      </c>
      <c r="H306" s="45">
        <v>20.0</v>
      </c>
      <c r="I306" s="31">
        <v>9.0</v>
      </c>
      <c r="J306" s="20"/>
      <c r="K306" s="31">
        <v>1.0</v>
      </c>
      <c r="L306" s="31">
        <v>6.0</v>
      </c>
      <c r="N306" s="24"/>
      <c r="O306" s="19">
        <f>$G$20</f>
        <v>12</v>
      </c>
      <c r="P306" s="44">
        <f t="shared" ref="P306:T306" si="312">H306/H$318</f>
        <v>0.04926108374</v>
      </c>
      <c r="Q306" s="44">
        <f t="shared" si="312"/>
        <v>0.05294117647</v>
      </c>
      <c r="R306" s="44">
        <f t="shared" si="312"/>
        <v>0</v>
      </c>
      <c r="S306" s="44">
        <f t="shared" si="312"/>
        <v>0.03846153846</v>
      </c>
      <c r="T306" s="44">
        <f t="shared" si="312"/>
        <v>0.09230769231</v>
      </c>
    </row>
    <row r="307" ht="15.75" customHeight="1">
      <c r="F307" s="24"/>
      <c r="G307" s="19">
        <f>$G$21</f>
        <v>13</v>
      </c>
      <c r="H307" s="45">
        <v>14.0</v>
      </c>
      <c r="I307" s="31">
        <v>11.0</v>
      </c>
      <c r="J307" s="31">
        <v>2.0</v>
      </c>
      <c r="K307" s="31">
        <v>2.0</v>
      </c>
      <c r="L307" s="31">
        <v>5.0</v>
      </c>
      <c r="N307" s="24"/>
      <c r="O307" s="19">
        <f>$G$21</f>
        <v>13</v>
      </c>
      <c r="P307" s="44">
        <f t="shared" ref="P307:T307" si="313">H307/H$318</f>
        <v>0.03448275862</v>
      </c>
      <c r="Q307" s="44">
        <f t="shared" si="313"/>
        <v>0.06470588235</v>
      </c>
      <c r="R307" s="44">
        <f t="shared" si="313"/>
        <v>0.25</v>
      </c>
      <c r="S307" s="44">
        <f t="shared" si="313"/>
        <v>0.07692307692</v>
      </c>
      <c r="T307" s="44">
        <f t="shared" si="313"/>
        <v>0.07692307692</v>
      </c>
    </row>
    <row r="308" ht="15.75" customHeight="1">
      <c r="F308" s="24"/>
      <c r="G308" s="19">
        <f>$G$22</f>
        <v>14</v>
      </c>
      <c r="H308" s="45">
        <v>25.0</v>
      </c>
      <c r="I308" s="31">
        <v>7.0</v>
      </c>
      <c r="J308" s="20"/>
      <c r="K308" s="31">
        <v>4.0</v>
      </c>
      <c r="L308" s="31">
        <v>10.0</v>
      </c>
      <c r="N308" s="24"/>
      <c r="O308" s="19">
        <f>$G$22</f>
        <v>14</v>
      </c>
      <c r="P308" s="44">
        <f t="shared" ref="P308:T308" si="314">H308/H$318</f>
        <v>0.06157635468</v>
      </c>
      <c r="Q308" s="44">
        <f t="shared" si="314"/>
        <v>0.04117647059</v>
      </c>
      <c r="R308" s="44">
        <f t="shared" si="314"/>
        <v>0</v>
      </c>
      <c r="S308" s="44">
        <f t="shared" si="314"/>
        <v>0.1538461538</v>
      </c>
      <c r="T308" s="44">
        <f t="shared" si="314"/>
        <v>0.1538461538</v>
      </c>
    </row>
    <row r="309" ht="15.75" customHeight="1">
      <c r="F309" s="24"/>
      <c r="G309" s="19">
        <f>$G$23</f>
        <v>15</v>
      </c>
      <c r="H309" s="45">
        <v>32.0</v>
      </c>
      <c r="I309" s="31">
        <v>15.0</v>
      </c>
      <c r="J309" s="20"/>
      <c r="K309" s="31">
        <v>3.0</v>
      </c>
      <c r="L309" s="31">
        <v>4.0</v>
      </c>
      <c r="N309" s="24"/>
      <c r="O309" s="19">
        <f>$G$23</f>
        <v>15</v>
      </c>
      <c r="P309" s="44">
        <f t="shared" ref="P309:T309" si="315">H309/H$318</f>
        <v>0.07881773399</v>
      </c>
      <c r="Q309" s="44">
        <f t="shared" si="315"/>
        <v>0.08823529412</v>
      </c>
      <c r="R309" s="44">
        <f t="shared" si="315"/>
        <v>0</v>
      </c>
      <c r="S309" s="44">
        <f t="shared" si="315"/>
        <v>0.1153846154</v>
      </c>
      <c r="T309" s="44">
        <f t="shared" si="315"/>
        <v>0.06153846154</v>
      </c>
    </row>
    <row r="310" ht="15.75" customHeight="1">
      <c r="F310" s="24"/>
      <c r="G310" s="19">
        <f>$G$24</f>
        <v>16</v>
      </c>
      <c r="H310" s="45">
        <v>33.0</v>
      </c>
      <c r="I310" s="31">
        <v>15.0</v>
      </c>
      <c r="J310" s="31">
        <v>1.0</v>
      </c>
      <c r="K310" s="31">
        <v>2.0</v>
      </c>
      <c r="L310" s="31">
        <v>6.0</v>
      </c>
      <c r="N310" s="24"/>
      <c r="O310" s="19">
        <f>$G$24</f>
        <v>16</v>
      </c>
      <c r="P310" s="44">
        <f t="shared" ref="P310:T310" si="316">H310/H$318</f>
        <v>0.08128078818</v>
      </c>
      <c r="Q310" s="44">
        <f t="shared" si="316"/>
        <v>0.08823529412</v>
      </c>
      <c r="R310" s="44">
        <f t="shared" si="316"/>
        <v>0.125</v>
      </c>
      <c r="S310" s="44">
        <f t="shared" si="316"/>
        <v>0.07692307692</v>
      </c>
      <c r="T310" s="44">
        <f t="shared" si="316"/>
        <v>0.09230769231</v>
      </c>
    </row>
    <row r="311" ht="15.75" customHeight="1">
      <c r="F311" s="24"/>
      <c r="G311" s="19">
        <f>$G$25</f>
        <v>17</v>
      </c>
      <c r="H311" s="45">
        <v>42.0</v>
      </c>
      <c r="I311" s="31">
        <v>18.0</v>
      </c>
      <c r="J311" s="20"/>
      <c r="K311" s="20"/>
      <c r="L311" s="31">
        <v>5.0</v>
      </c>
      <c r="N311" s="24"/>
      <c r="O311" s="19">
        <f>$G$25</f>
        <v>17</v>
      </c>
      <c r="P311" s="44">
        <f t="shared" ref="P311:T311" si="317">H311/H$318</f>
        <v>0.1034482759</v>
      </c>
      <c r="Q311" s="44">
        <f t="shared" si="317"/>
        <v>0.1058823529</v>
      </c>
      <c r="R311" s="44">
        <f t="shared" si="317"/>
        <v>0</v>
      </c>
      <c r="S311" s="44">
        <f t="shared" si="317"/>
        <v>0</v>
      </c>
      <c r="T311" s="44">
        <f t="shared" si="317"/>
        <v>0.07692307692</v>
      </c>
    </row>
    <row r="312" ht="15.75" customHeight="1">
      <c r="F312" s="24"/>
      <c r="G312" s="19">
        <f>$G$26</f>
        <v>18</v>
      </c>
      <c r="H312" s="45">
        <v>19.0</v>
      </c>
      <c r="I312" s="31">
        <v>3.0</v>
      </c>
      <c r="J312" s="20"/>
      <c r="K312" s="31">
        <v>1.0</v>
      </c>
      <c r="L312" s="31">
        <v>1.0</v>
      </c>
      <c r="N312" s="24"/>
      <c r="O312" s="19">
        <f>$G$26</f>
        <v>18</v>
      </c>
      <c r="P312" s="44">
        <f t="shared" ref="P312:T312" si="318">H312/H$318</f>
        <v>0.04679802956</v>
      </c>
      <c r="Q312" s="44">
        <f t="shared" si="318"/>
        <v>0.01764705882</v>
      </c>
      <c r="R312" s="44">
        <f t="shared" si="318"/>
        <v>0</v>
      </c>
      <c r="S312" s="44">
        <f t="shared" si="318"/>
        <v>0.03846153846</v>
      </c>
      <c r="T312" s="44">
        <f t="shared" si="318"/>
        <v>0.01538461538</v>
      </c>
    </row>
    <row r="313" ht="15.75" customHeight="1">
      <c r="F313" s="24"/>
      <c r="G313" s="19">
        <f>$G$27</f>
        <v>19</v>
      </c>
      <c r="H313" s="45">
        <v>17.0</v>
      </c>
      <c r="I313" s="31">
        <v>7.0</v>
      </c>
      <c r="J313" s="31">
        <v>1.0</v>
      </c>
      <c r="K313" s="20"/>
      <c r="L313" s="20"/>
      <c r="N313" s="24"/>
      <c r="O313" s="19">
        <f>$G$27</f>
        <v>19</v>
      </c>
      <c r="P313" s="44">
        <f t="shared" ref="P313:T313" si="319">H313/H$318</f>
        <v>0.04187192118</v>
      </c>
      <c r="Q313" s="44">
        <f t="shared" si="319"/>
        <v>0.04117647059</v>
      </c>
      <c r="R313" s="44">
        <f t="shared" si="319"/>
        <v>0.125</v>
      </c>
      <c r="S313" s="44">
        <f t="shared" si="319"/>
        <v>0</v>
      </c>
      <c r="T313" s="44">
        <f t="shared" si="319"/>
        <v>0</v>
      </c>
    </row>
    <row r="314" ht="15.75" customHeight="1">
      <c r="F314" s="24"/>
      <c r="G314" s="19">
        <f>$G$28</f>
        <v>20</v>
      </c>
      <c r="H314" s="45">
        <v>17.0</v>
      </c>
      <c r="I314" s="31">
        <v>9.0</v>
      </c>
      <c r="J314" s="20"/>
      <c r="K314" s="20"/>
      <c r="L314" s="31">
        <v>1.0</v>
      </c>
      <c r="N314" s="24"/>
      <c r="O314" s="19">
        <f>$G$28</f>
        <v>20</v>
      </c>
      <c r="P314" s="44">
        <f t="shared" ref="P314:T314" si="320">H314/H$318</f>
        <v>0.04187192118</v>
      </c>
      <c r="Q314" s="44">
        <f t="shared" si="320"/>
        <v>0.05294117647</v>
      </c>
      <c r="R314" s="44">
        <f t="shared" si="320"/>
        <v>0</v>
      </c>
      <c r="S314" s="44">
        <f t="shared" si="320"/>
        <v>0</v>
      </c>
      <c r="T314" s="44">
        <f t="shared" si="320"/>
        <v>0.01538461538</v>
      </c>
    </row>
    <row r="315" ht="15.75" customHeight="1">
      <c r="F315" s="24"/>
      <c r="G315" s="19">
        <f>$G$29</f>
        <v>21</v>
      </c>
      <c r="H315" s="45">
        <v>11.0</v>
      </c>
      <c r="I315" s="31">
        <v>5.0</v>
      </c>
      <c r="J315" s="31">
        <v>1.0</v>
      </c>
      <c r="K315" s="20"/>
      <c r="L315" s="20"/>
      <c r="N315" s="24"/>
      <c r="O315" s="19">
        <f>$G$29</f>
        <v>21</v>
      </c>
      <c r="P315" s="44">
        <f t="shared" ref="P315:T315" si="321">H315/H$318</f>
        <v>0.02709359606</v>
      </c>
      <c r="Q315" s="44">
        <f t="shared" si="321"/>
        <v>0.02941176471</v>
      </c>
      <c r="R315" s="44">
        <f t="shared" si="321"/>
        <v>0.125</v>
      </c>
      <c r="S315" s="44">
        <f t="shared" si="321"/>
        <v>0</v>
      </c>
      <c r="T315" s="44">
        <f t="shared" si="321"/>
        <v>0</v>
      </c>
    </row>
    <row r="316" ht="15.75" customHeight="1">
      <c r="F316" s="24"/>
      <c r="G316" s="19">
        <f>$G$30</f>
        <v>22</v>
      </c>
      <c r="H316" s="109">
        <v>8.0</v>
      </c>
      <c r="I316" s="110">
        <v>5.0</v>
      </c>
      <c r="J316" s="57"/>
      <c r="K316" s="57"/>
      <c r="L316" s="57"/>
      <c r="N316" s="24"/>
      <c r="O316" s="19">
        <f>$G$30</f>
        <v>22</v>
      </c>
      <c r="P316" s="44">
        <f t="shared" ref="P316:T316" si="322">H316/H$318</f>
        <v>0.0197044335</v>
      </c>
      <c r="Q316" s="44">
        <f t="shared" si="322"/>
        <v>0.02941176471</v>
      </c>
      <c r="R316" s="44">
        <f t="shared" si="322"/>
        <v>0</v>
      </c>
      <c r="S316" s="44">
        <f t="shared" si="322"/>
        <v>0</v>
      </c>
      <c r="T316" s="44">
        <f t="shared" si="322"/>
        <v>0</v>
      </c>
    </row>
    <row r="317" ht="15.75" customHeight="1">
      <c r="F317" s="28"/>
      <c r="G317" s="19">
        <f>$G$31</f>
        <v>23</v>
      </c>
      <c r="H317" s="46">
        <v>8.0</v>
      </c>
      <c r="I317" s="61">
        <v>1.0</v>
      </c>
      <c r="J317" s="20"/>
      <c r="K317" s="20"/>
      <c r="L317" s="20"/>
      <c r="N317" s="28"/>
      <c r="O317" s="19">
        <f>$G$31</f>
        <v>23</v>
      </c>
      <c r="P317" s="44">
        <f t="shared" ref="P317:T317" si="323">H317/H$318</f>
        <v>0.0197044335</v>
      </c>
      <c r="Q317" s="44">
        <f t="shared" si="323"/>
        <v>0.005882352941</v>
      </c>
      <c r="R317" s="44">
        <f t="shared" si="323"/>
        <v>0</v>
      </c>
      <c r="S317" s="44">
        <f t="shared" si="323"/>
        <v>0</v>
      </c>
      <c r="T317" s="44">
        <f t="shared" si="323"/>
        <v>0</v>
      </c>
    </row>
    <row r="318" ht="15.75" customHeight="1">
      <c r="F318" s="111"/>
      <c r="G318" s="112"/>
      <c r="H318" s="26">
        <f t="shared" ref="H318:L318" si="324">SUM(H294:H317)</f>
        <v>406</v>
      </c>
      <c r="I318" s="26">
        <f t="shared" si="324"/>
        <v>170</v>
      </c>
      <c r="J318" s="26">
        <f t="shared" si="324"/>
        <v>8</v>
      </c>
      <c r="K318" s="26">
        <f t="shared" si="324"/>
        <v>26</v>
      </c>
      <c r="L318" s="26">
        <f t="shared" si="324"/>
        <v>65</v>
      </c>
    </row>
    <row r="319" ht="15.75" customHeight="1">
      <c r="G319" s="16"/>
      <c r="H319" s="17">
        <f>$H$7</f>
        <v>31</v>
      </c>
      <c r="I319" s="17">
        <f>$I$7</f>
        <v>32</v>
      </c>
      <c r="J319" s="17">
        <f>$J$7</f>
        <v>41</v>
      </c>
      <c r="K319" s="17">
        <f>$K$7</f>
        <v>42</v>
      </c>
      <c r="L319" s="17">
        <f>$L$7</f>
        <v>5</v>
      </c>
      <c r="O319" s="16"/>
      <c r="P319" s="17">
        <f>$H$7</f>
        <v>31</v>
      </c>
      <c r="Q319" s="17">
        <f>$I$7</f>
        <v>32</v>
      </c>
      <c r="R319" s="17">
        <f>$J$7</f>
        <v>41</v>
      </c>
      <c r="S319" s="17">
        <f>$K$7</f>
        <v>42</v>
      </c>
      <c r="T319" s="17">
        <f>$L$7</f>
        <v>5</v>
      </c>
    </row>
    <row r="320" ht="15.75" customHeight="1">
      <c r="F320" s="56">
        <v>45219.0</v>
      </c>
      <c r="G320" s="19">
        <f>$G$8</f>
        <v>0</v>
      </c>
      <c r="H320" s="20"/>
      <c r="I320" s="20"/>
      <c r="J320" s="20"/>
      <c r="K320" s="20"/>
      <c r="L320" s="20"/>
      <c r="N320" s="56">
        <v>45219.0</v>
      </c>
      <c r="O320" s="19">
        <f>$G$8</f>
        <v>0</v>
      </c>
      <c r="P320" s="40">
        <f t="shared" ref="P320:T320" si="325">H320/H$344</f>
        <v>0</v>
      </c>
      <c r="Q320" s="40">
        <f t="shared" si="325"/>
        <v>0</v>
      </c>
      <c r="R320" s="40">
        <f t="shared" si="325"/>
        <v>0</v>
      </c>
      <c r="S320" s="40">
        <f t="shared" si="325"/>
        <v>0</v>
      </c>
      <c r="T320" s="40">
        <f t="shared" si="325"/>
        <v>0</v>
      </c>
    </row>
    <row r="321" ht="15.75" customHeight="1">
      <c r="F321" s="24"/>
      <c r="G321" s="19">
        <f>$G$9</f>
        <v>1</v>
      </c>
      <c r="H321" s="20"/>
      <c r="I321" s="20">
        <v>1.0</v>
      </c>
      <c r="J321" s="20"/>
      <c r="K321" s="20"/>
      <c r="L321" s="20"/>
      <c r="N321" s="24"/>
      <c r="O321" s="19">
        <f>$G$9</f>
        <v>1</v>
      </c>
      <c r="P321" s="40">
        <f t="shared" ref="P321:T321" si="326">H321/H$344</f>
        <v>0</v>
      </c>
      <c r="Q321" s="40">
        <f t="shared" si="326"/>
        <v>0.00826446281</v>
      </c>
      <c r="R321" s="40">
        <f t="shared" si="326"/>
        <v>0</v>
      </c>
      <c r="S321" s="40">
        <f t="shared" si="326"/>
        <v>0</v>
      </c>
      <c r="T321" s="40">
        <f t="shared" si="326"/>
        <v>0</v>
      </c>
    </row>
    <row r="322" ht="15.75" customHeight="1">
      <c r="F322" s="24"/>
      <c r="G322" s="19">
        <f>$G$10</f>
        <v>2</v>
      </c>
      <c r="H322" s="34">
        <v>1.0</v>
      </c>
      <c r="I322" s="34"/>
      <c r="J322" s="34"/>
      <c r="K322" s="34"/>
      <c r="L322" s="34"/>
      <c r="N322" s="24"/>
      <c r="O322" s="19">
        <f>$G$10</f>
        <v>2</v>
      </c>
      <c r="P322" s="40">
        <f t="shared" ref="P322:T322" si="327">H322/H$344</f>
        <v>0.003322259136</v>
      </c>
      <c r="Q322" s="40">
        <f t="shared" si="327"/>
        <v>0</v>
      </c>
      <c r="R322" s="40">
        <f t="shared" si="327"/>
        <v>0</v>
      </c>
      <c r="S322" s="40">
        <f t="shared" si="327"/>
        <v>0</v>
      </c>
      <c r="T322" s="40">
        <f t="shared" si="327"/>
        <v>0</v>
      </c>
    </row>
    <row r="323" ht="15.75" customHeight="1">
      <c r="F323" s="24"/>
      <c r="G323" s="19">
        <f>$G$11</f>
        <v>3</v>
      </c>
      <c r="H323" s="20">
        <v>1.0</v>
      </c>
      <c r="I323" s="20"/>
      <c r="J323" s="20"/>
      <c r="K323" s="20"/>
      <c r="L323" s="20"/>
      <c r="N323" s="24"/>
      <c r="O323" s="19">
        <f>$G$11</f>
        <v>3</v>
      </c>
      <c r="P323" s="40">
        <f t="shared" ref="P323:T323" si="328">H323/H$344</f>
        <v>0.003322259136</v>
      </c>
      <c r="Q323" s="40">
        <f t="shared" si="328"/>
        <v>0</v>
      </c>
      <c r="R323" s="40">
        <f t="shared" si="328"/>
        <v>0</v>
      </c>
      <c r="S323" s="40">
        <f t="shared" si="328"/>
        <v>0</v>
      </c>
      <c r="T323" s="40">
        <f t="shared" si="328"/>
        <v>0</v>
      </c>
    </row>
    <row r="324" ht="15.75" customHeight="1">
      <c r="F324" s="24"/>
      <c r="G324" s="19">
        <f>$G$12</f>
        <v>4</v>
      </c>
      <c r="H324" s="20">
        <v>2.0</v>
      </c>
      <c r="I324" s="20"/>
      <c r="J324" s="20"/>
      <c r="K324" s="20"/>
      <c r="L324" s="20"/>
      <c r="N324" s="24"/>
      <c r="O324" s="19">
        <f>$G$12</f>
        <v>4</v>
      </c>
      <c r="P324" s="40">
        <f t="shared" ref="P324:T324" si="329">H324/H$344</f>
        <v>0.006644518272</v>
      </c>
      <c r="Q324" s="40">
        <f t="shared" si="329"/>
        <v>0</v>
      </c>
      <c r="R324" s="40">
        <f t="shared" si="329"/>
        <v>0</v>
      </c>
      <c r="S324" s="40">
        <f t="shared" si="329"/>
        <v>0</v>
      </c>
      <c r="T324" s="40">
        <f t="shared" si="329"/>
        <v>0</v>
      </c>
    </row>
    <row r="325" ht="15.75" customHeight="1">
      <c r="F325" s="24"/>
      <c r="G325" s="19">
        <f>$G$13</f>
        <v>5</v>
      </c>
      <c r="H325" s="20">
        <v>6.0</v>
      </c>
      <c r="I325" s="20">
        <v>2.0</v>
      </c>
      <c r="J325" s="20"/>
      <c r="K325" s="20">
        <v>2.0</v>
      </c>
      <c r="L325" s="20">
        <v>2.0</v>
      </c>
      <c r="N325" s="24"/>
      <c r="O325" s="19">
        <f>$G$13</f>
        <v>5</v>
      </c>
      <c r="P325" s="40">
        <f t="shared" ref="P325:T325" si="330">H325/H$344</f>
        <v>0.01993355482</v>
      </c>
      <c r="Q325" s="40">
        <f t="shared" si="330"/>
        <v>0.01652892562</v>
      </c>
      <c r="R325" s="40">
        <f t="shared" si="330"/>
        <v>0</v>
      </c>
      <c r="S325" s="40">
        <f t="shared" si="330"/>
        <v>0.1666666667</v>
      </c>
      <c r="T325" s="40">
        <f t="shared" si="330"/>
        <v>0.0487804878</v>
      </c>
    </row>
    <row r="326" ht="15.75" customHeight="1">
      <c r="F326" s="24"/>
      <c r="G326" s="19">
        <f>$G$14</f>
        <v>6</v>
      </c>
      <c r="H326" s="20">
        <v>6.0</v>
      </c>
      <c r="I326" s="20">
        <v>3.0</v>
      </c>
      <c r="J326" s="20"/>
      <c r="K326" s="20"/>
      <c r="L326" s="20">
        <v>2.0</v>
      </c>
      <c r="N326" s="24"/>
      <c r="O326" s="19">
        <f>$G$14</f>
        <v>6</v>
      </c>
      <c r="P326" s="40">
        <f t="shared" ref="P326:T326" si="331">H326/H$344</f>
        <v>0.01993355482</v>
      </c>
      <c r="Q326" s="40">
        <f t="shared" si="331"/>
        <v>0.02479338843</v>
      </c>
      <c r="R326" s="40">
        <f t="shared" si="331"/>
        <v>0</v>
      </c>
      <c r="S326" s="40">
        <f t="shared" si="331"/>
        <v>0</v>
      </c>
      <c r="T326" s="40">
        <f t="shared" si="331"/>
        <v>0.0487804878</v>
      </c>
    </row>
    <row r="327" ht="15.75" customHeight="1">
      <c r="F327" s="24"/>
      <c r="G327" s="19">
        <f>$G$15</f>
        <v>7</v>
      </c>
      <c r="H327" s="20">
        <v>21.0</v>
      </c>
      <c r="I327" s="20">
        <v>7.0</v>
      </c>
      <c r="J327" s="20">
        <v>1.0</v>
      </c>
      <c r="K327" s="20"/>
      <c r="L327" s="20">
        <v>1.0</v>
      </c>
      <c r="N327" s="24"/>
      <c r="O327" s="19">
        <f>$G$15</f>
        <v>7</v>
      </c>
      <c r="P327" s="40">
        <f t="shared" ref="P327:T327" si="332">H327/H$344</f>
        <v>0.06976744186</v>
      </c>
      <c r="Q327" s="40">
        <f t="shared" si="332"/>
        <v>0.05785123967</v>
      </c>
      <c r="R327" s="40">
        <f t="shared" si="332"/>
        <v>0.25</v>
      </c>
      <c r="S327" s="40">
        <f t="shared" si="332"/>
        <v>0</v>
      </c>
      <c r="T327" s="40">
        <f t="shared" si="332"/>
        <v>0.0243902439</v>
      </c>
    </row>
    <row r="328" ht="15.75" customHeight="1">
      <c r="F328" s="24"/>
      <c r="G328" s="19">
        <f>$G$16</f>
        <v>8</v>
      </c>
      <c r="H328" s="20">
        <v>17.0</v>
      </c>
      <c r="I328" s="20">
        <v>11.0</v>
      </c>
      <c r="J328" s="20"/>
      <c r="K328" s="20"/>
      <c r="L328" s="20">
        <v>3.0</v>
      </c>
      <c r="N328" s="24"/>
      <c r="O328" s="19">
        <f>$G$16</f>
        <v>8</v>
      </c>
      <c r="P328" s="40">
        <f t="shared" ref="P328:T328" si="333">H328/H$344</f>
        <v>0.05647840532</v>
      </c>
      <c r="Q328" s="40">
        <f t="shared" si="333"/>
        <v>0.09090909091</v>
      </c>
      <c r="R328" s="40">
        <f t="shared" si="333"/>
        <v>0</v>
      </c>
      <c r="S328" s="40">
        <f t="shared" si="333"/>
        <v>0</v>
      </c>
      <c r="T328" s="40">
        <f t="shared" si="333"/>
        <v>0.07317073171</v>
      </c>
    </row>
    <row r="329" ht="15.75" customHeight="1">
      <c r="F329" s="24"/>
      <c r="G329" s="19">
        <f>$G$17</f>
        <v>9</v>
      </c>
      <c r="H329" s="20">
        <v>23.0</v>
      </c>
      <c r="I329" s="20">
        <v>3.0</v>
      </c>
      <c r="J329" s="20"/>
      <c r="K329" s="20"/>
      <c r="L329" s="20">
        <v>5.0</v>
      </c>
      <c r="N329" s="24"/>
      <c r="O329" s="19">
        <f>$G$17</f>
        <v>9</v>
      </c>
      <c r="P329" s="40">
        <f t="shared" ref="P329:T329" si="334">H329/H$344</f>
        <v>0.07641196013</v>
      </c>
      <c r="Q329" s="40">
        <f t="shared" si="334"/>
        <v>0.02479338843</v>
      </c>
      <c r="R329" s="40">
        <f t="shared" si="334"/>
        <v>0</v>
      </c>
      <c r="S329" s="40">
        <f t="shared" si="334"/>
        <v>0</v>
      </c>
      <c r="T329" s="40">
        <f t="shared" si="334"/>
        <v>0.1219512195</v>
      </c>
    </row>
    <row r="330" ht="15.75" customHeight="1">
      <c r="F330" s="24"/>
      <c r="G330" s="19">
        <f>$G$18</f>
        <v>10</v>
      </c>
      <c r="H330" s="20">
        <v>8.0</v>
      </c>
      <c r="I330" s="20">
        <v>9.0</v>
      </c>
      <c r="J330" s="20">
        <v>1.0</v>
      </c>
      <c r="K330" s="20">
        <v>1.0</v>
      </c>
      <c r="L330" s="20">
        <v>3.0</v>
      </c>
      <c r="N330" s="24"/>
      <c r="O330" s="19">
        <f>$G$18</f>
        <v>10</v>
      </c>
      <c r="P330" s="40">
        <f t="shared" ref="P330:T330" si="335">H330/H$344</f>
        <v>0.02657807309</v>
      </c>
      <c r="Q330" s="40">
        <f t="shared" si="335"/>
        <v>0.07438016529</v>
      </c>
      <c r="R330" s="40">
        <f t="shared" si="335"/>
        <v>0.25</v>
      </c>
      <c r="S330" s="40">
        <f t="shared" si="335"/>
        <v>0.08333333333</v>
      </c>
      <c r="T330" s="40">
        <f t="shared" si="335"/>
        <v>0.07317073171</v>
      </c>
    </row>
    <row r="331" ht="15.75" customHeight="1">
      <c r="F331" s="24"/>
      <c r="G331" s="19">
        <f>$G$19</f>
        <v>11</v>
      </c>
      <c r="H331" s="20">
        <v>13.0</v>
      </c>
      <c r="I331" s="20">
        <v>11.0</v>
      </c>
      <c r="J331" s="20"/>
      <c r="K331" s="20">
        <v>2.0</v>
      </c>
      <c r="L331" s="20">
        <v>5.0</v>
      </c>
      <c r="N331" s="24"/>
      <c r="O331" s="19">
        <f>$G$19</f>
        <v>11</v>
      </c>
      <c r="P331" s="40">
        <f t="shared" ref="P331:T331" si="336">H331/H$344</f>
        <v>0.04318936877</v>
      </c>
      <c r="Q331" s="40">
        <f t="shared" si="336"/>
        <v>0.09090909091</v>
      </c>
      <c r="R331" s="40">
        <f t="shared" si="336"/>
        <v>0</v>
      </c>
      <c r="S331" s="40">
        <f t="shared" si="336"/>
        <v>0.1666666667</v>
      </c>
      <c r="T331" s="40">
        <f t="shared" si="336"/>
        <v>0.1219512195</v>
      </c>
    </row>
    <row r="332" ht="15.75" customHeight="1">
      <c r="F332" s="24"/>
      <c r="G332" s="19">
        <f>$G$20</f>
        <v>12</v>
      </c>
      <c r="H332" s="20">
        <v>11.0</v>
      </c>
      <c r="I332" s="20">
        <v>9.0</v>
      </c>
      <c r="J332" s="20"/>
      <c r="K332" s="20">
        <v>1.0</v>
      </c>
      <c r="L332" s="20">
        <v>2.0</v>
      </c>
      <c r="N332" s="24"/>
      <c r="O332" s="19">
        <f>$G$20</f>
        <v>12</v>
      </c>
      <c r="P332" s="40">
        <f t="shared" ref="P332:T332" si="337">H332/H$344</f>
        <v>0.0365448505</v>
      </c>
      <c r="Q332" s="40">
        <f t="shared" si="337"/>
        <v>0.07438016529</v>
      </c>
      <c r="R332" s="40">
        <f t="shared" si="337"/>
        <v>0</v>
      </c>
      <c r="S332" s="40">
        <f t="shared" si="337"/>
        <v>0.08333333333</v>
      </c>
      <c r="T332" s="40">
        <f t="shared" si="337"/>
        <v>0.0487804878</v>
      </c>
    </row>
    <row r="333" ht="15.75" customHeight="1">
      <c r="F333" s="24"/>
      <c r="G333" s="19">
        <f>$G$21</f>
        <v>13</v>
      </c>
      <c r="H333" s="20">
        <v>7.0</v>
      </c>
      <c r="I333" s="20">
        <v>7.0</v>
      </c>
      <c r="J333" s="20"/>
      <c r="K333" s="20">
        <v>1.0</v>
      </c>
      <c r="L333" s="20">
        <v>6.0</v>
      </c>
      <c r="N333" s="24"/>
      <c r="O333" s="19">
        <f>$G$21</f>
        <v>13</v>
      </c>
      <c r="P333" s="40">
        <f t="shared" ref="P333:T333" si="338">H333/H$344</f>
        <v>0.02325581395</v>
      </c>
      <c r="Q333" s="40">
        <f t="shared" si="338"/>
        <v>0.05785123967</v>
      </c>
      <c r="R333" s="40">
        <f t="shared" si="338"/>
        <v>0</v>
      </c>
      <c r="S333" s="40">
        <f t="shared" si="338"/>
        <v>0.08333333333</v>
      </c>
      <c r="T333" s="40">
        <f t="shared" si="338"/>
        <v>0.1463414634</v>
      </c>
    </row>
    <row r="334" ht="15.75" customHeight="1">
      <c r="F334" s="24"/>
      <c r="G334" s="19">
        <f>$G$22</f>
        <v>14</v>
      </c>
      <c r="H334" s="20">
        <v>17.0</v>
      </c>
      <c r="I334" s="20">
        <v>7.0</v>
      </c>
      <c r="J334" s="20">
        <v>1.0</v>
      </c>
      <c r="K334" s="20">
        <v>1.0</v>
      </c>
      <c r="L334" s="20">
        <v>6.0</v>
      </c>
      <c r="N334" s="24"/>
      <c r="O334" s="19">
        <f>$G$22</f>
        <v>14</v>
      </c>
      <c r="P334" s="40">
        <f t="shared" ref="P334:T334" si="339">H334/H$344</f>
        <v>0.05647840532</v>
      </c>
      <c r="Q334" s="40">
        <f t="shared" si="339"/>
        <v>0.05785123967</v>
      </c>
      <c r="R334" s="40">
        <f t="shared" si="339"/>
        <v>0.25</v>
      </c>
      <c r="S334" s="40">
        <f t="shared" si="339"/>
        <v>0.08333333333</v>
      </c>
      <c r="T334" s="40">
        <f t="shared" si="339"/>
        <v>0.1463414634</v>
      </c>
    </row>
    <row r="335" ht="15.75" customHeight="1">
      <c r="F335" s="24"/>
      <c r="G335" s="19">
        <f>$G$23</f>
        <v>15</v>
      </c>
      <c r="H335" s="20">
        <v>21.0</v>
      </c>
      <c r="I335" s="20">
        <v>6.0</v>
      </c>
      <c r="J335" s="20"/>
      <c r="K335" s="20">
        <v>1.0</v>
      </c>
      <c r="L335" s="20">
        <v>4.0</v>
      </c>
      <c r="N335" s="24"/>
      <c r="O335" s="19">
        <f>$G$23</f>
        <v>15</v>
      </c>
      <c r="P335" s="40">
        <f t="shared" ref="P335:T335" si="340">H335/H$344</f>
        <v>0.06976744186</v>
      </c>
      <c r="Q335" s="40">
        <f t="shared" si="340"/>
        <v>0.04958677686</v>
      </c>
      <c r="R335" s="40">
        <f t="shared" si="340"/>
        <v>0</v>
      </c>
      <c r="S335" s="40">
        <f t="shared" si="340"/>
        <v>0.08333333333</v>
      </c>
      <c r="T335" s="40">
        <f t="shared" si="340"/>
        <v>0.09756097561</v>
      </c>
    </row>
    <row r="336" ht="15.75" customHeight="1">
      <c r="F336" s="24"/>
      <c r="G336" s="19">
        <f>$G$24</f>
        <v>16</v>
      </c>
      <c r="H336" s="20">
        <v>24.0</v>
      </c>
      <c r="I336" s="20">
        <v>11.0</v>
      </c>
      <c r="J336" s="20">
        <v>1.0</v>
      </c>
      <c r="K336" s="20">
        <v>1.0</v>
      </c>
      <c r="L336" s="20">
        <v>2.0</v>
      </c>
      <c r="N336" s="24"/>
      <c r="O336" s="19">
        <f>$G$24</f>
        <v>16</v>
      </c>
      <c r="P336" s="40">
        <f t="shared" ref="P336:T336" si="341">H336/H$344</f>
        <v>0.07973421927</v>
      </c>
      <c r="Q336" s="40">
        <f t="shared" si="341"/>
        <v>0.09090909091</v>
      </c>
      <c r="R336" s="40">
        <f t="shared" si="341"/>
        <v>0.25</v>
      </c>
      <c r="S336" s="40">
        <f t="shared" si="341"/>
        <v>0.08333333333</v>
      </c>
      <c r="T336" s="40">
        <f t="shared" si="341"/>
        <v>0.0487804878</v>
      </c>
    </row>
    <row r="337" ht="15.75" customHeight="1">
      <c r="F337" s="24"/>
      <c r="G337" s="19">
        <f>$G$25</f>
        <v>17</v>
      </c>
      <c r="H337" s="20">
        <v>23.0</v>
      </c>
      <c r="I337" s="20">
        <v>5.0</v>
      </c>
      <c r="J337" s="20"/>
      <c r="K337" s="20"/>
      <c r="L337" s="20"/>
      <c r="N337" s="24"/>
      <c r="O337" s="19">
        <f>$G$25</f>
        <v>17</v>
      </c>
      <c r="P337" s="40">
        <f t="shared" ref="P337:T337" si="342">H337/H$344</f>
        <v>0.07641196013</v>
      </c>
      <c r="Q337" s="40">
        <f t="shared" si="342"/>
        <v>0.04132231405</v>
      </c>
      <c r="R337" s="40">
        <f t="shared" si="342"/>
        <v>0</v>
      </c>
      <c r="S337" s="40">
        <f t="shared" si="342"/>
        <v>0</v>
      </c>
      <c r="T337" s="40">
        <f t="shared" si="342"/>
        <v>0</v>
      </c>
    </row>
    <row r="338" ht="15.75" customHeight="1">
      <c r="F338" s="24"/>
      <c r="G338" s="19">
        <f>$G$26</f>
        <v>18</v>
      </c>
      <c r="H338" s="20">
        <v>19.0</v>
      </c>
      <c r="I338" s="20">
        <v>7.0</v>
      </c>
      <c r="J338" s="20"/>
      <c r="K338" s="20">
        <v>1.0</v>
      </c>
      <c r="L338" s="20"/>
      <c r="N338" s="24"/>
      <c r="O338" s="19">
        <f>$G$26</f>
        <v>18</v>
      </c>
      <c r="P338" s="40">
        <f t="shared" ref="P338:T338" si="343">H338/H$344</f>
        <v>0.06312292359</v>
      </c>
      <c r="Q338" s="40">
        <f t="shared" si="343"/>
        <v>0.05785123967</v>
      </c>
      <c r="R338" s="40">
        <f t="shared" si="343"/>
        <v>0</v>
      </c>
      <c r="S338" s="40">
        <f t="shared" si="343"/>
        <v>0.08333333333</v>
      </c>
      <c r="T338" s="40">
        <f t="shared" si="343"/>
        <v>0</v>
      </c>
    </row>
    <row r="339" ht="15.75" customHeight="1">
      <c r="F339" s="24"/>
      <c r="G339" s="19">
        <f>$G$27</f>
        <v>19</v>
      </c>
      <c r="H339" s="20">
        <v>26.0</v>
      </c>
      <c r="I339" s="20">
        <v>6.0</v>
      </c>
      <c r="J339" s="20"/>
      <c r="K339" s="20"/>
      <c r="L339" s="20"/>
      <c r="N339" s="24"/>
      <c r="O339" s="19">
        <f>$G$27</f>
        <v>19</v>
      </c>
      <c r="P339" s="40">
        <f t="shared" ref="P339:T339" si="344">H339/H$344</f>
        <v>0.08637873754</v>
      </c>
      <c r="Q339" s="40">
        <f t="shared" si="344"/>
        <v>0.04958677686</v>
      </c>
      <c r="R339" s="40">
        <f t="shared" si="344"/>
        <v>0</v>
      </c>
      <c r="S339" s="40">
        <f t="shared" si="344"/>
        <v>0</v>
      </c>
      <c r="T339" s="40">
        <f t="shared" si="344"/>
        <v>0</v>
      </c>
    </row>
    <row r="340" ht="15.75" customHeight="1">
      <c r="F340" s="24"/>
      <c r="G340" s="19">
        <f>$G$28</f>
        <v>20</v>
      </c>
      <c r="H340" s="20">
        <v>24.0</v>
      </c>
      <c r="I340" s="20">
        <v>7.0</v>
      </c>
      <c r="J340" s="20"/>
      <c r="K340" s="20"/>
      <c r="L340" s="20"/>
      <c r="N340" s="24"/>
      <c r="O340" s="19">
        <f>$G$28</f>
        <v>20</v>
      </c>
      <c r="P340" s="40">
        <f t="shared" ref="P340:T340" si="345">H340/H$344</f>
        <v>0.07973421927</v>
      </c>
      <c r="Q340" s="40">
        <f t="shared" si="345"/>
        <v>0.05785123967</v>
      </c>
      <c r="R340" s="40">
        <f t="shared" si="345"/>
        <v>0</v>
      </c>
      <c r="S340" s="40">
        <f t="shared" si="345"/>
        <v>0</v>
      </c>
      <c r="T340" s="40">
        <f t="shared" si="345"/>
        <v>0</v>
      </c>
    </row>
    <row r="341" ht="15.75" customHeight="1">
      <c r="F341" s="24"/>
      <c r="G341" s="19">
        <f>$G$29</f>
        <v>21</v>
      </c>
      <c r="H341" s="20">
        <v>14.0</v>
      </c>
      <c r="I341" s="20">
        <v>7.0</v>
      </c>
      <c r="J341" s="20"/>
      <c r="K341" s="20"/>
      <c r="L341" s="20"/>
      <c r="N341" s="24"/>
      <c r="O341" s="19">
        <f>$G$29</f>
        <v>21</v>
      </c>
      <c r="P341" s="40">
        <f t="shared" ref="P341:T341" si="346">H341/H$344</f>
        <v>0.04651162791</v>
      </c>
      <c r="Q341" s="40">
        <f t="shared" si="346"/>
        <v>0.05785123967</v>
      </c>
      <c r="R341" s="40">
        <f t="shared" si="346"/>
        <v>0</v>
      </c>
      <c r="S341" s="40">
        <f t="shared" si="346"/>
        <v>0</v>
      </c>
      <c r="T341" s="40">
        <f t="shared" si="346"/>
        <v>0</v>
      </c>
    </row>
    <row r="342" ht="15.75" customHeight="1">
      <c r="F342" s="24"/>
      <c r="G342" s="19">
        <f>$G$30</f>
        <v>22</v>
      </c>
      <c r="H342" s="20">
        <v>13.0</v>
      </c>
      <c r="I342" s="20">
        <v>1.0</v>
      </c>
      <c r="J342" s="20"/>
      <c r="K342" s="20">
        <v>1.0</v>
      </c>
      <c r="L342" s="20"/>
      <c r="N342" s="24"/>
      <c r="O342" s="19">
        <f>$G$30</f>
        <v>22</v>
      </c>
      <c r="P342" s="40">
        <f t="shared" ref="P342:T342" si="347">H342/H$344</f>
        <v>0.04318936877</v>
      </c>
      <c r="Q342" s="40">
        <f t="shared" si="347"/>
        <v>0.00826446281</v>
      </c>
      <c r="R342" s="40">
        <f t="shared" si="347"/>
        <v>0</v>
      </c>
      <c r="S342" s="40">
        <f t="shared" si="347"/>
        <v>0.08333333333</v>
      </c>
      <c r="T342" s="40">
        <f t="shared" si="347"/>
        <v>0</v>
      </c>
    </row>
    <row r="343" ht="15.75" customHeight="1">
      <c r="F343" s="28"/>
      <c r="G343" s="19">
        <f>$G$31</f>
        <v>23</v>
      </c>
      <c r="H343" s="20">
        <v>4.0</v>
      </c>
      <c r="I343" s="20">
        <v>1.0</v>
      </c>
      <c r="J343" s="20"/>
      <c r="K343" s="20"/>
      <c r="L343" s="20"/>
      <c r="N343" s="28"/>
      <c r="O343" s="19">
        <f>$G$31</f>
        <v>23</v>
      </c>
      <c r="P343" s="40">
        <f t="shared" ref="P343:T343" si="348">H343/H$344</f>
        <v>0.01328903654</v>
      </c>
      <c r="Q343" s="40">
        <f t="shared" si="348"/>
        <v>0.00826446281</v>
      </c>
      <c r="R343" s="40">
        <f t="shared" si="348"/>
        <v>0</v>
      </c>
      <c r="S343" s="40">
        <f t="shared" si="348"/>
        <v>0</v>
      </c>
      <c r="T343" s="40">
        <f t="shared" si="348"/>
        <v>0</v>
      </c>
    </row>
    <row r="344" ht="15.75" customHeight="1">
      <c r="F344" s="111"/>
      <c r="G344" s="112"/>
      <c r="H344" s="26">
        <f t="shared" ref="H344:L344" si="349">SUM(H320:H343)</f>
        <v>301</v>
      </c>
      <c r="I344" s="26">
        <f t="shared" si="349"/>
        <v>121</v>
      </c>
      <c r="J344" s="26">
        <f t="shared" si="349"/>
        <v>4</v>
      </c>
      <c r="K344" s="26">
        <f t="shared" si="349"/>
        <v>12</v>
      </c>
      <c r="L344" s="26">
        <f t="shared" si="349"/>
        <v>41</v>
      </c>
    </row>
    <row r="345" ht="15.75" customHeight="1">
      <c r="G345" s="16"/>
      <c r="H345" s="17">
        <f>$H$7</f>
        <v>31</v>
      </c>
      <c r="I345" s="17">
        <f>$I$7</f>
        <v>32</v>
      </c>
      <c r="J345" s="17">
        <f>$J$7</f>
        <v>41</v>
      </c>
      <c r="K345" s="17">
        <f>$K$7</f>
        <v>42</v>
      </c>
      <c r="L345" s="17">
        <f>$L$7</f>
        <v>5</v>
      </c>
      <c r="O345" s="16"/>
      <c r="P345" s="17">
        <f>$H$7</f>
        <v>31</v>
      </c>
      <c r="Q345" s="17">
        <f>$I$7</f>
        <v>32</v>
      </c>
      <c r="R345" s="17">
        <f>$J$7</f>
        <v>41</v>
      </c>
      <c r="S345" s="17">
        <f>$K$7</f>
        <v>42</v>
      </c>
      <c r="T345" s="17">
        <f>$L$7</f>
        <v>5</v>
      </c>
    </row>
    <row r="346" ht="15.75" customHeight="1">
      <c r="F346" s="56">
        <v>45220.0</v>
      </c>
      <c r="G346" s="19">
        <f>$G$8</f>
        <v>0</v>
      </c>
      <c r="H346" s="20">
        <v>2.0</v>
      </c>
      <c r="I346" s="20">
        <v>4.0</v>
      </c>
      <c r="J346" s="20"/>
      <c r="K346" s="20"/>
      <c r="L346" s="20"/>
      <c r="N346" s="56">
        <v>45220.0</v>
      </c>
      <c r="O346" s="19">
        <f>$G$8</f>
        <v>0</v>
      </c>
      <c r="P346" s="40">
        <f t="shared" ref="P346:T346" si="350">H346/H$370</f>
        <v>0.006269592476</v>
      </c>
      <c r="Q346" s="40">
        <f t="shared" si="350"/>
        <v>0.03149606299</v>
      </c>
      <c r="R346" s="40">
        <f t="shared" si="350"/>
        <v>0</v>
      </c>
      <c r="S346" s="40">
        <f t="shared" si="350"/>
        <v>0</v>
      </c>
      <c r="T346" s="40">
        <f t="shared" si="350"/>
        <v>0</v>
      </c>
    </row>
    <row r="347" ht="15.75" customHeight="1">
      <c r="F347" s="24"/>
      <c r="G347" s="19">
        <f>$G$9</f>
        <v>1</v>
      </c>
      <c r="H347" s="20">
        <v>5.0</v>
      </c>
      <c r="I347" s="20"/>
      <c r="J347" s="20"/>
      <c r="K347" s="20"/>
      <c r="L347" s="20"/>
      <c r="N347" s="24"/>
      <c r="O347" s="19">
        <f>$G$9</f>
        <v>1</v>
      </c>
      <c r="P347" s="40">
        <f t="shared" ref="P347:T347" si="351">H347/H$370</f>
        <v>0.01567398119</v>
      </c>
      <c r="Q347" s="40">
        <f t="shared" si="351"/>
        <v>0</v>
      </c>
      <c r="R347" s="40">
        <f t="shared" si="351"/>
        <v>0</v>
      </c>
      <c r="S347" s="40">
        <f t="shared" si="351"/>
        <v>0</v>
      </c>
      <c r="T347" s="40">
        <f t="shared" si="351"/>
        <v>0</v>
      </c>
    </row>
    <row r="348" ht="15.75" customHeight="1">
      <c r="F348" s="24"/>
      <c r="G348" s="19">
        <f>$G$10</f>
        <v>2</v>
      </c>
      <c r="H348" s="16">
        <v>4.0</v>
      </c>
      <c r="I348" s="16">
        <v>1.0</v>
      </c>
      <c r="J348" s="16"/>
      <c r="K348" s="16"/>
      <c r="L348" s="16"/>
      <c r="N348" s="24"/>
      <c r="O348" s="19">
        <f>$G$10</f>
        <v>2</v>
      </c>
      <c r="P348" s="40">
        <f t="shared" ref="P348:T348" si="352">H348/H$370</f>
        <v>0.01253918495</v>
      </c>
      <c r="Q348" s="40">
        <f t="shared" si="352"/>
        <v>0.007874015748</v>
      </c>
      <c r="R348" s="40">
        <f t="shared" si="352"/>
        <v>0</v>
      </c>
      <c r="S348" s="40">
        <f t="shared" si="352"/>
        <v>0</v>
      </c>
      <c r="T348" s="40">
        <f t="shared" si="352"/>
        <v>0</v>
      </c>
    </row>
    <row r="349" ht="15.75" customHeight="1">
      <c r="F349" s="24"/>
      <c r="G349" s="19">
        <f>$G$11</f>
        <v>3</v>
      </c>
      <c r="H349" s="20"/>
      <c r="I349" s="20">
        <v>1.0</v>
      </c>
      <c r="J349" s="20"/>
      <c r="K349" s="20"/>
      <c r="L349" s="20"/>
      <c r="N349" s="24"/>
      <c r="O349" s="19">
        <f>$G$11</f>
        <v>3</v>
      </c>
      <c r="P349" s="40">
        <f t="shared" ref="P349:T349" si="353">H349/H$370</f>
        <v>0</v>
      </c>
      <c r="Q349" s="40">
        <f t="shared" si="353"/>
        <v>0.007874015748</v>
      </c>
      <c r="R349" s="40">
        <f t="shared" si="353"/>
        <v>0</v>
      </c>
      <c r="S349" s="40">
        <f t="shared" si="353"/>
        <v>0</v>
      </c>
      <c r="T349" s="40">
        <f t="shared" si="353"/>
        <v>0</v>
      </c>
    </row>
    <row r="350" ht="15.75" customHeight="1">
      <c r="F350" s="24"/>
      <c r="G350" s="19">
        <f>$G$12</f>
        <v>4</v>
      </c>
      <c r="H350" s="20">
        <v>1.0</v>
      </c>
      <c r="I350" s="20"/>
      <c r="J350" s="20"/>
      <c r="K350" s="20">
        <v>1.0</v>
      </c>
      <c r="L350" s="20">
        <v>1.0</v>
      </c>
      <c r="N350" s="24"/>
      <c r="O350" s="19">
        <f>$G$12</f>
        <v>4</v>
      </c>
      <c r="P350" s="40">
        <f t="shared" ref="P350:T350" si="354">H350/H$370</f>
        <v>0.003134796238</v>
      </c>
      <c r="Q350" s="40">
        <f t="shared" si="354"/>
        <v>0</v>
      </c>
      <c r="R350" s="40">
        <f t="shared" si="354"/>
        <v>0</v>
      </c>
      <c r="S350" s="40">
        <f t="shared" si="354"/>
        <v>0.1666666667</v>
      </c>
      <c r="T350" s="40">
        <f t="shared" si="354"/>
        <v>0.04</v>
      </c>
    </row>
    <row r="351" ht="15.75" customHeight="1">
      <c r="F351" s="24"/>
      <c r="G351" s="19">
        <f>$G$13</f>
        <v>5</v>
      </c>
      <c r="H351" s="20">
        <v>7.0</v>
      </c>
      <c r="I351" s="20">
        <v>3.0</v>
      </c>
      <c r="J351" s="20"/>
      <c r="K351" s="20"/>
      <c r="L351" s="20">
        <v>2.0</v>
      </c>
      <c r="N351" s="24"/>
      <c r="O351" s="19">
        <f>$G$13</f>
        <v>5</v>
      </c>
      <c r="P351" s="40">
        <f t="shared" ref="P351:T351" si="355">H351/H$370</f>
        <v>0.02194357367</v>
      </c>
      <c r="Q351" s="40">
        <f t="shared" si="355"/>
        <v>0.02362204724</v>
      </c>
      <c r="R351" s="40">
        <f t="shared" si="355"/>
        <v>0</v>
      </c>
      <c r="S351" s="40">
        <f t="shared" si="355"/>
        <v>0</v>
      </c>
      <c r="T351" s="40">
        <f t="shared" si="355"/>
        <v>0.08</v>
      </c>
    </row>
    <row r="352" ht="15.75" customHeight="1">
      <c r="F352" s="24"/>
      <c r="G352" s="19">
        <f>$G$14</f>
        <v>6</v>
      </c>
      <c r="H352" s="20">
        <v>2.0</v>
      </c>
      <c r="I352" s="20">
        <v>4.0</v>
      </c>
      <c r="J352" s="20"/>
      <c r="K352" s="20">
        <v>1.0</v>
      </c>
      <c r="L352" s="20">
        <v>1.0</v>
      </c>
      <c r="N352" s="24"/>
      <c r="O352" s="19">
        <f>$G$14</f>
        <v>6</v>
      </c>
      <c r="P352" s="40">
        <f t="shared" ref="P352:T352" si="356">H352/H$370</f>
        <v>0.006269592476</v>
      </c>
      <c r="Q352" s="40">
        <f t="shared" si="356"/>
        <v>0.03149606299</v>
      </c>
      <c r="R352" s="40">
        <f t="shared" si="356"/>
        <v>0</v>
      </c>
      <c r="S352" s="40">
        <f t="shared" si="356"/>
        <v>0.1666666667</v>
      </c>
      <c r="T352" s="40">
        <f t="shared" si="356"/>
        <v>0.04</v>
      </c>
    </row>
    <row r="353" ht="15.75" customHeight="1">
      <c r="F353" s="24"/>
      <c r="G353" s="19">
        <f>$G$15</f>
        <v>7</v>
      </c>
      <c r="H353" s="20">
        <v>23.0</v>
      </c>
      <c r="I353" s="20">
        <v>10.0</v>
      </c>
      <c r="J353" s="20">
        <v>4.0</v>
      </c>
      <c r="K353" s="20"/>
      <c r="L353" s="20">
        <v>2.0</v>
      </c>
      <c r="N353" s="24"/>
      <c r="O353" s="19">
        <f>$G$15</f>
        <v>7</v>
      </c>
      <c r="P353" s="40">
        <f t="shared" ref="P353:T353" si="357">H353/H$370</f>
        <v>0.07210031348</v>
      </c>
      <c r="Q353" s="40">
        <f t="shared" si="357"/>
        <v>0.07874015748</v>
      </c>
      <c r="R353" s="40">
        <f t="shared" si="357"/>
        <v>0.8</v>
      </c>
      <c r="S353" s="40">
        <f t="shared" si="357"/>
        <v>0</v>
      </c>
      <c r="T353" s="40">
        <f t="shared" si="357"/>
        <v>0.08</v>
      </c>
    </row>
    <row r="354" ht="15.75" customHeight="1">
      <c r="F354" s="24"/>
      <c r="G354" s="19">
        <f>$G$16</f>
        <v>8</v>
      </c>
      <c r="H354" s="20">
        <v>26.0</v>
      </c>
      <c r="I354" s="20">
        <v>6.0</v>
      </c>
      <c r="J354" s="20"/>
      <c r="K354" s="20">
        <v>1.0</v>
      </c>
      <c r="L354" s="20">
        <v>2.0</v>
      </c>
      <c r="N354" s="24"/>
      <c r="O354" s="19">
        <f>$G$16</f>
        <v>8</v>
      </c>
      <c r="P354" s="40">
        <f t="shared" ref="P354:T354" si="358">H354/H$370</f>
        <v>0.08150470219</v>
      </c>
      <c r="Q354" s="40">
        <f t="shared" si="358"/>
        <v>0.04724409449</v>
      </c>
      <c r="R354" s="40">
        <f t="shared" si="358"/>
        <v>0</v>
      </c>
      <c r="S354" s="40">
        <f t="shared" si="358"/>
        <v>0.1666666667</v>
      </c>
      <c r="T354" s="40">
        <f t="shared" si="358"/>
        <v>0.08</v>
      </c>
    </row>
    <row r="355" ht="15.75" customHeight="1">
      <c r="F355" s="24"/>
      <c r="G355" s="19">
        <f>$G$17</f>
        <v>9</v>
      </c>
      <c r="H355" s="20">
        <v>19.0</v>
      </c>
      <c r="I355" s="20">
        <v>7.0</v>
      </c>
      <c r="J355" s="20"/>
      <c r="K355" s="20">
        <v>1.0</v>
      </c>
      <c r="L355" s="20">
        <v>4.0</v>
      </c>
      <c r="N355" s="24"/>
      <c r="O355" s="19">
        <f>$G$17</f>
        <v>9</v>
      </c>
      <c r="P355" s="40">
        <f t="shared" ref="P355:T355" si="359">H355/H$370</f>
        <v>0.05956112853</v>
      </c>
      <c r="Q355" s="40">
        <f t="shared" si="359"/>
        <v>0.05511811024</v>
      </c>
      <c r="R355" s="40">
        <f t="shared" si="359"/>
        <v>0</v>
      </c>
      <c r="S355" s="40">
        <f t="shared" si="359"/>
        <v>0.1666666667</v>
      </c>
      <c r="T355" s="40">
        <f t="shared" si="359"/>
        <v>0.16</v>
      </c>
    </row>
    <row r="356" ht="15.75" customHeight="1">
      <c r="F356" s="24"/>
      <c r="G356" s="19">
        <f>$G$18</f>
        <v>10</v>
      </c>
      <c r="H356" s="20">
        <v>14.0</v>
      </c>
      <c r="I356" s="20">
        <v>11.0</v>
      </c>
      <c r="J356" s="20"/>
      <c r="K356" s="20"/>
      <c r="L356" s="20">
        <v>3.0</v>
      </c>
      <c r="N356" s="24"/>
      <c r="O356" s="19">
        <f>$G$18</f>
        <v>10</v>
      </c>
      <c r="P356" s="40">
        <f t="shared" ref="P356:T356" si="360">H356/H$370</f>
        <v>0.04388714734</v>
      </c>
      <c r="Q356" s="40">
        <f t="shared" si="360"/>
        <v>0.08661417323</v>
      </c>
      <c r="R356" s="40">
        <f t="shared" si="360"/>
        <v>0</v>
      </c>
      <c r="S356" s="40">
        <f t="shared" si="360"/>
        <v>0</v>
      </c>
      <c r="T356" s="40">
        <f t="shared" si="360"/>
        <v>0.12</v>
      </c>
    </row>
    <row r="357" ht="15.75" customHeight="1">
      <c r="F357" s="24"/>
      <c r="G357" s="19">
        <f>$G$19</f>
        <v>11</v>
      </c>
      <c r="H357" s="20">
        <v>23.0</v>
      </c>
      <c r="I357" s="20">
        <v>8.0</v>
      </c>
      <c r="J357" s="20"/>
      <c r="K357" s="20"/>
      <c r="L357" s="20">
        <v>1.0</v>
      </c>
      <c r="N357" s="24"/>
      <c r="O357" s="19">
        <f>$G$19</f>
        <v>11</v>
      </c>
      <c r="P357" s="40">
        <f t="shared" ref="P357:T357" si="361">H357/H$370</f>
        <v>0.07210031348</v>
      </c>
      <c r="Q357" s="40">
        <f t="shared" si="361"/>
        <v>0.06299212598</v>
      </c>
      <c r="R357" s="40">
        <f t="shared" si="361"/>
        <v>0</v>
      </c>
      <c r="S357" s="40">
        <f t="shared" si="361"/>
        <v>0</v>
      </c>
      <c r="T357" s="40">
        <f t="shared" si="361"/>
        <v>0.04</v>
      </c>
    </row>
    <row r="358" ht="15.75" customHeight="1">
      <c r="F358" s="24"/>
      <c r="G358" s="19">
        <f>$G$20</f>
        <v>12</v>
      </c>
      <c r="H358" s="20">
        <v>21.0</v>
      </c>
      <c r="I358" s="20">
        <v>5.0</v>
      </c>
      <c r="J358" s="20"/>
      <c r="K358" s="20"/>
      <c r="L358" s="20">
        <v>3.0</v>
      </c>
      <c r="N358" s="24"/>
      <c r="O358" s="19">
        <f>$G$20</f>
        <v>12</v>
      </c>
      <c r="P358" s="40">
        <f t="shared" ref="P358:T358" si="362">H358/H$370</f>
        <v>0.065830721</v>
      </c>
      <c r="Q358" s="40">
        <f t="shared" si="362"/>
        <v>0.03937007874</v>
      </c>
      <c r="R358" s="40">
        <f t="shared" si="362"/>
        <v>0</v>
      </c>
      <c r="S358" s="40">
        <f t="shared" si="362"/>
        <v>0</v>
      </c>
      <c r="T358" s="40">
        <f t="shared" si="362"/>
        <v>0.12</v>
      </c>
    </row>
    <row r="359" ht="15.75" customHeight="1">
      <c r="F359" s="24"/>
      <c r="G359" s="19">
        <f>$G$21</f>
        <v>13</v>
      </c>
      <c r="H359" s="20">
        <v>18.0</v>
      </c>
      <c r="I359" s="20">
        <v>7.0</v>
      </c>
      <c r="J359" s="20"/>
      <c r="K359" s="20"/>
      <c r="L359" s="20">
        <v>2.0</v>
      </c>
      <c r="N359" s="24"/>
      <c r="O359" s="19">
        <f>$G$21</f>
        <v>13</v>
      </c>
      <c r="P359" s="40">
        <f t="shared" ref="P359:T359" si="363">H359/H$370</f>
        <v>0.05642633229</v>
      </c>
      <c r="Q359" s="40">
        <f t="shared" si="363"/>
        <v>0.05511811024</v>
      </c>
      <c r="R359" s="40">
        <f t="shared" si="363"/>
        <v>0</v>
      </c>
      <c r="S359" s="40">
        <f t="shared" si="363"/>
        <v>0</v>
      </c>
      <c r="T359" s="40">
        <f t="shared" si="363"/>
        <v>0.08</v>
      </c>
    </row>
    <row r="360" ht="15.75" customHeight="1">
      <c r="F360" s="24"/>
      <c r="G360" s="19">
        <f>$G$22</f>
        <v>14</v>
      </c>
      <c r="H360" s="20">
        <v>24.0</v>
      </c>
      <c r="I360" s="20">
        <v>8.0</v>
      </c>
      <c r="J360" s="20">
        <v>1.0</v>
      </c>
      <c r="K360" s="20"/>
      <c r="L360" s="20">
        <v>1.0</v>
      </c>
      <c r="N360" s="24"/>
      <c r="O360" s="19">
        <f>$G$22</f>
        <v>14</v>
      </c>
      <c r="P360" s="40">
        <f t="shared" ref="P360:T360" si="364">H360/H$370</f>
        <v>0.07523510972</v>
      </c>
      <c r="Q360" s="40">
        <f t="shared" si="364"/>
        <v>0.06299212598</v>
      </c>
      <c r="R360" s="40">
        <f t="shared" si="364"/>
        <v>0.2</v>
      </c>
      <c r="S360" s="40">
        <f t="shared" si="364"/>
        <v>0</v>
      </c>
      <c r="T360" s="40">
        <f t="shared" si="364"/>
        <v>0.04</v>
      </c>
    </row>
    <row r="361" ht="15.75" customHeight="1">
      <c r="F361" s="24"/>
      <c r="G361" s="19">
        <f>$G$23</f>
        <v>15</v>
      </c>
      <c r="H361" s="20">
        <v>24.0</v>
      </c>
      <c r="I361" s="20">
        <v>5.0</v>
      </c>
      <c r="J361" s="20"/>
      <c r="K361" s="20"/>
      <c r="L361" s="20">
        <v>2.0</v>
      </c>
      <c r="N361" s="24"/>
      <c r="O361" s="19">
        <f>$G$23</f>
        <v>15</v>
      </c>
      <c r="P361" s="40">
        <f t="shared" ref="P361:T361" si="365">H361/H$370</f>
        <v>0.07523510972</v>
      </c>
      <c r="Q361" s="40">
        <f t="shared" si="365"/>
        <v>0.03937007874</v>
      </c>
      <c r="R361" s="40">
        <f t="shared" si="365"/>
        <v>0</v>
      </c>
      <c r="S361" s="40">
        <f t="shared" si="365"/>
        <v>0</v>
      </c>
      <c r="T361" s="40">
        <f t="shared" si="365"/>
        <v>0.08</v>
      </c>
    </row>
    <row r="362" ht="15.75" customHeight="1">
      <c r="F362" s="24"/>
      <c r="G362" s="19">
        <f>$G$24</f>
        <v>16</v>
      </c>
      <c r="H362" s="20">
        <v>21.0</v>
      </c>
      <c r="I362" s="20">
        <v>10.0</v>
      </c>
      <c r="J362" s="20"/>
      <c r="K362" s="20"/>
      <c r="L362" s="20"/>
      <c r="N362" s="24"/>
      <c r="O362" s="19">
        <f>$G$24</f>
        <v>16</v>
      </c>
      <c r="P362" s="40">
        <f t="shared" ref="P362:T362" si="366">H362/H$370</f>
        <v>0.065830721</v>
      </c>
      <c r="Q362" s="40">
        <f t="shared" si="366"/>
        <v>0.07874015748</v>
      </c>
      <c r="R362" s="40">
        <f t="shared" si="366"/>
        <v>0</v>
      </c>
      <c r="S362" s="40">
        <f t="shared" si="366"/>
        <v>0</v>
      </c>
      <c r="T362" s="40">
        <f t="shared" si="366"/>
        <v>0</v>
      </c>
    </row>
    <row r="363" ht="15.75" customHeight="1">
      <c r="F363" s="24"/>
      <c r="G363" s="19">
        <f>$G$25</f>
        <v>17</v>
      </c>
      <c r="H363" s="20">
        <v>29.0</v>
      </c>
      <c r="I363" s="20">
        <v>13.0</v>
      </c>
      <c r="J363" s="20"/>
      <c r="K363" s="20"/>
      <c r="L363" s="20"/>
      <c r="N363" s="24"/>
      <c r="O363" s="19">
        <f>$G$25</f>
        <v>17</v>
      </c>
      <c r="P363" s="40">
        <f t="shared" ref="P363:T363" si="367">H363/H$370</f>
        <v>0.09090909091</v>
      </c>
      <c r="Q363" s="40">
        <f t="shared" si="367"/>
        <v>0.1023622047</v>
      </c>
      <c r="R363" s="40">
        <f t="shared" si="367"/>
        <v>0</v>
      </c>
      <c r="S363" s="40">
        <f t="shared" si="367"/>
        <v>0</v>
      </c>
      <c r="T363" s="40">
        <f t="shared" si="367"/>
        <v>0</v>
      </c>
    </row>
    <row r="364" ht="15.75" customHeight="1">
      <c r="F364" s="24"/>
      <c r="G364" s="19">
        <f>$G$26</f>
        <v>18</v>
      </c>
      <c r="H364" s="20">
        <v>12.0</v>
      </c>
      <c r="I364" s="20">
        <v>3.0</v>
      </c>
      <c r="J364" s="20"/>
      <c r="K364" s="20"/>
      <c r="L364" s="20">
        <v>1.0</v>
      </c>
      <c r="N364" s="24"/>
      <c r="O364" s="19">
        <f>$G$26</f>
        <v>18</v>
      </c>
      <c r="P364" s="40">
        <f t="shared" ref="P364:T364" si="368">H364/H$370</f>
        <v>0.03761755486</v>
      </c>
      <c r="Q364" s="40">
        <f t="shared" si="368"/>
        <v>0.02362204724</v>
      </c>
      <c r="R364" s="40">
        <f t="shared" si="368"/>
        <v>0</v>
      </c>
      <c r="S364" s="40">
        <f t="shared" si="368"/>
        <v>0</v>
      </c>
      <c r="T364" s="40">
        <f t="shared" si="368"/>
        <v>0.04</v>
      </c>
    </row>
    <row r="365" ht="15.75" customHeight="1">
      <c r="F365" s="24"/>
      <c r="G365" s="19">
        <f>$G$27</f>
        <v>19</v>
      </c>
      <c r="H365" s="20">
        <v>15.0</v>
      </c>
      <c r="I365" s="20">
        <v>9.0</v>
      </c>
      <c r="J365" s="20"/>
      <c r="K365" s="20">
        <v>1.0</v>
      </c>
      <c r="L365" s="20"/>
      <c r="N365" s="24"/>
      <c r="O365" s="19">
        <f>$G$27</f>
        <v>19</v>
      </c>
      <c r="P365" s="40">
        <f t="shared" ref="P365:T365" si="369">H365/H$370</f>
        <v>0.04702194357</v>
      </c>
      <c r="Q365" s="40">
        <f t="shared" si="369"/>
        <v>0.07086614173</v>
      </c>
      <c r="R365" s="40">
        <f t="shared" si="369"/>
        <v>0</v>
      </c>
      <c r="S365" s="40">
        <f t="shared" si="369"/>
        <v>0.1666666667</v>
      </c>
      <c r="T365" s="40">
        <f t="shared" si="369"/>
        <v>0</v>
      </c>
    </row>
    <row r="366" ht="15.75" customHeight="1">
      <c r="F366" s="24"/>
      <c r="G366" s="19">
        <f>$G$28</f>
        <v>20</v>
      </c>
      <c r="H366" s="20">
        <v>13.0</v>
      </c>
      <c r="I366" s="20">
        <v>6.0</v>
      </c>
      <c r="J366" s="20"/>
      <c r="K366" s="20"/>
      <c r="L366" s="20"/>
      <c r="N366" s="24"/>
      <c r="O366" s="19">
        <f>$G$28</f>
        <v>20</v>
      </c>
      <c r="P366" s="40">
        <f t="shared" ref="P366:T366" si="370">H366/H$370</f>
        <v>0.0407523511</v>
      </c>
      <c r="Q366" s="40">
        <f t="shared" si="370"/>
        <v>0.04724409449</v>
      </c>
      <c r="R366" s="40">
        <f t="shared" si="370"/>
        <v>0</v>
      </c>
      <c r="S366" s="40">
        <f t="shared" si="370"/>
        <v>0</v>
      </c>
      <c r="T366" s="40">
        <f t="shared" si="370"/>
        <v>0</v>
      </c>
    </row>
    <row r="367" ht="15.75" customHeight="1">
      <c r="F367" s="24"/>
      <c r="G367" s="19">
        <f>$G$29</f>
        <v>21</v>
      </c>
      <c r="H367" s="20">
        <v>9.0</v>
      </c>
      <c r="I367" s="20">
        <v>2.0</v>
      </c>
      <c r="J367" s="20"/>
      <c r="K367" s="20">
        <v>1.0</v>
      </c>
      <c r="L367" s="20"/>
      <c r="N367" s="24"/>
      <c r="O367" s="19">
        <f>$G$29</f>
        <v>21</v>
      </c>
      <c r="P367" s="40">
        <f t="shared" ref="P367:T367" si="371">H367/H$370</f>
        <v>0.02821316614</v>
      </c>
      <c r="Q367" s="40">
        <f t="shared" si="371"/>
        <v>0.0157480315</v>
      </c>
      <c r="R367" s="40">
        <f t="shared" si="371"/>
        <v>0</v>
      </c>
      <c r="S367" s="40">
        <f t="shared" si="371"/>
        <v>0.1666666667</v>
      </c>
      <c r="T367" s="40">
        <f t="shared" si="371"/>
        <v>0</v>
      </c>
    </row>
    <row r="368" ht="15.75" customHeight="1">
      <c r="F368" s="24"/>
      <c r="G368" s="19">
        <f>$G$30</f>
        <v>22</v>
      </c>
      <c r="H368" s="20">
        <v>4.0</v>
      </c>
      <c r="I368" s="20">
        <v>2.0</v>
      </c>
      <c r="J368" s="20"/>
      <c r="K368" s="20"/>
      <c r="L368" s="20"/>
      <c r="N368" s="24"/>
      <c r="O368" s="19">
        <f>$G$30</f>
        <v>22</v>
      </c>
      <c r="P368" s="40">
        <f t="shared" ref="P368:T368" si="372">H368/H$370</f>
        <v>0.01253918495</v>
      </c>
      <c r="Q368" s="40">
        <f t="shared" si="372"/>
        <v>0.0157480315</v>
      </c>
      <c r="R368" s="40">
        <f t="shared" si="372"/>
        <v>0</v>
      </c>
      <c r="S368" s="40">
        <f t="shared" si="372"/>
        <v>0</v>
      </c>
      <c r="T368" s="40">
        <f t="shared" si="372"/>
        <v>0</v>
      </c>
    </row>
    <row r="369" ht="15.75" customHeight="1">
      <c r="F369" s="28"/>
      <c r="G369" s="19">
        <f>$G$31</f>
        <v>23</v>
      </c>
      <c r="H369" s="20">
        <v>3.0</v>
      </c>
      <c r="I369" s="20">
        <v>2.0</v>
      </c>
      <c r="J369" s="20"/>
      <c r="K369" s="20"/>
      <c r="L369" s="20"/>
      <c r="N369" s="28"/>
      <c r="O369" s="19">
        <f>$G$31</f>
        <v>23</v>
      </c>
      <c r="P369" s="40">
        <f t="shared" ref="P369:T369" si="373">H369/H$370</f>
        <v>0.009404388715</v>
      </c>
      <c r="Q369" s="40">
        <f t="shared" si="373"/>
        <v>0.0157480315</v>
      </c>
      <c r="R369" s="40">
        <f t="shared" si="373"/>
        <v>0</v>
      </c>
      <c r="S369" s="40">
        <f t="shared" si="373"/>
        <v>0</v>
      </c>
      <c r="T369" s="40">
        <f t="shared" si="373"/>
        <v>0</v>
      </c>
    </row>
    <row r="370" ht="15.75" customHeight="1">
      <c r="F370" s="111"/>
      <c r="G370" s="112"/>
      <c r="H370" s="26">
        <f t="shared" ref="H370:L370" si="374">SUM(H346:H369)</f>
        <v>319</v>
      </c>
      <c r="I370" s="26">
        <f t="shared" si="374"/>
        <v>127</v>
      </c>
      <c r="J370" s="26">
        <f t="shared" si="374"/>
        <v>5</v>
      </c>
      <c r="K370" s="26">
        <f t="shared" si="374"/>
        <v>6</v>
      </c>
      <c r="L370" s="26">
        <f t="shared" si="374"/>
        <v>25</v>
      </c>
    </row>
    <row r="371" ht="15.75" customHeight="1">
      <c r="G371" s="16"/>
      <c r="H371" s="17">
        <f>$H$7</f>
        <v>31</v>
      </c>
      <c r="I371" s="17">
        <f>$I$7</f>
        <v>32</v>
      </c>
      <c r="J371" s="17">
        <f>$J$7</f>
        <v>41</v>
      </c>
      <c r="K371" s="17">
        <f>$K$7</f>
        <v>42</v>
      </c>
      <c r="L371" s="17">
        <f>$L$7</f>
        <v>5</v>
      </c>
      <c r="O371" s="16"/>
      <c r="P371" s="17">
        <f>$H$7</f>
        <v>31</v>
      </c>
      <c r="Q371" s="17">
        <f>$I$7</f>
        <v>32</v>
      </c>
      <c r="R371" s="17">
        <f>$J$7</f>
        <v>41</v>
      </c>
      <c r="S371" s="17">
        <f>$K$7</f>
        <v>42</v>
      </c>
      <c r="T371" s="17">
        <f>$L$7</f>
        <v>5</v>
      </c>
    </row>
    <row r="372" ht="15.75" customHeight="1">
      <c r="F372" s="56">
        <v>45221.0</v>
      </c>
      <c r="G372" s="19">
        <f>$G$8</f>
        <v>0</v>
      </c>
      <c r="H372" s="20">
        <v>4.0</v>
      </c>
      <c r="I372" s="20">
        <v>2.0</v>
      </c>
      <c r="J372" s="20"/>
      <c r="K372" s="20"/>
      <c r="L372" s="20"/>
      <c r="N372" s="56">
        <v>45221.0</v>
      </c>
      <c r="O372" s="19">
        <f>$G$8</f>
        <v>0</v>
      </c>
      <c r="P372" s="40">
        <f t="shared" ref="P372:T372" si="375">H372/H$396</f>
        <v>0.01152737752</v>
      </c>
      <c r="Q372" s="40">
        <f t="shared" si="375"/>
        <v>0.01923076923</v>
      </c>
      <c r="R372" s="40">
        <f t="shared" si="375"/>
        <v>0</v>
      </c>
      <c r="S372" s="40">
        <f t="shared" si="375"/>
        <v>0</v>
      </c>
      <c r="T372" s="40">
        <f t="shared" si="375"/>
        <v>0</v>
      </c>
    </row>
    <row r="373" ht="15.75" customHeight="1">
      <c r="F373" s="24"/>
      <c r="G373" s="19">
        <f>$G$9</f>
        <v>1</v>
      </c>
      <c r="H373" s="20">
        <v>4.0</v>
      </c>
      <c r="I373" s="20">
        <v>2.0</v>
      </c>
      <c r="J373" s="20"/>
      <c r="K373" s="20"/>
      <c r="L373" s="20"/>
      <c r="N373" s="24"/>
      <c r="O373" s="19">
        <f>$G$9</f>
        <v>1</v>
      </c>
      <c r="P373" s="40">
        <f t="shared" ref="P373:T373" si="376">H373/H$396</f>
        <v>0.01152737752</v>
      </c>
      <c r="Q373" s="40">
        <f t="shared" si="376"/>
        <v>0.01923076923</v>
      </c>
      <c r="R373" s="40">
        <f t="shared" si="376"/>
        <v>0</v>
      </c>
      <c r="S373" s="40">
        <f t="shared" si="376"/>
        <v>0</v>
      </c>
      <c r="T373" s="40">
        <f t="shared" si="376"/>
        <v>0</v>
      </c>
    </row>
    <row r="374" ht="15.75" customHeight="1">
      <c r="F374" s="24"/>
      <c r="G374" s="19">
        <f>$G$10</f>
        <v>2</v>
      </c>
      <c r="H374" s="16">
        <v>1.0</v>
      </c>
      <c r="I374" s="16"/>
      <c r="J374" s="16"/>
      <c r="K374" s="16"/>
      <c r="L374" s="16"/>
      <c r="N374" s="24"/>
      <c r="O374" s="19">
        <f>$G$10</f>
        <v>2</v>
      </c>
      <c r="P374" s="40">
        <f t="shared" ref="P374:T374" si="377">H374/H$396</f>
        <v>0.00288184438</v>
      </c>
      <c r="Q374" s="40">
        <f t="shared" si="377"/>
        <v>0</v>
      </c>
      <c r="R374" s="40">
        <f t="shared" si="377"/>
        <v>0</v>
      </c>
      <c r="S374" s="40">
        <f t="shared" si="377"/>
        <v>0</v>
      </c>
      <c r="T374" s="40">
        <f t="shared" si="377"/>
        <v>0</v>
      </c>
    </row>
    <row r="375" ht="15.75" customHeight="1">
      <c r="F375" s="24"/>
      <c r="G375" s="19">
        <f>$G$11</f>
        <v>3</v>
      </c>
      <c r="H375" s="20">
        <v>2.0</v>
      </c>
      <c r="I375" s="20">
        <v>1.0</v>
      </c>
      <c r="J375" s="20"/>
      <c r="K375" s="20"/>
      <c r="L375" s="20"/>
      <c r="N375" s="24"/>
      <c r="O375" s="19">
        <f>$G$11</f>
        <v>3</v>
      </c>
      <c r="P375" s="40">
        <f t="shared" ref="P375:T375" si="378">H375/H$396</f>
        <v>0.005763688761</v>
      </c>
      <c r="Q375" s="40">
        <f t="shared" si="378"/>
        <v>0.009615384615</v>
      </c>
      <c r="R375" s="40">
        <f t="shared" si="378"/>
        <v>0</v>
      </c>
      <c r="S375" s="40">
        <f t="shared" si="378"/>
        <v>0</v>
      </c>
      <c r="T375" s="40">
        <f t="shared" si="378"/>
        <v>0</v>
      </c>
    </row>
    <row r="376" ht="15.75" customHeight="1">
      <c r="F376" s="24"/>
      <c r="G376" s="19">
        <f>$G$12</f>
        <v>4</v>
      </c>
      <c r="H376" s="20">
        <v>1.0</v>
      </c>
      <c r="I376" s="20"/>
      <c r="J376" s="20"/>
      <c r="K376" s="20"/>
      <c r="L376" s="20">
        <v>1.0</v>
      </c>
      <c r="N376" s="24"/>
      <c r="O376" s="19">
        <f>$G$12</f>
        <v>4</v>
      </c>
      <c r="P376" s="40">
        <f t="shared" ref="P376:T376" si="379">H376/H$396</f>
        <v>0.00288184438</v>
      </c>
      <c r="Q376" s="40">
        <f t="shared" si="379"/>
        <v>0</v>
      </c>
      <c r="R376" s="40">
        <f t="shared" si="379"/>
        <v>0</v>
      </c>
      <c r="S376" s="40">
        <f t="shared" si="379"/>
        <v>0</v>
      </c>
      <c r="T376" s="40">
        <f t="shared" si="379"/>
        <v>0.3333333333</v>
      </c>
    </row>
    <row r="377" ht="15.75" customHeight="1">
      <c r="F377" s="24"/>
      <c r="G377" s="19">
        <f>$G$13</f>
        <v>5</v>
      </c>
      <c r="H377" s="20">
        <v>4.0</v>
      </c>
      <c r="I377" s="20">
        <v>2.0</v>
      </c>
      <c r="J377" s="20"/>
      <c r="K377" s="20"/>
      <c r="L377" s="20"/>
      <c r="N377" s="24"/>
      <c r="O377" s="19">
        <f>$G$13</f>
        <v>5</v>
      </c>
      <c r="P377" s="40">
        <f t="shared" ref="P377:T377" si="380">H377/H$396</f>
        <v>0.01152737752</v>
      </c>
      <c r="Q377" s="40">
        <f t="shared" si="380"/>
        <v>0.01923076923</v>
      </c>
      <c r="R377" s="40">
        <f t="shared" si="380"/>
        <v>0</v>
      </c>
      <c r="S377" s="40">
        <f t="shared" si="380"/>
        <v>0</v>
      </c>
      <c r="T377" s="40">
        <f t="shared" si="380"/>
        <v>0</v>
      </c>
    </row>
    <row r="378" ht="15.75" customHeight="1">
      <c r="F378" s="24"/>
      <c r="G378" s="19">
        <f>$G$14</f>
        <v>6</v>
      </c>
      <c r="H378" s="20">
        <v>7.0</v>
      </c>
      <c r="I378" s="20">
        <v>3.0</v>
      </c>
      <c r="J378" s="20">
        <v>1.0</v>
      </c>
      <c r="K378" s="20"/>
      <c r="L378" s="20">
        <v>1.0</v>
      </c>
      <c r="N378" s="24"/>
      <c r="O378" s="19">
        <f>$G$14</f>
        <v>6</v>
      </c>
      <c r="P378" s="40">
        <f t="shared" ref="P378:T378" si="381">H378/H$396</f>
        <v>0.02017291066</v>
      </c>
      <c r="Q378" s="40">
        <f t="shared" si="381"/>
        <v>0.02884615385</v>
      </c>
      <c r="R378" s="40">
        <f t="shared" si="381"/>
        <v>0.3333333333</v>
      </c>
      <c r="S378" s="40">
        <f t="shared" si="381"/>
        <v>0</v>
      </c>
      <c r="T378" s="40">
        <f t="shared" si="381"/>
        <v>0.3333333333</v>
      </c>
    </row>
    <row r="379" ht="15.75" customHeight="1">
      <c r="F379" s="24"/>
      <c r="G379" s="19">
        <f>$G$15</f>
        <v>7</v>
      </c>
      <c r="H379" s="20">
        <v>18.0</v>
      </c>
      <c r="I379" s="20">
        <v>7.0</v>
      </c>
      <c r="J379" s="20"/>
      <c r="K379" s="20">
        <v>1.0</v>
      </c>
      <c r="L379" s="20"/>
      <c r="N379" s="24"/>
      <c r="O379" s="19">
        <f>$G$15</f>
        <v>7</v>
      </c>
      <c r="P379" s="40">
        <f t="shared" ref="P379:T379" si="382">H379/H$396</f>
        <v>0.05187319885</v>
      </c>
      <c r="Q379" s="40">
        <f t="shared" si="382"/>
        <v>0.06730769231</v>
      </c>
      <c r="R379" s="40">
        <f t="shared" si="382"/>
        <v>0</v>
      </c>
      <c r="S379" s="40">
        <f t="shared" si="382"/>
        <v>0.25</v>
      </c>
      <c r="T379" s="40">
        <f t="shared" si="382"/>
        <v>0</v>
      </c>
    </row>
    <row r="380" ht="15.75" customHeight="1">
      <c r="F380" s="24"/>
      <c r="G380" s="19">
        <f>$G$16</f>
        <v>8</v>
      </c>
      <c r="H380" s="20">
        <v>11.0</v>
      </c>
      <c r="I380" s="20">
        <v>1.0</v>
      </c>
      <c r="J380" s="20"/>
      <c r="K380" s="20"/>
      <c r="L380" s="20">
        <v>1.0</v>
      </c>
      <c r="N380" s="24"/>
      <c r="O380" s="19">
        <f>$G$16</f>
        <v>8</v>
      </c>
      <c r="P380" s="40">
        <f t="shared" ref="P380:T380" si="383">H380/H$396</f>
        <v>0.03170028818</v>
      </c>
      <c r="Q380" s="40">
        <f t="shared" si="383"/>
        <v>0.009615384615</v>
      </c>
      <c r="R380" s="40">
        <f t="shared" si="383"/>
        <v>0</v>
      </c>
      <c r="S380" s="40">
        <f t="shared" si="383"/>
        <v>0</v>
      </c>
      <c r="T380" s="40">
        <f t="shared" si="383"/>
        <v>0.3333333333</v>
      </c>
    </row>
    <row r="381" ht="15.75" customHeight="1">
      <c r="F381" s="24"/>
      <c r="G381" s="19">
        <f>$G$17</f>
        <v>9</v>
      </c>
      <c r="H381" s="20">
        <v>13.0</v>
      </c>
      <c r="I381" s="20">
        <v>3.0</v>
      </c>
      <c r="J381" s="20"/>
      <c r="K381" s="20">
        <v>1.0</v>
      </c>
      <c r="L381" s="20"/>
      <c r="N381" s="24"/>
      <c r="O381" s="19">
        <f>$G$17</f>
        <v>9</v>
      </c>
      <c r="P381" s="40">
        <f t="shared" ref="P381:T381" si="384">H381/H$396</f>
        <v>0.03746397695</v>
      </c>
      <c r="Q381" s="40">
        <f t="shared" si="384"/>
        <v>0.02884615385</v>
      </c>
      <c r="R381" s="40">
        <f t="shared" si="384"/>
        <v>0</v>
      </c>
      <c r="S381" s="40">
        <f t="shared" si="384"/>
        <v>0.25</v>
      </c>
      <c r="T381" s="40">
        <f t="shared" si="384"/>
        <v>0</v>
      </c>
    </row>
    <row r="382" ht="15.75" customHeight="1">
      <c r="F382" s="24"/>
      <c r="G382" s="19">
        <f>$G$18</f>
        <v>10</v>
      </c>
      <c r="H382" s="20">
        <v>27.0</v>
      </c>
      <c r="I382" s="20">
        <v>4.0</v>
      </c>
      <c r="J382" s="20"/>
      <c r="K382" s="20"/>
      <c r="L382" s="20"/>
      <c r="N382" s="24"/>
      <c r="O382" s="19">
        <f>$G$18</f>
        <v>10</v>
      </c>
      <c r="P382" s="40">
        <f t="shared" ref="P382:T382" si="385">H382/H$396</f>
        <v>0.07780979827</v>
      </c>
      <c r="Q382" s="40">
        <f t="shared" si="385"/>
        <v>0.03846153846</v>
      </c>
      <c r="R382" s="40">
        <f t="shared" si="385"/>
        <v>0</v>
      </c>
      <c r="S382" s="40">
        <f t="shared" si="385"/>
        <v>0</v>
      </c>
      <c r="T382" s="40">
        <f t="shared" si="385"/>
        <v>0</v>
      </c>
    </row>
    <row r="383" ht="15.75" customHeight="1">
      <c r="F383" s="24"/>
      <c r="G383" s="19">
        <f>$G$19</f>
        <v>11</v>
      </c>
      <c r="H383" s="20">
        <v>30.0</v>
      </c>
      <c r="I383" s="20">
        <v>10.0</v>
      </c>
      <c r="J383" s="20"/>
      <c r="K383" s="20"/>
      <c r="L383" s="20"/>
      <c r="N383" s="24"/>
      <c r="O383" s="19">
        <f>$G$19</f>
        <v>11</v>
      </c>
      <c r="P383" s="40">
        <f t="shared" ref="P383:T383" si="386">H383/H$396</f>
        <v>0.08645533141</v>
      </c>
      <c r="Q383" s="40">
        <f t="shared" si="386"/>
        <v>0.09615384615</v>
      </c>
      <c r="R383" s="40">
        <f t="shared" si="386"/>
        <v>0</v>
      </c>
      <c r="S383" s="40">
        <f t="shared" si="386"/>
        <v>0</v>
      </c>
      <c r="T383" s="40">
        <f t="shared" si="386"/>
        <v>0</v>
      </c>
    </row>
    <row r="384" ht="15.75" customHeight="1">
      <c r="F384" s="24"/>
      <c r="G384" s="19">
        <f>$G$20</f>
        <v>12</v>
      </c>
      <c r="H384" s="20">
        <v>20.0</v>
      </c>
      <c r="I384" s="20">
        <v>10.0</v>
      </c>
      <c r="J384" s="20"/>
      <c r="K384" s="20">
        <v>1.0</v>
      </c>
      <c r="L384" s="20"/>
      <c r="N384" s="24"/>
      <c r="O384" s="19">
        <f>$G$20</f>
        <v>12</v>
      </c>
      <c r="P384" s="40">
        <f t="shared" ref="P384:T384" si="387">H384/H$396</f>
        <v>0.05763688761</v>
      </c>
      <c r="Q384" s="40">
        <f t="shared" si="387"/>
        <v>0.09615384615</v>
      </c>
      <c r="R384" s="40">
        <f t="shared" si="387"/>
        <v>0</v>
      </c>
      <c r="S384" s="40">
        <f t="shared" si="387"/>
        <v>0.25</v>
      </c>
      <c r="T384" s="40">
        <f t="shared" si="387"/>
        <v>0</v>
      </c>
    </row>
    <row r="385" ht="15.75" customHeight="1">
      <c r="F385" s="24"/>
      <c r="G385" s="19">
        <f>$G$21</f>
        <v>13</v>
      </c>
      <c r="H385" s="20">
        <v>14.0</v>
      </c>
      <c r="I385" s="20">
        <v>3.0</v>
      </c>
      <c r="J385" s="20"/>
      <c r="K385" s="20"/>
      <c r="L385" s="20"/>
      <c r="N385" s="24"/>
      <c r="O385" s="19">
        <f>$G$21</f>
        <v>13</v>
      </c>
      <c r="P385" s="40">
        <f t="shared" ref="P385:T385" si="388">H385/H$396</f>
        <v>0.04034582133</v>
      </c>
      <c r="Q385" s="40">
        <f t="shared" si="388"/>
        <v>0.02884615385</v>
      </c>
      <c r="R385" s="40">
        <f t="shared" si="388"/>
        <v>0</v>
      </c>
      <c r="S385" s="40">
        <f t="shared" si="388"/>
        <v>0</v>
      </c>
      <c r="T385" s="40">
        <f t="shared" si="388"/>
        <v>0</v>
      </c>
    </row>
    <row r="386" ht="15.75" customHeight="1">
      <c r="F386" s="24"/>
      <c r="G386" s="19">
        <f>$G$22</f>
        <v>14</v>
      </c>
      <c r="H386" s="20">
        <v>26.0</v>
      </c>
      <c r="I386" s="20">
        <v>11.0</v>
      </c>
      <c r="J386" s="20"/>
      <c r="K386" s="20"/>
      <c r="L386" s="20"/>
      <c r="N386" s="24"/>
      <c r="O386" s="19">
        <f>$G$22</f>
        <v>14</v>
      </c>
      <c r="P386" s="40">
        <f t="shared" ref="P386:T386" si="389">H386/H$396</f>
        <v>0.07492795389</v>
      </c>
      <c r="Q386" s="40">
        <f t="shared" si="389"/>
        <v>0.1057692308</v>
      </c>
      <c r="R386" s="40">
        <f t="shared" si="389"/>
        <v>0</v>
      </c>
      <c r="S386" s="40">
        <f t="shared" si="389"/>
        <v>0</v>
      </c>
      <c r="T386" s="40">
        <f t="shared" si="389"/>
        <v>0</v>
      </c>
    </row>
    <row r="387" ht="15.75" customHeight="1">
      <c r="F387" s="24"/>
      <c r="G387" s="19">
        <f>$G$23</f>
        <v>15</v>
      </c>
      <c r="H387" s="20">
        <v>24.0</v>
      </c>
      <c r="I387" s="20">
        <v>6.0</v>
      </c>
      <c r="J387" s="20"/>
      <c r="K387" s="20"/>
      <c r="L387" s="20"/>
      <c r="N387" s="24"/>
      <c r="O387" s="19">
        <f>$G$23</f>
        <v>15</v>
      </c>
      <c r="P387" s="40">
        <f t="shared" ref="P387:T387" si="390">H387/H$396</f>
        <v>0.06916426513</v>
      </c>
      <c r="Q387" s="40">
        <f t="shared" si="390"/>
        <v>0.05769230769</v>
      </c>
      <c r="R387" s="40">
        <f t="shared" si="390"/>
        <v>0</v>
      </c>
      <c r="S387" s="40">
        <f t="shared" si="390"/>
        <v>0</v>
      </c>
      <c r="T387" s="40">
        <f t="shared" si="390"/>
        <v>0</v>
      </c>
    </row>
    <row r="388" ht="15.75" customHeight="1">
      <c r="F388" s="24"/>
      <c r="G388" s="19">
        <f>$G$24</f>
        <v>16</v>
      </c>
      <c r="H388" s="20">
        <v>32.0</v>
      </c>
      <c r="I388" s="20">
        <v>7.0</v>
      </c>
      <c r="J388" s="20"/>
      <c r="K388" s="20"/>
      <c r="L388" s="20"/>
      <c r="N388" s="24"/>
      <c r="O388" s="19">
        <f>$G$24</f>
        <v>16</v>
      </c>
      <c r="P388" s="40">
        <f t="shared" ref="P388:T388" si="391">H388/H$396</f>
        <v>0.09221902017</v>
      </c>
      <c r="Q388" s="40">
        <f t="shared" si="391"/>
        <v>0.06730769231</v>
      </c>
      <c r="R388" s="40">
        <f t="shared" si="391"/>
        <v>0</v>
      </c>
      <c r="S388" s="40">
        <f t="shared" si="391"/>
        <v>0</v>
      </c>
      <c r="T388" s="40">
        <f t="shared" si="391"/>
        <v>0</v>
      </c>
    </row>
    <row r="389" ht="15.75" customHeight="1">
      <c r="F389" s="24"/>
      <c r="G389" s="19">
        <f>$G$25</f>
        <v>17</v>
      </c>
      <c r="H389" s="20">
        <v>29.0</v>
      </c>
      <c r="I389" s="20">
        <v>5.0</v>
      </c>
      <c r="J389" s="20"/>
      <c r="K389" s="20">
        <v>1.0</v>
      </c>
      <c r="L389" s="20"/>
      <c r="N389" s="24"/>
      <c r="O389" s="19">
        <f>$G$25</f>
        <v>17</v>
      </c>
      <c r="P389" s="40">
        <f t="shared" ref="P389:T389" si="392">H389/H$396</f>
        <v>0.08357348703</v>
      </c>
      <c r="Q389" s="40">
        <f t="shared" si="392"/>
        <v>0.04807692308</v>
      </c>
      <c r="R389" s="40">
        <f t="shared" si="392"/>
        <v>0</v>
      </c>
      <c r="S389" s="40">
        <f t="shared" si="392"/>
        <v>0.25</v>
      </c>
      <c r="T389" s="40">
        <f t="shared" si="392"/>
        <v>0</v>
      </c>
    </row>
    <row r="390" ht="15.75" customHeight="1">
      <c r="F390" s="24"/>
      <c r="G390" s="19">
        <f>$G$26</f>
        <v>18</v>
      </c>
      <c r="H390" s="20">
        <v>21.0</v>
      </c>
      <c r="I390" s="20">
        <v>6.0</v>
      </c>
      <c r="J390" s="20">
        <v>2.0</v>
      </c>
      <c r="K390" s="20"/>
      <c r="L390" s="20"/>
      <c r="N390" s="24"/>
      <c r="O390" s="19">
        <f>$G$26</f>
        <v>18</v>
      </c>
      <c r="P390" s="40">
        <f t="shared" ref="P390:T390" si="393">H390/H$396</f>
        <v>0.06051873199</v>
      </c>
      <c r="Q390" s="40">
        <f t="shared" si="393"/>
        <v>0.05769230769</v>
      </c>
      <c r="R390" s="40">
        <f t="shared" si="393"/>
        <v>0.6666666667</v>
      </c>
      <c r="S390" s="40">
        <f t="shared" si="393"/>
        <v>0</v>
      </c>
      <c r="T390" s="40">
        <f t="shared" si="393"/>
        <v>0</v>
      </c>
    </row>
    <row r="391" ht="15.75" customHeight="1">
      <c r="F391" s="24"/>
      <c r="G391" s="19">
        <f>$G$27</f>
        <v>19</v>
      </c>
      <c r="H391" s="20">
        <v>23.0</v>
      </c>
      <c r="I391" s="20">
        <v>8.0</v>
      </c>
      <c r="J391" s="20"/>
      <c r="K391" s="20"/>
      <c r="L391" s="20"/>
      <c r="N391" s="24"/>
      <c r="O391" s="19">
        <f>$G$27</f>
        <v>19</v>
      </c>
      <c r="P391" s="40">
        <f t="shared" ref="P391:T391" si="394">H391/H$396</f>
        <v>0.06628242075</v>
      </c>
      <c r="Q391" s="40">
        <f t="shared" si="394"/>
        <v>0.07692307692</v>
      </c>
      <c r="R391" s="40">
        <f t="shared" si="394"/>
        <v>0</v>
      </c>
      <c r="S391" s="40">
        <f t="shared" si="394"/>
        <v>0</v>
      </c>
      <c r="T391" s="40">
        <f t="shared" si="394"/>
        <v>0</v>
      </c>
    </row>
    <row r="392" ht="15.75" customHeight="1">
      <c r="F392" s="24"/>
      <c r="G392" s="19">
        <f>$G$28</f>
        <v>20</v>
      </c>
      <c r="H392" s="20">
        <v>14.0</v>
      </c>
      <c r="I392" s="20">
        <v>7.0</v>
      </c>
      <c r="J392" s="20"/>
      <c r="K392" s="20"/>
      <c r="L392" s="20"/>
      <c r="N392" s="24"/>
      <c r="O392" s="19">
        <f>$G$28</f>
        <v>20</v>
      </c>
      <c r="P392" s="40">
        <f t="shared" ref="P392:T392" si="395">H392/H$396</f>
        <v>0.04034582133</v>
      </c>
      <c r="Q392" s="40">
        <f t="shared" si="395"/>
        <v>0.06730769231</v>
      </c>
      <c r="R392" s="40">
        <f t="shared" si="395"/>
        <v>0</v>
      </c>
      <c r="S392" s="40">
        <f t="shared" si="395"/>
        <v>0</v>
      </c>
      <c r="T392" s="40">
        <f t="shared" si="395"/>
        <v>0</v>
      </c>
    </row>
    <row r="393" ht="15.75" customHeight="1">
      <c r="F393" s="24"/>
      <c r="G393" s="19">
        <f>$G$29</f>
        <v>21</v>
      </c>
      <c r="H393" s="20">
        <v>12.0</v>
      </c>
      <c r="I393" s="20">
        <v>2.0</v>
      </c>
      <c r="J393" s="20"/>
      <c r="K393" s="20"/>
      <c r="L393" s="20"/>
      <c r="N393" s="24"/>
      <c r="O393" s="19">
        <f>$G$29</f>
        <v>21</v>
      </c>
      <c r="P393" s="40">
        <f t="shared" ref="P393:T393" si="396">H393/H$396</f>
        <v>0.03458213256</v>
      </c>
      <c r="Q393" s="40">
        <f t="shared" si="396"/>
        <v>0.01923076923</v>
      </c>
      <c r="R393" s="40">
        <f t="shared" si="396"/>
        <v>0</v>
      </c>
      <c r="S393" s="40">
        <f t="shared" si="396"/>
        <v>0</v>
      </c>
      <c r="T393" s="40">
        <f t="shared" si="396"/>
        <v>0</v>
      </c>
    </row>
    <row r="394" ht="15.75" customHeight="1">
      <c r="F394" s="24"/>
      <c r="G394" s="19">
        <f>$G$30</f>
        <v>22</v>
      </c>
      <c r="H394" s="20">
        <v>3.0</v>
      </c>
      <c r="I394" s="20">
        <v>3.0</v>
      </c>
      <c r="J394" s="20"/>
      <c r="K394" s="20"/>
      <c r="L394" s="20"/>
      <c r="N394" s="24"/>
      <c r="O394" s="19">
        <f>$G$30</f>
        <v>22</v>
      </c>
      <c r="P394" s="40">
        <f t="shared" ref="P394:T394" si="397">H394/H$396</f>
        <v>0.008645533141</v>
      </c>
      <c r="Q394" s="40">
        <f t="shared" si="397"/>
        <v>0.02884615385</v>
      </c>
      <c r="R394" s="40">
        <f t="shared" si="397"/>
        <v>0</v>
      </c>
      <c r="S394" s="40">
        <f t="shared" si="397"/>
        <v>0</v>
      </c>
      <c r="T394" s="40">
        <f t="shared" si="397"/>
        <v>0</v>
      </c>
    </row>
    <row r="395" ht="15.75" customHeight="1">
      <c r="F395" s="28"/>
      <c r="G395" s="19">
        <f>$G$31</f>
        <v>23</v>
      </c>
      <c r="H395" s="20">
        <v>7.0</v>
      </c>
      <c r="I395" s="20">
        <v>1.0</v>
      </c>
      <c r="J395" s="20"/>
      <c r="K395" s="20"/>
      <c r="L395" s="20"/>
      <c r="N395" s="28"/>
      <c r="O395" s="19">
        <f>$G$31</f>
        <v>23</v>
      </c>
      <c r="P395" s="40">
        <f t="shared" ref="P395:T395" si="398">H395/H$396</f>
        <v>0.02017291066</v>
      </c>
      <c r="Q395" s="40">
        <f t="shared" si="398"/>
        <v>0.009615384615</v>
      </c>
      <c r="R395" s="40">
        <f t="shared" si="398"/>
        <v>0</v>
      </c>
      <c r="S395" s="40">
        <f t="shared" si="398"/>
        <v>0</v>
      </c>
      <c r="T395" s="40">
        <f t="shared" si="398"/>
        <v>0</v>
      </c>
    </row>
    <row r="396" ht="15.75" customHeight="1">
      <c r="F396" s="111"/>
      <c r="G396" s="112"/>
      <c r="H396" s="26">
        <f t="shared" ref="H396:L396" si="399">SUM(H372:H395)</f>
        <v>347</v>
      </c>
      <c r="I396" s="26">
        <f t="shared" si="399"/>
        <v>104</v>
      </c>
      <c r="J396" s="26">
        <f t="shared" si="399"/>
        <v>3</v>
      </c>
      <c r="K396" s="26">
        <f t="shared" si="399"/>
        <v>4</v>
      </c>
      <c r="L396" s="26">
        <f t="shared" si="399"/>
        <v>3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240:G240"/>
    <mergeCell ref="F266:G266"/>
    <mergeCell ref="F292:G292"/>
    <mergeCell ref="F318:G318"/>
    <mergeCell ref="F344:G344"/>
    <mergeCell ref="F370:G370"/>
    <mergeCell ref="F86:F109"/>
    <mergeCell ref="F110:G110"/>
    <mergeCell ref="F112:F135"/>
    <mergeCell ref="F136:G136"/>
    <mergeCell ref="F138:F161"/>
    <mergeCell ref="F162:G162"/>
    <mergeCell ref="F188:G188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46:F369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310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311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2" t="s">
        <v>13</v>
      </c>
      <c r="E5" s="101" t="s">
        <v>14</v>
      </c>
    </row>
    <row r="6" ht="15.75" customHeight="1"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21">
        <v>45194.0</v>
      </c>
      <c r="G8" s="19">
        <v>0.0</v>
      </c>
      <c r="H8" s="20">
        <v>1.0</v>
      </c>
      <c r="I8" s="20">
        <v>2.0</v>
      </c>
      <c r="J8" s="20">
        <v>0.0</v>
      </c>
      <c r="K8" s="20">
        <v>0.0</v>
      </c>
      <c r="L8" s="20">
        <v>0.0</v>
      </c>
      <c r="N8" s="18">
        <v>45194.0</v>
      </c>
      <c r="O8" s="19">
        <v>0.0</v>
      </c>
      <c r="P8" s="40">
        <f t="shared" ref="P8:T8" si="1">H8/H$32</f>
        <v>0.003717472119</v>
      </c>
      <c r="Q8" s="40">
        <f t="shared" si="1"/>
        <v>0.01724137931</v>
      </c>
      <c r="R8" s="40">
        <f t="shared" si="1"/>
        <v>0</v>
      </c>
      <c r="S8" s="40">
        <f t="shared" si="1"/>
        <v>0</v>
      </c>
      <c r="T8" s="40">
        <f t="shared" si="1"/>
        <v>0</v>
      </c>
    </row>
    <row r="9" ht="15.75" customHeight="1">
      <c r="F9" s="24"/>
      <c r="G9" s="19">
        <v>1.0</v>
      </c>
      <c r="H9" s="20">
        <v>4.0</v>
      </c>
      <c r="I9" s="20">
        <v>0.0</v>
      </c>
      <c r="J9" s="20">
        <v>0.0</v>
      </c>
      <c r="K9" s="20">
        <v>0.0</v>
      </c>
      <c r="L9" s="20">
        <v>0.0</v>
      </c>
      <c r="N9" s="23"/>
      <c r="O9" s="19">
        <v>1.0</v>
      </c>
      <c r="P9" s="40">
        <f t="shared" ref="P9:T9" si="2">H9/H$32</f>
        <v>0.01486988848</v>
      </c>
      <c r="Q9" s="40">
        <f t="shared" si="2"/>
        <v>0</v>
      </c>
      <c r="R9" s="40">
        <f t="shared" si="2"/>
        <v>0</v>
      </c>
      <c r="S9" s="40">
        <f t="shared" si="2"/>
        <v>0</v>
      </c>
      <c r="T9" s="40">
        <f t="shared" si="2"/>
        <v>0</v>
      </c>
    </row>
    <row r="10" ht="15.75" customHeight="1">
      <c r="F10" s="24"/>
      <c r="G10" s="19">
        <v>2.0</v>
      </c>
      <c r="H10" s="20">
        <v>1.0</v>
      </c>
      <c r="I10" s="20">
        <v>0.0</v>
      </c>
      <c r="J10" s="20">
        <v>0.0</v>
      </c>
      <c r="K10" s="20">
        <v>0.0</v>
      </c>
      <c r="L10" s="20">
        <v>0.0</v>
      </c>
      <c r="N10" s="23"/>
      <c r="O10" s="19">
        <v>2.0</v>
      </c>
      <c r="P10" s="40">
        <f t="shared" ref="P10:T10" si="3">H10/H$32</f>
        <v>0.003717472119</v>
      </c>
      <c r="Q10" s="40">
        <f t="shared" si="3"/>
        <v>0</v>
      </c>
      <c r="R10" s="40">
        <f t="shared" si="3"/>
        <v>0</v>
      </c>
      <c r="S10" s="40">
        <f t="shared" si="3"/>
        <v>0</v>
      </c>
      <c r="T10" s="40">
        <f t="shared" si="3"/>
        <v>0</v>
      </c>
    </row>
    <row r="11" ht="15.75" customHeight="1">
      <c r="F11" s="24"/>
      <c r="G11" s="19">
        <v>3.0</v>
      </c>
      <c r="H11" s="20">
        <v>1.0</v>
      </c>
      <c r="I11" s="20">
        <v>0.0</v>
      </c>
      <c r="J11" s="20">
        <v>0.0</v>
      </c>
      <c r="K11" s="20">
        <v>0.0</v>
      </c>
      <c r="L11" s="20">
        <v>0.0</v>
      </c>
      <c r="N11" s="23"/>
      <c r="O11" s="19">
        <v>3.0</v>
      </c>
      <c r="P11" s="40">
        <f t="shared" ref="P11:T11" si="4">H11/H$32</f>
        <v>0.003717472119</v>
      </c>
      <c r="Q11" s="40">
        <f t="shared" si="4"/>
        <v>0</v>
      </c>
      <c r="R11" s="40">
        <f t="shared" si="4"/>
        <v>0</v>
      </c>
      <c r="S11" s="40">
        <f t="shared" si="4"/>
        <v>0</v>
      </c>
      <c r="T11" s="40">
        <f t="shared" si="4"/>
        <v>0</v>
      </c>
    </row>
    <row r="12" ht="15.75" customHeight="1">
      <c r="F12" s="24"/>
      <c r="G12" s="19">
        <v>4.0</v>
      </c>
      <c r="H12" s="20">
        <v>2.0</v>
      </c>
      <c r="I12" s="20">
        <v>0.0</v>
      </c>
      <c r="J12" s="20">
        <v>0.0</v>
      </c>
      <c r="K12" s="20">
        <v>0.0</v>
      </c>
      <c r="L12" s="20">
        <v>0.0</v>
      </c>
      <c r="N12" s="23"/>
      <c r="O12" s="19">
        <v>4.0</v>
      </c>
      <c r="P12" s="40">
        <f t="shared" ref="P12:T12" si="5">H12/H$32</f>
        <v>0.007434944238</v>
      </c>
      <c r="Q12" s="40">
        <f t="shared" si="5"/>
        <v>0</v>
      </c>
      <c r="R12" s="40">
        <f t="shared" si="5"/>
        <v>0</v>
      </c>
      <c r="S12" s="40">
        <f t="shared" si="5"/>
        <v>0</v>
      </c>
      <c r="T12" s="40">
        <f t="shared" si="5"/>
        <v>0</v>
      </c>
    </row>
    <row r="13" ht="15.75" customHeight="1">
      <c r="F13" s="24"/>
      <c r="G13" s="19">
        <v>5.0</v>
      </c>
      <c r="H13" s="20">
        <v>0.0</v>
      </c>
      <c r="I13" s="20">
        <v>1.0</v>
      </c>
      <c r="J13" s="20">
        <v>0.0</v>
      </c>
      <c r="K13" s="20">
        <v>0.0</v>
      </c>
      <c r="L13" s="20">
        <v>1.0</v>
      </c>
      <c r="N13" s="23"/>
      <c r="O13" s="19">
        <v>5.0</v>
      </c>
      <c r="P13" s="40">
        <f t="shared" ref="P13:T13" si="6">H13/H$32</f>
        <v>0</v>
      </c>
      <c r="Q13" s="40">
        <f t="shared" si="6"/>
        <v>0.008620689655</v>
      </c>
      <c r="R13" s="40">
        <f t="shared" si="6"/>
        <v>0</v>
      </c>
      <c r="S13" s="40">
        <f t="shared" si="6"/>
        <v>0</v>
      </c>
      <c r="T13" s="40">
        <f t="shared" si="6"/>
        <v>0.05882352941</v>
      </c>
    </row>
    <row r="14" ht="15.75" customHeight="1">
      <c r="F14" s="24"/>
      <c r="G14" s="19">
        <v>6.0</v>
      </c>
      <c r="H14" s="20">
        <v>13.0</v>
      </c>
      <c r="I14" s="20">
        <v>4.0</v>
      </c>
      <c r="J14" s="20">
        <v>0.0</v>
      </c>
      <c r="K14" s="20">
        <v>0.0</v>
      </c>
      <c r="L14" s="20">
        <v>0.0</v>
      </c>
      <c r="N14" s="23"/>
      <c r="O14" s="19">
        <v>6.0</v>
      </c>
      <c r="P14" s="40">
        <f t="shared" ref="P14:T14" si="7">H14/H$32</f>
        <v>0.04832713755</v>
      </c>
      <c r="Q14" s="40">
        <f t="shared" si="7"/>
        <v>0.03448275862</v>
      </c>
      <c r="R14" s="40">
        <f t="shared" si="7"/>
        <v>0</v>
      </c>
      <c r="S14" s="40">
        <f t="shared" si="7"/>
        <v>0</v>
      </c>
      <c r="T14" s="40">
        <f t="shared" si="7"/>
        <v>0</v>
      </c>
    </row>
    <row r="15" ht="15.75" customHeight="1">
      <c r="F15" s="24"/>
      <c r="G15" s="19">
        <v>7.0</v>
      </c>
      <c r="H15" s="20">
        <v>27.0</v>
      </c>
      <c r="I15" s="20">
        <v>9.0</v>
      </c>
      <c r="J15" s="20">
        <v>1.0</v>
      </c>
      <c r="K15" s="20">
        <v>1.0</v>
      </c>
      <c r="L15" s="20">
        <v>0.0</v>
      </c>
      <c r="N15" s="23"/>
      <c r="O15" s="19">
        <v>7.0</v>
      </c>
      <c r="P15" s="40">
        <f t="shared" ref="P15:T15" si="8">H15/H$32</f>
        <v>0.1003717472</v>
      </c>
      <c r="Q15" s="40">
        <f t="shared" si="8"/>
        <v>0.0775862069</v>
      </c>
      <c r="R15" s="40">
        <f t="shared" si="8"/>
        <v>0.5</v>
      </c>
      <c r="S15" s="40">
        <f t="shared" si="8"/>
        <v>0.04347826087</v>
      </c>
      <c r="T15" s="40">
        <f t="shared" si="8"/>
        <v>0</v>
      </c>
    </row>
    <row r="16" ht="15.75" customHeight="1">
      <c r="F16" s="24"/>
      <c r="G16" s="19">
        <v>8.0</v>
      </c>
      <c r="H16" s="20">
        <v>14.0</v>
      </c>
      <c r="I16" s="20">
        <v>8.0</v>
      </c>
      <c r="J16" s="20">
        <v>0.0</v>
      </c>
      <c r="K16" s="20">
        <v>0.0</v>
      </c>
      <c r="L16" s="20">
        <v>2.0</v>
      </c>
      <c r="N16" s="23"/>
      <c r="O16" s="19">
        <v>8.0</v>
      </c>
      <c r="P16" s="40">
        <f t="shared" ref="P16:T16" si="9">H16/H$32</f>
        <v>0.05204460967</v>
      </c>
      <c r="Q16" s="40">
        <f t="shared" si="9"/>
        <v>0.06896551724</v>
      </c>
      <c r="R16" s="40">
        <f t="shared" si="9"/>
        <v>0</v>
      </c>
      <c r="S16" s="40">
        <f t="shared" si="9"/>
        <v>0</v>
      </c>
      <c r="T16" s="40">
        <f t="shared" si="9"/>
        <v>0.1176470588</v>
      </c>
    </row>
    <row r="17" ht="15.75" customHeight="1">
      <c r="F17" s="24"/>
      <c r="G17" s="19">
        <v>9.0</v>
      </c>
      <c r="H17" s="20">
        <v>21.0</v>
      </c>
      <c r="I17" s="20">
        <v>7.0</v>
      </c>
      <c r="J17" s="20">
        <v>0.0</v>
      </c>
      <c r="K17" s="20">
        <v>3.0</v>
      </c>
      <c r="L17" s="20">
        <v>2.0</v>
      </c>
      <c r="N17" s="23"/>
      <c r="O17" s="19">
        <v>9.0</v>
      </c>
      <c r="P17" s="40">
        <f t="shared" ref="P17:T17" si="10">H17/H$32</f>
        <v>0.0780669145</v>
      </c>
      <c r="Q17" s="40">
        <f t="shared" si="10"/>
        <v>0.06034482759</v>
      </c>
      <c r="R17" s="40">
        <f t="shared" si="10"/>
        <v>0</v>
      </c>
      <c r="S17" s="40">
        <f t="shared" si="10"/>
        <v>0.1304347826</v>
      </c>
      <c r="T17" s="40">
        <f t="shared" si="10"/>
        <v>0.1176470588</v>
      </c>
    </row>
    <row r="18" ht="15.75" customHeight="1">
      <c r="F18" s="24"/>
      <c r="G18" s="19">
        <v>10.0</v>
      </c>
      <c r="H18" s="20">
        <v>14.0</v>
      </c>
      <c r="I18" s="20">
        <v>7.0</v>
      </c>
      <c r="J18" s="20">
        <v>0.0</v>
      </c>
      <c r="K18" s="20">
        <v>2.0</v>
      </c>
      <c r="L18" s="20">
        <v>3.0</v>
      </c>
      <c r="N18" s="23"/>
      <c r="O18" s="19">
        <v>10.0</v>
      </c>
      <c r="P18" s="40">
        <f t="shared" ref="P18:T18" si="11">H18/H$32</f>
        <v>0.05204460967</v>
      </c>
      <c r="Q18" s="40">
        <f t="shared" si="11"/>
        <v>0.06034482759</v>
      </c>
      <c r="R18" s="40">
        <f t="shared" si="11"/>
        <v>0</v>
      </c>
      <c r="S18" s="40">
        <f t="shared" si="11"/>
        <v>0.08695652174</v>
      </c>
      <c r="T18" s="40">
        <f t="shared" si="11"/>
        <v>0.1764705882</v>
      </c>
    </row>
    <row r="19" ht="15.75" customHeight="1">
      <c r="F19" s="24"/>
      <c r="G19" s="19">
        <v>11.0</v>
      </c>
      <c r="H19" s="20">
        <v>13.0</v>
      </c>
      <c r="I19" s="20">
        <v>13.0</v>
      </c>
      <c r="J19" s="20">
        <v>1.0</v>
      </c>
      <c r="K19" s="20">
        <v>2.0</v>
      </c>
      <c r="L19" s="20">
        <v>1.0</v>
      </c>
      <c r="N19" s="23"/>
      <c r="O19" s="19">
        <v>11.0</v>
      </c>
      <c r="P19" s="40">
        <f t="shared" ref="P19:T19" si="12">H19/H$32</f>
        <v>0.04832713755</v>
      </c>
      <c r="Q19" s="40">
        <f t="shared" si="12"/>
        <v>0.1120689655</v>
      </c>
      <c r="R19" s="40">
        <f t="shared" si="12"/>
        <v>0.5</v>
      </c>
      <c r="S19" s="40">
        <f t="shared" si="12"/>
        <v>0.08695652174</v>
      </c>
      <c r="T19" s="40">
        <f t="shared" si="12"/>
        <v>0.05882352941</v>
      </c>
    </row>
    <row r="20" ht="15.75" customHeight="1">
      <c r="F20" s="24"/>
      <c r="G20" s="19">
        <v>12.0</v>
      </c>
      <c r="H20" s="20">
        <v>12.0</v>
      </c>
      <c r="I20" s="20">
        <v>3.0</v>
      </c>
      <c r="J20" s="20">
        <v>0.0</v>
      </c>
      <c r="K20" s="20">
        <v>1.0</v>
      </c>
      <c r="L20" s="20">
        <v>2.0</v>
      </c>
      <c r="N20" s="23"/>
      <c r="O20" s="19">
        <v>12.0</v>
      </c>
      <c r="P20" s="40">
        <f t="shared" ref="P20:T20" si="13">H20/H$32</f>
        <v>0.04460966543</v>
      </c>
      <c r="Q20" s="40">
        <f t="shared" si="13"/>
        <v>0.02586206897</v>
      </c>
      <c r="R20" s="40">
        <f t="shared" si="13"/>
        <v>0</v>
      </c>
      <c r="S20" s="40">
        <f t="shared" si="13"/>
        <v>0.04347826087</v>
      </c>
      <c r="T20" s="40">
        <f t="shared" si="13"/>
        <v>0.1176470588</v>
      </c>
    </row>
    <row r="21" ht="15.75" customHeight="1">
      <c r="F21" s="24"/>
      <c r="G21" s="19">
        <v>13.0</v>
      </c>
      <c r="H21" s="20">
        <v>9.0</v>
      </c>
      <c r="I21" s="20">
        <v>4.0</v>
      </c>
      <c r="J21" s="20">
        <v>0.0</v>
      </c>
      <c r="K21" s="20">
        <v>2.0</v>
      </c>
      <c r="L21" s="20">
        <v>1.0</v>
      </c>
      <c r="N21" s="23"/>
      <c r="O21" s="19">
        <v>13.0</v>
      </c>
      <c r="P21" s="40">
        <f t="shared" ref="P21:T21" si="14">H21/H$32</f>
        <v>0.03345724907</v>
      </c>
      <c r="Q21" s="40">
        <f t="shared" si="14"/>
        <v>0.03448275862</v>
      </c>
      <c r="R21" s="40">
        <f t="shared" si="14"/>
        <v>0</v>
      </c>
      <c r="S21" s="40">
        <f t="shared" si="14"/>
        <v>0.08695652174</v>
      </c>
      <c r="T21" s="40">
        <f t="shared" si="14"/>
        <v>0.05882352941</v>
      </c>
    </row>
    <row r="22" ht="15.75" customHeight="1">
      <c r="F22" s="24"/>
      <c r="G22" s="19">
        <v>14.0</v>
      </c>
      <c r="H22" s="20">
        <v>15.0</v>
      </c>
      <c r="I22" s="20">
        <v>6.0</v>
      </c>
      <c r="J22" s="20">
        <v>0.0</v>
      </c>
      <c r="K22" s="20">
        <v>0.0</v>
      </c>
      <c r="L22" s="20">
        <v>3.0</v>
      </c>
      <c r="N22" s="23"/>
      <c r="O22" s="19">
        <v>14.0</v>
      </c>
      <c r="P22" s="40">
        <f t="shared" ref="P22:T22" si="15">H22/H$32</f>
        <v>0.05576208178</v>
      </c>
      <c r="Q22" s="40">
        <f t="shared" si="15"/>
        <v>0.05172413793</v>
      </c>
      <c r="R22" s="40">
        <f t="shared" si="15"/>
        <v>0</v>
      </c>
      <c r="S22" s="40">
        <f t="shared" si="15"/>
        <v>0</v>
      </c>
      <c r="T22" s="40">
        <f t="shared" si="15"/>
        <v>0.1764705882</v>
      </c>
    </row>
    <row r="23" ht="15.75" customHeight="1">
      <c r="F23" s="24"/>
      <c r="G23" s="19">
        <v>15.0</v>
      </c>
      <c r="H23" s="20">
        <v>17.0</v>
      </c>
      <c r="I23" s="20">
        <v>10.0</v>
      </c>
      <c r="J23" s="20">
        <v>0.0</v>
      </c>
      <c r="K23" s="20">
        <v>0.0</v>
      </c>
      <c r="L23" s="20">
        <v>0.0</v>
      </c>
      <c r="N23" s="23"/>
      <c r="O23" s="19">
        <v>15.0</v>
      </c>
      <c r="P23" s="40">
        <f t="shared" ref="P23:T23" si="16">H23/H$32</f>
        <v>0.06319702602</v>
      </c>
      <c r="Q23" s="40">
        <f t="shared" si="16"/>
        <v>0.08620689655</v>
      </c>
      <c r="R23" s="40">
        <f t="shared" si="16"/>
        <v>0</v>
      </c>
      <c r="S23" s="40">
        <f t="shared" si="16"/>
        <v>0</v>
      </c>
      <c r="T23" s="40">
        <f t="shared" si="16"/>
        <v>0</v>
      </c>
    </row>
    <row r="24" ht="15.75" customHeight="1">
      <c r="F24" s="24"/>
      <c r="G24" s="19">
        <v>16.0</v>
      </c>
      <c r="H24" s="20">
        <v>27.0</v>
      </c>
      <c r="I24" s="20">
        <v>6.0</v>
      </c>
      <c r="J24" s="20">
        <v>0.0</v>
      </c>
      <c r="K24" s="20">
        <v>1.0</v>
      </c>
      <c r="L24" s="20">
        <v>1.0</v>
      </c>
      <c r="N24" s="23"/>
      <c r="O24" s="19">
        <v>16.0</v>
      </c>
      <c r="P24" s="40">
        <f t="shared" ref="P24:T24" si="17">H24/H$32</f>
        <v>0.1003717472</v>
      </c>
      <c r="Q24" s="40">
        <f t="shared" si="17"/>
        <v>0.05172413793</v>
      </c>
      <c r="R24" s="40">
        <f t="shared" si="17"/>
        <v>0</v>
      </c>
      <c r="S24" s="40">
        <f t="shared" si="17"/>
        <v>0.04347826087</v>
      </c>
      <c r="T24" s="40">
        <f t="shared" si="17"/>
        <v>0.05882352941</v>
      </c>
    </row>
    <row r="25" ht="15.75" customHeight="1">
      <c r="F25" s="24"/>
      <c r="G25" s="19">
        <v>17.0</v>
      </c>
      <c r="H25" s="20">
        <v>23.0</v>
      </c>
      <c r="I25" s="20">
        <v>14.0</v>
      </c>
      <c r="J25" s="20">
        <v>0.0</v>
      </c>
      <c r="K25" s="20">
        <v>1.0</v>
      </c>
      <c r="L25" s="20">
        <v>0.0</v>
      </c>
      <c r="N25" s="23"/>
      <c r="O25" s="19">
        <v>17.0</v>
      </c>
      <c r="P25" s="40">
        <f t="shared" ref="P25:T25" si="18">H25/H$32</f>
        <v>0.08550185874</v>
      </c>
      <c r="Q25" s="40">
        <f t="shared" si="18"/>
        <v>0.1206896552</v>
      </c>
      <c r="R25" s="40">
        <f t="shared" si="18"/>
        <v>0</v>
      </c>
      <c r="S25" s="40">
        <f t="shared" si="18"/>
        <v>0.04347826087</v>
      </c>
      <c r="T25" s="40">
        <f t="shared" si="18"/>
        <v>0</v>
      </c>
    </row>
    <row r="26" ht="15.75" customHeight="1">
      <c r="F26" s="24"/>
      <c r="G26" s="19">
        <v>18.0</v>
      </c>
      <c r="H26" s="20">
        <v>17.0</v>
      </c>
      <c r="I26" s="20">
        <v>6.0</v>
      </c>
      <c r="J26" s="20">
        <v>0.0</v>
      </c>
      <c r="K26" s="20">
        <v>1.0</v>
      </c>
      <c r="L26" s="20">
        <v>0.0</v>
      </c>
      <c r="N26" s="23"/>
      <c r="O26" s="19">
        <v>18.0</v>
      </c>
      <c r="P26" s="40">
        <f t="shared" ref="P26:T26" si="19">H26/H$32</f>
        <v>0.06319702602</v>
      </c>
      <c r="Q26" s="40">
        <f t="shared" si="19"/>
        <v>0.05172413793</v>
      </c>
      <c r="R26" s="40">
        <f t="shared" si="19"/>
        <v>0</v>
      </c>
      <c r="S26" s="40">
        <f t="shared" si="19"/>
        <v>0.04347826087</v>
      </c>
      <c r="T26" s="40">
        <f t="shared" si="19"/>
        <v>0</v>
      </c>
    </row>
    <row r="27" ht="15.75" customHeight="1">
      <c r="F27" s="24"/>
      <c r="G27" s="19">
        <v>19.0</v>
      </c>
      <c r="H27" s="20">
        <v>12.0</v>
      </c>
      <c r="I27" s="20">
        <v>4.0</v>
      </c>
      <c r="J27" s="20">
        <v>0.0</v>
      </c>
      <c r="K27" s="20">
        <v>1.0</v>
      </c>
      <c r="L27" s="20">
        <v>0.0</v>
      </c>
      <c r="N27" s="23"/>
      <c r="O27" s="19">
        <v>19.0</v>
      </c>
      <c r="P27" s="40">
        <f t="shared" ref="P27:T27" si="20">H27/H$32</f>
        <v>0.04460966543</v>
      </c>
      <c r="Q27" s="40">
        <f t="shared" si="20"/>
        <v>0.03448275862</v>
      </c>
      <c r="R27" s="40">
        <f t="shared" si="20"/>
        <v>0</v>
      </c>
      <c r="S27" s="40">
        <f t="shared" si="20"/>
        <v>0.04347826087</v>
      </c>
      <c r="T27" s="40">
        <f t="shared" si="20"/>
        <v>0</v>
      </c>
    </row>
    <row r="28" ht="15.75" customHeight="1">
      <c r="F28" s="24"/>
      <c r="G28" s="19">
        <v>20.0</v>
      </c>
      <c r="H28" s="20">
        <v>11.0</v>
      </c>
      <c r="I28" s="20">
        <v>5.0</v>
      </c>
      <c r="J28" s="20">
        <v>0.0</v>
      </c>
      <c r="K28" s="20">
        <v>4.0</v>
      </c>
      <c r="L28" s="20">
        <v>1.0</v>
      </c>
      <c r="N28" s="23"/>
      <c r="O28" s="19">
        <v>20.0</v>
      </c>
      <c r="P28" s="40">
        <f t="shared" ref="P28:T28" si="21">H28/H$32</f>
        <v>0.04089219331</v>
      </c>
      <c r="Q28" s="40">
        <f t="shared" si="21"/>
        <v>0.04310344828</v>
      </c>
      <c r="R28" s="40">
        <f t="shared" si="21"/>
        <v>0</v>
      </c>
      <c r="S28" s="40">
        <f t="shared" si="21"/>
        <v>0.1739130435</v>
      </c>
      <c r="T28" s="40">
        <f t="shared" si="21"/>
        <v>0.05882352941</v>
      </c>
    </row>
    <row r="29" ht="15.75" customHeight="1">
      <c r="F29" s="24"/>
      <c r="G29" s="19">
        <v>21.0</v>
      </c>
      <c r="H29" s="20">
        <v>7.0</v>
      </c>
      <c r="I29" s="20">
        <v>4.0</v>
      </c>
      <c r="J29" s="20">
        <v>0.0</v>
      </c>
      <c r="K29" s="20">
        <v>3.0</v>
      </c>
      <c r="L29" s="20">
        <v>0.0</v>
      </c>
      <c r="N29" s="23"/>
      <c r="O29" s="19">
        <v>21.0</v>
      </c>
      <c r="P29" s="40">
        <f t="shared" ref="P29:T29" si="22">H29/H$32</f>
        <v>0.02602230483</v>
      </c>
      <c r="Q29" s="40">
        <f t="shared" si="22"/>
        <v>0.03448275862</v>
      </c>
      <c r="R29" s="40">
        <f t="shared" si="22"/>
        <v>0</v>
      </c>
      <c r="S29" s="40">
        <f t="shared" si="22"/>
        <v>0.1304347826</v>
      </c>
      <c r="T29" s="40">
        <f t="shared" si="22"/>
        <v>0</v>
      </c>
    </row>
    <row r="30" ht="15.75" customHeight="1">
      <c r="F30" s="24"/>
      <c r="G30" s="19">
        <v>22.0</v>
      </c>
      <c r="H30" s="20">
        <v>5.0</v>
      </c>
      <c r="I30" s="20">
        <v>1.0</v>
      </c>
      <c r="J30" s="20">
        <v>0.0</v>
      </c>
      <c r="K30" s="20">
        <v>0.0</v>
      </c>
      <c r="L30" s="20">
        <v>0.0</v>
      </c>
      <c r="N30" s="23"/>
      <c r="O30" s="19">
        <v>22.0</v>
      </c>
      <c r="P30" s="40">
        <f t="shared" ref="P30:T30" si="23">H30/H$32</f>
        <v>0.01858736059</v>
      </c>
      <c r="Q30" s="40">
        <f t="shared" si="23"/>
        <v>0.008620689655</v>
      </c>
      <c r="R30" s="40">
        <f t="shared" si="23"/>
        <v>0</v>
      </c>
      <c r="S30" s="40">
        <f t="shared" si="23"/>
        <v>0</v>
      </c>
      <c r="T30" s="40">
        <f t="shared" si="23"/>
        <v>0</v>
      </c>
    </row>
    <row r="31" ht="15.75" customHeight="1">
      <c r="F31" s="28"/>
      <c r="G31" s="19">
        <v>23.0</v>
      </c>
      <c r="H31" s="20">
        <v>3.0</v>
      </c>
      <c r="I31" s="20">
        <v>2.0</v>
      </c>
      <c r="J31" s="20">
        <v>0.0</v>
      </c>
      <c r="K31" s="20">
        <v>1.0</v>
      </c>
      <c r="L31" s="20">
        <v>0.0</v>
      </c>
      <c r="N31" s="27"/>
      <c r="O31" s="19">
        <v>23.0</v>
      </c>
      <c r="P31" s="40">
        <f t="shared" ref="P31:T31" si="24">H31/H$32</f>
        <v>0.01115241636</v>
      </c>
      <c r="Q31" s="40">
        <f t="shared" si="24"/>
        <v>0.01724137931</v>
      </c>
      <c r="R31" s="40">
        <f t="shared" si="24"/>
        <v>0</v>
      </c>
      <c r="S31" s="40">
        <f t="shared" si="24"/>
        <v>0.04347826087</v>
      </c>
      <c r="T31" s="40">
        <f t="shared" si="24"/>
        <v>0</v>
      </c>
    </row>
    <row r="32" ht="15.75" customHeight="1">
      <c r="F32" s="41"/>
      <c r="G32" s="41"/>
      <c r="H32" s="26">
        <f t="shared" ref="H32:L32" si="25">SUM(H8:H31)</f>
        <v>269</v>
      </c>
      <c r="I32" s="26">
        <f t="shared" si="25"/>
        <v>116</v>
      </c>
      <c r="J32" s="26">
        <f t="shared" si="25"/>
        <v>2</v>
      </c>
      <c r="K32" s="26">
        <f t="shared" si="25"/>
        <v>23</v>
      </c>
      <c r="L32" s="26">
        <f t="shared" si="25"/>
        <v>17</v>
      </c>
      <c r="N32" s="41"/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A34" s="16" t="s">
        <v>182</v>
      </c>
      <c r="F34" s="108">
        <v>45195.0</v>
      </c>
      <c r="G34" s="19">
        <f>$G$8</f>
        <v>0</v>
      </c>
      <c r="H34" s="20">
        <v>4.0</v>
      </c>
      <c r="I34" s="20">
        <v>0.0</v>
      </c>
      <c r="J34" s="20">
        <v>0.0</v>
      </c>
      <c r="K34" s="20">
        <v>0.0</v>
      </c>
      <c r="L34" s="20">
        <v>0.0</v>
      </c>
      <c r="N34" s="29">
        <v>45195.0</v>
      </c>
      <c r="O34" s="19">
        <f>$G$8</f>
        <v>0</v>
      </c>
      <c r="P34" s="40">
        <f t="shared" ref="P34:T34" si="26">H34/H$58</f>
        <v>0.01433691756</v>
      </c>
      <c r="Q34" s="40">
        <f t="shared" si="26"/>
        <v>0</v>
      </c>
      <c r="R34" s="40">
        <f t="shared" si="26"/>
        <v>0</v>
      </c>
      <c r="S34" s="40">
        <f t="shared" si="26"/>
        <v>0</v>
      </c>
      <c r="T34" s="40">
        <f t="shared" si="26"/>
        <v>0</v>
      </c>
    </row>
    <row r="35" ht="15.75" customHeight="1">
      <c r="A35" s="16" t="s">
        <v>113</v>
      </c>
      <c r="F35" s="24"/>
      <c r="G35" s="19">
        <f>$G$9</f>
        <v>1</v>
      </c>
      <c r="H35" s="20">
        <v>3.0</v>
      </c>
      <c r="I35" s="20">
        <v>0.0</v>
      </c>
      <c r="J35" s="20">
        <v>0.0</v>
      </c>
      <c r="K35" s="20">
        <v>0.0</v>
      </c>
      <c r="L35" s="20">
        <v>0.0</v>
      </c>
      <c r="N35" s="23"/>
      <c r="O35" s="19">
        <f>$G$9</f>
        <v>1</v>
      </c>
      <c r="P35" s="40">
        <f t="shared" ref="P35:T35" si="27">H35/H$58</f>
        <v>0.01075268817</v>
      </c>
      <c r="Q35" s="40">
        <f t="shared" si="27"/>
        <v>0</v>
      </c>
      <c r="R35" s="40">
        <f t="shared" si="27"/>
        <v>0</v>
      </c>
      <c r="S35" s="40">
        <f t="shared" si="27"/>
        <v>0</v>
      </c>
      <c r="T35" s="40">
        <f t="shared" si="27"/>
        <v>0</v>
      </c>
    </row>
    <row r="36" ht="15.75" customHeight="1">
      <c r="A36" s="16" t="s">
        <v>183</v>
      </c>
      <c r="F36" s="24"/>
      <c r="G36" s="19">
        <f>$G$10</f>
        <v>2</v>
      </c>
      <c r="H36" s="16">
        <v>1.0</v>
      </c>
      <c r="I36" s="16">
        <v>1.0</v>
      </c>
      <c r="J36" s="16">
        <v>0.0</v>
      </c>
      <c r="K36" s="16">
        <v>0.0</v>
      </c>
      <c r="L36" s="16">
        <v>0.0</v>
      </c>
      <c r="N36" s="23"/>
      <c r="O36" s="19">
        <f>$G$10</f>
        <v>2</v>
      </c>
      <c r="P36" s="40">
        <f t="shared" ref="P36:T36" si="28">H36/H$58</f>
        <v>0.003584229391</v>
      </c>
      <c r="Q36" s="40">
        <f t="shared" si="28"/>
        <v>0.007299270073</v>
      </c>
      <c r="R36" s="40">
        <f t="shared" si="28"/>
        <v>0</v>
      </c>
      <c r="S36" s="40">
        <f t="shared" si="28"/>
        <v>0</v>
      </c>
      <c r="T36" s="40">
        <f t="shared" si="28"/>
        <v>0</v>
      </c>
    </row>
    <row r="37" ht="15.75" customHeight="1">
      <c r="A37" s="16" t="s">
        <v>184</v>
      </c>
      <c r="F37" s="24"/>
      <c r="G37" s="19">
        <f>$G$11</f>
        <v>3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N37" s="23"/>
      <c r="O37" s="19">
        <f>$G$11</f>
        <v>3</v>
      </c>
      <c r="P37" s="40">
        <f t="shared" ref="P37:T37" si="29">H37/H$58</f>
        <v>0</v>
      </c>
      <c r="Q37" s="40">
        <f t="shared" si="29"/>
        <v>0</v>
      </c>
      <c r="R37" s="40">
        <f t="shared" si="29"/>
        <v>0</v>
      </c>
      <c r="S37" s="40">
        <f t="shared" si="29"/>
        <v>0</v>
      </c>
      <c r="T37" s="40">
        <f t="shared" si="29"/>
        <v>0</v>
      </c>
    </row>
    <row r="38" ht="15.75" customHeight="1">
      <c r="A38" s="16" t="s">
        <v>185</v>
      </c>
      <c r="F38" s="24"/>
      <c r="G38" s="19">
        <f>$G$12</f>
        <v>4</v>
      </c>
      <c r="H38" s="20">
        <v>2.0</v>
      </c>
      <c r="I38" s="20">
        <v>0.0</v>
      </c>
      <c r="J38" s="20">
        <v>0.0</v>
      </c>
      <c r="K38" s="20">
        <v>0.0</v>
      </c>
      <c r="L38" s="20">
        <v>0.0</v>
      </c>
      <c r="N38" s="23"/>
      <c r="O38" s="19">
        <f>$G$12</f>
        <v>4</v>
      </c>
      <c r="P38" s="40">
        <f t="shared" ref="P38:T38" si="30">H38/H$58</f>
        <v>0.007168458781</v>
      </c>
      <c r="Q38" s="40">
        <f t="shared" si="30"/>
        <v>0</v>
      </c>
      <c r="R38" s="40">
        <f t="shared" si="30"/>
        <v>0</v>
      </c>
      <c r="S38" s="40">
        <f t="shared" si="30"/>
        <v>0</v>
      </c>
      <c r="T38" s="40">
        <f t="shared" si="30"/>
        <v>0</v>
      </c>
    </row>
    <row r="39" ht="15.75" customHeight="1">
      <c r="A39" s="16" t="s">
        <v>69</v>
      </c>
      <c r="F39" s="24"/>
      <c r="G39" s="19">
        <f>$G$13</f>
        <v>5</v>
      </c>
      <c r="H39" s="20">
        <v>5.0</v>
      </c>
      <c r="I39" s="20">
        <v>1.0</v>
      </c>
      <c r="J39" s="20">
        <v>0.0</v>
      </c>
      <c r="K39" s="20">
        <v>0.0</v>
      </c>
      <c r="L39" s="20">
        <v>1.0</v>
      </c>
      <c r="N39" s="23"/>
      <c r="O39" s="19">
        <f>$G$13</f>
        <v>5</v>
      </c>
      <c r="P39" s="40">
        <f t="shared" ref="P39:T39" si="31">H39/H$58</f>
        <v>0.01792114695</v>
      </c>
      <c r="Q39" s="40">
        <f t="shared" si="31"/>
        <v>0.007299270073</v>
      </c>
      <c r="R39" s="40">
        <f t="shared" si="31"/>
        <v>0</v>
      </c>
      <c r="S39" s="40">
        <f t="shared" si="31"/>
        <v>0</v>
      </c>
      <c r="T39" s="40">
        <f t="shared" si="31"/>
        <v>0.05</v>
      </c>
    </row>
    <row r="40" ht="15.75" customHeight="1">
      <c r="A40" s="16" t="s">
        <v>186</v>
      </c>
      <c r="F40" s="24"/>
      <c r="G40" s="19">
        <f>$G$14</f>
        <v>6</v>
      </c>
      <c r="H40" s="20">
        <v>8.0</v>
      </c>
      <c r="I40" s="20">
        <v>4.0</v>
      </c>
      <c r="J40" s="20">
        <v>0.0</v>
      </c>
      <c r="K40" s="20">
        <v>1.0</v>
      </c>
      <c r="L40" s="20">
        <v>1.0</v>
      </c>
      <c r="N40" s="23"/>
      <c r="O40" s="19">
        <f>$G$14</f>
        <v>6</v>
      </c>
      <c r="P40" s="40">
        <f t="shared" ref="P40:T40" si="32">H40/H$58</f>
        <v>0.02867383513</v>
      </c>
      <c r="Q40" s="40">
        <f t="shared" si="32"/>
        <v>0.02919708029</v>
      </c>
      <c r="R40" s="40">
        <f t="shared" si="32"/>
        <v>0</v>
      </c>
      <c r="S40" s="40">
        <f t="shared" si="32"/>
        <v>0.05882352941</v>
      </c>
      <c r="T40" s="40">
        <f t="shared" si="32"/>
        <v>0.05</v>
      </c>
    </row>
    <row r="41" ht="15.75" customHeight="1">
      <c r="A41" s="16" t="s">
        <v>187</v>
      </c>
      <c r="F41" s="24"/>
      <c r="G41" s="19">
        <f>$G$15</f>
        <v>7</v>
      </c>
      <c r="H41" s="20">
        <v>35.0</v>
      </c>
      <c r="I41" s="20">
        <v>6.0</v>
      </c>
      <c r="J41" s="20">
        <v>1.0</v>
      </c>
      <c r="K41" s="20">
        <v>1.0</v>
      </c>
      <c r="L41" s="20">
        <v>0.0</v>
      </c>
      <c r="N41" s="23"/>
      <c r="O41" s="19">
        <f>$G$15</f>
        <v>7</v>
      </c>
      <c r="P41" s="40">
        <f t="shared" ref="P41:T41" si="33">H41/H$58</f>
        <v>0.1254480287</v>
      </c>
      <c r="Q41" s="40">
        <f t="shared" si="33"/>
        <v>0.04379562044</v>
      </c>
      <c r="R41" s="40">
        <f t="shared" si="33"/>
        <v>0.3333333333</v>
      </c>
      <c r="S41" s="40">
        <f t="shared" si="33"/>
        <v>0.05882352941</v>
      </c>
      <c r="T41" s="40">
        <f t="shared" si="33"/>
        <v>0</v>
      </c>
    </row>
    <row r="42" ht="15.75" customHeight="1">
      <c r="A42" s="16" t="s">
        <v>188</v>
      </c>
      <c r="F42" s="24"/>
      <c r="G42" s="19">
        <f>$G$16</f>
        <v>8</v>
      </c>
      <c r="H42" s="20">
        <v>22.0</v>
      </c>
      <c r="I42" s="20">
        <v>5.0</v>
      </c>
      <c r="J42" s="20">
        <v>1.0</v>
      </c>
      <c r="K42" s="20">
        <v>1.0</v>
      </c>
      <c r="L42" s="20">
        <v>5.0</v>
      </c>
      <c r="N42" s="23"/>
      <c r="O42" s="19">
        <f>$G$16</f>
        <v>8</v>
      </c>
      <c r="P42" s="40">
        <f t="shared" ref="P42:T42" si="34">H42/H$58</f>
        <v>0.07885304659</v>
      </c>
      <c r="Q42" s="40">
        <f t="shared" si="34"/>
        <v>0.03649635036</v>
      </c>
      <c r="R42" s="40">
        <f t="shared" si="34"/>
        <v>0.3333333333</v>
      </c>
      <c r="S42" s="40">
        <f t="shared" si="34"/>
        <v>0.05882352941</v>
      </c>
      <c r="T42" s="40">
        <f t="shared" si="34"/>
        <v>0.25</v>
      </c>
    </row>
    <row r="43" ht="15.75" customHeight="1">
      <c r="A43" s="16" t="s">
        <v>189</v>
      </c>
      <c r="F43" s="24"/>
      <c r="G43" s="19">
        <f>$G$17</f>
        <v>9</v>
      </c>
      <c r="H43" s="20">
        <v>20.0</v>
      </c>
      <c r="I43" s="20">
        <v>7.0</v>
      </c>
      <c r="J43" s="20">
        <v>0.0</v>
      </c>
      <c r="K43" s="20">
        <v>0.0</v>
      </c>
      <c r="L43" s="20">
        <v>2.0</v>
      </c>
      <c r="N43" s="23"/>
      <c r="O43" s="19">
        <f>$G$17</f>
        <v>9</v>
      </c>
      <c r="P43" s="40">
        <f t="shared" ref="P43:T43" si="35">H43/H$58</f>
        <v>0.07168458781</v>
      </c>
      <c r="Q43" s="40">
        <f t="shared" si="35"/>
        <v>0.05109489051</v>
      </c>
      <c r="R43" s="40">
        <f t="shared" si="35"/>
        <v>0</v>
      </c>
      <c r="S43" s="40">
        <f t="shared" si="35"/>
        <v>0</v>
      </c>
      <c r="T43" s="40">
        <f t="shared" si="35"/>
        <v>0.1</v>
      </c>
    </row>
    <row r="44" ht="15.75" customHeight="1">
      <c r="A44" s="16" t="s">
        <v>190</v>
      </c>
      <c r="F44" s="24"/>
      <c r="G44" s="19">
        <f>$G$18</f>
        <v>10</v>
      </c>
      <c r="H44" s="20">
        <v>16.0</v>
      </c>
      <c r="I44" s="20">
        <v>11.0</v>
      </c>
      <c r="J44" s="20">
        <v>0.0</v>
      </c>
      <c r="K44" s="20">
        <v>1.0</v>
      </c>
      <c r="L44" s="20">
        <v>2.0</v>
      </c>
      <c r="N44" s="23"/>
      <c r="O44" s="19">
        <f>$G$18</f>
        <v>10</v>
      </c>
      <c r="P44" s="40">
        <f t="shared" ref="P44:T44" si="36">H44/H$58</f>
        <v>0.05734767025</v>
      </c>
      <c r="Q44" s="40">
        <f t="shared" si="36"/>
        <v>0.0802919708</v>
      </c>
      <c r="R44" s="40">
        <f t="shared" si="36"/>
        <v>0</v>
      </c>
      <c r="S44" s="40">
        <f t="shared" si="36"/>
        <v>0.05882352941</v>
      </c>
      <c r="T44" s="40">
        <f t="shared" si="36"/>
        <v>0.1</v>
      </c>
    </row>
    <row r="45" ht="15.75" customHeight="1">
      <c r="A45" s="16" t="s">
        <v>191</v>
      </c>
      <c r="F45" s="24"/>
      <c r="G45" s="19">
        <f>$G$19</f>
        <v>11</v>
      </c>
      <c r="H45" s="20">
        <v>13.0</v>
      </c>
      <c r="I45" s="20">
        <v>13.0</v>
      </c>
      <c r="J45" s="20">
        <v>0.0</v>
      </c>
      <c r="K45" s="20">
        <v>2.0</v>
      </c>
      <c r="L45" s="20">
        <v>3.0</v>
      </c>
      <c r="N45" s="23"/>
      <c r="O45" s="19">
        <f>$G$19</f>
        <v>11</v>
      </c>
      <c r="P45" s="40">
        <f t="shared" ref="P45:T45" si="37">H45/H$58</f>
        <v>0.04659498208</v>
      </c>
      <c r="Q45" s="40">
        <f t="shared" si="37"/>
        <v>0.09489051095</v>
      </c>
      <c r="R45" s="40">
        <f t="shared" si="37"/>
        <v>0</v>
      </c>
      <c r="S45" s="40">
        <f t="shared" si="37"/>
        <v>0.1176470588</v>
      </c>
      <c r="T45" s="40">
        <f t="shared" si="37"/>
        <v>0.15</v>
      </c>
    </row>
    <row r="46" ht="15.75" customHeight="1">
      <c r="A46" s="16" t="s">
        <v>192</v>
      </c>
      <c r="F46" s="24"/>
      <c r="G46" s="19">
        <f>$G$20</f>
        <v>12</v>
      </c>
      <c r="H46" s="20">
        <v>9.0</v>
      </c>
      <c r="I46" s="20">
        <v>11.0</v>
      </c>
      <c r="J46" s="20">
        <v>0.0</v>
      </c>
      <c r="K46" s="20">
        <v>0.0</v>
      </c>
      <c r="L46" s="20">
        <v>2.0</v>
      </c>
      <c r="N46" s="23"/>
      <c r="O46" s="19">
        <f>$G$20</f>
        <v>12</v>
      </c>
      <c r="P46" s="40">
        <f t="shared" ref="P46:T46" si="38">H46/H$58</f>
        <v>0.03225806452</v>
      </c>
      <c r="Q46" s="40">
        <f t="shared" si="38"/>
        <v>0.0802919708</v>
      </c>
      <c r="R46" s="40">
        <f t="shared" si="38"/>
        <v>0</v>
      </c>
      <c r="S46" s="40">
        <f t="shared" si="38"/>
        <v>0</v>
      </c>
      <c r="T46" s="40">
        <f t="shared" si="38"/>
        <v>0.1</v>
      </c>
    </row>
    <row r="47" ht="15.75" customHeight="1">
      <c r="A47" s="16" t="s">
        <v>193</v>
      </c>
      <c r="F47" s="24"/>
      <c r="G47" s="19">
        <f>$G$21</f>
        <v>13</v>
      </c>
      <c r="H47" s="20">
        <v>7.0</v>
      </c>
      <c r="I47" s="20">
        <v>12.0</v>
      </c>
      <c r="J47" s="20">
        <v>0.0</v>
      </c>
      <c r="K47" s="20">
        <v>1.0</v>
      </c>
      <c r="L47" s="20">
        <v>1.0</v>
      </c>
      <c r="N47" s="23"/>
      <c r="O47" s="19">
        <f>$G$21</f>
        <v>13</v>
      </c>
      <c r="P47" s="40">
        <f t="shared" ref="P47:T47" si="39">H47/H$58</f>
        <v>0.02508960573</v>
      </c>
      <c r="Q47" s="40">
        <f t="shared" si="39"/>
        <v>0.08759124088</v>
      </c>
      <c r="R47" s="40">
        <f t="shared" si="39"/>
        <v>0</v>
      </c>
      <c r="S47" s="40">
        <f t="shared" si="39"/>
        <v>0.05882352941</v>
      </c>
      <c r="T47" s="40">
        <f t="shared" si="39"/>
        <v>0.05</v>
      </c>
    </row>
    <row r="48" ht="15.75" customHeight="1">
      <c r="A48" s="16" t="s">
        <v>194</v>
      </c>
      <c r="F48" s="24"/>
      <c r="G48" s="19">
        <f>$G$22</f>
        <v>14</v>
      </c>
      <c r="H48" s="20">
        <v>16.0</v>
      </c>
      <c r="I48" s="20">
        <v>7.0</v>
      </c>
      <c r="J48" s="20">
        <v>0.0</v>
      </c>
      <c r="K48" s="20">
        <v>2.0</v>
      </c>
      <c r="L48" s="20">
        <v>2.0</v>
      </c>
      <c r="N48" s="23"/>
      <c r="O48" s="19">
        <f>$G$22</f>
        <v>14</v>
      </c>
      <c r="P48" s="40">
        <f t="shared" ref="P48:T48" si="40">H48/H$58</f>
        <v>0.05734767025</v>
      </c>
      <c r="Q48" s="40">
        <f t="shared" si="40"/>
        <v>0.05109489051</v>
      </c>
      <c r="R48" s="40">
        <f t="shared" si="40"/>
        <v>0</v>
      </c>
      <c r="S48" s="40">
        <f t="shared" si="40"/>
        <v>0.1176470588</v>
      </c>
      <c r="T48" s="40">
        <f t="shared" si="40"/>
        <v>0.1</v>
      </c>
    </row>
    <row r="49" ht="15.75" customHeight="1">
      <c r="A49" s="16" t="s">
        <v>195</v>
      </c>
      <c r="F49" s="24"/>
      <c r="G49" s="19">
        <f>$G$23</f>
        <v>15</v>
      </c>
      <c r="H49" s="20">
        <v>12.0</v>
      </c>
      <c r="I49" s="20">
        <v>9.0</v>
      </c>
      <c r="J49" s="20">
        <v>0.0</v>
      </c>
      <c r="K49" s="20">
        <v>1.0</v>
      </c>
      <c r="L49" s="20">
        <v>0.0</v>
      </c>
      <c r="N49" s="23"/>
      <c r="O49" s="19">
        <f>$G$23</f>
        <v>15</v>
      </c>
      <c r="P49" s="40">
        <f t="shared" ref="P49:T49" si="41">H49/H$58</f>
        <v>0.04301075269</v>
      </c>
      <c r="Q49" s="40">
        <f t="shared" si="41"/>
        <v>0.06569343066</v>
      </c>
      <c r="R49" s="40">
        <f t="shared" si="41"/>
        <v>0</v>
      </c>
      <c r="S49" s="40">
        <f t="shared" si="41"/>
        <v>0.05882352941</v>
      </c>
      <c r="T49" s="40">
        <f t="shared" si="41"/>
        <v>0</v>
      </c>
    </row>
    <row r="50" ht="15.75" customHeight="1">
      <c r="A50" s="16" t="s">
        <v>196</v>
      </c>
      <c r="F50" s="24"/>
      <c r="G50" s="19">
        <f>$G$24</f>
        <v>16</v>
      </c>
      <c r="H50" s="20">
        <v>24.0</v>
      </c>
      <c r="I50" s="20">
        <v>14.0</v>
      </c>
      <c r="J50" s="20">
        <v>1.0</v>
      </c>
      <c r="K50" s="20">
        <v>0.0</v>
      </c>
      <c r="L50" s="20">
        <v>1.0</v>
      </c>
      <c r="N50" s="23"/>
      <c r="O50" s="19">
        <f>$G$24</f>
        <v>16</v>
      </c>
      <c r="P50" s="40">
        <f t="shared" ref="P50:T50" si="42">H50/H$58</f>
        <v>0.08602150538</v>
      </c>
      <c r="Q50" s="40">
        <f t="shared" si="42"/>
        <v>0.102189781</v>
      </c>
      <c r="R50" s="40">
        <f t="shared" si="42"/>
        <v>0.3333333333</v>
      </c>
      <c r="S50" s="40">
        <f t="shared" si="42"/>
        <v>0</v>
      </c>
      <c r="T50" s="40">
        <f t="shared" si="42"/>
        <v>0.05</v>
      </c>
    </row>
    <row r="51" ht="15.75" customHeight="1">
      <c r="A51" s="16" t="s">
        <v>197</v>
      </c>
      <c r="F51" s="24"/>
      <c r="G51" s="19">
        <f>$G$25</f>
        <v>17</v>
      </c>
      <c r="H51" s="20">
        <v>24.0</v>
      </c>
      <c r="I51" s="20">
        <v>5.0</v>
      </c>
      <c r="J51" s="20">
        <v>0.0</v>
      </c>
      <c r="K51" s="20">
        <v>0.0</v>
      </c>
      <c r="L51" s="20">
        <v>0.0</v>
      </c>
      <c r="N51" s="23"/>
      <c r="O51" s="19">
        <f>$G$25</f>
        <v>17</v>
      </c>
      <c r="P51" s="40">
        <f t="shared" ref="P51:T51" si="43">H51/H$58</f>
        <v>0.08602150538</v>
      </c>
      <c r="Q51" s="40">
        <f t="shared" si="43"/>
        <v>0.03649635036</v>
      </c>
      <c r="R51" s="40">
        <f t="shared" si="43"/>
        <v>0</v>
      </c>
      <c r="S51" s="40">
        <f t="shared" si="43"/>
        <v>0</v>
      </c>
      <c r="T51" s="40">
        <f t="shared" si="43"/>
        <v>0</v>
      </c>
    </row>
    <row r="52" ht="15.75" customHeight="1">
      <c r="A52" s="16" t="s">
        <v>198</v>
      </c>
      <c r="F52" s="24"/>
      <c r="G52" s="19">
        <f>$G$26</f>
        <v>18</v>
      </c>
      <c r="H52" s="20">
        <v>17.0</v>
      </c>
      <c r="I52" s="20">
        <v>9.0</v>
      </c>
      <c r="J52" s="20">
        <v>0.0</v>
      </c>
      <c r="K52" s="20">
        <v>2.0</v>
      </c>
      <c r="L52" s="20">
        <v>0.0</v>
      </c>
      <c r="N52" s="23"/>
      <c r="O52" s="19">
        <f>$G$26</f>
        <v>18</v>
      </c>
      <c r="P52" s="40">
        <f t="shared" ref="P52:T52" si="44">H52/H$58</f>
        <v>0.06093189964</v>
      </c>
      <c r="Q52" s="40">
        <f t="shared" si="44"/>
        <v>0.06569343066</v>
      </c>
      <c r="R52" s="40">
        <f t="shared" si="44"/>
        <v>0</v>
      </c>
      <c r="S52" s="40">
        <f t="shared" si="44"/>
        <v>0.1176470588</v>
      </c>
      <c r="T52" s="40">
        <f t="shared" si="44"/>
        <v>0</v>
      </c>
    </row>
    <row r="53" ht="15.75" customHeight="1">
      <c r="A53" s="16" t="s">
        <v>199</v>
      </c>
      <c r="F53" s="24"/>
      <c r="G53" s="19">
        <f>$G$27</f>
        <v>19</v>
      </c>
      <c r="H53" s="20">
        <v>9.0</v>
      </c>
      <c r="I53" s="20">
        <v>7.0</v>
      </c>
      <c r="J53" s="20">
        <v>0.0</v>
      </c>
      <c r="K53" s="20">
        <v>2.0</v>
      </c>
      <c r="L53" s="20">
        <v>0.0</v>
      </c>
      <c r="N53" s="23"/>
      <c r="O53" s="19">
        <f>$G$27</f>
        <v>19</v>
      </c>
      <c r="P53" s="40">
        <f t="shared" ref="P53:T53" si="45">H53/H$58</f>
        <v>0.03225806452</v>
      </c>
      <c r="Q53" s="40">
        <f t="shared" si="45"/>
        <v>0.05109489051</v>
      </c>
      <c r="R53" s="40">
        <f t="shared" si="45"/>
        <v>0</v>
      </c>
      <c r="S53" s="40">
        <f t="shared" si="45"/>
        <v>0.1176470588</v>
      </c>
      <c r="T53" s="40">
        <f t="shared" si="45"/>
        <v>0</v>
      </c>
    </row>
    <row r="54" ht="15.75" customHeight="1">
      <c r="A54" s="16" t="s">
        <v>126</v>
      </c>
      <c r="F54" s="24"/>
      <c r="G54" s="19">
        <f>$G$28</f>
        <v>20</v>
      </c>
      <c r="H54" s="20">
        <v>13.0</v>
      </c>
      <c r="I54" s="20">
        <v>8.0</v>
      </c>
      <c r="J54" s="20">
        <v>0.0</v>
      </c>
      <c r="K54" s="20">
        <v>1.0</v>
      </c>
      <c r="L54" s="20">
        <v>0.0</v>
      </c>
      <c r="N54" s="23"/>
      <c r="O54" s="19">
        <f>$G$28</f>
        <v>20</v>
      </c>
      <c r="P54" s="40">
        <f t="shared" ref="P54:T54" si="46">H54/H$58</f>
        <v>0.04659498208</v>
      </c>
      <c r="Q54" s="40">
        <f t="shared" si="46"/>
        <v>0.05839416058</v>
      </c>
      <c r="R54" s="40">
        <f t="shared" si="46"/>
        <v>0</v>
      </c>
      <c r="S54" s="40">
        <f t="shared" si="46"/>
        <v>0.05882352941</v>
      </c>
      <c r="T54" s="40">
        <f t="shared" si="46"/>
        <v>0</v>
      </c>
    </row>
    <row r="55" ht="15.75" customHeight="1">
      <c r="A55" s="16" t="s">
        <v>89</v>
      </c>
      <c r="F55" s="24"/>
      <c r="G55" s="19">
        <f>$G$29</f>
        <v>21</v>
      </c>
      <c r="H55" s="20">
        <v>9.0</v>
      </c>
      <c r="I55" s="20">
        <v>3.0</v>
      </c>
      <c r="J55" s="20">
        <v>0.0</v>
      </c>
      <c r="K55" s="20">
        <v>1.0</v>
      </c>
      <c r="L55" s="20">
        <v>0.0</v>
      </c>
      <c r="N55" s="23"/>
      <c r="O55" s="19">
        <f>$G$29</f>
        <v>21</v>
      </c>
      <c r="P55" s="40">
        <f t="shared" ref="P55:T55" si="47">H55/H$58</f>
        <v>0.03225806452</v>
      </c>
      <c r="Q55" s="40">
        <f t="shared" si="47"/>
        <v>0.02189781022</v>
      </c>
      <c r="R55" s="40">
        <f t="shared" si="47"/>
        <v>0</v>
      </c>
      <c r="S55" s="40">
        <f t="shared" si="47"/>
        <v>0.05882352941</v>
      </c>
      <c r="T55" s="40">
        <f t="shared" si="47"/>
        <v>0</v>
      </c>
    </row>
    <row r="56" ht="15.75" customHeight="1">
      <c r="A56" s="16" t="s">
        <v>200</v>
      </c>
      <c r="F56" s="24"/>
      <c r="G56" s="19">
        <f>$G$30</f>
        <v>22</v>
      </c>
      <c r="H56" s="20">
        <v>8.0</v>
      </c>
      <c r="I56" s="20">
        <v>2.0</v>
      </c>
      <c r="J56" s="20">
        <v>0.0</v>
      </c>
      <c r="K56" s="20">
        <v>0.0</v>
      </c>
      <c r="L56" s="20">
        <v>0.0</v>
      </c>
      <c r="N56" s="23"/>
      <c r="O56" s="19">
        <f>$G$30</f>
        <v>22</v>
      </c>
      <c r="P56" s="40">
        <f t="shared" ref="P56:T56" si="48">H56/H$58</f>
        <v>0.02867383513</v>
      </c>
      <c r="Q56" s="40">
        <f t="shared" si="48"/>
        <v>0.01459854015</v>
      </c>
      <c r="R56" s="40">
        <f t="shared" si="48"/>
        <v>0</v>
      </c>
      <c r="S56" s="40">
        <f t="shared" si="48"/>
        <v>0</v>
      </c>
      <c r="T56" s="40">
        <f t="shared" si="48"/>
        <v>0</v>
      </c>
    </row>
    <row r="57" ht="15.75" customHeight="1">
      <c r="A57" s="16" t="s">
        <v>201</v>
      </c>
      <c r="F57" s="28"/>
      <c r="G57" s="19">
        <f>$G$31</f>
        <v>23</v>
      </c>
      <c r="H57" s="20">
        <v>2.0</v>
      </c>
      <c r="I57" s="20">
        <v>2.0</v>
      </c>
      <c r="J57" s="20">
        <v>0.0</v>
      </c>
      <c r="K57" s="20">
        <v>1.0</v>
      </c>
      <c r="L57" s="20">
        <v>0.0</v>
      </c>
      <c r="N57" s="27"/>
      <c r="O57" s="19">
        <f>$G$31</f>
        <v>23</v>
      </c>
      <c r="P57" s="40">
        <f t="shared" ref="P57:T57" si="49">H57/H$58</f>
        <v>0.007168458781</v>
      </c>
      <c r="Q57" s="40">
        <f t="shared" si="49"/>
        <v>0.01459854015</v>
      </c>
      <c r="R57" s="40">
        <f t="shared" si="49"/>
        <v>0</v>
      </c>
      <c r="S57" s="40">
        <f t="shared" si="49"/>
        <v>0.05882352941</v>
      </c>
      <c r="T57" s="40">
        <f t="shared" si="49"/>
        <v>0</v>
      </c>
    </row>
    <row r="58" ht="15.75" customHeight="1">
      <c r="F58" s="41"/>
      <c r="G58" s="41"/>
      <c r="H58" s="26">
        <f t="shared" ref="H58:L58" si="50">SUM(H34:H57)</f>
        <v>279</v>
      </c>
      <c r="I58" s="26">
        <f t="shared" si="50"/>
        <v>137</v>
      </c>
      <c r="J58" s="26">
        <f t="shared" si="50"/>
        <v>3</v>
      </c>
      <c r="K58" s="26">
        <f t="shared" si="50"/>
        <v>17</v>
      </c>
      <c r="L58" s="26">
        <f t="shared" si="50"/>
        <v>20</v>
      </c>
      <c r="N58" s="41"/>
    </row>
    <row r="59" ht="15.75" customHeight="1">
      <c r="G59" s="16"/>
      <c r="H59" s="17">
        <f>$H$7</f>
        <v>31</v>
      </c>
      <c r="I59" s="17">
        <f>$I$7</f>
        <v>32</v>
      </c>
      <c r="J59" s="17">
        <f>$J$7</f>
        <v>41</v>
      </c>
      <c r="K59" s="17">
        <f>$K$7</f>
        <v>42</v>
      </c>
      <c r="L59" s="17">
        <f>$L$7</f>
        <v>5</v>
      </c>
      <c r="O59" s="16"/>
      <c r="P59" s="17">
        <f>$H$7</f>
        <v>31</v>
      </c>
      <c r="Q59" s="17">
        <f>$I$7</f>
        <v>32</v>
      </c>
      <c r="R59" s="17">
        <f>$J$7</f>
        <v>41</v>
      </c>
      <c r="S59" s="17">
        <f>$K$7</f>
        <v>42</v>
      </c>
      <c r="T59" s="17">
        <f>$L$7</f>
        <v>5</v>
      </c>
    </row>
    <row r="60" ht="15.75" customHeight="1">
      <c r="A60" s="16" t="s">
        <v>202</v>
      </c>
      <c r="F60" s="21">
        <v>45196.0</v>
      </c>
      <c r="G60" s="19">
        <f>$G$8</f>
        <v>0</v>
      </c>
      <c r="H60" s="20">
        <v>2.0</v>
      </c>
      <c r="I60" s="20">
        <v>0.0</v>
      </c>
      <c r="J60" s="20">
        <v>0.0</v>
      </c>
      <c r="K60" s="20">
        <v>0.0</v>
      </c>
      <c r="L60" s="20">
        <v>0.0</v>
      </c>
      <c r="N60" s="18">
        <v>45196.0</v>
      </c>
      <c r="O60" s="19">
        <f>$G$8</f>
        <v>0</v>
      </c>
      <c r="P60" s="40">
        <f t="shared" ref="P60:Q60" si="51">H60/H$84</f>
        <v>0.006493506494</v>
      </c>
      <c r="Q60" s="40">
        <f t="shared" si="51"/>
        <v>0</v>
      </c>
      <c r="R60" s="40">
        <v>0.0</v>
      </c>
      <c r="S60" s="40">
        <f t="shared" ref="S60:T60" si="52">K60/K$84</f>
        <v>0</v>
      </c>
      <c r="T60" s="40">
        <f t="shared" si="52"/>
        <v>0</v>
      </c>
    </row>
    <row r="61" ht="15.75" customHeight="1">
      <c r="A61" s="16" t="s">
        <v>69</v>
      </c>
      <c r="F61" s="24"/>
      <c r="G61" s="19">
        <f>$G$9</f>
        <v>1</v>
      </c>
      <c r="H61" s="20">
        <v>1.0</v>
      </c>
      <c r="I61" s="20">
        <v>1.0</v>
      </c>
      <c r="J61" s="20">
        <v>0.0</v>
      </c>
      <c r="K61" s="20">
        <v>0.0</v>
      </c>
      <c r="L61" s="20">
        <v>0.0</v>
      </c>
      <c r="N61" s="23"/>
      <c r="O61" s="19">
        <f>$G$9</f>
        <v>1</v>
      </c>
      <c r="P61" s="40">
        <f t="shared" ref="P61:Q61" si="53">H61/H$84</f>
        <v>0.003246753247</v>
      </c>
      <c r="Q61" s="40">
        <f t="shared" si="53"/>
        <v>0.008849557522</v>
      </c>
      <c r="R61" s="40">
        <v>0.0</v>
      </c>
      <c r="S61" s="40">
        <f t="shared" ref="S61:T61" si="54">K61/K$84</f>
        <v>0</v>
      </c>
      <c r="T61" s="40">
        <f t="shared" si="54"/>
        <v>0</v>
      </c>
    </row>
    <row r="62" ht="15.75" customHeight="1">
      <c r="A62" s="16" t="s">
        <v>94</v>
      </c>
      <c r="F62" s="24"/>
      <c r="G62" s="19">
        <f>$G$10</f>
        <v>2</v>
      </c>
      <c r="H62" s="16">
        <v>0.0</v>
      </c>
      <c r="I62" s="16">
        <v>0.0</v>
      </c>
      <c r="J62" s="16">
        <v>0.0</v>
      </c>
      <c r="K62" s="16">
        <v>0.0</v>
      </c>
      <c r="L62" s="16">
        <v>0.0</v>
      </c>
      <c r="N62" s="23"/>
      <c r="O62" s="19">
        <f>$G$10</f>
        <v>2</v>
      </c>
      <c r="P62" s="40">
        <f t="shared" ref="P62:Q62" si="55">H62/H$84</f>
        <v>0</v>
      </c>
      <c r="Q62" s="40">
        <f t="shared" si="55"/>
        <v>0</v>
      </c>
      <c r="R62" s="40">
        <v>0.0</v>
      </c>
      <c r="S62" s="40">
        <f t="shared" ref="S62:T62" si="56">K62/K$84</f>
        <v>0</v>
      </c>
      <c r="T62" s="40">
        <f t="shared" si="56"/>
        <v>0</v>
      </c>
    </row>
    <row r="63" ht="15.75" customHeight="1">
      <c r="A63" s="16" t="s">
        <v>70</v>
      </c>
      <c r="F63" s="24"/>
      <c r="G63" s="19">
        <f>$G$11</f>
        <v>3</v>
      </c>
      <c r="H63" s="16">
        <v>1.0</v>
      </c>
      <c r="I63" s="16">
        <v>0.0</v>
      </c>
      <c r="J63" s="16">
        <v>0.0</v>
      </c>
      <c r="K63" s="16">
        <v>0.0</v>
      </c>
      <c r="L63" s="16">
        <v>0.0</v>
      </c>
      <c r="N63" s="23"/>
      <c r="O63" s="19">
        <f>$G$11</f>
        <v>3</v>
      </c>
      <c r="P63" s="40">
        <f t="shared" ref="P63:Q63" si="57">H63/H$84</f>
        <v>0.003246753247</v>
      </c>
      <c r="Q63" s="40">
        <f t="shared" si="57"/>
        <v>0</v>
      </c>
      <c r="R63" s="40">
        <v>0.0</v>
      </c>
      <c r="S63" s="40">
        <f t="shared" ref="S63:T63" si="58">K63/K$84</f>
        <v>0</v>
      </c>
      <c r="T63" s="40">
        <f t="shared" si="58"/>
        <v>0</v>
      </c>
    </row>
    <row r="64" ht="15.75" customHeight="1">
      <c r="A64" s="16" t="s">
        <v>94</v>
      </c>
      <c r="F64" s="24"/>
      <c r="G64" s="19">
        <f>$G$12</f>
        <v>4</v>
      </c>
      <c r="H64" s="20">
        <v>0.0</v>
      </c>
      <c r="I64" s="20">
        <v>0.0</v>
      </c>
      <c r="J64" s="20">
        <v>0.0</v>
      </c>
      <c r="K64" s="20">
        <v>0.0</v>
      </c>
      <c r="L64" s="20">
        <v>0.0</v>
      </c>
      <c r="N64" s="23"/>
      <c r="O64" s="19">
        <f>$G$12</f>
        <v>4</v>
      </c>
      <c r="P64" s="40">
        <f t="shared" ref="P64:Q64" si="59">H64/H$84</f>
        <v>0</v>
      </c>
      <c r="Q64" s="40">
        <f t="shared" si="59"/>
        <v>0</v>
      </c>
      <c r="R64" s="40">
        <v>0.0</v>
      </c>
      <c r="S64" s="40">
        <f t="shared" ref="S64:T64" si="60">K64/K$84</f>
        <v>0</v>
      </c>
      <c r="T64" s="40">
        <f t="shared" si="60"/>
        <v>0</v>
      </c>
    </row>
    <row r="65" ht="15.75" customHeight="1">
      <c r="A65" s="16" t="s">
        <v>203</v>
      </c>
      <c r="F65" s="24"/>
      <c r="G65" s="19">
        <f>$G$13</f>
        <v>5</v>
      </c>
      <c r="H65" s="16">
        <v>4.0</v>
      </c>
      <c r="I65" s="16">
        <v>4.0</v>
      </c>
      <c r="J65" s="16">
        <v>0.0</v>
      </c>
      <c r="K65" s="16">
        <v>1.0</v>
      </c>
      <c r="L65" s="16">
        <v>0.0</v>
      </c>
      <c r="N65" s="23"/>
      <c r="O65" s="19">
        <f>$G$13</f>
        <v>5</v>
      </c>
      <c r="P65" s="40">
        <f t="shared" ref="P65:Q65" si="61">H65/H$84</f>
        <v>0.01298701299</v>
      </c>
      <c r="Q65" s="40">
        <f t="shared" si="61"/>
        <v>0.03539823009</v>
      </c>
      <c r="R65" s="40">
        <v>0.0</v>
      </c>
      <c r="S65" s="40">
        <f t="shared" ref="S65:T65" si="62">K65/K$84</f>
        <v>0.07692307692</v>
      </c>
      <c r="T65" s="40">
        <f t="shared" si="62"/>
        <v>0</v>
      </c>
    </row>
    <row r="66" ht="15.75" customHeight="1">
      <c r="A66" s="16" t="s">
        <v>204</v>
      </c>
      <c r="F66" s="24"/>
      <c r="G66" s="19">
        <f>$G$14</f>
        <v>6</v>
      </c>
      <c r="H66" s="20">
        <v>8.0</v>
      </c>
      <c r="I66" s="20">
        <v>3.0</v>
      </c>
      <c r="J66" s="20">
        <v>0.0</v>
      </c>
      <c r="K66" s="20">
        <v>0.0</v>
      </c>
      <c r="L66" s="20">
        <v>3.0</v>
      </c>
      <c r="N66" s="23"/>
      <c r="O66" s="19">
        <f>$G$14</f>
        <v>6</v>
      </c>
      <c r="P66" s="40">
        <f t="shared" ref="P66:Q66" si="63">H66/H$84</f>
        <v>0.02597402597</v>
      </c>
      <c r="Q66" s="40">
        <f t="shared" si="63"/>
        <v>0.02654867257</v>
      </c>
      <c r="R66" s="40">
        <v>0.0</v>
      </c>
      <c r="S66" s="40">
        <f t="shared" ref="S66:T66" si="64">K66/K$84</f>
        <v>0</v>
      </c>
      <c r="T66" s="40">
        <f t="shared" si="64"/>
        <v>0.12</v>
      </c>
    </row>
    <row r="67" ht="15.75" customHeight="1">
      <c r="A67" s="16" t="s">
        <v>205</v>
      </c>
      <c r="F67" s="24"/>
      <c r="G67" s="19">
        <f>$G$15</f>
        <v>7</v>
      </c>
      <c r="H67" s="20">
        <v>28.0</v>
      </c>
      <c r="I67" s="20">
        <v>6.0</v>
      </c>
      <c r="J67" s="20">
        <v>1.0</v>
      </c>
      <c r="K67" s="20">
        <v>2.0</v>
      </c>
      <c r="L67" s="20">
        <v>2.0</v>
      </c>
      <c r="N67" s="23"/>
      <c r="O67" s="19">
        <f>$G$15</f>
        <v>7</v>
      </c>
      <c r="P67" s="40">
        <f t="shared" ref="P67:Q67" si="65">H67/H$84</f>
        <v>0.09090909091</v>
      </c>
      <c r="Q67" s="40">
        <f t="shared" si="65"/>
        <v>0.05309734513</v>
      </c>
      <c r="R67" s="40">
        <v>0.0</v>
      </c>
      <c r="S67" s="40">
        <f t="shared" ref="S67:T67" si="66">K67/K$84</f>
        <v>0.1538461538</v>
      </c>
      <c r="T67" s="40">
        <f t="shared" si="66"/>
        <v>0.08</v>
      </c>
    </row>
    <row r="68" ht="15.75" customHeight="1">
      <c r="A68" s="16" t="s">
        <v>206</v>
      </c>
      <c r="F68" s="24"/>
      <c r="G68" s="19">
        <f>$G$16</f>
        <v>8</v>
      </c>
      <c r="H68" s="20">
        <v>20.0</v>
      </c>
      <c r="I68" s="20">
        <v>7.0</v>
      </c>
      <c r="J68" s="20">
        <v>0.0</v>
      </c>
      <c r="K68" s="20">
        <v>1.0</v>
      </c>
      <c r="L68" s="20">
        <v>2.0</v>
      </c>
      <c r="N68" s="23"/>
      <c r="O68" s="19">
        <f>$G$16</f>
        <v>8</v>
      </c>
      <c r="P68" s="40">
        <f t="shared" ref="P68:Q68" si="67">H68/H$84</f>
        <v>0.06493506494</v>
      </c>
      <c r="Q68" s="40">
        <f t="shared" si="67"/>
        <v>0.06194690265</v>
      </c>
      <c r="R68" s="40">
        <v>0.0</v>
      </c>
      <c r="S68" s="40">
        <f t="shared" ref="S68:T68" si="68">K68/K$84</f>
        <v>0.07692307692</v>
      </c>
      <c r="T68" s="40">
        <f t="shared" si="68"/>
        <v>0.08</v>
      </c>
    </row>
    <row r="69" ht="15.75" customHeight="1">
      <c r="A69" s="16" t="s">
        <v>207</v>
      </c>
      <c r="F69" s="24"/>
      <c r="G69" s="19">
        <f>$G$17</f>
        <v>9</v>
      </c>
      <c r="H69" s="20">
        <v>17.0</v>
      </c>
      <c r="I69" s="20">
        <v>6.0</v>
      </c>
      <c r="J69" s="20">
        <v>0.0</v>
      </c>
      <c r="K69" s="20">
        <v>0.0</v>
      </c>
      <c r="L69" s="20">
        <v>2.0</v>
      </c>
      <c r="N69" s="23"/>
      <c r="O69" s="19">
        <f>$G$17</f>
        <v>9</v>
      </c>
      <c r="P69" s="40">
        <f t="shared" ref="P69:Q69" si="69">H69/H$84</f>
        <v>0.05519480519</v>
      </c>
      <c r="Q69" s="40">
        <f t="shared" si="69"/>
        <v>0.05309734513</v>
      </c>
      <c r="R69" s="40">
        <v>0.0</v>
      </c>
      <c r="S69" s="40">
        <f t="shared" ref="S69:T69" si="70">K69/K$84</f>
        <v>0</v>
      </c>
      <c r="T69" s="40">
        <f t="shared" si="70"/>
        <v>0.08</v>
      </c>
    </row>
    <row r="70" ht="15.75" customHeight="1">
      <c r="A70" s="16" t="s">
        <v>208</v>
      </c>
      <c r="F70" s="24"/>
      <c r="G70" s="19">
        <f>$G$18</f>
        <v>10</v>
      </c>
      <c r="H70" s="20">
        <v>14.0</v>
      </c>
      <c r="I70" s="20">
        <v>6.0</v>
      </c>
      <c r="J70" s="20">
        <v>0.0</v>
      </c>
      <c r="K70" s="20">
        <v>1.0</v>
      </c>
      <c r="L70" s="20">
        <v>5.0</v>
      </c>
      <c r="N70" s="23"/>
      <c r="O70" s="19">
        <f>$G$18</f>
        <v>10</v>
      </c>
      <c r="P70" s="40">
        <f t="shared" ref="P70:Q70" si="71">H70/H$84</f>
        <v>0.04545454545</v>
      </c>
      <c r="Q70" s="40">
        <f t="shared" si="71"/>
        <v>0.05309734513</v>
      </c>
      <c r="R70" s="40">
        <v>0.0</v>
      </c>
      <c r="S70" s="40">
        <f t="shared" ref="S70:T70" si="72">K70/K$84</f>
        <v>0.07692307692</v>
      </c>
      <c r="T70" s="40">
        <f t="shared" si="72"/>
        <v>0.2</v>
      </c>
    </row>
    <row r="71" ht="15.75" customHeight="1">
      <c r="A71" s="16" t="s">
        <v>209</v>
      </c>
      <c r="F71" s="24"/>
      <c r="G71" s="19">
        <f>$G$19</f>
        <v>11</v>
      </c>
      <c r="H71" s="20">
        <v>17.0</v>
      </c>
      <c r="I71" s="20">
        <v>10.0</v>
      </c>
      <c r="J71" s="20">
        <v>0.0</v>
      </c>
      <c r="K71" s="20">
        <v>0.0</v>
      </c>
      <c r="L71" s="20">
        <v>2.0</v>
      </c>
      <c r="N71" s="23"/>
      <c r="O71" s="19">
        <f>$G$19</f>
        <v>11</v>
      </c>
      <c r="P71" s="40">
        <f t="shared" ref="P71:Q71" si="73">H71/H$84</f>
        <v>0.05519480519</v>
      </c>
      <c r="Q71" s="40">
        <f t="shared" si="73"/>
        <v>0.08849557522</v>
      </c>
      <c r="R71" s="40">
        <v>0.0</v>
      </c>
      <c r="S71" s="40">
        <f t="shared" ref="S71:T71" si="74">K71/K$84</f>
        <v>0</v>
      </c>
      <c r="T71" s="40">
        <f t="shared" si="74"/>
        <v>0.08</v>
      </c>
    </row>
    <row r="72" ht="15.75" customHeight="1">
      <c r="A72" s="16" t="s">
        <v>210</v>
      </c>
      <c r="F72" s="24"/>
      <c r="G72" s="19">
        <f>$G$20</f>
        <v>12</v>
      </c>
      <c r="H72" s="20">
        <v>15.0</v>
      </c>
      <c r="I72" s="20">
        <v>10.0</v>
      </c>
      <c r="J72" s="20">
        <v>1.0</v>
      </c>
      <c r="K72" s="20">
        <v>2.0</v>
      </c>
      <c r="L72" s="20">
        <v>4.0</v>
      </c>
      <c r="N72" s="23"/>
      <c r="O72" s="19">
        <f>$G$20</f>
        <v>12</v>
      </c>
      <c r="P72" s="40">
        <f t="shared" ref="P72:Q72" si="75">H72/H$84</f>
        <v>0.0487012987</v>
      </c>
      <c r="Q72" s="40">
        <f t="shared" si="75"/>
        <v>0.08849557522</v>
      </c>
      <c r="R72" s="40">
        <v>0.0</v>
      </c>
      <c r="S72" s="40">
        <f t="shared" ref="S72:T72" si="76">K72/K$84</f>
        <v>0.1538461538</v>
      </c>
      <c r="T72" s="40">
        <f t="shared" si="76"/>
        <v>0.16</v>
      </c>
    </row>
    <row r="73" ht="15.75" customHeight="1">
      <c r="A73" s="16" t="s">
        <v>211</v>
      </c>
      <c r="F73" s="24"/>
      <c r="G73" s="19">
        <f>$G$21</f>
        <v>13</v>
      </c>
      <c r="H73" s="20">
        <v>11.0</v>
      </c>
      <c r="I73" s="20">
        <v>4.0</v>
      </c>
      <c r="J73" s="20">
        <v>0.0</v>
      </c>
      <c r="K73" s="20">
        <v>0.0</v>
      </c>
      <c r="L73" s="20">
        <v>2.0</v>
      </c>
      <c r="N73" s="23"/>
      <c r="O73" s="19">
        <f>$G$21</f>
        <v>13</v>
      </c>
      <c r="P73" s="40">
        <f t="shared" ref="P73:Q73" si="77">H73/H$84</f>
        <v>0.03571428571</v>
      </c>
      <c r="Q73" s="40">
        <f t="shared" si="77"/>
        <v>0.03539823009</v>
      </c>
      <c r="R73" s="40">
        <v>0.0</v>
      </c>
      <c r="S73" s="40">
        <f t="shared" ref="S73:T73" si="78">K73/K$84</f>
        <v>0</v>
      </c>
      <c r="T73" s="40">
        <f t="shared" si="78"/>
        <v>0.08</v>
      </c>
    </row>
    <row r="74" ht="15.75" customHeight="1">
      <c r="A74" s="16" t="s">
        <v>212</v>
      </c>
      <c r="F74" s="24"/>
      <c r="G74" s="19">
        <f>$G$22</f>
        <v>14</v>
      </c>
      <c r="H74" s="20">
        <v>17.0</v>
      </c>
      <c r="I74" s="20">
        <v>9.0</v>
      </c>
      <c r="J74" s="20">
        <v>0.0</v>
      </c>
      <c r="K74" s="20">
        <v>1.0</v>
      </c>
      <c r="L74" s="20">
        <v>1.0</v>
      </c>
      <c r="N74" s="23"/>
      <c r="O74" s="19">
        <f>$G$22</f>
        <v>14</v>
      </c>
      <c r="P74" s="40">
        <f t="shared" ref="P74:Q74" si="79">H74/H$84</f>
        <v>0.05519480519</v>
      </c>
      <c r="Q74" s="40">
        <f t="shared" si="79"/>
        <v>0.0796460177</v>
      </c>
      <c r="R74" s="40">
        <v>0.0</v>
      </c>
      <c r="S74" s="40">
        <f t="shared" ref="S74:T74" si="80">K74/K$84</f>
        <v>0.07692307692</v>
      </c>
      <c r="T74" s="40">
        <f t="shared" si="80"/>
        <v>0.04</v>
      </c>
    </row>
    <row r="75" ht="15.75" customHeight="1">
      <c r="A75" s="16" t="s">
        <v>213</v>
      </c>
      <c r="F75" s="24"/>
      <c r="G75" s="19">
        <f>$G$23</f>
        <v>15</v>
      </c>
      <c r="H75" s="20">
        <v>22.0</v>
      </c>
      <c r="I75" s="20">
        <v>11.0</v>
      </c>
      <c r="J75" s="20">
        <v>0.0</v>
      </c>
      <c r="K75" s="20">
        <v>3.0</v>
      </c>
      <c r="L75" s="20">
        <v>2.0</v>
      </c>
      <c r="N75" s="23"/>
      <c r="O75" s="19">
        <f>$G$23</f>
        <v>15</v>
      </c>
      <c r="P75" s="40">
        <f t="shared" ref="P75:Q75" si="81">H75/H$84</f>
        <v>0.07142857143</v>
      </c>
      <c r="Q75" s="40">
        <f t="shared" si="81"/>
        <v>0.09734513274</v>
      </c>
      <c r="R75" s="40">
        <v>0.0</v>
      </c>
      <c r="S75" s="40">
        <f t="shared" ref="S75:T75" si="82">K75/K$84</f>
        <v>0.2307692308</v>
      </c>
      <c r="T75" s="40">
        <f t="shared" si="82"/>
        <v>0.08</v>
      </c>
    </row>
    <row r="76" ht="15.75" customHeight="1">
      <c r="A76" s="16" t="s">
        <v>214</v>
      </c>
      <c r="F76" s="24"/>
      <c r="G76" s="19">
        <f>$G$24</f>
        <v>16</v>
      </c>
      <c r="H76" s="20">
        <v>26.0</v>
      </c>
      <c r="I76" s="20">
        <v>10.0</v>
      </c>
      <c r="J76" s="20">
        <v>0.0</v>
      </c>
      <c r="K76" s="20">
        <v>0.0</v>
      </c>
      <c r="L76" s="20">
        <v>0.0</v>
      </c>
      <c r="N76" s="23"/>
      <c r="O76" s="19">
        <f>$G$24</f>
        <v>16</v>
      </c>
      <c r="P76" s="40">
        <f t="shared" ref="P76:Q76" si="83">H76/H$84</f>
        <v>0.08441558442</v>
      </c>
      <c r="Q76" s="40">
        <f t="shared" si="83"/>
        <v>0.08849557522</v>
      </c>
      <c r="R76" s="40">
        <v>0.0</v>
      </c>
      <c r="S76" s="40">
        <f t="shared" ref="S76:T76" si="84">K76/K$84</f>
        <v>0</v>
      </c>
      <c r="T76" s="40">
        <f t="shared" si="84"/>
        <v>0</v>
      </c>
    </row>
    <row r="77" ht="15.75" customHeight="1">
      <c r="A77" s="16" t="s">
        <v>215</v>
      </c>
      <c r="F77" s="24"/>
      <c r="G77" s="19">
        <f>$G$25</f>
        <v>17</v>
      </c>
      <c r="H77" s="20">
        <v>33.0</v>
      </c>
      <c r="I77" s="20">
        <v>6.0</v>
      </c>
      <c r="J77" s="20">
        <v>0.0</v>
      </c>
      <c r="K77" s="20">
        <v>1.0</v>
      </c>
      <c r="L77" s="20">
        <v>0.0</v>
      </c>
      <c r="N77" s="23"/>
      <c r="O77" s="19">
        <f>$G$25</f>
        <v>17</v>
      </c>
      <c r="P77" s="40">
        <f t="shared" ref="P77:Q77" si="85">H77/H$84</f>
        <v>0.1071428571</v>
      </c>
      <c r="Q77" s="40">
        <f t="shared" si="85"/>
        <v>0.05309734513</v>
      </c>
      <c r="R77" s="40">
        <v>0.0</v>
      </c>
      <c r="S77" s="40">
        <f t="shared" ref="S77:T77" si="86">K77/K$84</f>
        <v>0.07692307692</v>
      </c>
      <c r="T77" s="40">
        <f t="shared" si="86"/>
        <v>0</v>
      </c>
    </row>
    <row r="78" ht="15.75" customHeight="1">
      <c r="A78" s="16" t="s">
        <v>216</v>
      </c>
      <c r="F78" s="24"/>
      <c r="G78" s="19">
        <f>$G$26</f>
        <v>18</v>
      </c>
      <c r="H78" s="20">
        <v>24.0</v>
      </c>
      <c r="I78" s="20">
        <v>6.0</v>
      </c>
      <c r="J78" s="20">
        <v>0.0</v>
      </c>
      <c r="K78" s="20">
        <v>0.0</v>
      </c>
      <c r="L78" s="20">
        <v>0.0</v>
      </c>
      <c r="N78" s="23"/>
      <c r="O78" s="19">
        <f>$G$26</f>
        <v>18</v>
      </c>
      <c r="P78" s="40">
        <f t="shared" ref="P78:Q78" si="87">H78/H$84</f>
        <v>0.07792207792</v>
      </c>
      <c r="Q78" s="40">
        <f t="shared" si="87"/>
        <v>0.05309734513</v>
      </c>
      <c r="R78" s="40">
        <v>0.0</v>
      </c>
      <c r="S78" s="40">
        <f t="shared" ref="S78:T78" si="88">K78/K$84</f>
        <v>0</v>
      </c>
      <c r="T78" s="40">
        <f t="shared" si="88"/>
        <v>0</v>
      </c>
    </row>
    <row r="79" ht="15.75" customHeight="1">
      <c r="A79" s="16" t="s">
        <v>217</v>
      </c>
      <c r="F79" s="24"/>
      <c r="G79" s="19">
        <f>$G$27</f>
        <v>19</v>
      </c>
      <c r="H79" s="20">
        <v>18.0</v>
      </c>
      <c r="I79" s="20">
        <v>3.0</v>
      </c>
      <c r="J79" s="20">
        <v>1.0</v>
      </c>
      <c r="K79" s="20">
        <v>0.0</v>
      </c>
      <c r="L79" s="20">
        <v>0.0</v>
      </c>
      <c r="N79" s="23"/>
      <c r="O79" s="19">
        <f>$G$27</f>
        <v>19</v>
      </c>
      <c r="P79" s="40">
        <f t="shared" ref="P79:Q79" si="89">H79/H$84</f>
        <v>0.05844155844</v>
      </c>
      <c r="Q79" s="40">
        <f t="shared" si="89"/>
        <v>0.02654867257</v>
      </c>
      <c r="R79" s="40">
        <v>0.0</v>
      </c>
      <c r="S79" s="40">
        <f t="shared" ref="S79:T79" si="90">K79/K$84</f>
        <v>0</v>
      </c>
      <c r="T79" s="40">
        <f t="shared" si="90"/>
        <v>0</v>
      </c>
    </row>
    <row r="80" ht="15.75" customHeight="1">
      <c r="A80" s="16" t="s">
        <v>218</v>
      </c>
      <c r="F80" s="24"/>
      <c r="G80" s="19">
        <f>$G$28</f>
        <v>20</v>
      </c>
      <c r="H80" s="20">
        <v>15.0</v>
      </c>
      <c r="I80" s="20">
        <v>8.0</v>
      </c>
      <c r="J80" s="20">
        <v>0.0</v>
      </c>
      <c r="K80" s="20">
        <v>0.0</v>
      </c>
      <c r="L80" s="20">
        <v>0.0</v>
      </c>
      <c r="N80" s="23"/>
      <c r="O80" s="19">
        <f>$G$28</f>
        <v>20</v>
      </c>
      <c r="P80" s="40">
        <f t="shared" ref="P80:Q80" si="91">H80/H$84</f>
        <v>0.0487012987</v>
      </c>
      <c r="Q80" s="40">
        <f t="shared" si="91"/>
        <v>0.07079646018</v>
      </c>
      <c r="R80" s="40">
        <v>0.0</v>
      </c>
      <c r="S80" s="40">
        <f t="shared" ref="S80:T80" si="92">K80/K$84</f>
        <v>0</v>
      </c>
      <c r="T80" s="40">
        <f t="shared" si="92"/>
        <v>0</v>
      </c>
    </row>
    <row r="81" ht="15.75" customHeight="1">
      <c r="A81" s="16" t="s">
        <v>219</v>
      </c>
      <c r="F81" s="24"/>
      <c r="G81" s="19">
        <f>$G$29</f>
        <v>21</v>
      </c>
      <c r="H81" s="20">
        <v>5.0</v>
      </c>
      <c r="I81" s="20">
        <v>0.0</v>
      </c>
      <c r="J81" s="20">
        <v>0.0</v>
      </c>
      <c r="K81" s="20">
        <v>0.0</v>
      </c>
      <c r="L81" s="20">
        <v>0.0</v>
      </c>
      <c r="N81" s="23"/>
      <c r="O81" s="19">
        <f>$G$29</f>
        <v>21</v>
      </c>
      <c r="P81" s="40">
        <f t="shared" ref="P81:Q81" si="93">H81/H$84</f>
        <v>0.01623376623</v>
      </c>
      <c r="Q81" s="40">
        <f t="shared" si="93"/>
        <v>0</v>
      </c>
      <c r="R81" s="40">
        <v>0.0</v>
      </c>
      <c r="S81" s="40">
        <f t="shared" ref="S81:T81" si="94">K81/K$84</f>
        <v>0</v>
      </c>
      <c r="T81" s="40">
        <f t="shared" si="94"/>
        <v>0</v>
      </c>
    </row>
    <row r="82" ht="15.75" customHeight="1">
      <c r="A82" s="16" t="s">
        <v>157</v>
      </c>
      <c r="F82" s="24"/>
      <c r="G82" s="19">
        <f>$G$30</f>
        <v>22</v>
      </c>
      <c r="H82" s="20">
        <v>7.0</v>
      </c>
      <c r="I82" s="20">
        <v>1.0</v>
      </c>
      <c r="J82" s="20">
        <v>0.0</v>
      </c>
      <c r="K82" s="20">
        <v>0.0</v>
      </c>
      <c r="L82" s="20">
        <v>0.0</v>
      </c>
      <c r="N82" s="23"/>
      <c r="O82" s="19">
        <f>$G$30</f>
        <v>22</v>
      </c>
      <c r="P82" s="40">
        <f t="shared" ref="P82:Q82" si="95">H82/H$84</f>
        <v>0.02272727273</v>
      </c>
      <c r="Q82" s="40">
        <f t="shared" si="95"/>
        <v>0.008849557522</v>
      </c>
      <c r="R82" s="40">
        <v>0.0</v>
      </c>
      <c r="S82" s="40">
        <f t="shared" ref="S82:T82" si="96">K82/K$84</f>
        <v>0</v>
      </c>
      <c r="T82" s="40">
        <f t="shared" si="96"/>
        <v>0</v>
      </c>
    </row>
    <row r="83" ht="15.75" customHeight="1">
      <c r="A83" s="16" t="s">
        <v>74</v>
      </c>
      <c r="F83" s="28"/>
      <c r="G83" s="19">
        <f>$G$31</f>
        <v>23</v>
      </c>
      <c r="H83" s="20">
        <v>3.0</v>
      </c>
      <c r="I83" s="20">
        <v>2.0</v>
      </c>
      <c r="J83" s="20">
        <v>0.0</v>
      </c>
      <c r="K83" s="20">
        <v>1.0</v>
      </c>
      <c r="L83" s="20">
        <v>0.0</v>
      </c>
      <c r="N83" s="27"/>
      <c r="O83" s="19">
        <f>$G$31</f>
        <v>23</v>
      </c>
      <c r="P83" s="40">
        <f t="shared" ref="P83:Q83" si="97">H83/H$84</f>
        <v>0.00974025974</v>
      </c>
      <c r="Q83" s="40">
        <f t="shared" si="97"/>
        <v>0.01769911504</v>
      </c>
      <c r="R83" s="40">
        <v>0.0</v>
      </c>
      <c r="S83" s="40">
        <f t="shared" ref="S83:T83" si="98">K83/K$84</f>
        <v>0.07692307692</v>
      </c>
      <c r="T83" s="40">
        <f t="shared" si="98"/>
        <v>0</v>
      </c>
    </row>
    <row r="84" ht="15.75" customHeight="1">
      <c r="F84" s="41"/>
      <c r="G84" s="41"/>
      <c r="H84" s="26">
        <f t="shared" ref="H84:L84" si="99">SUM(H60:H83)</f>
        <v>308</v>
      </c>
      <c r="I84" s="26">
        <f t="shared" si="99"/>
        <v>113</v>
      </c>
      <c r="J84" s="26">
        <f t="shared" si="99"/>
        <v>3</v>
      </c>
      <c r="K84" s="26">
        <f t="shared" si="99"/>
        <v>13</v>
      </c>
      <c r="L84" s="26">
        <f t="shared" si="99"/>
        <v>25</v>
      </c>
      <c r="N84" s="41"/>
    </row>
    <row r="85" ht="15.75" customHeight="1">
      <c r="A85" s="16" t="s">
        <v>113</v>
      </c>
      <c r="G85" s="16"/>
      <c r="H85" s="17">
        <f>$H$7</f>
        <v>31</v>
      </c>
      <c r="I85" s="17">
        <f>$I$7</f>
        <v>32</v>
      </c>
      <c r="J85" s="17">
        <f>$J$7</f>
        <v>41</v>
      </c>
      <c r="K85" s="17">
        <f>$K$7</f>
        <v>42</v>
      </c>
      <c r="L85" s="17">
        <f>$L$7</f>
        <v>5</v>
      </c>
      <c r="O85" s="16"/>
      <c r="P85" s="17">
        <f>$H$7</f>
        <v>31</v>
      </c>
      <c r="Q85" s="17">
        <f>$I$7</f>
        <v>32</v>
      </c>
      <c r="R85" s="17">
        <f>$J$7</f>
        <v>41</v>
      </c>
      <c r="S85" s="17">
        <f>$K$7</f>
        <v>42</v>
      </c>
      <c r="T85" s="17">
        <f>$L$7</f>
        <v>5</v>
      </c>
    </row>
    <row r="86" ht="15.75" customHeight="1">
      <c r="A86" s="16" t="s">
        <v>220</v>
      </c>
      <c r="F86" s="21">
        <v>45197.0</v>
      </c>
      <c r="G86" s="19">
        <f>$G$8</f>
        <v>0</v>
      </c>
      <c r="H86" s="34">
        <v>2.0</v>
      </c>
      <c r="I86" s="34">
        <v>2.0</v>
      </c>
      <c r="J86" s="34">
        <v>0.0</v>
      </c>
      <c r="K86" s="34">
        <v>0.0</v>
      </c>
      <c r="L86" s="34">
        <v>0.0</v>
      </c>
      <c r="N86" s="18">
        <v>45197.0</v>
      </c>
      <c r="O86" s="19">
        <f>$G$8</f>
        <v>0</v>
      </c>
      <c r="P86" s="40">
        <f t="shared" ref="P86:T86" si="100">H86/H$110</f>
        <v>0.005882352941</v>
      </c>
      <c r="Q86" s="40">
        <f t="shared" si="100"/>
        <v>0.01470588235</v>
      </c>
      <c r="R86" s="40">
        <f t="shared" si="100"/>
        <v>0</v>
      </c>
      <c r="S86" s="40">
        <f t="shared" si="100"/>
        <v>0</v>
      </c>
      <c r="T86" s="40">
        <f t="shared" si="100"/>
        <v>0</v>
      </c>
    </row>
    <row r="87" ht="15.75" customHeight="1">
      <c r="A87" s="16" t="s">
        <v>70</v>
      </c>
      <c r="F87" s="24"/>
      <c r="G87" s="19">
        <f>$G$9</f>
        <v>1</v>
      </c>
      <c r="H87" s="34">
        <v>1.0</v>
      </c>
      <c r="I87" s="34">
        <v>1.0</v>
      </c>
      <c r="J87" s="34">
        <v>0.0</v>
      </c>
      <c r="K87" s="34">
        <v>0.0</v>
      </c>
      <c r="L87" s="34">
        <v>0.0</v>
      </c>
      <c r="N87" s="23"/>
      <c r="O87" s="19">
        <f>$G$9</f>
        <v>1</v>
      </c>
      <c r="P87" s="40">
        <f t="shared" ref="P87:T87" si="101">H87/H$110</f>
        <v>0.002941176471</v>
      </c>
      <c r="Q87" s="40">
        <f t="shared" si="101"/>
        <v>0.007352941176</v>
      </c>
      <c r="R87" s="40">
        <f t="shared" si="101"/>
        <v>0</v>
      </c>
      <c r="S87" s="40">
        <f t="shared" si="101"/>
        <v>0</v>
      </c>
      <c r="T87" s="40">
        <f t="shared" si="101"/>
        <v>0</v>
      </c>
    </row>
    <row r="88" ht="15.75" customHeight="1">
      <c r="A88" s="16" t="s">
        <v>70</v>
      </c>
      <c r="F88" s="24"/>
      <c r="G88" s="19">
        <f>$G$10</f>
        <v>2</v>
      </c>
      <c r="H88" s="34">
        <v>2.0</v>
      </c>
      <c r="I88" s="34">
        <v>0.0</v>
      </c>
      <c r="J88" s="34">
        <v>0.0</v>
      </c>
      <c r="K88" s="34">
        <v>0.0</v>
      </c>
      <c r="L88" s="34">
        <v>0.0</v>
      </c>
      <c r="N88" s="23"/>
      <c r="O88" s="19">
        <f>$G$10</f>
        <v>2</v>
      </c>
      <c r="P88" s="40">
        <f t="shared" ref="P88:T88" si="102">H88/H$110</f>
        <v>0.005882352941</v>
      </c>
      <c r="Q88" s="40">
        <f t="shared" si="102"/>
        <v>0</v>
      </c>
      <c r="R88" s="40">
        <f t="shared" si="102"/>
        <v>0</v>
      </c>
      <c r="S88" s="40">
        <f t="shared" si="102"/>
        <v>0</v>
      </c>
      <c r="T88" s="40">
        <f t="shared" si="102"/>
        <v>0</v>
      </c>
    </row>
    <row r="89" ht="15.75" customHeight="1">
      <c r="A89" s="16" t="s">
        <v>220</v>
      </c>
      <c r="F89" s="24"/>
      <c r="G89" s="19">
        <f>$G$11</f>
        <v>3</v>
      </c>
      <c r="H89" s="34">
        <v>0.0</v>
      </c>
      <c r="I89" s="34">
        <v>1.0</v>
      </c>
      <c r="J89" s="34">
        <v>0.0</v>
      </c>
      <c r="K89" s="34">
        <v>0.0</v>
      </c>
      <c r="L89" s="34">
        <v>0.0</v>
      </c>
      <c r="N89" s="23"/>
      <c r="O89" s="19">
        <f>$G$11</f>
        <v>3</v>
      </c>
      <c r="P89" s="40">
        <f t="shared" ref="P89:T89" si="103">H89/H$110</f>
        <v>0</v>
      </c>
      <c r="Q89" s="40">
        <f t="shared" si="103"/>
        <v>0.007352941176</v>
      </c>
      <c r="R89" s="40">
        <f t="shared" si="103"/>
        <v>0</v>
      </c>
      <c r="S89" s="40">
        <f t="shared" si="103"/>
        <v>0</v>
      </c>
      <c r="T89" s="40">
        <f t="shared" si="103"/>
        <v>0</v>
      </c>
    </row>
    <row r="90" ht="15.75" customHeight="1">
      <c r="A90" s="16" t="s">
        <v>221</v>
      </c>
      <c r="F90" s="24"/>
      <c r="G90" s="19">
        <f>$G$12</f>
        <v>4</v>
      </c>
      <c r="H90" s="34">
        <v>0.0</v>
      </c>
      <c r="I90" s="34">
        <v>0.0</v>
      </c>
      <c r="J90" s="34">
        <v>0.0</v>
      </c>
      <c r="K90" s="34">
        <v>0.0</v>
      </c>
      <c r="L90" s="34">
        <v>0.0</v>
      </c>
      <c r="N90" s="23"/>
      <c r="O90" s="19">
        <f>$G$12</f>
        <v>4</v>
      </c>
      <c r="P90" s="40">
        <f t="shared" ref="P90:T90" si="104">H90/H$110</f>
        <v>0</v>
      </c>
      <c r="Q90" s="40">
        <f t="shared" si="104"/>
        <v>0</v>
      </c>
      <c r="R90" s="40">
        <f t="shared" si="104"/>
        <v>0</v>
      </c>
      <c r="S90" s="40">
        <f t="shared" si="104"/>
        <v>0</v>
      </c>
      <c r="T90" s="40">
        <f t="shared" si="104"/>
        <v>0</v>
      </c>
    </row>
    <row r="91" ht="15.75" customHeight="1">
      <c r="A91" s="16" t="s">
        <v>91</v>
      </c>
      <c r="F91" s="24"/>
      <c r="G91" s="19">
        <f>$G$13</f>
        <v>5</v>
      </c>
      <c r="H91" s="34">
        <v>5.0</v>
      </c>
      <c r="I91" s="34">
        <v>2.0</v>
      </c>
      <c r="J91" s="34">
        <v>0.0</v>
      </c>
      <c r="K91" s="34">
        <v>0.0</v>
      </c>
      <c r="L91" s="34">
        <v>0.0</v>
      </c>
      <c r="N91" s="23"/>
      <c r="O91" s="19">
        <f>$G$13</f>
        <v>5</v>
      </c>
      <c r="P91" s="40">
        <f t="shared" ref="P91:T91" si="105">H91/H$110</f>
        <v>0.01470588235</v>
      </c>
      <c r="Q91" s="40">
        <f t="shared" si="105"/>
        <v>0.01470588235</v>
      </c>
      <c r="R91" s="40">
        <f t="shared" si="105"/>
        <v>0</v>
      </c>
      <c r="S91" s="40">
        <f t="shared" si="105"/>
        <v>0</v>
      </c>
      <c r="T91" s="40">
        <f t="shared" si="105"/>
        <v>0</v>
      </c>
    </row>
    <row r="92" ht="15.75" customHeight="1">
      <c r="A92" s="16" t="s">
        <v>222</v>
      </c>
      <c r="F92" s="24"/>
      <c r="G92" s="19">
        <f>$G$14</f>
        <v>6</v>
      </c>
      <c r="H92" s="34">
        <v>17.0</v>
      </c>
      <c r="I92" s="34">
        <v>2.0</v>
      </c>
      <c r="J92" s="34">
        <v>0.0</v>
      </c>
      <c r="K92" s="34">
        <v>1.0</v>
      </c>
      <c r="L92" s="34">
        <v>2.0</v>
      </c>
      <c r="N92" s="23"/>
      <c r="O92" s="19">
        <f>$G$14</f>
        <v>6</v>
      </c>
      <c r="P92" s="40">
        <f t="shared" ref="P92:T92" si="106">H92/H$110</f>
        <v>0.05</v>
      </c>
      <c r="Q92" s="40">
        <f t="shared" si="106"/>
        <v>0.01470588235</v>
      </c>
      <c r="R92" s="40">
        <f t="shared" si="106"/>
        <v>0</v>
      </c>
      <c r="S92" s="40">
        <f t="shared" si="106"/>
        <v>0.09090909091</v>
      </c>
      <c r="T92" s="40">
        <f t="shared" si="106"/>
        <v>0.07692307692</v>
      </c>
    </row>
    <row r="93" ht="15.75" customHeight="1">
      <c r="A93" s="16" t="s">
        <v>223</v>
      </c>
      <c r="F93" s="24"/>
      <c r="G93" s="19">
        <f>$G$15</f>
        <v>7</v>
      </c>
      <c r="H93" s="34">
        <v>33.0</v>
      </c>
      <c r="I93" s="34">
        <v>7.0</v>
      </c>
      <c r="J93" s="34">
        <v>1.0</v>
      </c>
      <c r="K93" s="34">
        <v>1.0</v>
      </c>
      <c r="L93" s="34">
        <v>0.0</v>
      </c>
      <c r="N93" s="23"/>
      <c r="O93" s="19">
        <f>$G$15</f>
        <v>7</v>
      </c>
      <c r="P93" s="40">
        <f t="shared" ref="P93:T93" si="107">H93/H$110</f>
        <v>0.09705882353</v>
      </c>
      <c r="Q93" s="40">
        <f t="shared" si="107"/>
        <v>0.05147058824</v>
      </c>
      <c r="R93" s="40">
        <f t="shared" si="107"/>
        <v>0.5</v>
      </c>
      <c r="S93" s="40">
        <f t="shared" si="107"/>
        <v>0.09090909091</v>
      </c>
      <c r="T93" s="40">
        <f t="shared" si="107"/>
        <v>0</v>
      </c>
    </row>
    <row r="94" ht="15.75" customHeight="1">
      <c r="A94" s="16" t="s">
        <v>224</v>
      </c>
      <c r="F94" s="24"/>
      <c r="G94" s="19">
        <f>$G$16</f>
        <v>8</v>
      </c>
      <c r="H94" s="34">
        <v>21.0</v>
      </c>
      <c r="I94" s="34">
        <v>9.0</v>
      </c>
      <c r="J94" s="34">
        <v>0.0</v>
      </c>
      <c r="K94" s="34">
        <v>0.0</v>
      </c>
      <c r="L94" s="34">
        <v>0.0</v>
      </c>
      <c r="N94" s="23"/>
      <c r="O94" s="19">
        <f>$G$16</f>
        <v>8</v>
      </c>
      <c r="P94" s="40">
        <f t="shared" ref="P94:T94" si="108">H94/H$110</f>
        <v>0.06176470588</v>
      </c>
      <c r="Q94" s="40">
        <f t="shared" si="108"/>
        <v>0.06617647059</v>
      </c>
      <c r="R94" s="40">
        <f t="shared" si="108"/>
        <v>0</v>
      </c>
      <c r="S94" s="40">
        <f t="shared" si="108"/>
        <v>0</v>
      </c>
      <c r="T94" s="40">
        <f t="shared" si="108"/>
        <v>0</v>
      </c>
    </row>
    <row r="95" ht="15.75" customHeight="1">
      <c r="A95" s="16" t="s">
        <v>225</v>
      </c>
      <c r="F95" s="24"/>
      <c r="G95" s="19">
        <f>$G$17</f>
        <v>9</v>
      </c>
      <c r="H95" s="34">
        <v>16.0</v>
      </c>
      <c r="I95" s="34">
        <v>4.0</v>
      </c>
      <c r="J95" s="34">
        <v>0.0</v>
      </c>
      <c r="K95" s="34">
        <v>0.0</v>
      </c>
      <c r="L95" s="34">
        <v>4.0</v>
      </c>
      <c r="N95" s="23"/>
      <c r="O95" s="19">
        <f>$G$17</f>
        <v>9</v>
      </c>
      <c r="P95" s="40">
        <f t="shared" ref="P95:T95" si="109">H95/H$110</f>
        <v>0.04705882353</v>
      </c>
      <c r="Q95" s="40">
        <f t="shared" si="109"/>
        <v>0.02941176471</v>
      </c>
      <c r="R95" s="40">
        <f t="shared" si="109"/>
        <v>0</v>
      </c>
      <c r="S95" s="40">
        <f t="shared" si="109"/>
        <v>0</v>
      </c>
      <c r="T95" s="40">
        <f t="shared" si="109"/>
        <v>0.1538461538</v>
      </c>
    </row>
    <row r="96" ht="15.75" customHeight="1">
      <c r="A96" s="16" t="s">
        <v>226</v>
      </c>
      <c r="F96" s="24"/>
      <c r="G96" s="19">
        <f>$G$18</f>
        <v>10</v>
      </c>
      <c r="H96" s="34">
        <v>14.0</v>
      </c>
      <c r="I96" s="34">
        <v>6.0</v>
      </c>
      <c r="J96" s="34">
        <v>0.0</v>
      </c>
      <c r="K96" s="34">
        <v>1.0</v>
      </c>
      <c r="L96" s="34">
        <v>5.0</v>
      </c>
      <c r="N96" s="23"/>
      <c r="O96" s="19">
        <f>$G$18</f>
        <v>10</v>
      </c>
      <c r="P96" s="40">
        <f t="shared" ref="P96:T96" si="110">H96/H$110</f>
        <v>0.04117647059</v>
      </c>
      <c r="Q96" s="40">
        <f t="shared" si="110"/>
        <v>0.04411764706</v>
      </c>
      <c r="R96" s="40">
        <f t="shared" si="110"/>
        <v>0</v>
      </c>
      <c r="S96" s="40">
        <f t="shared" si="110"/>
        <v>0.09090909091</v>
      </c>
      <c r="T96" s="40">
        <f t="shared" si="110"/>
        <v>0.1923076923</v>
      </c>
    </row>
    <row r="97" ht="15.75" customHeight="1">
      <c r="A97" s="16" t="s">
        <v>227</v>
      </c>
      <c r="F97" s="24"/>
      <c r="G97" s="19">
        <f>$G$19</f>
        <v>11</v>
      </c>
      <c r="H97" s="34">
        <v>22.0</v>
      </c>
      <c r="I97" s="34">
        <v>15.0</v>
      </c>
      <c r="J97" s="34">
        <v>0.0</v>
      </c>
      <c r="K97" s="34">
        <v>0.0</v>
      </c>
      <c r="L97" s="34">
        <v>4.0</v>
      </c>
      <c r="N97" s="23"/>
      <c r="O97" s="19">
        <f>$G$19</f>
        <v>11</v>
      </c>
      <c r="P97" s="40">
        <f t="shared" ref="P97:T97" si="111">H97/H$110</f>
        <v>0.06470588235</v>
      </c>
      <c r="Q97" s="40">
        <f t="shared" si="111"/>
        <v>0.1102941176</v>
      </c>
      <c r="R97" s="40">
        <f t="shared" si="111"/>
        <v>0</v>
      </c>
      <c r="S97" s="40">
        <f t="shared" si="111"/>
        <v>0</v>
      </c>
      <c r="T97" s="40">
        <f t="shared" si="111"/>
        <v>0.1538461538</v>
      </c>
    </row>
    <row r="98" ht="15.75" customHeight="1">
      <c r="A98" s="16" t="s">
        <v>228</v>
      </c>
      <c r="F98" s="24"/>
      <c r="G98" s="19">
        <f>$G$20</f>
        <v>12</v>
      </c>
      <c r="H98" s="34">
        <v>19.0</v>
      </c>
      <c r="I98" s="34">
        <v>12.0</v>
      </c>
      <c r="J98" s="34">
        <v>0.0</v>
      </c>
      <c r="K98" s="34">
        <v>1.0</v>
      </c>
      <c r="L98" s="34">
        <v>1.0</v>
      </c>
      <c r="N98" s="23"/>
      <c r="O98" s="19">
        <f>$G$20</f>
        <v>12</v>
      </c>
      <c r="P98" s="40">
        <f t="shared" ref="P98:T98" si="112">H98/H$110</f>
        <v>0.05588235294</v>
      </c>
      <c r="Q98" s="40">
        <f t="shared" si="112"/>
        <v>0.08823529412</v>
      </c>
      <c r="R98" s="40">
        <f t="shared" si="112"/>
        <v>0</v>
      </c>
      <c r="S98" s="40">
        <f t="shared" si="112"/>
        <v>0.09090909091</v>
      </c>
      <c r="T98" s="40">
        <f t="shared" si="112"/>
        <v>0.03846153846</v>
      </c>
    </row>
    <row r="99" ht="15.75" customHeight="1">
      <c r="A99" s="16" t="s">
        <v>229</v>
      </c>
      <c r="F99" s="24"/>
      <c r="G99" s="19">
        <f>$G$21</f>
        <v>13</v>
      </c>
      <c r="H99" s="34">
        <v>16.0</v>
      </c>
      <c r="I99" s="34">
        <v>7.0</v>
      </c>
      <c r="J99" s="34">
        <v>0.0</v>
      </c>
      <c r="K99" s="34">
        <v>2.0</v>
      </c>
      <c r="L99" s="34">
        <v>1.0</v>
      </c>
      <c r="N99" s="23"/>
      <c r="O99" s="19">
        <f>$G$21</f>
        <v>13</v>
      </c>
      <c r="P99" s="40">
        <f t="shared" ref="P99:T99" si="113">H99/H$110</f>
        <v>0.04705882353</v>
      </c>
      <c r="Q99" s="40">
        <f t="shared" si="113"/>
        <v>0.05147058824</v>
      </c>
      <c r="R99" s="40">
        <f t="shared" si="113"/>
        <v>0</v>
      </c>
      <c r="S99" s="40">
        <f t="shared" si="113"/>
        <v>0.1818181818</v>
      </c>
      <c r="T99" s="40">
        <f t="shared" si="113"/>
        <v>0.03846153846</v>
      </c>
    </row>
    <row r="100" ht="15.75" customHeight="1">
      <c r="A100" s="16" t="s">
        <v>230</v>
      </c>
      <c r="F100" s="24"/>
      <c r="G100" s="19">
        <f>$G$22</f>
        <v>14</v>
      </c>
      <c r="H100" s="34">
        <v>13.0</v>
      </c>
      <c r="I100" s="34">
        <v>14.0</v>
      </c>
      <c r="J100" s="34">
        <v>0.0</v>
      </c>
      <c r="K100" s="34">
        <v>1.0</v>
      </c>
      <c r="L100" s="34">
        <v>4.0</v>
      </c>
      <c r="N100" s="23"/>
      <c r="O100" s="19">
        <f>$G$22</f>
        <v>14</v>
      </c>
      <c r="P100" s="40">
        <f t="shared" ref="P100:T100" si="114">H100/H$110</f>
        <v>0.03823529412</v>
      </c>
      <c r="Q100" s="40">
        <f t="shared" si="114"/>
        <v>0.1029411765</v>
      </c>
      <c r="R100" s="40">
        <f t="shared" si="114"/>
        <v>0</v>
      </c>
      <c r="S100" s="40">
        <f t="shared" si="114"/>
        <v>0.09090909091</v>
      </c>
      <c r="T100" s="40">
        <f t="shared" si="114"/>
        <v>0.1538461538</v>
      </c>
    </row>
    <row r="101" ht="15.75" customHeight="1">
      <c r="A101" s="16" t="s">
        <v>231</v>
      </c>
      <c r="F101" s="24"/>
      <c r="G101" s="19">
        <f>$G$23</f>
        <v>15</v>
      </c>
      <c r="H101" s="34">
        <v>18.0</v>
      </c>
      <c r="I101" s="34">
        <v>8.0</v>
      </c>
      <c r="J101" s="34">
        <v>0.0</v>
      </c>
      <c r="K101" s="34">
        <v>1.0</v>
      </c>
      <c r="L101" s="34">
        <v>2.0</v>
      </c>
      <c r="N101" s="23"/>
      <c r="O101" s="19">
        <f>$G$23</f>
        <v>15</v>
      </c>
      <c r="P101" s="40">
        <f t="shared" ref="P101:T101" si="115">H101/H$110</f>
        <v>0.05294117647</v>
      </c>
      <c r="Q101" s="40">
        <f t="shared" si="115"/>
        <v>0.05882352941</v>
      </c>
      <c r="R101" s="40">
        <f t="shared" si="115"/>
        <v>0</v>
      </c>
      <c r="S101" s="40">
        <f t="shared" si="115"/>
        <v>0.09090909091</v>
      </c>
      <c r="T101" s="40">
        <f t="shared" si="115"/>
        <v>0.07692307692</v>
      </c>
    </row>
    <row r="102" ht="15.75" customHeight="1">
      <c r="A102" s="16" t="s">
        <v>232</v>
      </c>
      <c r="F102" s="24"/>
      <c r="G102" s="19">
        <f>$G$24</f>
        <v>16</v>
      </c>
      <c r="H102" s="34">
        <v>20.0</v>
      </c>
      <c r="I102" s="34">
        <v>8.0</v>
      </c>
      <c r="J102" s="34">
        <v>1.0</v>
      </c>
      <c r="K102" s="34">
        <v>0.0</v>
      </c>
      <c r="L102" s="34">
        <v>1.0</v>
      </c>
      <c r="N102" s="23"/>
      <c r="O102" s="19">
        <f>$G$24</f>
        <v>16</v>
      </c>
      <c r="P102" s="40">
        <f t="shared" ref="P102:T102" si="116">H102/H$110</f>
        <v>0.05882352941</v>
      </c>
      <c r="Q102" s="40">
        <f t="shared" si="116"/>
        <v>0.05882352941</v>
      </c>
      <c r="R102" s="40">
        <f t="shared" si="116"/>
        <v>0.5</v>
      </c>
      <c r="S102" s="40">
        <f t="shared" si="116"/>
        <v>0</v>
      </c>
      <c r="T102" s="40">
        <f t="shared" si="116"/>
        <v>0.03846153846</v>
      </c>
    </row>
    <row r="103" ht="15.75" customHeight="1">
      <c r="A103" s="16" t="s">
        <v>233</v>
      </c>
      <c r="F103" s="24"/>
      <c r="G103" s="19">
        <f>$G$25</f>
        <v>17</v>
      </c>
      <c r="H103" s="34">
        <v>31.0</v>
      </c>
      <c r="I103" s="34">
        <v>9.0</v>
      </c>
      <c r="J103" s="34">
        <v>0.0</v>
      </c>
      <c r="K103" s="34">
        <v>1.0</v>
      </c>
      <c r="L103" s="34">
        <v>1.0</v>
      </c>
      <c r="N103" s="23"/>
      <c r="O103" s="19">
        <f>$G$25</f>
        <v>17</v>
      </c>
      <c r="P103" s="40">
        <f t="shared" ref="P103:T103" si="117">H103/H$110</f>
        <v>0.09117647059</v>
      </c>
      <c r="Q103" s="40">
        <f t="shared" si="117"/>
        <v>0.06617647059</v>
      </c>
      <c r="R103" s="40">
        <f t="shared" si="117"/>
        <v>0</v>
      </c>
      <c r="S103" s="40">
        <f t="shared" si="117"/>
        <v>0.09090909091</v>
      </c>
      <c r="T103" s="40">
        <f t="shared" si="117"/>
        <v>0.03846153846</v>
      </c>
    </row>
    <row r="104" ht="15.75" customHeight="1">
      <c r="A104" s="16" t="s">
        <v>234</v>
      </c>
      <c r="F104" s="24"/>
      <c r="G104" s="19">
        <f>$G$26</f>
        <v>18</v>
      </c>
      <c r="H104" s="34">
        <v>29.0</v>
      </c>
      <c r="I104" s="34">
        <v>7.0</v>
      </c>
      <c r="J104" s="34">
        <v>0.0</v>
      </c>
      <c r="K104" s="34">
        <v>0.0</v>
      </c>
      <c r="L104" s="34">
        <v>0.0</v>
      </c>
      <c r="N104" s="23"/>
      <c r="O104" s="19">
        <f>$G$26</f>
        <v>18</v>
      </c>
      <c r="P104" s="40">
        <f t="shared" ref="P104:T104" si="118">H104/H$110</f>
        <v>0.08529411765</v>
      </c>
      <c r="Q104" s="40">
        <f t="shared" si="118"/>
        <v>0.05147058824</v>
      </c>
      <c r="R104" s="40">
        <f t="shared" si="118"/>
        <v>0</v>
      </c>
      <c r="S104" s="40">
        <f t="shared" si="118"/>
        <v>0</v>
      </c>
      <c r="T104" s="40">
        <f t="shared" si="118"/>
        <v>0</v>
      </c>
    </row>
    <row r="105" ht="15.75" customHeight="1">
      <c r="A105" s="16" t="s">
        <v>205</v>
      </c>
      <c r="F105" s="24"/>
      <c r="G105" s="19">
        <f>$G$27</f>
        <v>19</v>
      </c>
      <c r="H105" s="34">
        <v>15.0</v>
      </c>
      <c r="I105" s="34">
        <v>9.0</v>
      </c>
      <c r="J105" s="34">
        <v>0.0</v>
      </c>
      <c r="K105" s="34">
        <v>1.0</v>
      </c>
      <c r="L105" s="34">
        <v>0.0</v>
      </c>
      <c r="N105" s="23"/>
      <c r="O105" s="19">
        <f>$G$27</f>
        <v>19</v>
      </c>
      <c r="P105" s="40">
        <f t="shared" ref="P105:T105" si="119">H105/H$110</f>
        <v>0.04411764706</v>
      </c>
      <c r="Q105" s="40">
        <f t="shared" si="119"/>
        <v>0.06617647059</v>
      </c>
      <c r="R105" s="40">
        <f t="shared" si="119"/>
        <v>0</v>
      </c>
      <c r="S105" s="40">
        <f t="shared" si="119"/>
        <v>0.09090909091</v>
      </c>
      <c r="T105" s="40">
        <f t="shared" si="119"/>
        <v>0</v>
      </c>
    </row>
    <row r="106" ht="15.75" customHeight="1">
      <c r="A106" s="16" t="s">
        <v>235</v>
      </c>
      <c r="F106" s="24"/>
      <c r="G106" s="19">
        <f>$G$28</f>
        <v>20</v>
      </c>
      <c r="H106" s="34">
        <v>19.0</v>
      </c>
      <c r="I106" s="34">
        <v>9.0</v>
      </c>
      <c r="J106" s="34">
        <v>0.0</v>
      </c>
      <c r="K106" s="34">
        <v>0.0</v>
      </c>
      <c r="L106" s="34">
        <v>0.0</v>
      </c>
      <c r="N106" s="23"/>
      <c r="O106" s="19">
        <f>$G$28</f>
        <v>20</v>
      </c>
      <c r="P106" s="40">
        <f t="shared" ref="P106:T106" si="120">H106/H$110</f>
        <v>0.05588235294</v>
      </c>
      <c r="Q106" s="40">
        <f t="shared" si="120"/>
        <v>0.06617647059</v>
      </c>
      <c r="R106" s="40">
        <f t="shared" si="120"/>
        <v>0</v>
      </c>
      <c r="S106" s="40">
        <f t="shared" si="120"/>
        <v>0</v>
      </c>
      <c r="T106" s="40">
        <f t="shared" si="120"/>
        <v>0</v>
      </c>
    </row>
    <row r="107" ht="15.75" customHeight="1">
      <c r="A107" s="16" t="s">
        <v>236</v>
      </c>
      <c r="F107" s="24"/>
      <c r="G107" s="19">
        <f>$G$29</f>
        <v>21</v>
      </c>
      <c r="H107" s="34">
        <v>8.0</v>
      </c>
      <c r="I107" s="34">
        <v>1.0</v>
      </c>
      <c r="J107" s="34">
        <v>0.0</v>
      </c>
      <c r="K107" s="34">
        <v>0.0</v>
      </c>
      <c r="L107" s="34">
        <v>0.0</v>
      </c>
      <c r="N107" s="23"/>
      <c r="O107" s="19">
        <f>$G$29</f>
        <v>21</v>
      </c>
      <c r="P107" s="40">
        <f t="shared" ref="P107:T107" si="121">H107/H$110</f>
        <v>0.02352941176</v>
      </c>
      <c r="Q107" s="40">
        <f t="shared" si="121"/>
        <v>0.007352941176</v>
      </c>
      <c r="R107" s="40">
        <f t="shared" si="121"/>
        <v>0</v>
      </c>
      <c r="S107" s="40">
        <f t="shared" si="121"/>
        <v>0</v>
      </c>
      <c r="T107" s="40">
        <f t="shared" si="121"/>
        <v>0</v>
      </c>
    </row>
    <row r="108" ht="15.75" customHeight="1">
      <c r="A108" s="16" t="s">
        <v>184</v>
      </c>
      <c r="F108" s="24"/>
      <c r="G108" s="19">
        <f>$G$30</f>
        <v>22</v>
      </c>
      <c r="H108" s="34">
        <v>13.0</v>
      </c>
      <c r="I108" s="34">
        <v>2.0</v>
      </c>
      <c r="J108" s="34">
        <v>0.0</v>
      </c>
      <c r="K108" s="34">
        <v>0.0</v>
      </c>
      <c r="L108" s="34">
        <v>0.0</v>
      </c>
      <c r="N108" s="23"/>
      <c r="O108" s="19">
        <f>$G$30</f>
        <v>22</v>
      </c>
      <c r="P108" s="40">
        <f t="shared" ref="P108:T108" si="122">H108/H$110</f>
        <v>0.03823529412</v>
      </c>
      <c r="Q108" s="40">
        <f t="shared" si="122"/>
        <v>0.01470588235</v>
      </c>
      <c r="R108" s="40">
        <f t="shared" si="122"/>
        <v>0</v>
      </c>
      <c r="S108" s="40">
        <f t="shared" si="122"/>
        <v>0</v>
      </c>
      <c r="T108" s="40">
        <f t="shared" si="122"/>
        <v>0</v>
      </c>
    </row>
    <row r="109" ht="15.75" customHeight="1">
      <c r="F109" s="28"/>
      <c r="G109" s="19">
        <f>$G$31</f>
        <v>23</v>
      </c>
      <c r="H109" s="34">
        <v>6.0</v>
      </c>
      <c r="I109" s="34">
        <v>1.0</v>
      </c>
      <c r="J109" s="34">
        <v>0.0</v>
      </c>
      <c r="K109" s="34">
        <v>1.0</v>
      </c>
      <c r="L109" s="34">
        <v>1.0</v>
      </c>
      <c r="N109" s="27"/>
      <c r="O109" s="19">
        <f>$G$31</f>
        <v>23</v>
      </c>
      <c r="P109" s="40">
        <f t="shared" ref="P109:T109" si="123">H109/H$110</f>
        <v>0.01764705882</v>
      </c>
      <c r="Q109" s="40">
        <f t="shared" si="123"/>
        <v>0.007352941176</v>
      </c>
      <c r="R109" s="40">
        <f t="shared" si="123"/>
        <v>0</v>
      </c>
      <c r="S109" s="40">
        <f t="shared" si="123"/>
        <v>0.09090909091</v>
      </c>
      <c r="T109" s="40">
        <f t="shared" si="123"/>
        <v>0.03846153846</v>
      </c>
    </row>
    <row r="110" ht="15.75" customHeight="1">
      <c r="F110" s="41"/>
      <c r="G110" s="41"/>
      <c r="H110" s="26">
        <f t="shared" ref="H110:L110" si="124">SUM(H86:H109)</f>
        <v>340</v>
      </c>
      <c r="I110" s="26">
        <f t="shared" si="124"/>
        <v>136</v>
      </c>
      <c r="J110" s="26">
        <f t="shared" si="124"/>
        <v>2</v>
      </c>
      <c r="K110" s="26">
        <f t="shared" si="124"/>
        <v>11</v>
      </c>
      <c r="L110" s="26">
        <f t="shared" si="124"/>
        <v>26</v>
      </c>
      <c r="N110" s="41"/>
    </row>
    <row r="111" ht="15.75" customHeight="1">
      <c r="A111" s="16" t="s">
        <v>69</v>
      </c>
      <c r="G111" s="16"/>
      <c r="H111" s="17">
        <f>$H$7</f>
        <v>31</v>
      </c>
      <c r="I111" s="17">
        <f>$I$7</f>
        <v>32</v>
      </c>
      <c r="J111" s="17">
        <f>$J$7</f>
        <v>41</v>
      </c>
      <c r="K111" s="17">
        <f>$K$7</f>
        <v>42</v>
      </c>
      <c r="L111" s="17">
        <f>$L$7</f>
        <v>5</v>
      </c>
      <c r="O111" s="16"/>
      <c r="P111" s="17">
        <f>$H$7</f>
        <v>31</v>
      </c>
      <c r="Q111" s="17">
        <f>$I$7</f>
        <v>32</v>
      </c>
      <c r="R111" s="17">
        <f>$J$7</f>
        <v>41</v>
      </c>
      <c r="S111" s="17">
        <f>$K$7</f>
        <v>42</v>
      </c>
      <c r="T111" s="17">
        <f>$L$7</f>
        <v>5</v>
      </c>
    </row>
    <row r="112" ht="15.75" customHeight="1">
      <c r="A112" s="16" t="s">
        <v>92</v>
      </c>
      <c r="F112" s="39">
        <v>45198.0</v>
      </c>
      <c r="G112" s="19">
        <f>$G$8</f>
        <v>0</v>
      </c>
      <c r="H112" s="20">
        <v>1.0</v>
      </c>
      <c r="I112" s="20">
        <v>1.0</v>
      </c>
      <c r="J112" s="20">
        <v>0.0</v>
      </c>
      <c r="K112" s="20">
        <v>0.0</v>
      </c>
      <c r="L112" s="20">
        <v>0.0</v>
      </c>
      <c r="N112" s="39">
        <v>45198.0</v>
      </c>
      <c r="O112" s="19">
        <f>$G$8</f>
        <v>0</v>
      </c>
      <c r="P112" s="40">
        <f t="shared" ref="P112:T112" si="125">H112/H$136</f>
        <v>0.002551020408</v>
      </c>
      <c r="Q112" s="40">
        <f t="shared" si="125"/>
        <v>0.008849557522</v>
      </c>
      <c r="R112" s="40">
        <f t="shared" si="125"/>
        <v>0</v>
      </c>
      <c r="S112" s="40">
        <f t="shared" si="125"/>
        <v>0</v>
      </c>
      <c r="T112" s="40">
        <f t="shared" si="125"/>
        <v>0</v>
      </c>
    </row>
    <row r="113" ht="15.75" customHeight="1">
      <c r="A113" s="16" t="s">
        <v>94</v>
      </c>
      <c r="F113" s="24"/>
      <c r="G113" s="19">
        <f>$G$9</f>
        <v>1</v>
      </c>
      <c r="H113" s="20">
        <v>6.0</v>
      </c>
      <c r="I113" s="20">
        <v>1.0</v>
      </c>
      <c r="J113" s="20">
        <v>0.0</v>
      </c>
      <c r="K113" s="20">
        <v>0.0</v>
      </c>
      <c r="L113" s="20">
        <v>0.0</v>
      </c>
      <c r="N113" s="23"/>
      <c r="O113" s="19">
        <f>$G$9</f>
        <v>1</v>
      </c>
      <c r="P113" s="40">
        <f t="shared" ref="P113:T113" si="126">H113/H$136</f>
        <v>0.01530612245</v>
      </c>
      <c r="Q113" s="40">
        <f t="shared" si="126"/>
        <v>0.008849557522</v>
      </c>
      <c r="R113" s="40">
        <f t="shared" si="126"/>
        <v>0</v>
      </c>
      <c r="S113" s="40">
        <f t="shared" si="126"/>
        <v>0</v>
      </c>
      <c r="T113" s="40">
        <f t="shared" si="126"/>
        <v>0</v>
      </c>
    </row>
    <row r="114" ht="15.75" customHeight="1">
      <c r="A114" s="16" t="s">
        <v>237</v>
      </c>
      <c r="F114" s="24"/>
      <c r="G114" s="19">
        <f>$G$10</f>
        <v>2</v>
      </c>
      <c r="H114" s="16">
        <v>3.0</v>
      </c>
      <c r="I114" s="16">
        <v>0.0</v>
      </c>
      <c r="J114" s="16">
        <v>0.0</v>
      </c>
      <c r="K114" s="16">
        <v>0.0</v>
      </c>
      <c r="L114" s="16">
        <v>0.0</v>
      </c>
      <c r="N114" s="23"/>
      <c r="O114" s="19">
        <f>$G$10</f>
        <v>2</v>
      </c>
      <c r="P114" s="40">
        <f t="shared" ref="P114:T114" si="127">H114/H$136</f>
        <v>0.007653061224</v>
      </c>
      <c r="Q114" s="40">
        <f t="shared" si="127"/>
        <v>0</v>
      </c>
      <c r="R114" s="40">
        <f t="shared" si="127"/>
        <v>0</v>
      </c>
      <c r="S114" s="40">
        <f t="shared" si="127"/>
        <v>0</v>
      </c>
      <c r="T114" s="40">
        <f t="shared" si="127"/>
        <v>0</v>
      </c>
    </row>
    <row r="115" ht="15.75" customHeight="1">
      <c r="A115" s="16" t="s">
        <v>175</v>
      </c>
      <c r="F115" s="24"/>
      <c r="G115" s="19">
        <f>$G$11</f>
        <v>3</v>
      </c>
      <c r="H115" s="20">
        <v>2.0</v>
      </c>
      <c r="I115" s="20">
        <v>1.0</v>
      </c>
      <c r="J115" s="20">
        <v>0.0</v>
      </c>
      <c r="K115" s="20">
        <v>0.0</v>
      </c>
      <c r="L115" s="20">
        <v>0.0</v>
      </c>
      <c r="N115" s="23"/>
      <c r="O115" s="19">
        <f>$G$11</f>
        <v>3</v>
      </c>
      <c r="P115" s="40">
        <f t="shared" ref="P115:T115" si="128">H115/H$136</f>
        <v>0.005102040816</v>
      </c>
      <c r="Q115" s="40">
        <f t="shared" si="128"/>
        <v>0.008849557522</v>
      </c>
      <c r="R115" s="40">
        <f t="shared" si="128"/>
        <v>0</v>
      </c>
      <c r="S115" s="40">
        <f t="shared" si="128"/>
        <v>0</v>
      </c>
      <c r="T115" s="40">
        <f t="shared" si="128"/>
        <v>0</v>
      </c>
    </row>
    <row r="116" ht="15.75" customHeight="1">
      <c r="A116" s="16" t="s">
        <v>238</v>
      </c>
      <c r="F116" s="24"/>
      <c r="G116" s="19">
        <f>$G$12</f>
        <v>4</v>
      </c>
      <c r="H116" s="20">
        <v>2.0</v>
      </c>
      <c r="I116" s="20">
        <v>1.0</v>
      </c>
      <c r="J116" s="20">
        <v>0.0</v>
      </c>
      <c r="K116" s="20">
        <v>0.0</v>
      </c>
      <c r="L116" s="20">
        <v>1.0</v>
      </c>
      <c r="N116" s="23"/>
      <c r="O116" s="19">
        <f>$G$12</f>
        <v>4</v>
      </c>
      <c r="P116" s="40">
        <f t="shared" ref="P116:T116" si="129">H116/H$136</f>
        <v>0.005102040816</v>
      </c>
      <c r="Q116" s="40">
        <f t="shared" si="129"/>
        <v>0.008849557522</v>
      </c>
      <c r="R116" s="40">
        <f t="shared" si="129"/>
        <v>0</v>
      </c>
      <c r="S116" s="40">
        <f t="shared" si="129"/>
        <v>0</v>
      </c>
      <c r="T116" s="40">
        <f t="shared" si="129"/>
        <v>0.1</v>
      </c>
    </row>
    <row r="117" ht="15.75" customHeight="1">
      <c r="A117" s="16" t="s">
        <v>239</v>
      </c>
      <c r="F117" s="24"/>
      <c r="G117" s="19">
        <f>$G$13</f>
        <v>5</v>
      </c>
      <c r="H117" s="20">
        <v>5.0</v>
      </c>
      <c r="I117" s="20">
        <v>2.0</v>
      </c>
      <c r="J117" s="20">
        <v>0.0</v>
      </c>
      <c r="K117" s="20">
        <v>0.0</v>
      </c>
      <c r="L117" s="20">
        <v>1.0</v>
      </c>
      <c r="N117" s="23"/>
      <c r="O117" s="19">
        <f>$G$13</f>
        <v>5</v>
      </c>
      <c r="P117" s="40">
        <f t="shared" ref="P117:T117" si="130">H117/H$136</f>
        <v>0.01275510204</v>
      </c>
      <c r="Q117" s="40">
        <f t="shared" si="130"/>
        <v>0.01769911504</v>
      </c>
      <c r="R117" s="40">
        <f t="shared" si="130"/>
        <v>0</v>
      </c>
      <c r="S117" s="40">
        <f t="shared" si="130"/>
        <v>0</v>
      </c>
      <c r="T117" s="40">
        <f t="shared" si="130"/>
        <v>0.1</v>
      </c>
    </row>
    <row r="118" ht="15.75" customHeight="1">
      <c r="A118" s="16" t="s">
        <v>240</v>
      </c>
      <c r="F118" s="24"/>
      <c r="G118" s="19">
        <f>$G$14</f>
        <v>6</v>
      </c>
      <c r="H118" s="20">
        <v>8.0</v>
      </c>
      <c r="I118" s="20">
        <v>1.0</v>
      </c>
      <c r="J118" s="20">
        <v>1.0</v>
      </c>
      <c r="K118" s="20">
        <v>0.0</v>
      </c>
      <c r="L118" s="20">
        <v>2.0</v>
      </c>
      <c r="N118" s="23"/>
      <c r="O118" s="19">
        <f>$G$14</f>
        <v>6</v>
      </c>
      <c r="P118" s="40">
        <f t="shared" ref="P118:T118" si="131">H118/H$136</f>
        <v>0.02040816327</v>
      </c>
      <c r="Q118" s="40">
        <f t="shared" si="131"/>
        <v>0.008849557522</v>
      </c>
      <c r="R118" s="40">
        <f t="shared" si="131"/>
        <v>1</v>
      </c>
      <c r="S118" s="40">
        <f t="shared" si="131"/>
        <v>0</v>
      </c>
      <c r="T118" s="40">
        <f t="shared" si="131"/>
        <v>0.2</v>
      </c>
    </row>
    <row r="119" ht="15.75" customHeight="1">
      <c r="A119" s="16" t="s">
        <v>241</v>
      </c>
      <c r="F119" s="24"/>
      <c r="G119" s="19">
        <f>$G$15</f>
        <v>7</v>
      </c>
      <c r="H119" s="20">
        <v>9.0</v>
      </c>
      <c r="I119" s="20">
        <v>7.0</v>
      </c>
      <c r="J119" s="20">
        <v>0.0</v>
      </c>
      <c r="K119" s="20">
        <v>0.0</v>
      </c>
      <c r="L119" s="20">
        <v>1.0</v>
      </c>
      <c r="N119" s="23"/>
      <c r="O119" s="19">
        <f>$G$15</f>
        <v>7</v>
      </c>
      <c r="P119" s="40">
        <f t="shared" ref="P119:T119" si="132">H119/H$136</f>
        <v>0.02295918367</v>
      </c>
      <c r="Q119" s="40">
        <f t="shared" si="132"/>
        <v>0.06194690265</v>
      </c>
      <c r="R119" s="40">
        <f t="shared" si="132"/>
        <v>0</v>
      </c>
      <c r="S119" s="40">
        <f t="shared" si="132"/>
        <v>0</v>
      </c>
      <c r="T119" s="40">
        <f t="shared" si="132"/>
        <v>0.1</v>
      </c>
    </row>
    <row r="120" ht="15.75" customHeight="1">
      <c r="A120" s="16" t="s">
        <v>242</v>
      </c>
      <c r="F120" s="24"/>
      <c r="G120" s="19">
        <f>$G$16</f>
        <v>8</v>
      </c>
      <c r="H120" s="20">
        <v>22.0</v>
      </c>
      <c r="I120" s="20">
        <v>8.0</v>
      </c>
      <c r="J120" s="20">
        <v>0.0</v>
      </c>
      <c r="K120" s="20">
        <v>0.0</v>
      </c>
      <c r="L120" s="20">
        <v>2.0</v>
      </c>
      <c r="N120" s="23"/>
      <c r="O120" s="19">
        <f>$G$16</f>
        <v>8</v>
      </c>
      <c r="P120" s="40">
        <f t="shared" ref="P120:T120" si="133">H120/H$136</f>
        <v>0.05612244898</v>
      </c>
      <c r="Q120" s="40">
        <f t="shared" si="133"/>
        <v>0.07079646018</v>
      </c>
      <c r="R120" s="40">
        <f t="shared" si="133"/>
        <v>0</v>
      </c>
      <c r="S120" s="40">
        <f t="shared" si="133"/>
        <v>0</v>
      </c>
      <c r="T120" s="40">
        <f t="shared" si="133"/>
        <v>0.2</v>
      </c>
    </row>
    <row r="121" ht="15.75" customHeight="1">
      <c r="A121" s="16" t="s">
        <v>243</v>
      </c>
      <c r="F121" s="24"/>
      <c r="G121" s="19">
        <f>$G$17</f>
        <v>9</v>
      </c>
      <c r="H121" s="20">
        <v>22.0</v>
      </c>
      <c r="I121" s="20">
        <v>8.0</v>
      </c>
      <c r="J121" s="20">
        <v>0.0</v>
      </c>
      <c r="K121" s="20">
        <v>6.0</v>
      </c>
      <c r="L121" s="20">
        <v>0.0</v>
      </c>
      <c r="N121" s="23"/>
      <c r="O121" s="19">
        <f>$G$17</f>
        <v>9</v>
      </c>
      <c r="P121" s="40">
        <f t="shared" ref="P121:T121" si="134">H121/H$136</f>
        <v>0.05612244898</v>
      </c>
      <c r="Q121" s="40">
        <f t="shared" si="134"/>
        <v>0.07079646018</v>
      </c>
      <c r="R121" s="40">
        <f t="shared" si="134"/>
        <v>0</v>
      </c>
      <c r="S121" s="40">
        <f t="shared" si="134"/>
        <v>0.2222222222</v>
      </c>
      <c r="T121" s="40">
        <f t="shared" si="134"/>
        <v>0</v>
      </c>
    </row>
    <row r="122" ht="15.75" customHeight="1">
      <c r="A122" s="16" t="s">
        <v>244</v>
      </c>
      <c r="F122" s="24"/>
      <c r="G122" s="19">
        <f>$G$18</f>
        <v>10</v>
      </c>
      <c r="H122" s="20">
        <v>25.0</v>
      </c>
      <c r="I122" s="20">
        <v>5.0</v>
      </c>
      <c r="J122" s="20">
        <v>0.0</v>
      </c>
      <c r="K122" s="20">
        <v>5.0</v>
      </c>
      <c r="L122" s="20">
        <v>1.0</v>
      </c>
      <c r="N122" s="23"/>
      <c r="O122" s="19">
        <f>$G$18</f>
        <v>10</v>
      </c>
      <c r="P122" s="40">
        <f t="shared" ref="P122:T122" si="135">H122/H$136</f>
        <v>0.0637755102</v>
      </c>
      <c r="Q122" s="40">
        <f t="shared" si="135"/>
        <v>0.04424778761</v>
      </c>
      <c r="R122" s="40">
        <f t="shared" si="135"/>
        <v>0</v>
      </c>
      <c r="S122" s="40">
        <f t="shared" si="135"/>
        <v>0.1851851852</v>
      </c>
      <c r="T122" s="40">
        <f t="shared" si="135"/>
        <v>0.1</v>
      </c>
    </row>
    <row r="123" ht="15.75" customHeight="1">
      <c r="A123" s="16" t="s">
        <v>245</v>
      </c>
      <c r="F123" s="24"/>
      <c r="G123" s="19">
        <f>$G$19</f>
        <v>11</v>
      </c>
      <c r="H123" s="20">
        <v>30.0</v>
      </c>
      <c r="I123" s="20">
        <v>7.0</v>
      </c>
      <c r="J123" s="20">
        <v>0.0</v>
      </c>
      <c r="K123" s="20">
        <v>2.0</v>
      </c>
      <c r="L123" s="20">
        <v>0.0</v>
      </c>
      <c r="N123" s="23"/>
      <c r="O123" s="19">
        <f>$G$19</f>
        <v>11</v>
      </c>
      <c r="P123" s="40">
        <f t="shared" ref="P123:T123" si="136">H123/H$136</f>
        <v>0.07653061224</v>
      </c>
      <c r="Q123" s="40">
        <f t="shared" si="136"/>
        <v>0.06194690265</v>
      </c>
      <c r="R123" s="40">
        <f t="shared" si="136"/>
        <v>0</v>
      </c>
      <c r="S123" s="40">
        <f t="shared" si="136"/>
        <v>0.07407407407</v>
      </c>
      <c r="T123" s="40">
        <f t="shared" si="136"/>
        <v>0</v>
      </c>
    </row>
    <row r="124" ht="15.75" customHeight="1">
      <c r="A124" s="16" t="s">
        <v>246</v>
      </c>
      <c r="F124" s="24"/>
      <c r="G124" s="19">
        <f>$G$20</f>
        <v>12</v>
      </c>
      <c r="H124" s="20">
        <v>16.0</v>
      </c>
      <c r="I124" s="20">
        <v>10.0</v>
      </c>
      <c r="J124" s="20">
        <v>0.0</v>
      </c>
      <c r="K124" s="20">
        <v>2.0</v>
      </c>
      <c r="L124" s="20">
        <v>0.0</v>
      </c>
      <c r="N124" s="23"/>
      <c r="O124" s="19">
        <f>$G$20</f>
        <v>12</v>
      </c>
      <c r="P124" s="40">
        <f t="shared" ref="P124:T124" si="137">H124/H$136</f>
        <v>0.04081632653</v>
      </c>
      <c r="Q124" s="40">
        <f t="shared" si="137"/>
        <v>0.08849557522</v>
      </c>
      <c r="R124" s="40">
        <f t="shared" si="137"/>
        <v>0</v>
      </c>
      <c r="S124" s="40">
        <f t="shared" si="137"/>
        <v>0.07407407407</v>
      </c>
      <c r="T124" s="40">
        <f t="shared" si="137"/>
        <v>0</v>
      </c>
    </row>
    <row r="125" ht="15.75" customHeight="1">
      <c r="A125" s="16" t="s">
        <v>247</v>
      </c>
      <c r="F125" s="24"/>
      <c r="G125" s="19">
        <f>$G$21</f>
        <v>13</v>
      </c>
      <c r="H125" s="20">
        <v>25.0</v>
      </c>
      <c r="I125" s="20">
        <v>5.0</v>
      </c>
      <c r="J125" s="20">
        <v>0.0</v>
      </c>
      <c r="K125" s="20">
        <v>3.0</v>
      </c>
      <c r="L125" s="20">
        <v>0.0</v>
      </c>
      <c r="N125" s="23"/>
      <c r="O125" s="19">
        <f>$G$21</f>
        <v>13</v>
      </c>
      <c r="P125" s="40">
        <f t="shared" ref="P125:T125" si="138">H125/H$136</f>
        <v>0.0637755102</v>
      </c>
      <c r="Q125" s="40">
        <f t="shared" si="138"/>
        <v>0.04424778761</v>
      </c>
      <c r="R125" s="40">
        <f t="shared" si="138"/>
        <v>0</v>
      </c>
      <c r="S125" s="40">
        <f t="shared" si="138"/>
        <v>0.1111111111</v>
      </c>
      <c r="T125" s="40">
        <f t="shared" si="138"/>
        <v>0</v>
      </c>
    </row>
    <row r="126" ht="15.75" customHeight="1">
      <c r="A126" s="16" t="s">
        <v>248</v>
      </c>
      <c r="F126" s="24"/>
      <c r="G126" s="19">
        <f>$G$22</f>
        <v>14</v>
      </c>
      <c r="H126" s="20">
        <v>33.0</v>
      </c>
      <c r="I126" s="20">
        <v>9.0</v>
      </c>
      <c r="J126" s="20">
        <v>0.0</v>
      </c>
      <c r="K126" s="20">
        <v>4.0</v>
      </c>
      <c r="L126" s="20">
        <v>0.0</v>
      </c>
      <c r="N126" s="23"/>
      <c r="O126" s="19">
        <f>$G$22</f>
        <v>14</v>
      </c>
      <c r="P126" s="40">
        <f t="shared" ref="P126:T126" si="139">H126/H$136</f>
        <v>0.08418367347</v>
      </c>
      <c r="Q126" s="40">
        <f t="shared" si="139"/>
        <v>0.0796460177</v>
      </c>
      <c r="R126" s="40">
        <f t="shared" si="139"/>
        <v>0</v>
      </c>
      <c r="S126" s="40">
        <f t="shared" si="139"/>
        <v>0.1481481481</v>
      </c>
      <c r="T126" s="40">
        <f t="shared" si="139"/>
        <v>0</v>
      </c>
    </row>
    <row r="127" ht="15.75" customHeight="1">
      <c r="A127" s="16" t="s">
        <v>249</v>
      </c>
      <c r="F127" s="24"/>
      <c r="G127" s="19">
        <f>$G$23</f>
        <v>15</v>
      </c>
      <c r="H127" s="20">
        <v>28.0</v>
      </c>
      <c r="I127" s="20">
        <v>9.0</v>
      </c>
      <c r="J127" s="20">
        <v>0.0</v>
      </c>
      <c r="K127" s="20">
        <v>0.0</v>
      </c>
      <c r="L127" s="20">
        <v>1.0</v>
      </c>
      <c r="N127" s="23"/>
      <c r="O127" s="19">
        <f>$G$23</f>
        <v>15</v>
      </c>
      <c r="P127" s="40">
        <f t="shared" ref="P127:T127" si="140">H127/H$136</f>
        <v>0.07142857143</v>
      </c>
      <c r="Q127" s="40">
        <f t="shared" si="140"/>
        <v>0.0796460177</v>
      </c>
      <c r="R127" s="40">
        <f t="shared" si="140"/>
        <v>0</v>
      </c>
      <c r="S127" s="40">
        <f t="shared" si="140"/>
        <v>0</v>
      </c>
      <c r="T127" s="40">
        <f t="shared" si="140"/>
        <v>0.1</v>
      </c>
    </row>
    <row r="128" ht="15.75" customHeight="1">
      <c r="A128" s="16" t="s">
        <v>250</v>
      </c>
      <c r="F128" s="24"/>
      <c r="G128" s="19">
        <f>$G$24</f>
        <v>16</v>
      </c>
      <c r="H128" s="20">
        <v>30.0</v>
      </c>
      <c r="I128" s="20">
        <v>7.0</v>
      </c>
      <c r="J128" s="20">
        <v>0.0</v>
      </c>
      <c r="K128" s="20">
        <v>1.0</v>
      </c>
      <c r="L128" s="20">
        <v>1.0</v>
      </c>
      <c r="N128" s="23"/>
      <c r="O128" s="19">
        <f>$G$24</f>
        <v>16</v>
      </c>
      <c r="P128" s="40">
        <f t="shared" ref="P128:T128" si="141">H128/H$136</f>
        <v>0.07653061224</v>
      </c>
      <c r="Q128" s="40">
        <f t="shared" si="141"/>
        <v>0.06194690265</v>
      </c>
      <c r="R128" s="40">
        <f t="shared" si="141"/>
        <v>0</v>
      </c>
      <c r="S128" s="40">
        <f t="shared" si="141"/>
        <v>0.03703703704</v>
      </c>
      <c r="T128" s="40">
        <f t="shared" si="141"/>
        <v>0.1</v>
      </c>
    </row>
    <row r="129" ht="15.75" customHeight="1">
      <c r="A129" s="16" t="s">
        <v>217</v>
      </c>
      <c r="F129" s="24"/>
      <c r="G129" s="19">
        <f>$G$25</f>
        <v>17</v>
      </c>
      <c r="H129" s="20">
        <v>28.0</v>
      </c>
      <c r="I129" s="20">
        <v>4.0</v>
      </c>
      <c r="J129" s="20">
        <v>0.0</v>
      </c>
      <c r="K129" s="20">
        <v>0.0</v>
      </c>
      <c r="L129" s="20">
        <v>0.0</v>
      </c>
      <c r="N129" s="23"/>
      <c r="O129" s="19">
        <f>$G$25</f>
        <v>17</v>
      </c>
      <c r="P129" s="40">
        <f t="shared" ref="P129:T129" si="142">H129/H$136</f>
        <v>0.07142857143</v>
      </c>
      <c r="Q129" s="40">
        <f t="shared" si="142"/>
        <v>0.03539823009</v>
      </c>
      <c r="R129" s="40">
        <f t="shared" si="142"/>
        <v>0</v>
      </c>
      <c r="S129" s="40">
        <f t="shared" si="142"/>
        <v>0</v>
      </c>
      <c r="T129" s="40">
        <f t="shared" si="142"/>
        <v>0</v>
      </c>
    </row>
    <row r="130" ht="15.75" customHeight="1">
      <c r="A130" s="16" t="s">
        <v>251</v>
      </c>
      <c r="F130" s="24"/>
      <c r="G130" s="19">
        <f>$G$26</f>
        <v>18</v>
      </c>
      <c r="H130" s="20">
        <v>29.0</v>
      </c>
      <c r="I130" s="20">
        <v>6.0</v>
      </c>
      <c r="J130" s="20">
        <v>0.0</v>
      </c>
      <c r="K130" s="20">
        <v>1.0</v>
      </c>
      <c r="L130" s="20">
        <v>0.0</v>
      </c>
      <c r="N130" s="23"/>
      <c r="O130" s="19">
        <f>$G$26</f>
        <v>18</v>
      </c>
      <c r="P130" s="40">
        <f t="shared" ref="P130:T130" si="143">H130/H$136</f>
        <v>0.07397959184</v>
      </c>
      <c r="Q130" s="40">
        <f t="shared" si="143"/>
        <v>0.05309734513</v>
      </c>
      <c r="R130" s="40">
        <f t="shared" si="143"/>
        <v>0</v>
      </c>
      <c r="S130" s="40">
        <f t="shared" si="143"/>
        <v>0.03703703704</v>
      </c>
      <c r="T130" s="40">
        <f t="shared" si="143"/>
        <v>0</v>
      </c>
    </row>
    <row r="131" ht="15.75" customHeight="1">
      <c r="A131" s="16" t="s">
        <v>252</v>
      </c>
      <c r="F131" s="24"/>
      <c r="G131" s="19">
        <f>$G$27</f>
        <v>19</v>
      </c>
      <c r="H131" s="20">
        <v>17.0</v>
      </c>
      <c r="I131" s="20">
        <v>4.0</v>
      </c>
      <c r="J131" s="20">
        <v>0.0</v>
      </c>
      <c r="K131" s="20">
        <v>0.0</v>
      </c>
      <c r="L131" s="20">
        <v>0.0</v>
      </c>
      <c r="N131" s="23"/>
      <c r="O131" s="19">
        <f>$G$27</f>
        <v>19</v>
      </c>
      <c r="P131" s="40">
        <f t="shared" ref="P131:T131" si="144">H131/H$136</f>
        <v>0.04336734694</v>
      </c>
      <c r="Q131" s="40">
        <f t="shared" si="144"/>
        <v>0.03539823009</v>
      </c>
      <c r="R131" s="40">
        <f t="shared" si="144"/>
        <v>0</v>
      </c>
      <c r="S131" s="40">
        <f t="shared" si="144"/>
        <v>0</v>
      </c>
      <c r="T131" s="40">
        <f t="shared" si="144"/>
        <v>0</v>
      </c>
    </row>
    <row r="132" ht="15.75" customHeight="1">
      <c r="A132" s="16" t="s">
        <v>253</v>
      </c>
      <c r="F132" s="24"/>
      <c r="G132" s="19">
        <f>$G$28</f>
        <v>20</v>
      </c>
      <c r="H132" s="20">
        <v>16.0</v>
      </c>
      <c r="I132" s="20">
        <v>9.0</v>
      </c>
      <c r="J132" s="20">
        <v>0.0</v>
      </c>
      <c r="K132" s="20">
        <v>1.0</v>
      </c>
      <c r="L132" s="20">
        <v>0.0</v>
      </c>
      <c r="N132" s="23"/>
      <c r="O132" s="19">
        <f>$G$28</f>
        <v>20</v>
      </c>
      <c r="P132" s="40">
        <f t="shared" ref="P132:T132" si="145">H132/H$136</f>
        <v>0.04081632653</v>
      </c>
      <c r="Q132" s="40">
        <f t="shared" si="145"/>
        <v>0.0796460177</v>
      </c>
      <c r="R132" s="40">
        <f t="shared" si="145"/>
        <v>0</v>
      </c>
      <c r="S132" s="40">
        <f t="shared" si="145"/>
        <v>0.03703703704</v>
      </c>
      <c r="T132" s="40">
        <f t="shared" si="145"/>
        <v>0</v>
      </c>
    </row>
    <row r="133" ht="15.75" customHeight="1">
      <c r="A133" s="16" t="s">
        <v>184</v>
      </c>
      <c r="F133" s="24"/>
      <c r="G133" s="19">
        <f>$G$29</f>
        <v>21</v>
      </c>
      <c r="H133" s="20">
        <v>16.0</v>
      </c>
      <c r="I133" s="20">
        <v>4.0</v>
      </c>
      <c r="J133" s="20">
        <v>0.0</v>
      </c>
      <c r="K133" s="20">
        <v>2.0</v>
      </c>
      <c r="L133" s="20">
        <v>0.0</v>
      </c>
      <c r="N133" s="23"/>
      <c r="O133" s="19">
        <f>$G$29</f>
        <v>21</v>
      </c>
      <c r="P133" s="40">
        <f t="shared" ref="P133:T133" si="146">H133/H$136</f>
        <v>0.04081632653</v>
      </c>
      <c r="Q133" s="40">
        <f t="shared" si="146"/>
        <v>0.03539823009</v>
      </c>
      <c r="R133" s="40">
        <f t="shared" si="146"/>
        <v>0</v>
      </c>
      <c r="S133" s="40">
        <f t="shared" si="146"/>
        <v>0.07407407407</v>
      </c>
      <c r="T133" s="40">
        <f t="shared" si="146"/>
        <v>0</v>
      </c>
    </row>
    <row r="134" ht="15.75" customHeight="1">
      <c r="A134" s="16" t="s">
        <v>157</v>
      </c>
      <c r="F134" s="24"/>
      <c r="G134" s="19">
        <f>$G$30</f>
        <v>22</v>
      </c>
      <c r="H134" s="20">
        <v>11.0</v>
      </c>
      <c r="I134" s="20">
        <v>3.0</v>
      </c>
      <c r="J134" s="20">
        <v>0.0</v>
      </c>
      <c r="K134" s="20">
        <v>0.0</v>
      </c>
      <c r="L134" s="20">
        <v>0.0</v>
      </c>
      <c r="N134" s="23"/>
      <c r="O134" s="19">
        <f>$G$30</f>
        <v>22</v>
      </c>
      <c r="P134" s="40">
        <f t="shared" ref="P134:T134" si="147">H134/H$136</f>
        <v>0.02806122449</v>
      </c>
      <c r="Q134" s="40">
        <f t="shared" si="147"/>
        <v>0.02654867257</v>
      </c>
      <c r="R134" s="40">
        <f t="shared" si="147"/>
        <v>0</v>
      </c>
      <c r="S134" s="40">
        <f t="shared" si="147"/>
        <v>0</v>
      </c>
      <c r="T134" s="40">
        <f t="shared" si="147"/>
        <v>0</v>
      </c>
    </row>
    <row r="135" ht="15.75" customHeight="1">
      <c r="F135" s="28"/>
      <c r="G135" s="19">
        <f>$G$31</f>
        <v>23</v>
      </c>
      <c r="H135" s="20">
        <v>8.0</v>
      </c>
      <c r="I135" s="20">
        <v>1.0</v>
      </c>
      <c r="J135" s="20">
        <v>0.0</v>
      </c>
      <c r="K135" s="20">
        <v>0.0</v>
      </c>
      <c r="L135" s="20">
        <v>0.0</v>
      </c>
      <c r="N135" s="27"/>
      <c r="O135" s="19">
        <f>$G$31</f>
        <v>23</v>
      </c>
      <c r="P135" s="40">
        <f t="shared" ref="P135:T135" si="148">H135/H$136</f>
        <v>0.02040816327</v>
      </c>
      <c r="Q135" s="40">
        <f t="shared" si="148"/>
        <v>0.008849557522</v>
      </c>
      <c r="R135" s="40">
        <f t="shared" si="148"/>
        <v>0</v>
      </c>
      <c r="S135" s="40">
        <f t="shared" si="148"/>
        <v>0</v>
      </c>
      <c r="T135" s="40">
        <f t="shared" si="148"/>
        <v>0</v>
      </c>
    </row>
    <row r="136" ht="15.75" customHeight="1">
      <c r="F136" s="41"/>
      <c r="G136" s="41"/>
      <c r="H136" s="26">
        <f t="shared" ref="H136:L136" si="149">SUM(H112:H135)</f>
        <v>392</v>
      </c>
      <c r="I136" s="26">
        <f t="shared" si="149"/>
        <v>113</v>
      </c>
      <c r="J136" s="26">
        <f t="shared" si="149"/>
        <v>1</v>
      </c>
      <c r="K136" s="26">
        <f t="shared" si="149"/>
        <v>27</v>
      </c>
      <c r="L136" s="26">
        <f t="shared" si="149"/>
        <v>10</v>
      </c>
      <c r="N136" s="41"/>
    </row>
    <row r="137" ht="15.75" customHeight="1">
      <c r="A137" s="16" t="s">
        <v>94</v>
      </c>
      <c r="G137" s="16"/>
      <c r="H137" s="17">
        <f>$H$7</f>
        <v>31</v>
      </c>
      <c r="I137" s="17">
        <f>$I$7</f>
        <v>32</v>
      </c>
      <c r="J137" s="17">
        <f>$J$7</f>
        <v>41</v>
      </c>
      <c r="K137" s="17">
        <f>$K$7</f>
        <v>42</v>
      </c>
      <c r="L137" s="17">
        <f>$L$7</f>
        <v>5</v>
      </c>
      <c r="O137" s="16"/>
      <c r="P137" s="17">
        <f>$H$7</f>
        <v>31</v>
      </c>
      <c r="Q137" s="17">
        <f>$I$7</f>
        <v>32</v>
      </c>
      <c r="R137" s="17">
        <f>$J$7</f>
        <v>41</v>
      </c>
      <c r="S137" s="17">
        <f>$K$7</f>
        <v>42</v>
      </c>
      <c r="T137" s="17">
        <f>$L$7</f>
        <v>5</v>
      </c>
    </row>
    <row r="138" ht="15.75" customHeight="1">
      <c r="A138" s="16" t="s">
        <v>94</v>
      </c>
      <c r="F138" s="39">
        <v>45199.0</v>
      </c>
      <c r="G138" s="19">
        <f>$G$8</f>
        <v>0</v>
      </c>
      <c r="H138" s="20">
        <v>2.0</v>
      </c>
      <c r="I138" s="20">
        <v>4.0</v>
      </c>
      <c r="J138" s="20">
        <v>0.0</v>
      </c>
      <c r="K138" s="20">
        <v>0.0</v>
      </c>
      <c r="L138" s="20">
        <v>0.0</v>
      </c>
      <c r="N138" s="39">
        <v>45199.0</v>
      </c>
      <c r="O138" s="19">
        <f>$G$8</f>
        <v>0</v>
      </c>
      <c r="P138" s="40">
        <f t="shared" ref="P138:T138" si="150">H138/H$162</f>
        <v>0.004761904762</v>
      </c>
      <c r="Q138" s="40">
        <f t="shared" si="150"/>
        <v>0.03883495146</v>
      </c>
      <c r="R138" s="40">
        <f t="shared" si="150"/>
        <v>0</v>
      </c>
      <c r="S138" s="40">
        <f t="shared" si="150"/>
        <v>0</v>
      </c>
      <c r="T138" s="40">
        <f t="shared" si="150"/>
        <v>0</v>
      </c>
    </row>
    <row r="139" ht="15.75" customHeight="1">
      <c r="A139" s="16" t="s">
        <v>254</v>
      </c>
      <c r="F139" s="24"/>
      <c r="G139" s="19">
        <f>$G$9</f>
        <v>1</v>
      </c>
      <c r="H139" s="20">
        <v>1.0</v>
      </c>
      <c r="I139" s="20">
        <v>0.0</v>
      </c>
      <c r="J139" s="20">
        <v>0.0</v>
      </c>
      <c r="K139" s="20">
        <v>0.0</v>
      </c>
      <c r="L139" s="20">
        <v>0.0</v>
      </c>
      <c r="N139" s="23"/>
      <c r="O139" s="19">
        <f>$G$9</f>
        <v>1</v>
      </c>
      <c r="P139" s="40">
        <f t="shared" ref="P139:T139" si="151">H139/H$162</f>
        <v>0.002380952381</v>
      </c>
      <c r="Q139" s="40">
        <f t="shared" si="151"/>
        <v>0</v>
      </c>
      <c r="R139" s="40">
        <f t="shared" si="151"/>
        <v>0</v>
      </c>
      <c r="S139" s="40">
        <f t="shared" si="151"/>
        <v>0</v>
      </c>
      <c r="T139" s="40">
        <f t="shared" si="151"/>
        <v>0</v>
      </c>
    </row>
    <row r="140" ht="15.75" customHeight="1">
      <c r="A140" s="16" t="s">
        <v>94</v>
      </c>
      <c r="F140" s="24"/>
      <c r="G140" s="19">
        <f>$G$10</f>
        <v>2</v>
      </c>
      <c r="H140" s="16">
        <v>5.0</v>
      </c>
      <c r="I140" s="16">
        <v>0.0</v>
      </c>
      <c r="J140" s="16">
        <v>0.0</v>
      </c>
      <c r="K140" s="16">
        <v>0.0</v>
      </c>
      <c r="L140" s="16">
        <v>0.0</v>
      </c>
      <c r="N140" s="23"/>
      <c r="O140" s="19">
        <f>$G$10</f>
        <v>2</v>
      </c>
      <c r="P140" s="40">
        <f t="shared" ref="P140:T140" si="152">H140/H$162</f>
        <v>0.0119047619</v>
      </c>
      <c r="Q140" s="40">
        <f t="shared" si="152"/>
        <v>0</v>
      </c>
      <c r="R140" s="40">
        <f t="shared" si="152"/>
        <v>0</v>
      </c>
      <c r="S140" s="40">
        <f t="shared" si="152"/>
        <v>0</v>
      </c>
      <c r="T140" s="40">
        <f t="shared" si="152"/>
        <v>0</v>
      </c>
    </row>
    <row r="141" ht="15.75" customHeight="1">
      <c r="A141" s="16" t="s">
        <v>255</v>
      </c>
      <c r="F141" s="24"/>
      <c r="G141" s="19">
        <f>$G$11</f>
        <v>3</v>
      </c>
      <c r="H141" s="20">
        <v>3.0</v>
      </c>
      <c r="I141" s="20">
        <v>1.0</v>
      </c>
      <c r="J141" s="20">
        <v>0.0</v>
      </c>
      <c r="K141" s="20">
        <v>0.0</v>
      </c>
      <c r="L141" s="20">
        <v>0.0</v>
      </c>
      <c r="N141" s="23"/>
      <c r="O141" s="19">
        <f>$G$11</f>
        <v>3</v>
      </c>
      <c r="P141" s="40">
        <f t="shared" ref="P141:T141" si="153">H141/H$162</f>
        <v>0.007142857143</v>
      </c>
      <c r="Q141" s="40">
        <f t="shared" si="153"/>
        <v>0.009708737864</v>
      </c>
      <c r="R141" s="40">
        <f t="shared" si="153"/>
        <v>0</v>
      </c>
      <c r="S141" s="40">
        <f t="shared" si="153"/>
        <v>0</v>
      </c>
      <c r="T141" s="40">
        <f t="shared" si="153"/>
        <v>0</v>
      </c>
    </row>
    <row r="142" ht="15.75" customHeight="1">
      <c r="A142" s="16" t="s">
        <v>115</v>
      </c>
      <c r="F142" s="24"/>
      <c r="G142" s="19">
        <f>$G$12</f>
        <v>4</v>
      </c>
      <c r="H142" s="20">
        <v>2.0</v>
      </c>
      <c r="I142" s="20">
        <v>0.0</v>
      </c>
      <c r="J142" s="20">
        <v>0.0</v>
      </c>
      <c r="K142" s="20">
        <v>0.0</v>
      </c>
      <c r="L142" s="20">
        <v>0.0</v>
      </c>
      <c r="N142" s="23"/>
      <c r="O142" s="19">
        <f>$G$12</f>
        <v>4</v>
      </c>
      <c r="P142" s="40">
        <f t="shared" ref="P142:T142" si="154">H142/H$162</f>
        <v>0.004761904762</v>
      </c>
      <c r="Q142" s="40">
        <f t="shared" si="154"/>
        <v>0</v>
      </c>
      <c r="R142" s="40">
        <f t="shared" si="154"/>
        <v>0</v>
      </c>
      <c r="S142" s="40">
        <f t="shared" si="154"/>
        <v>0</v>
      </c>
      <c r="T142" s="40">
        <f t="shared" si="154"/>
        <v>0</v>
      </c>
    </row>
    <row r="143" ht="15.75" customHeight="1">
      <c r="A143" s="16" t="s">
        <v>256</v>
      </c>
      <c r="F143" s="24"/>
      <c r="G143" s="19">
        <f>$G$13</f>
        <v>5</v>
      </c>
      <c r="H143" s="20">
        <v>3.0</v>
      </c>
      <c r="I143" s="20">
        <v>2.0</v>
      </c>
      <c r="J143" s="20">
        <v>0.0</v>
      </c>
      <c r="K143" s="20">
        <v>2.0</v>
      </c>
      <c r="L143" s="20">
        <v>0.0</v>
      </c>
      <c r="N143" s="23"/>
      <c r="O143" s="19">
        <f>$G$13</f>
        <v>5</v>
      </c>
      <c r="P143" s="40">
        <f t="shared" ref="P143:T143" si="155">H143/H$162</f>
        <v>0.007142857143</v>
      </c>
      <c r="Q143" s="40">
        <f t="shared" si="155"/>
        <v>0.01941747573</v>
      </c>
      <c r="R143" s="40">
        <f t="shared" si="155"/>
        <v>0</v>
      </c>
      <c r="S143" s="40">
        <f t="shared" si="155"/>
        <v>0.25</v>
      </c>
      <c r="T143" s="40">
        <f t="shared" si="155"/>
        <v>0</v>
      </c>
    </row>
    <row r="144" ht="15.75" customHeight="1">
      <c r="A144" s="16" t="s">
        <v>257</v>
      </c>
      <c r="F144" s="24"/>
      <c r="G144" s="19">
        <f>$G$14</f>
        <v>6</v>
      </c>
      <c r="H144" s="20">
        <v>9.0</v>
      </c>
      <c r="I144" s="20">
        <v>1.0</v>
      </c>
      <c r="J144" s="20">
        <v>0.0</v>
      </c>
      <c r="K144" s="20">
        <v>0.0</v>
      </c>
      <c r="L144" s="20">
        <v>0.0</v>
      </c>
      <c r="N144" s="23"/>
      <c r="O144" s="19">
        <f>$G$14</f>
        <v>6</v>
      </c>
      <c r="P144" s="40">
        <f t="shared" ref="P144:T144" si="156">H144/H$162</f>
        <v>0.02142857143</v>
      </c>
      <c r="Q144" s="40">
        <f t="shared" si="156"/>
        <v>0.009708737864</v>
      </c>
      <c r="R144" s="40">
        <f t="shared" si="156"/>
        <v>0</v>
      </c>
      <c r="S144" s="40">
        <f t="shared" si="156"/>
        <v>0</v>
      </c>
      <c r="T144" s="40">
        <f t="shared" si="156"/>
        <v>0</v>
      </c>
    </row>
    <row r="145" ht="15.75" customHeight="1">
      <c r="A145" s="16" t="s">
        <v>258</v>
      </c>
      <c r="F145" s="24"/>
      <c r="G145" s="19">
        <f>$G$15</f>
        <v>7</v>
      </c>
      <c r="H145" s="20">
        <v>5.0</v>
      </c>
      <c r="I145" s="20">
        <v>6.0</v>
      </c>
      <c r="J145" s="20">
        <v>1.0</v>
      </c>
      <c r="K145" s="20">
        <v>0.0</v>
      </c>
      <c r="L145" s="20">
        <v>0.0</v>
      </c>
      <c r="N145" s="23"/>
      <c r="O145" s="19">
        <f>$G$15</f>
        <v>7</v>
      </c>
      <c r="P145" s="40">
        <f t="shared" ref="P145:T145" si="157">H145/H$162</f>
        <v>0.0119047619</v>
      </c>
      <c r="Q145" s="40">
        <f t="shared" si="157"/>
        <v>0.05825242718</v>
      </c>
      <c r="R145" s="40">
        <f t="shared" si="157"/>
        <v>0.5</v>
      </c>
      <c r="S145" s="40">
        <f t="shared" si="157"/>
        <v>0</v>
      </c>
      <c r="T145" s="40">
        <f t="shared" si="157"/>
        <v>0</v>
      </c>
    </row>
    <row r="146" ht="15.75" customHeight="1">
      <c r="A146" s="16" t="s">
        <v>259</v>
      </c>
      <c r="F146" s="24"/>
      <c r="G146" s="19">
        <f>$G$16</f>
        <v>8</v>
      </c>
      <c r="H146" s="20">
        <v>23.0</v>
      </c>
      <c r="I146" s="20">
        <v>6.0</v>
      </c>
      <c r="J146" s="20">
        <v>0.0</v>
      </c>
      <c r="K146" s="20">
        <v>1.0</v>
      </c>
      <c r="L146" s="20">
        <v>0.0</v>
      </c>
      <c r="N146" s="23"/>
      <c r="O146" s="19">
        <f>$G$16</f>
        <v>8</v>
      </c>
      <c r="P146" s="40">
        <f t="shared" ref="P146:T146" si="158">H146/H$162</f>
        <v>0.05476190476</v>
      </c>
      <c r="Q146" s="40">
        <f t="shared" si="158"/>
        <v>0.05825242718</v>
      </c>
      <c r="R146" s="40">
        <f t="shared" si="158"/>
        <v>0</v>
      </c>
      <c r="S146" s="40">
        <f t="shared" si="158"/>
        <v>0.125</v>
      </c>
      <c r="T146" s="40">
        <f t="shared" si="158"/>
        <v>0</v>
      </c>
    </row>
    <row r="147" ht="15.75" customHeight="1">
      <c r="A147" s="16" t="s">
        <v>260</v>
      </c>
      <c r="F147" s="24"/>
      <c r="G147" s="19">
        <f>$G$17</f>
        <v>9</v>
      </c>
      <c r="H147" s="20">
        <v>35.0</v>
      </c>
      <c r="I147" s="20">
        <v>6.0</v>
      </c>
      <c r="J147" s="20">
        <v>0.0</v>
      </c>
      <c r="K147" s="20">
        <v>0.0</v>
      </c>
      <c r="L147" s="20">
        <v>0.0</v>
      </c>
      <c r="N147" s="23"/>
      <c r="O147" s="19">
        <f>$G$17</f>
        <v>9</v>
      </c>
      <c r="P147" s="40">
        <f t="shared" ref="P147:T147" si="159">H147/H$162</f>
        <v>0.08333333333</v>
      </c>
      <c r="Q147" s="40">
        <f t="shared" si="159"/>
        <v>0.05825242718</v>
      </c>
      <c r="R147" s="40">
        <f t="shared" si="159"/>
        <v>0</v>
      </c>
      <c r="S147" s="40">
        <f t="shared" si="159"/>
        <v>0</v>
      </c>
      <c r="T147" s="40">
        <f t="shared" si="159"/>
        <v>0</v>
      </c>
    </row>
    <row r="148" ht="15.75" customHeight="1">
      <c r="A148" s="16" t="s">
        <v>261</v>
      </c>
      <c r="F148" s="24"/>
      <c r="G148" s="19">
        <f>$G$18</f>
        <v>10</v>
      </c>
      <c r="H148" s="20">
        <v>29.0</v>
      </c>
      <c r="I148" s="20">
        <v>8.0</v>
      </c>
      <c r="J148" s="20">
        <v>0.0</v>
      </c>
      <c r="K148" s="20">
        <v>0.0</v>
      </c>
      <c r="L148" s="20">
        <v>0.0</v>
      </c>
      <c r="N148" s="23"/>
      <c r="O148" s="19">
        <f>$G$18</f>
        <v>10</v>
      </c>
      <c r="P148" s="40">
        <f t="shared" ref="P148:T148" si="160">H148/H$162</f>
        <v>0.06904761905</v>
      </c>
      <c r="Q148" s="40">
        <f t="shared" si="160"/>
        <v>0.07766990291</v>
      </c>
      <c r="R148" s="40">
        <f t="shared" si="160"/>
        <v>0</v>
      </c>
      <c r="S148" s="40">
        <f t="shared" si="160"/>
        <v>0</v>
      </c>
      <c r="T148" s="40">
        <f t="shared" si="160"/>
        <v>0</v>
      </c>
    </row>
    <row r="149" ht="15.75" customHeight="1">
      <c r="A149" s="16" t="s">
        <v>262</v>
      </c>
      <c r="F149" s="24"/>
      <c r="G149" s="19">
        <f>$G$19</f>
        <v>11</v>
      </c>
      <c r="H149" s="20">
        <v>23.0</v>
      </c>
      <c r="I149" s="20">
        <v>5.0</v>
      </c>
      <c r="J149" s="20">
        <v>0.0</v>
      </c>
      <c r="K149" s="20">
        <v>1.0</v>
      </c>
      <c r="L149" s="20">
        <v>1.0</v>
      </c>
      <c r="N149" s="23"/>
      <c r="O149" s="19">
        <f>$G$19</f>
        <v>11</v>
      </c>
      <c r="P149" s="40">
        <f t="shared" ref="P149:T149" si="161">H149/H$162</f>
        <v>0.05476190476</v>
      </c>
      <c r="Q149" s="40">
        <f t="shared" si="161"/>
        <v>0.04854368932</v>
      </c>
      <c r="R149" s="40">
        <f t="shared" si="161"/>
        <v>0</v>
      </c>
      <c r="S149" s="40">
        <f t="shared" si="161"/>
        <v>0.125</v>
      </c>
      <c r="T149" s="40">
        <f t="shared" si="161"/>
        <v>0.1428571429</v>
      </c>
    </row>
    <row r="150" ht="15.75" customHeight="1">
      <c r="A150" s="16" t="s">
        <v>263</v>
      </c>
      <c r="F150" s="24"/>
      <c r="G150" s="19">
        <f>$G$20</f>
        <v>12</v>
      </c>
      <c r="H150" s="20">
        <v>25.0</v>
      </c>
      <c r="I150" s="20">
        <v>7.0</v>
      </c>
      <c r="J150" s="20">
        <v>0.0</v>
      </c>
      <c r="K150" s="20">
        <v>0.0</v>
      </c>
      <c r="L150" s="20">
        <v>1.0</v>
      </c>
      <c r="N150" s="23"/>
      <c r="O150" s="19">
        <f>$G$20</f>
        <v>12</v>
      </c>
      <c r="P150" s="40">
        <f t="shared" ref="P150:T150" si="162">H150/H$162</f>
        <v>0.05952380952</v>
      </c>
      <c r="Q150" s="40">
        <f t="shared" si="162"/>
        <v>0.06796116505</v>
      </c>
      <c r="R150" s="40">
        <f t="shared" si="162"/>
        <v>0</v>
      </c>
      <c r="S150" s="40">
        <f t="shared" si="162"/>
        <v>0</v>
      </c>
      <c r="T150" s="40">
        <f t="shared" si="162"/>
        <v>0.1428571429</v>
      </c>
    </row>
    <row r="151" ht="15.75" customHeight="1">
      <c r="A151" s="16" t="s">
        <v>264</v>
      </c>
      <c r="F151" s="24"/>
      <c r="G151" s="19">
        <f>$G$21</f>
        <v>13</v>
      </c>
      <c r="H151" s="20">
        <v>30.0</v>
      </c>
      <c r="I151" s="20">
        <v>3.0</v>
      </c>
      <c r="J151" s="20">
        <v>1.0</v>
      </c>
      <c r="K151" s="20">
        <v>1.0</v>
      </c>
      <c r="L151" s="20">
        <v>0.0</v>
      </c>
      <c r="N151" s="23"/>
      <c r="O151" s="19">
        <f>$G$21</f>
        <v>13</v>
      </c>
      <c r="P151" s="40">
        <f t="shared" ref="P151:T151" si="163">H151/H$162</f>
        <v>0.07142857143</v>
      </c>
      <c r="Q151" s="40">
        <f t="shared" si="163"/>
        <v>0.02912621359</v>
      </c>
      <c r="R151" s="40">
        <f t="shared" si="163"/>
        <v>0.5</v>
      </c>
      <c r="S151" s="40">
        <f t="shared" si="163"/>
        <v>0.125</v>
      </c>
      <c r="T151" s="40">
        <f t="shared" si="163"/>
        <v>0</v>
      </c>
    </row>
    <row r="152" ht="15.75" customHeight="1">
      <c r="A152" s="16" t="s">
        <v>265</v>
      </c>
      <c r="F152" s="24"/>
      <c r="G152" s="19">
        <f>$G$22</f>
        <v>14</v>
      </c>
      <c r="H152" s="20">
        <v>30.0</v>
      </c>
      <c r="I152" s="20">
        <v>5.0</v>
      </c>
      <c r="J152" s="20">
        <v>0.0</v>
      </c>
      <c r="K152" s="20">
        <v>2.0</v>
      </c>
      <c r="L152" s="20">
        <v>3.0</v>
      </c>
      <c r="N152" s="23"/>
      <c r="O152" s="19">
        <f>$G$22</f>
        <v>14</v>
      </c>
      <c r="P152" s="40">
        <f t="shared" ref="P152:T152" si="164">H152/H$162</f>
        <v>0.07142857143</v>
      </c>
      <c r="Q152" s="40">
        <f t="shared" si="164"/>
        <v>0.04854368932</v>
      </c>
      <c r="R152" s="40">
        <f t="shared" si="164"/>
        <v>0</v>
      </c>
      <c r="S152" s="40">
        <f t="shared" si="164"/>
        <v>0.25</v>
      </c>
      <c r="T152" s="40">
        <f t="shared" si="164"/>
        <v>0.4285714286</v>
      </c>
    </row>
    <row r="153" ht="15.75" customHeight="1">
      <c r="A153" s="16" t="s">
        <v>266</v>
      </c>
      <c r="F153" s="24"/>
      <c r="G153" s="19">
        <f>$G$23</f>
        <v>15</v>
      </c>
      <c r="H153" s="20">
        <v>30.0</v>
      </c>
      <c r="I153" s="20">
        <v>10.0</v>
      </c>
      <c r="J153" s="20">
        <v>0.0</v>
      </c>
      <c r="K153" s="20">
        <v>0.0</v>
      </c>
      <c r="L153" s="20">
        <v>0.0</v>
      </c>
      <c r="N153" s="23"/>
      <c r="O153" s="19">
        <f>$G$23</f>
        <v>15</v>
      </c>
      <c r="P153" s="40">
        <f t="shared" ref="P153:T153" si="165">H153/H$162</f>
        <v>0.07142857143</v>
      </c>
      <c r="Q153" s="40">
        <f t="shared" si="165"/>
        <v>0.09708737864</v>
      </c>
      <c r="R153" s="40">
        <f t="shared" si="165"/>
        <v>0</v>
      </c>
      <c r="S153" s="40">
        <f t="shared" si="165"/>
        <v>0</v>
      </c>
      <c r="T153" s="40">
        <f t="shared" si="165"/>
        <v>0</v>
      </c>
    </row>
    <row r="154" ht="15.75" customHeight="1">
      <c r="A154" s="16" t="s">
        <v>267</v>
      </c>
      <c r="F154" s="24"/>
      <c r="G154" s="19">
        <f>$G$24</f>
        <v>16</v>
      </c>
      <c r="H154" s="20">
        <v>24.0</v>
      </c>
      <c r="I154" s="20">
        <v>6.0</v>
      </c>
      <c r="J154" s="20">
        <v>0.0</v>
      </c>
      <c r="K154" s="20">
        <v>0.0</v>
      </c>
      <c r="L154" s="20">
        <v>2.0</v>
      </c>
      <c r="N154" s="23"/>
      <c r="O154" s="19">
        <f>$G$24</f>
        <v>16</v>
      </c>
      <c r="P154" s="40">
        <f t="shared" ref="P154:T154" si="166">H154/H$162</f>
        <v>0.05714285714</v>
      </c>
      <c r="Q154" s="40">
        <f t="shared" si="166"/>
        <v>0.05825242718</v>
      </c>
      <c r="R154" s="40">
        <f t="shared" si="166"/>
        <v>0</v>
      </c>
      <c r="S154" s="40">
        <f t="shared" si="166"/>
        <v>0</v>
      </c>
      <c r="T154" s="40">
        <f t="shared" si="166"/>
        <v>0.2857142857</v>
      </c>
    </row>
    <row r="155" ht="15.75" customHeight="1">
      <c r="A155" s="16" t="s">
        <v>268</v>
      </c>
      <c r="F155" s="24"/>
      <c r="G155" s="19">
        <f>$G$25</f>
        <v>17</v>
      </c>
      <c r="H155" s="20">
        <v>28.0</v>
      </c>
      <c r="I155" s="20">
        <v>8.0</v>
      </c>
      <c r="J155" s="20">
        <v>0.0</v>
      </c>
      <c r="K155" s="20">
        <v>0.0</v>
      </c>
      <c r="L155" s="20">
        <v>0.0</v>
      </c>
      <c r="N155" s="23"/>
      <c r="O155" s="19">
        <f>$G$25</f>
        <v>17</v>
      </c>
      <c r="P155" s="40">
        <f t="shared" ref="P155:T155" si="167">H155/H$162</f>
        <v>0.06666666667</v>
      </c>
      <c r="Q155" s="40">
        <f t="shared" si="167"/>
        <v>0.07766990291</v>
      </c>
      <c r="R155" s="40">
        <f t="shared" si="167"/>
        <v>0</v>
      </c>
      <c r="S155" s="40">
        <f t="shared" si="167"/>
        <v>0</v>
      </c>
      <c r="T155" s="40">
        <f t="shared" si="167"/>
        <v>0</v>
      </c>
    </row>
    <row r="156" ht="15.75" customHeight="1">
      <c r="A156" s="16" t="s">
        <v>269</v>
      </c>
      <c r="F156" s="24"/>
      <c r="G156" s="19">
        <f>$G$26</f>
        <v>18</v>
      </c>
      <c r="H156" s="20">
        <v>32.0</v>
      </c>
      <c r="I156" s="20">
        <v>6.0</v>
      </c>
      <c r="J156" s="20">
        <v>0.0</v>
      </c>
      <c r="K156" s="20">
        <v>0.0</v>
      </c>
      <c r="L156" s="20">
        <v>0.0</v>
      </c>
      <c r="N156" s="23"/>
      <c r="O156" s="19">
        <f>$G$26</f>
        <v>18</v>
      </c>
      <c r="P156" s="40">
        <f t="shared" ref="P156:T156" si="168">H156/H$162</f>
        <v>0.07619047619</v>
      </c>
      <c r="Q156" s="40">
        <f t="shared" si="168"/>
        <v>0.05825242718</v>
      </c>
      <c r="R156" s="40">
        <f t="shared" si="168"/>
        <v>0</v>
      </c>
      <c r="S156" s="40">
        <f t="shared" si="168"/>
        <v>0</v>
      </c>
      <c r="T156" s="40">
        <f t="shared" si="168"/>
        <v>0</v>
      </c>
    </row>
    <row r="157" ht="15.75" customHeight="1">
      <c r="A157" s="16" t="s">
        <v>251</v>
      </c>
      <c r="F157" s="24"/>
      <c r="G157" s="19">
        <f>$G$27</f>
        <v>19</v>
      </c>
      <c r="H157" s="20">
        <v>16.0</v>
      </c>
      <c r="I157" s="20">
        <v>7.0</v>
      </c>
      <c r="J157" s="20">
        <v>0.0</v>
      </c>
      <c r="K157" s="20">
        <v>0.0</v>
      </c>
      <c r="L157" s="20">
        <v>0.0</v>
      </c>
      <c r="N157" s="23"/>
      <c r="O157" s="19">
        <f>$G$27</f>
        <v>19</v>
      </c>
      <c r="P157" s="40">
        <f t="shared" ref="P157:T157" si="169">H157/H$162</f>
        <v>0.0380952381</v>
      </c>
      <c r="Q157" s="40">
        <f t="shared" si="169"/>
        <v>0.06796116505</v>
      </c>
      <c r="R157" s="40">
        <f t="shared" si="169"/>
        <v>0</v>
      </c>
      <c r="S157" s="40">
        <f t="shared" si="169"/>
        <v>0</v>
      </c>
      <c r="T157" s="40">
        <f t="shared" si="169"/>
        <v>0</v>
      </c>
    </row>
    <row r="158" ht="15.75" customHeight="1">
      <c r="A158" s="16" t="s">
        <v>270</v>
      </c>
      <c r="F158" s="24"/>
      <c r="G158" s="19">
        <f>$G$28</f>
        <v>20</v>
      </c>
      <c r="H158" s="20">
        <v>26.0</v>
      </c>
      <c r="I158" s="20">
        <v>4.0</v>
      </c>
      <c r="J158" s="20">
        <v>0.0</v>
      </c>
      <c r="K158" s="20">
        <v>0.0</v>
      </c>
      <c r="L158" s="20">
        <v>0.0</v>
      </c>
      <c r="N158" s="23"/>
      <c r="O158" s="19">
        <f>$G$28</f>
        <v>20</v>
      </c>
      <c r="P158" s="40">
        <f t="shared" ref="P158:T158" si="170">H158/H$162</f>
        <v>0.0619047619</v>
      </c>
      <c r="Q158" s="40">
        <f t="shared" si="170"/>
        <v>0.03883495146</v>
      </c>
      <c r="R158" s="40">
        <f t="shared" si="170"/>
        <v>0</v>
      </c>
      <c r="S158" s="40">
        <f t="shared" si="170"/>
        <v>0</v>
      </c>
      <c r="T158" s="40">
        <f t="shared" si="170"/>
        <v>0</v>
      </c>
    </row>
    <row r="159" ht="15.75" customHeight="1">
      <c r="A159" s="16" t="s">
        <v>271</v>
      </c>
      <c r="F159" s="24"/>
      <c r="G159" s="19">
        <f>$G$29</f>
        <v>21</v>
      </c>
      <c r="H159" s="20">
        <v>21.0</v>
      </c>
      <c r="I159" s="20">
        <v>3.0</v>
      </c>
      <c r="J159" s="20">
        <v>0.0</v>
      </c>
      <c r="K159" s="20">
        <v>0.0</v>
      </c>
      <c r="L159" s="20">
        <v>0.0</v>
      </c>
      <c r="N159" s="23"/>
      <c r="O159" s="19">
        <f>$G$29</f>
        <v>21</v>
      </c>
      <c r="P159" s="40">
        <f t="shared" ref="P159:T159" si="171">H159/H$162</f>
        <v>0.05</v>
      </c>
      <c r="Q159" s="40">
        <f t="shared" si="171"/>
        <v>0.02912621359</v>
      </c>
      <c r="R159" s="40">
        <f t="shared" si="171"/>
        <v>0</v>
      </c>
      <c r="S159" s="40">
        <f t="shared" si="171"/>
        <v>0</v>
      </c>
      <c r="T159" s="40">
        <f t="shared" si="171"/>
        <v>0</v>
      </c>
    </row>
    <row r="160" ht="15.75" customHeight="1">
      <c r="A160" s="16" t="s">
        <v>272</v>
      </c>
      <c r="F160" s="24"/>
      <c r="G160" s="19">
        <f>$G$30</f>
        <v>22</v>
      </c>
      <c r="H160" s="20">
        <v>12.0</v>
      </c>
      <c r="I160" s="20">
        <v>3.0</v>
      </c>
      <c r="J160" s="20">
        <v>0.0</v>
      </c>
      <c r="K160" s="20">
        <v>1.0</v>
      </c>
      <c r="L160" s="20">
        <v>0.0</v>
      </c>
      <c r="N160" s="23"/>
      <c r="O160" s="19">
        <f>$G$30</f>
        <v>22</v>
      </c>
      <c r="P160" s="40">
        <f t="shared" ref="P160:T160" si="172">H160/H$162</f>
        <v>0.02857142857</v>
      </c>
      <c r="Q160" s="40">
        <f t="shared" si="172"/>
        <v>0.02912621359</v>
      </c>
      <c r="R160" s="40">
        <f t="shared" si="172"/>
        <v>0</v>
      </c>
      <c r="S160" s="40">
        <f t="shared" si="172"/>
        <v>0.125</v>
      </c>
      <c r="T160" s="40">
        <f t="shared" si="172"/>
        <v>0</v>
      </c>
    </row>
    <row r="161" ht="15.75" customHeight="1">
      <c r="F161" s="28"/>
      <c r="G161" s="19">
        <f>$G$31</f>
        <v>23</v>
      </c>
      <c r="H161" s="20">
        <v>6.0</v>
      </c>
      <c r="I161" s="20">
        <v>2.0</v>
      </c>
      <c r="J161" s="20">
        <v>0.0</v>
      </c>
      <c r="K161" s="20">
        <v>0.0</v>
      </c>
      <c r="L161" s="20">
        <v>0.0</v>
      </c>
      <c r="N161" s="27"/>
      <c r="O161" s="19">
        <f>$G$31</f>
        <v>23</v>
      </c>
      <c r="P161" s="40">
        <f t="shared" ref="P161:T161" si="173">H161/H$162</f>
        <v>0.01428571429</v>
      </c>
      <c r="Q161" s="40">
        <f t="shared" si="173"/>
        <v>0.01941747573</v>
      </c>
      <c r="R161" s="40">
        <f t="shared" si="173"/>
        <v>0</v>
      </c>
      <c r="S161" s="40">
        <f t="shared" si="173"/>
        <v>0</v>
      </c>
      <c r="T161" s="40">
        <f t="shared" si="173"/>
        <v>0</v>
      </c>
    </row>
    <row r="162" ht="15.75" customHeight="1">
      <c r="F162" s="41"/>
      <c r="G162" s="41"/>
      <c r="H162" s="26">
        <f t="shared" ref="H162:L162" si="174">SUM(H138:H161)</f>
        <v>420</v>
      </c>
      <c r="I162" s="26">
        <f t="shared" si="174"/>
        <v>103</v>
      </c>
      <c r="J162" s="26">
        <f t="shared" si="174"/>
        <v>2</v>
      </c>
      <c r="K162" s="26">
        <f t="shared" si="174"/>
        <v>8</v>
      </c>
      <c r="L162" s="26">
        <f t="shared" si="174"/>
        <v>7</v>
      </c>
      <c r="N162" s="41"/>
    </row>
    <row r="163" ht="15.75" customHeight="1">
      <c r="A163" s="16" t="s">
        <v>134</v>
      </c>
      <c r="G163" s="16"/>
      <c r="H163" s="17">
        <f>$H$7</f>
        <v>31</v>
      </c>
      <c r="I163" s="17">
        <f>$I$7</f>
        <v>32</v>
      </c>
      <c r="J163" s="17">
        <f>$J$7</f>
        <v>41</v>
      </c>
      <c r="K163" s="17">
        <f>$K$7</f>
        <v>42</v>
      </c>
      <c r="L163" s="17">
        <f>$L$7</f>
        <v>5</v>
      </c>
      <c r="O163" s="16"/>
      <c r="P163" s="17">
        <f>$H$7</f>
        <v>31</v>
      </c>
      <c r="Q163" s="17">
        <f>$I$7</f>
        <v>32</v>
      </c>
      <c r="R163" s="17">
        <f>$J$7</f>
        <v>41</v>
      </c>
      <c r="S163" s="17">
        <f>$K$7</f>
        <v>42</v>
      </c>
      <c r="T163" s="17">
        <f>$L$7</f>
        <v>5</v>
      </c>
    </row>
    <row r="164" ht="15.75" customHeight="1">
      <c r="A164" s="16" t="s">
        <v>273</v>
      </c>
      <c r="F164" s="108">
        <v>45200.0</v>
      </c>
      <c r="G164" s="19">
        <f>$G$8</f>
        <v>0</v>
      </c>
      <c r="H164" s="20">
        <v>8.0</v>
      </c>
      <c r="I164" s="20">
        <v>2.0</v>
      </c>
      <c r="J164" s="20">
        <v>1.0</v>
      </c>
      <c r="K164" s="20">
        <v>0.0</v>
      </c>
      <c r="L164" s="20">
        <v>0.0</v>
      </c>
      <c r="N164" s="29">
        <v>45200.0</v>
      </c>
      <c r="O164" s="19">
        <f>$G$8</f>
        <v>0</v>
      </c>
      <c r="P164" s="40">
        <f t="shared" ref="P164:T164" si="175">H164/H$188</f>
        <v>0.02272727273</v>
      </c>
      <c r="Q164" s="40">
        <f t="shared" si="175"/>
        <v>0.01709401709</v>
      </c>
      <c r="R164" s="40">
        <f t="shared" si="175"/>
        <v>0.3333333333</v>
      </c>
      <c r="S164" s="40">
        <f t="shared" si="175"/>
        <v>0</v>
      </c>
      <c r="T164" s="40">
        <f t="shared" si="175"/>
        <v>0</v>
      </c>
    </row>
    <row r="165" ht="15.75" customHeight="1">
      <c r="A165" s="16" t="s">
        <v>274</v>
      </c>
      <c r="F165" s="24"/>
      <c r="G165" s="19">
        <f>$G$9</f>
        <v>1</v>
      </c>
      <c r="H165" s="20">
        <v>3.0</v>
      </c>
      <c r="I165" s="20">
        <v>0.0</v>
      </c>
      <c r="J165" s="20">
        <v>0.0</v>
      </c>
      <c r="K165" s="20">
        <v>0.0</v>
      </c>
      <c r="L165" s="20">
        <v>0.0</v>
      </c>
      <c r="N165" s="23"/>
      <c r="O165" s="19">
        <f>$G$9</f>
        <v>1</v>
      </c>
      <c r="P165" s="40">
        <f t="shared" ref="P165:T165" si="176">H165/H$188</f>
        <v>0.008522727273</v>
      </c>
      <c r="Q165" s="40">
        <f t="shared" si="176"/>
        <v>0</v>
      </c>
      <c r="R165" s="40">
        <f t="shared" si="176"/>
        <v>0</v>
      </c>
      <c r="S165" s="40">
        <f t="shared" si="176"/>
        <v>0</v>
      </c>
      <c r="T165" s="40">
        <f t="shared" si="176"/>
        <v>0</v>
      </c>
    </row>
    <row r="166" ht="15.75" customHeight="1">
      <c r="A166" s="16" t="s">
        <v>94</v>
      </c>
      <c r="F166" s="24"/>
      <c r="G166" s="19">
        <f>$G$10</f>
        <v>2</v>
      </c>
      <c r="H166" s="16">
        <v>4.0</v>
      </c>
      <c r="I166" s="16">
        <v>0.0</v>
      </c>
      <c r="J166" s="16">
        <v>0.0</v>
      </c>
      <c r="K166" s="16">
        <v>0.0</v>
      </c>
      <c r="L166" s="16">
        <v>0.0</v>
      </c>
      <c r="N166" s="23"/>
      <c r="O166" s="19">
        <f>$G$10</f>
        <v>2</v>
      </c>
      <c r="P166" s="40">
        <f t="shared" ref="P166:T166" si="177">H166/H$188</f>
        <v>0.01136363636</v>
      </c>
      <c r="Q166" s="40">
        <f t="shared" si="177"/>
        <v>0</v>
      </c>
      <c r="R166" s="40">
        <f t="shared" si="177"/>
        <v>0</v>
      </c>
      <c r="S166" s="40">
        <f t="shared" si="177"/>
        <v>0</v>
      </c>
      <c r="T166" s="40">
        <f t="shared" si="177"/>
        <v>0</v>
      </c>
    </row>
    <row r="167" ht="15.75" customHeight="1">
      <c r="A167" s="16" t="s">
        <v>275</v>
      </c>
      <c r="F167" s="24"/>
      <c r="G167" s="19">
        <f>$G$11</f>
        <v>3</v>
      </c>
      <c r="H167" s="20">
        <v>1.0</v>
      </c>
      <c r="I167" s="20">
        <v>0.0</v>
      </c>
      <c r="J167" s="20">
        <v>0.0</v>
      </c>
      <c r="K167" s="20">
        <v>0.0</v>
      </c>
      <c r="L167" s="20">
        <v>0.0</v>
      </c>
      <c r="N167" s="23"/>
      <c r="O167" s="19">
        <f>$G$11</f>
        <v>3</v>
      </c>
      <c r="P167" s="40">
        <f t="shared" ref="P167:T167" si="178">H167/H$188</f>
        <v>0.002840909091</v>
      </c>
      <c r="Q167" s="40">
        <f t="shared" si="178"/>
        <v>0</v>
      </c>
      <c r="R167" s="40">
        <f t="shared" si="178"/>
        <v>0</v>
      </c>
      <c r="S167" s="40">
        <f t="shared" si="178"/>
        <v>0</v>
      </c>
      <c r="T167" s="40">
        <f t="shared" si="178"/>
        <v>0</v>
      </c>
    </row>
    <row r="168" ht="15.75" customHeight="1">
      <c r="A168" s="16" t="s">
        <v>276</v>
      </c>
      <c r="F168" s="24"/>
      <c r="G168" s="19">
        <f>$G$12</f>
        <v>4</v>
      </c>
      <c r="H168" s="20">
        <v>0.0</v>
      </c>
      <c r="I168" s="20">
        <v>0.0</v>
      </c>
      <c r="J168" s="20">
        <v>0.0</v>
      </c>
      <c r="K168" s="20">
        <v>0.0</v>
      </c>
      <c r="L168" s="20">
        <v>0.0</v>
      </c>
      <c r="N168" s="23"/>
      <c r="O168" s="19">
        <f>$G$12</f>
        <v>4</v>
      </c>
      <c r="P168" s="40">
        <f t="shared" ref="P168:T168" si="179">H168/H$188</f>
        <v>0</v>
      </c>
      <c r="Q168" s="40">
        <f t="shared" si="179"/>
        <v>0</v>
      </c>
      <c r="R168" s="40">
        <f t="shared" si="179"/>
        <v>0</v>
      </c>
      <c r="S168" s="40">
        <f t="shared" si="179"/>
        <v>0</v>
      </c>
      <c r="T168" s="40">
        <f t="shared" si="179"/>
        <v>0</v>
      </c>
    </row>
    <row r="169" ht="15.75" customHeight="1">
      <c r="A169" s="16" t="s">
        <v>277</v>
      </c>
      <c r="F169" s="24"/>
      <c r="G169" s="19">
        <f>$G$13</f>
        <v>5</v>
      </c>
      <c r="H169" s="20">
        <v>1.0</v>
      </c>
      <c r="I169" s="20">
        <v>3.0</v>
      </c>
      <c r="J169" s="20">
        <v>0.0</v>
      </c>
      <c r="K169" s="20">
        <v>0.0</v>
      </c>
      <c r="L169" s="20">
        <v>1.0</v>
      </c>
      <c r="N169" s="23"/>
      <c r="O169" s="19">
        <f>$G$13</f>
        <v>5</v>
      </c>
      <c r="P169" s="40">
        <f t="shared" ref="P169:T169" si="180">H169/H$188</f>
        <v>0.002840909091</v>
      </c>
      <c r="Q169" s="40">
        <f t="shared" si="180"/>
        <v>0.02564102564</v>
      </c>
      <c r="R169" s="40">
        <f t="shared" si="180"/>
        <v>0</v>
      </c>
      <c r="S169" s="40">
        <f t="shared" si="180"/>
        <v>0</v>
      </c>
      <c r="T169" s="40">
        <f t="shared" si="180"/>
        <v>0.3333333333</v>
      </c>
    </row>
    <row r="170" ht="15.75" customHeight="1">
      <c r="A170" s="16" t="s">
        <v>278</v>
      </c>
      <c r="F170" s="24"/>
      <c r="G170" s="19">
        <f>$G$14</f>
        <v>6</v>
      </c>
      <c r="H170" s="20">
        <v>1.0</v>
      </c>
      <c r="I170" s="20">
        <v>5.0</v>
      </c>
      <c r="J170" s="20">
        <v>0.0</v>
      </c>
      <c r="K170" s="20">
        <v>0.0</v>
      </c>
      <c r="L170" s="20">
        <v>0.0</v>
      </c>
      <c r="N170" s="23"/>
      <c r="O170" s="19">
        <f>$G$14</f>
        <v>6</v>
      </c>
      <c r="P170" s="40">
        <f t="shared" ref="P170:T170" si="181">H170/H$188</f>
        <v>0.002840909091</v>
      </c>
      <c r="Q170" s="40">
        <f t="shared" si="181"/>
        <v>0.04273504274</v>
      </c>
      <c r="R170" s="40">
        <f t="shared" si="181"/>
        <v>0</v>
      </c>
      <c r="S170" s="40">
        <f t="shared" si="181"/>
        <v>0</v>
      </c>
      <c r="T170" s="40">
        <f t="shared" si="181"/>
        <v>0</v>
      </c>
    </row>
    <row r="171" ht="15.75" customHeight="1">
      <c r="A171" s="16" t="s">
        <v>86</v>
      </c>
      <c r="F171" s="24"/>
      <c r="G171" s="19">
        <f>$G$15</f>
        <v>7</v>
      </c>
      <c r="H171" s="20">
        <v>11.0</v>
      </c>
      <c r="I171" s="20">
        <v>6.0</v>
      </c>
      <c r="J171" s="20">
        <v>0.0</v>
      </c>
      <c r="K171" s="20">
        <v>0.0</v>
      </c>
      <c r="L171" s="20">
        <v>0.0</v>
      </c>
      <c r="N171" s="23"/>
      <c r="O171" s="19">
        <f>$G$15</f>
        <v>7</v>
      </c>
      <c r="P171" s="40">
        <f t="shared" ref="P171:T171" si="182">H171/H$188</f>
        <v>0.03125</v>
      </c>
      <c r="Q171" s="40">
        <f t="shared" si="182"/>
        <v>0.05128205128</v>
      </c>
      <c r="R171" s="40">
        <f t="shared" si="182"/>
        <v>0</v>
      </c>
      <c r="S171" s="40">
        <f t="shared" si="182"/>
        <v>0</v>
      </c>
      <c r="T171" s="40">
        <f t="shared" si="182"/>
        <v>0</v>
      </c>
    </row>
    <row r="172" ht="15.75" customHeight="1">
      <c r="A172" s="16" t="s">
        <v>279</v>
      </c>
      <c r="F172" s="24"/>
      <c r="G172" s="19">
        <f>$G$16</f>
        <v>8</v>
      </c>
      <c r="H172" s="20">
        <v>16.0</v>
      </c>
      <c r="I172" s="20">
        <v>6.0</v>
      </c>
      <c r="J172" s="20">
        <v>1.0</v>
      </c>
      <c r="K172" s="20">
        <v>0.0</v>
      </c>
      <c r="L172" s="20">
        <v>1.0</v>
      </c>
      <c r="N172" s="23"/>
      <c r="O172" s="19">
        <f>$G$16</f>
        <v>8</v>
      </c>
      <c r="P172" s="40">
        <f t="shared" ref="P172:T172" si="183">H172/H$188</f>
        <v>0.04545454545</v>
      </c>
      <c r="Q172" s="40">
        <f t="shared" si="183"/>
        <v>0.05128205128</v>
      </c>
      <c r="R172" s="40">
        <f t="shared" si="183"/>
        <v>0.3333333333</v>
      </c>
      <c r="S172" s="40">
        <f t="shared" si="183"/>
        <v>0</v>
      </c>
      <c r="T172" s="40">
        <f t="shared" si="183"/>
        <v>0.3333333333</v>
      </c>
    </row>
    <row r="173" ht="15.75" customHeight="1">
      <c r="A173" s="16" t="s">
        <v>280</v>
      </c>
      <c r="F173" s="24"/>
      <c r="G173" s="19">
        <f>$G$17</f>
        <v>9</v>
      </c>
      <c r="H173" s="20">
        <v>18.0</v>
      </c>
      <c r="I173" s="20">
        <v>9.0</v>
      </c>
      <c r="J173" s="20">
        <v>0.0</v>
      </c>
      <c r="K173" s="20">
        <v>0.0</v>
      </c>
      <c r="L173" s="20">
        <v>1.0</v>
      </c>
      <c r="N173" s="23"/>
      <c r="O173" s="19">
        <f>$G$17</f>
        <v>9</v>
      </c>
      <c r="P173" s="40">
        <f t="shared" ref="P173:T173" si="184">H173/H$188</f>
        <v>0.05113636364</v>
      </c>
      <c r="Q173" s="40">
        <f t="shared" si="184"/>
        <v>0.07692307692</v>
      </c>
      <c r="R173" s="40">
        <f t="shared" si="184"/>
        <v>0</v>
      </c>
      <c r="S173" s="40">
        <f t="shared" si="184"/>
        <v>0</v>
      </c>
      <c r="T173" s="40">
        <f t="shared" si="184"/>
        <v>0.3333333333</v>
      </c>
    </row>
    <row r="174" ht="15.75" customHeight="1">
      <c r="A174" s="16" t="s">
        <v>281</v>
      </c>
      <c r="F174" s="24"/>
      <c r="G174" s="19">
        <f>$G$18</f>
        <v>10</v>
      </c>
      <c r="H174" s="20">
        <v>28.0</v>
      </c>
      <c r="I174" s="20">
        <v>6.0</v>
      </c>
      <c r="J174" s="20">
        <v>0.0</v>
      </c>
      <c r="K174" s="20">
        <v>1.0</v>
      </c>
      <c r="L174" s="20">
        <v>0.0</v>
      </c>
      <c r="N174" s="23"/>
      <c r="O174" s="19">
        <f>$G$18</f>
        <v>10</v>
      </c>
      <c r="P174" s="40">
        <f t="shared" ref="P174:T174" si="185">H174/H$188</f>
        <v>0.07954545455</v>
      </c>
      <c r="Q174" s="40">
        <f t="shared" si="185"/>
        <v>0.05128205128</v>
      </c>
      <c r="R174" s="40">
        <f t="shared" si="185"/>
        <v>0</v>
      </c>
      <c r="S174" s="40">
        <f t="shared" si="185"/>
        <v>0.3333333333</v>
      </c>
      <c r="T174" s="40">
        <f t="shared" si="185"/>
        <v>0</v>
      </c>
    </row>
    <row r="175" ht="15.75" customHeight="1">
      <c r="A175" s="16" t="s">
        <v>282</v>
      </c>
      <c r="F175" s="24"/>
      <c r="G175" s="19">
        <f>$G$19</f>
        <v>11</v>
      </c>
      <c r="H175" s="20">
        <v>20.0</v>
      </c>
      <c r="I175" s="20">
        <v>7.0</v>
      </c>
      <c r="J175" s="20">
        <v>0.0</v>
      </c>
      <c r="K175" s="20">
        <v>0.0</v>
      </c>
      <c r="L175" s="20">
        <v>0.0</v>
      </c>
      <c r="N175" s="23"/>
      <c r="O175" s="19">
        <f>$G$19</f>
        <v>11</v>
      </c>
      <c r="P175" s="40">
        <f t="shared" ref="P175:T175" si="186">H175/H$188</f>
        <v>0.05681818182</v>
      </c>
      <c r="Q175" s="40">
        <f t="shared" si="186"/>
        <v>0.05982905983</v>
      </c>
      <c r="R175" s="40">
        <f t="shared" si="186"/>
        <v>0</v>
      </c>
      <c r="S175" s="40">
        <f t="shared" si="186"/>
        <v>0</v>
      </c>
      <c r="T175" s="40">
        <f t="shared" si="186"/>
        <v>0</v>
      </c>
    </row>
    <row r="176" ht="15.75" customHeight="1">
      <c r="A176" s="16" t="s">
        <v>283</v>
      </c>
      <c r="F176" s="24"/>
      <c r="G176" s="19">
        <f>$G$20</f>
        <v>12</v>
      </c>
      <c r="H176" s="20">
        <v>28.0</v>
      </c>
      <c r="I176" s="20">
        <v>9.0</v>
      </c>
      <c r="J176" s="20">
        <v>0.0</v>
      </c>
      <c r="K176" s="20">
        <v>0.0</v>
      </c>
      <c r="L176" s="20">
        <v>0.0</v>
      </c>
      <c r="N176" s="23"/>
      <c r="O176" s="19">
        <f>$G$20</f>
        <v>12</v>
      </c>
      <c r="P176" s="40">
        <f t="shared" ref="P176:T176" si="187">H176/H$188</f>
        <v>0.07954545455</v>
      </c>
      <c r="Q176" s="40">
        <f t="shared" si="187"/>
        <v>0.07692307692</v>
      </c>
      <c r="R176" s="40">
        <f t="shared" si="187"/>
        <v>0</v>
      </c>
      <c r="S176" s="40">
        <f t="shared" si="187"/>
        <v>0</v>
      </c>
      <c r="T176" s="40">
        <f t="shared" si="187"/>
        <v>0</v>
      </c>
    </row>
    <row r="177" ht="15.75" customHeight="1">
      <c r="A177" s="16" t="s">
        <v>284</v>
      </c>
      <c r="F177" s="24"/>
      <c r="G177" s="19">
        <f>$G$21</f>
        <v>13</v>
      </c>
      <c r="H177" s="20">
        <v>26.0</v>
      </c>
      <c r="I177" s="20">
        <v>12.0</v>
      </c>
      <c r="J177" s="20">
        <v>0.0</v>
      </c>
      <c r="K177" s="20">
        <v>0.0</v>
      </c>
      <c r="L177" s="20">
        <v>0.0</v>
      </c>
      <c r="N177" s="23"/>
      <c r="O177" s="19">
        <f>$G$21</f>
        <v>13</v>
      </c>
      <c r="P177" s="40">
        <f t="shared" ref="P177:T177" si="188">H177/H$188</f>
        <v>0.07386363636</v>
      </c>
      <c r="Q177" s="40">
        <f t="shared" si="188"/>
        <v>0.1025641026</v>
      </c>
      <c r="R177" s="40">
        <f t="shared" si="188"/>
        <v>0</v>
      </c>
      <c r="S177" s="40">
        <f t="shared" si="188"/>
        <v>0</v>
      </c>
      <c r="T177" s="40">
        <f t="shared" si="188"/>
        <v>0</v>
      </c>
    </row>
    <row r="178" ht="15.75" customHeight="1">
      <c r="A178" s="16" t="s">
        <v>285</v>
      </c>
      <c r="F178" s="24"/>
      <c r="G178" s="19">
        <f>$G$22</f>
        <v>14</v>
      </c>
      <c r="H178" s="20">
        <v>40.0</v>
      </c>
      <c r="I178" s="20">
        <v>6.0</v>
      </c>
      <c r="J178" s="20">
        <v>0.0</v>
      </c>
      <c r="K178" s="20">
        <v>0.0</v>
      </c>
      <c r="L178" s="20">
        <v>0.0</v>
      </c>
      <c r="N178" s="23"/>
      <c r="O178" s="19">
        <f>$G$22</f>
        <v>14</v>
      </c>
      <c r="P178" s="40">
        <f t="shared" ref="P178:T178" si="189">H178/H$188</f>
        <v>0.1136363636</v>
      </c>
      <c r="Q178" s="40">
        <f t="shared" si="189"/>
        <v>0.05128205128</v>
      </c>
      <c r="R178" s="40">
        <f t="shared" si="189"/>
        <v>0</v>
      </c>
      <c r="S178" s="40">
        <f t="shared" si="189"/>
        <v>0</v>
      </c>
      <c r="T178" s="40">
        <f t="shared" si="189"/>
        <v>0</v>
      </c>
    </row>
    <row r="179" ht="15.75" customHeight="1">
      <c r="A179" s="16" t="s">
        <v>286</v>
      </c>
      <c r="F179" s="24"/>
      <c r="G179" s="19">
        <f>$G$23</f>
        <v>15</v>
      </c>
      <c r="H179" s="20">
        <v>26.0</v>
      </c>
      <c r="I179" s="20">
        <v>6.0</v>
      </c>
      <c r="J179" s="20">
        <v>0.0</v>
      </c>
      <c r="K179" s="20">
        <v>1.0</v>
      </c>
      <c r="L179" s="20">
        <v>0.0</v>
      </c>
      <c r="N179" s="23"/>
      <c r="O179" s="19">
        <f>$G$23</f>
        <v>15</v>
      </c>
      <c r="P179" s="40">
        <f t="shared" ref="P179:T179" si="190">H179/H$188</f>
        <v>0.07386363636</v>
      </c>
      <c r="Q179" s="40">
        <f t="shared" si="190"/>
        <v>0.05128205128</v>
      </c>
      <c r="R179" s="40">
        <f t="shared" si="190"/>
        <v>0</v>
      </c>
      <c r="S179" s="40">
        <f t="shared" si="190"/>
        <v>0.3333333333</v>
      </c>
      <c r="T179" s="40">
        <f t="shared" si="190"/>
        <v>0</v>
      </c>
    </row>
    <row r="180" ht="15.75" customHeight="1">
      <c r="A180" s="16" t="s">
        <v>287</v>
      </c>
      <c r="F180" s="24"/>
      <c r="G180" s="19">
        <f>$G$24</f>
        <v>16</v>
      </c>
      <c r="H180" s="20">
        <v>32.0</v>
      </c>
      <c r="I180" s="20">
        <v>8.0</v>
      </c>
      <c r="J180" s="20">
        <v>0.0</v>
      </c>
      <c r="K180" s="20">
        <v>0.0</v>
      </c>
      <c r="L180" s="20">
        <v>0.0</v>
      </c>
      <c r="N180" s="23"/>
      <c r="O180" s="19">
        <f>$G$24</f>
        <v>16</v>
      </c>
      <c r="P180" s="40">
        <f t="shared" ref="P180:T180" si="191">H180/H$188</f>
        <v>0.09090909091</v>
      </c>
      <c r="Q180" s="40">
        <f t="shared" si="191"/>
        <v>0.06837606838</v>
      </c>
      <c r="R180" s="40">
        <f t="shared" si="191"/>
        <v>0</v>
      </c>
      <c r="S180" s="40">
        <f t="shared" si="191"/>
        <v>0</v>
      </c>
      <c r="T180" s="40">
        <f t="shared" si="191"/>
        <v>0</v>
      </c>
    </row>
    <row r="181" ht="15.75" customHeight="1">
      <c r="A181" s="16" t="s">
        <v>131</v>
      </c>
      <c r="F181" s="24"/>
      <c r="G181" s="19">
        <f>$G$25</f>
        <v>17</v>
      </c>
      <c r="H181" s="20">
        <v>23.0</v>
      </c>
      <c r="I181" s="20">
        <v>4.0</v>
      </c>
      <c r="J181" s="20">
        <v>0.0</v>
      </c>
      <c r="K181" s="20">
        <v>0.0</v>
      </c>
      <c r="L181" s="20">
        <v>0.0</v>
      </c>
      <c r="N181" s="23"/>
      <c r="O181" s="19">
        <f>$G$25</f>
        <v>17</v>
      </c>
      <c r="P181" s="40">
        <f t="shared" ref="P181:T181" si="192">H181/H$188</f>
        <v>0.06534090909</v>
      </c>
      <c r="Q181" s="40">
        <f t="shared" si="192"/>
        <v>0.03418803419</v>
      </c>
      <c r="R181" s="40">
        <f t="shared" si="192"/>
        <v>0</v>
      </c>
      <c r="S181" s="40">
        <f t="shared" si="192"/>
        <v>0</v>
      </c>
      <c r="T181" s="40">
        <f t="shared" si="192"/>
        <v>0</v>
      </c>
    </row>
    <row r="182" ht="15.75" customHeight="1">
      <c r="A182" s="16" t="s">
        <v>288</v>
      </c>
      <c r="F182" s="24"/>
      <c r="G182" s="19">
        <f>$G$26</f>
        <v>18</v>
      </c>
      <c r="H182" s="20">
        <v>17.0</v>
      </c>
      <c r="I182" s="20">
        <v>8.0</v>
      </c>
      <c r="J182" s="20">
        <v>1.0</v>
      </c>
      <c r="K182" s="20">
        <v>0.0</v>
      </c>
      <c r="L182" s="20">
        <v>0.0</v>
      </c>
      <c r="N182" s="23"/>
      <c r="O182" s="19">
        <f>$G$26</f>
        <v>18</v>
      </c>
      <c r="P182" s="40">
        <f t="shared" ref="P182:T182" si="193">H182/H$188</f>
        <v>0.04829545455</v>
      </c>
      <c r="Q182" s="40">
        <f t="shared" si="193"/>
        <v>0.06837606838</v>
      </c>
      <c r="R182" s="40">
        <f t="shared" si="193"/>
        <v>0.3333333333</v>
      </c>
      <c r="S182" s="40">
        <f t="shared" si="193"/>
        <v>0</v>
      </c>
      <c r="T182" s="40">
        <f t="shared" si="193"/>
        <v>0</v>
      </c>
    </row>
    <row r="183" ht="15.75" customHeight="1">
      <c r="A183" s="16" t="s">
        <v>289</v>
      </c>
      <c r="F183" s="24"/>
      <c r="G183" s="19">
        <f>$G$27</f>
        <v>19</v>
      </c>
      <c r="H183" s="20">
        <v>19.0</v>
      </c>
      <c r="I183" s="20">
        <v>6.0</v>
      </c>
      <c r="J183" s="20">
        <v>0.0</v>
      </c>
      <c r="K183" s="20">
        <v>0.0</v>
      </c>
      <c r="L183" s="20">
        <v>0.0</v>
      </c>
      <c r="N183" s="23"/>
      <c r="O183" s="19">
        <f>$G$27</f>
        <v>19</v>
      </c>
      <c r="P183" s="40">
        <f t="shared" ref="P183:T183" si="194">H183/H$188</f>
        <v>0.05397727273</v>
      </c>
      <c r="Q183" s="40">
        <f t="shared" si="194"/>
        <v>0.05128205128</v>
      </c>
      <c r="R183" s="40">
        <f t="shared" si="194"/>
        <v>0</v>
      </c>
      <c r="S183" s="40">
        <f t="shared" si="194"/>
        <v>0</v>
      </c>
      <c r="T183" s="40">
        <f t="shared" si="194"/>
        <v>0</v>
      </c>
    </row>
    <row r="184" ht="15.75" customHeight="1">
      <c r="A184" s="16" t="s">
        <v>239</v>
      </c>
      <c r="F184" s="24"/>
      <c r="G184" s="19">
        <f>$G$28</f>
        <v>20</v>
      </c>
      <c r="H184" s="20">
        <v>11.0</v>
      </c>
      <c r="I184" s="20">
        <v>8.0</v>
      </c>
      <c r="J184" s="20">
        <v>0.0</v>
      </c>
      <c r="K184" s="20">
        <v>0.0</v>
      </c>
      <c r="L184" s="20">
        <v>0.0</v>
      </c>
      <c r="N184" s="23"/>
      <c r="O184" s="19">
        <f>$G$28</f>
        <v>20</v>
      </c>
      <c r="P184" s="40">
        <f t="shared" ref="P184:T184" si="195">H184/H$188</f>
        <v>0.03125</v>
      </c>
      <c r="Q184" s="40">
        <f t="shared" si="195"/>
        <v>0.06837606838</v>
      </c>
      <c r="R184" s="40">
        <f t="shared" si="195"/>
        <v>0</v>
      </c>
      <c r="S184" s="40">
        <f t="shared" si="195"/>
        <v>0</v>
      </c>
      <c r="T184" s="40">
        <f t="shared" si="195"/>
        <v>0</v>
      </c>
    </row>
    <row r="185" ht="15.75" customHeight="1">
      <c r="A185" s="16" t="s">
        <v>290</v>
      </c>
      <c r="F185" s="24"/>
      <c r="G185" s="19">
        <f>$G$29</f>
        <v>21</v>
      </c>
      <c r="H185" s="20">
        <v>12.0</v>
      </c>
      <c r="I185" s="20">
        <v>4.0</v>
      </c>
      <c r="J185" s="20">
        <v>0.0</v>
      </c>
      <c r="K185" s="20">
        <v>0.0</v>
      </c>
      <c r="L185" s="20">
        <v>0.0</v>
      </c>
      <c r="N185" s="23"/>
      <c r="O185" s="19">
        <f>$G$29</f>
        <v>21</v>
      </c>
      <c r="P185" s="40">
        <f t="shared" ref="P185:T185" si="196">H185/H$188</f>
        <v>0.03409090909</v>
      </c>
      <c r="Q185" s="40">
        <f t="shared" si="196"/>
        <v>0.03418803419</v>
      </c>
      <c r="R185" s="40">
        <f t="shared" si="196"/>
        <v>0</v>
      </c>
      <c r="S185" s="40">
        <f t="shared" si="196"/>
        <v>0</v>
      </c>
      <c r="T185" s="40">
        <f t="shared" si="196"/>
        <v>0</v>
      </c>
    </row>
    <row r="186" ht="15.75" customHeight="1">
      <c r="A186" s="16" t="s">
        <v>291</v>
      </c>
      <c r="F186" s="24"/>
      <c r="G186" s="19">
        <f>$G$30</f>
        <v>22</v>
      </c>
      <c r="H186" s="20">
        <v>1.0</v>
      </c>
      <c r="I186" s="20">
        <v>2.0</v>
      </c>
      <c r="J186" s="20">
        <v>0.0</v>
      </c>
      <c r="K186" s="20">
        <v>1.0</v>
      </c>
      <c r="L186" s="20">
        <v>0.0</v>
      </c>
      <c r="N186" s="23"/>
      <c r="O186" s="19">
        <f>$G$30</f>
        <v>22</v>
      </c>
      <c r="P186" s="40">
        <f t="shared" ref="P186:T186" si="197">H186/H$188</f>
        <v>0.002840909091</v>
      </c>
      <c r="Q186" s="40">
        <f t="shared" si="197"/>
        <v>0.01709401709</v>
      </c>
      <c r="R186" s="40">
        <f t="shared" si="197"/>
        <v>0</v>
      </c>
      <c r="S186" s="40">
        <f t="shared" si="197"/>
        <v>0.3333333333</v>
      </c>
      <c r="T186" s="40">
        <f t="shared" si="197"/>
        <v>0</v>
      </c>
    </row>
    <row r="187" ht="15.75" customHeight="1">
      <c r="F187" s="28"/>
      <c r="G187" s="71">
        <f>$G$31</f>
        <v>23</v>
      </c>
      <c r="H187" s="20">
        <v>6.0</v>
      </c>
      <c r="I187" s="20">
        <v>0.0</v>
      </c>
      <c r="J187" s="20">
        <v>0.0</v>
      </c>
      <c r="K187" s="20">
        <v>0.0</v>
      </c>
      <c r="L187" s="20">
        <v>0.0</v>
      </c>
      <c r="N187" s="27"/>
      <c r="O187" s="19">
        <f>$G$31</f>
        <v>23</v>
      </c>
      <c r="P187" s="40">
        <f t="shared" ref="P187:T187" si="198">H187/H$188</f>
        <v>0.01704545455</v>
      </c>
      <c r="Q187" s="40">
        <f t="shared" si="198"/>
        <v>0</v>
      </c>
      <c r="R187" s="40">
        <f t="shared" si="198"/>
        <v>0</v>
      </c>
      <c r="S187" s="40">
        <f t="shared" si="198"/>
        <v>0</v>
      </c>
      <c r="T187" s="40">
        <f t="shared" si="198"/>
        <v>0</v>
      </c>
    </row>
    <row r="188" ht="15.75" customHeight="1">
      <c r="F188" s="41"/>
      <c r="G188" s="41"/>
      <c r="H188" s="26">
        <f t="shared" ref="H188:L188" si="199">SUM(H164:H187)</f>
        <v>352</v>
      </c>
      <c r="I188" s="26">
        <f t="shared" si="199"/>
        <v>117</v>
      </c>
      <c r="J188" s="26">
        <f t="shared" si="199"/>
        <v>3</v>
      </c>
      <c r="K188" s="26">
        <f t="shared" si="199"/>
        <v>3</v>
      </c>
      <c r="L188" s="26">
        <f t="shared" si="199"/>
        <v>3</v>
      </c>
      <c r="N188" s="41"/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O189" s="16"/>
      <c r="P189" s="17">
        <f>$H$7</f>
        <v>31</v>
      </c>
      <c r="Q189" s="17">
        <f>$I$7</f>
        <v>32</v>
      </c>
      <c r="R189" s="17">
        <f>$J$7</f>
        <v>41</v>
      </c>
      <c r="S189" s="17">
        <f>$K$7</f>
        <v>42</v>
      </c>
      <c r="T189" s="17">
        <f>$L$7</f>
        <v>5</v>
      </c>
    </row>
    <row r="190" ht="15.75" customHeight="1">
      <c r="A190" s="16" t="s">
        <v>292</v>
      </c>
      <c r="F190" s="108">
        <v>45201.0</v>
      </c>
      <c r="G190" s="19">
        <f>$G$8</f>
        <v>0</v>
      </c>
      <c r="H190" s="20">
        <v>3.0</v>
      </c>
      <c r="I190" s="20">
        <v>1.0</v>
      </c>
      <c r="J190" s="20">
        <v>0.0</v>
      </c>
      <c r="K190" s="20">
        <v>0.0</v>
      </c>
      <c r="L190" s="20">
        <v>0.0</v>
      </c>
      <c r="N190" s="29">
        <v>45201.0</v>
      </c>
      <c r="O190" s="19">
        <f>$G$8</f>
        <v>0</v>
      </c>
      <c r="P190" s="40">
        <f t="shared" ref="P190:T190" si="200">H190/H$214</f>
        <v>0.01140684411</v>
      </c>
      <c r="Q190" s="40">
        <f t="shared" si="200"/>
        <v>0.0101010101</v>
      </c>
      <c r="R190" s="40">
        <f t="shared" si="200"/>
        <v>0</v>
      </c>
      <c r="S190" s="40">
        <f t="shared" si="200"/>
        <v>0</v>
      </c>
      <c r="T190" s="40">
        <f t="shared" si="200"/>
        <v>0</v>
      </c>
    </row>
    <row r="191" ht="15.75" customHeight="1">
      <c r="A191" s="16" t="s">
        <v>184</v>
      </c>
      <c r="F191" s="24"/>
      <c r="G191" s="19">
        <f>$G$9</f>
        <v>1</v>
      </c>
      <c r="H191" s="20">
        <v>3.0</v>
      </c>
      <c r="I191" s="20">
        <v>0.0</v>
      </c>
      <c r="J191" s="20">
        <v>0.0</v>
      </c>
      <c r="K191" s="20">
        <v>0.0</v>
      </c>
      <c r="L191" s="20">
        <v>0.0</v>
      </c>
      <c r="N191" s="23"/>
      <c r="O191" s="19">
        <f>$G$9</f>
        <v>1</v>
      </c>
      <c r="P191" s="40">
        <f t="shared" ref="P191:T191" si="201">H191/H$214</f>
        <v>0.01140684411</v>
      </c>
      <c r="Q191" s="40">
        <f t="shared" si="201"/>
        <v>0</v>
      </c>
      <c r="R191" s="40">
        <f t="shared" si="201"/>
        <v>0</v>
      </c>
      <c r="S191" s="40">
        <f t="shared" si="201"/>
        <v>0</v>
      </c>
      <c r="T191" s="40">
        <f t="shared" si="201"/>
        <v>0</v>
      </c>
    </row>
    <row r="192" ht="15.75" customHeight="1">
      <c r="A192" s="16" t="s">
        <v>175</v>
      </c>
      <c r="F192" s="24"/>
      <c r="G192" s="19">
        <f>$G$10</f>
        <v>2</v>
      </c>
      <c r="H192" s="16">
        <v>0.0</v>
      </c>
      <c r="I192" s="16">
        <v>0.0</v>
      </c>
      <c r="J192" s="16">
        <v>0.0</v>
      </c>
      <c r="K192" s="16">
        <v>0.0</v>
      </c>
      <c r="L192" s="16">
        <v>0.0</v>
      </c>
      <c r="N192" s="23"/>
      <c r="O192" s="19">
        <f>$G$10</f>
        <v>2</v>
      </c>
      <c r="P192" s="40">
        <f t="shared" ref="P192:T192" si="202">H192/H$214</f>
        <v>0</v>
      </c>
      <c r="Q192" s="40">
        <f t="shared" si="202"/>
        <v>0</v>
      </c>
      <c r="R192" s="40">
        <f t="shared" si="202"/>
        <v>0</v>
      </c>
      <c r="S192" s="40">
        <f t="shared" si="202"/>
        <v>0</v>
      </c>
      <c r="T192" s="40">
        <f t="shared" si="202"/>
        <v>0</v>
      </c>
    </row>
    <row r="193" ht="15.75" customHeight="1">
      <c r="A193" s="16" t="s">
        <v>175</v>
      </c>
      <c r="F193" s="24"/>
      <c r="G193" s="19">
        <f>$G$11</f>
        <v>3</v>
      </c>
      <c r="H193" s="20">
        <v>1.0</v>
      </c>
      <c r="I193" s="20">
        <v>0.0</v>
      </c>
      <c r="J193" s="20">
        <v>0.0</v>
      </c>
      <c r="K193" s="20">
        <v>0.0</v>
      </c>
      <c r="L193" s="20">
        <v>0.0</v>
      </c>
      <c r="N193" s="23"/>
      <c r="O193" s="19">
        <f>$G$11</f>
        <v>3</v>
      </c>
      <c r="P193" s="40">
        <f t="shared" ref="P193:T193" si="203">H193/H$214</f>
        <v>0.003802281369</v>
      </c>
      <c r="Q193" s="40">
        <f t="shared" si="203"/>
        <v>0</v>
      </c>
      <c r="R193" s="40">
        <f t="shared" si="203"/>
        <v>0</v>
      </c>
      <c r="S193" s="40">
        <f t="shared" si="203"/>
        <v>0</v>
      </c>
      <c r="T193" s="40">
        <f t="shared" si="203"/>
        <v>0</v>
      </c>
    </row>
    <row r="194" ht="15.75" customHeight="1">
      <c r="A194" s="16" t="s">
        <v>293</v>
      </c>
      <c r="F194" s="24"/>
      <c r="G194" s="19">
        <f>$G$12</f>
        <v>4</v>
      </c>
      <c r="H194" s="20">
        <v>1.0</v>
      </c>
      <c r="I194" s="20">
        <v>0.0</v>
      </c>
      <c r="J194" s="20">
        <v>0.0</v>
      </c>
      <c r="K194" s="20">
        <v>1.0</v>
      </c>
      <c r="L194" s="20">
        <v>0.0</v>
      </c>
      <c r="N194" s="23"/>
      <c r="O194" s="19">
        <f>$G$12</f>
        <v>4</v>
      </c>
      <c r="P194" s="40">
        <f t="shared" ref="P194:T194" si="204">H194/H$214</f>
        <v>0.003802281369</v>
      </c>
      <c r="Q194" s="40">
        <f t="shared" si="204"/>
        <v>0</v>
      </c>
      <c r="R194" s="40">
        <f t="shared" si="204"/>
        <v>0</v>
      </c>
      <c r="S194" s="40">
        <f t="shared" si="204"/>
        <v>0.125</v>
      </c>
      <c r="T194" s="40">
        <f t="shared" si="204"/>
        <v>0</v>
      </c>
    </row>
    <row r="195" ht="15.75" customHeight="1">
      <c r="A195" s="16" t="s">
        <v>183</v>
      </c>
      <c r="F195" s="24"/>
      <c r="G195" s="19">
        <f>$G$13</f>
        <v>5</v>
      </c>
      <c r="H195" s="20">
        <v>1.0</v>
      </c>
      <c r="I195" s="20">
        <v>1.0</v>
      </c>
      <c r="J195" s="20">
        <v>0.0</v>
      </c>
      <c r="K195" s="20">
        <v>0.0</v>
      </c>
      <c r="L195" s="20">
        <v>0.0</v>
      </c>
      <c r="N195" s="23"/>
      <c r="O195" s="19">
        <f>$G$13</f>
        <v>5</v>
      </c>
      <c r="P195" s="40">
        <f t="shared" ref="P195:T195" si="205">H195/H$214</f>
        <v>0.003802281369</v>
      </c>
      <c r="Q195" s="40">
        <f t="shared" si="205"/>
        <v>0.0101010101</v>
      </c>
      <c r="R195" s="40">
        <f t="shared" si="205"/>
        <v>0</v>
      </c>
      <c r="S195" s="40">
        <f t="shared" si="205"/>
        <v>0</v>
      </c>
      <c r="T195" s="40">
        <f t="shared" si="205"/>
        <v>0</v>
      </c>
    </row>
    <row r="196" ht="15.75" customHeight="1">
      <c r="A196" s="16" t="s">
        <v>294</v>
      </c>
      <c r="F196" s="24"/>
      <c r="G196" s="19">
        <f>$G$14</f>
        <v>6</v>
      </c>
      <c r="H196" s="20">
        <v>10.0</v>
      </c>
      <c r="I196" s="20">
        <v>0.0</v>
      </c>
      <c r="J196" s="20">
        <v>0.0</v>
      </c>
      <c r="K196" s="20">
        <v>0.0</v>
      </c>
      <c r="L196" s="20">
        <v>1.0</v>
      </c>
      <c r="N196" s="23"/>
      <c r="O196" s="19">
        <f>$G$14</f>
        <v>6</v>
      </c>
      <c r="P196" s="40">
        <f t="shared" ref="P196:T196" si="206">H196/H$214</f>
        <v>0.03802281369</v>
      </c>
      <c r="Q196" s="40">
        <f t="shared" si="206"/>
        <v>0</v>
      </c>
      <c r="R196" s="40">
        <f t="shared" si="206"/>
        <v>0</v>
      </c>
      <c r="S196" s="40">
        <f t="shared" si="206"/>
        <v>0</v>
      </c>
      <c r="T196" s="40">
        <f t="shared" si="206"/>
        <v>0.04545454545</v>
      </c>
    </row>
    <row r="197" ht="15.75" customHeight="1">
      <c r="A197" s="16" t="s">
        <v>295</v>
      </c>
      <c r="F197" s="24"/>
      <c r="G197" s="19">
        <f>$G$15</f>
        <v>7</v>
      </c>
      <c r="H197" s="20">
        <v>26.0</v>
      </c>
      <c r="I197" s="20">
        <v>4.0</v>
      </c>
      <c r="J197" s="20">
        <v>1.0</v>
      </c>
      <c r="K197" s="20">
        <v>2.0</v>
      </c>
      <c r="L197" s="20">
        <v>0.0</v>
      </c>
      <c r="N197" s="23"/>
      <c r="O197" s="19">
        <f>$G$15</f>
        <v>7</v>
      </c>
      <c r="P197" s="40">
        <f t="shared" ref="P197:T197" si="207">H197/H$214</f>
        <v>0.09885931559</v>
      </c>
      <c r="Q197" s="40">
        <f t="shared" si="207"/>
        <v>0.0404040404</v>
      </c>
      <c r="R197" s="40">
        <f t="shared" si="207"/>
        <v>0.5</v>
      </c>
      <c r="S197" s="40">
        <f t="shared" si="207"/>
        <v>0.25</v>
      </c>
      <c r="T197" s="40">
        <f t="shared" si="207"/>
        <v>0</v>
      </c>
    </row>
    <row r="198" ht="15.75" customHeight="1">
      <c r="A198" s="16" t="s">
        <v>296</v>
      </c>
      <c r="F198" s="24"/>
      <c r="G198" s="19">
        <f>$G$16</f>
        <v>8</v>
      </c>
      <c r="H198" s="20">
        <v>20.0</v>
      </c>
      <c r="I198" s="20">
        <v>9.0</v>
      </c>
      <c r="J198" s="20">
        <v>0.0</v>
      </c>
      <c r="K198" s="20">
        <v>0.0</v>
      </c>
      <c r="L198" s="20">
        <v>4.0</v>
      </c>
      <c r="N198" s="23"/>
      <c r="O198" s="19">
        <f>$G$16</f>
        <v>8</v>
      </c>
      <c r="P198" s="40">
        <f t="shared" ref="P198:T198" si="208">H198/H$214</f>
        <v>0.07604562738</v>
      </c>
      <c r="Q198" s="40">
        <f t="shared" si="208"/>
        <v>0.09090909091</v>
      </c>
      <c r="R198" s="40">
        <f t="shared" si="208"/>
        <v>0</v>
      </c>
      <c r="S198" s="40">
        <f t="shared" si="208"/>
        <v>0</v>
      </c>
      <c r="T198" s="40">
        <f t="shared" si="208"/>
        <v>0.1818181818</v>
      </c>
    </row>
    <row r="199" ht="15.75" customHeight="1">
      <c r="A199" s="16" t="s">
        <v>297</v>
      </c>
      <c r="F199" s="24"/>
      <c r="G199" s="19">
        <f>$G$17</f>
        <v>9</v>
      </c>
      <c r="H199" s="20">
        <v>15.0</v>
      </c>
      <c r="I199" s="20">
        <v>3.0</v>
      </c>
      <c r="J199" s="20">
        <v>0.0</v>
      </c>
      <c r="K199" s="20">
        <v>0.0</v>
      </c>
      <c r="L199" s="20">
        <v>2.0</v>
      </c>
      <c r="N199" s="23"/>
      <c r="O199" s="19">
        <f>$G$17</f>
        <v>9</v>
      </c>
      <c r="P199" s="40">
        <f t="shared" ref="P199:T199" si="209">H199/H$214</f>
        <v>0.05703422053</v>
      </c>
      <c r="Q199" s="40">
        <f t="shared" si="209"/>
        <v>0.0303030303</v>
      </c>
      <c r="R199" s="40">
        <f t="shared" si="209"/>
        <v>0</v>
      </c>
      <c r="S199" s="40">
        <f t="shared" si="209"/>
        <v>0</v>
      </c>
      <c r="T199" s="40">
        <f t="shared" si="209"/>
        <v>0.09090909091</v>
      </c>
    </row>
    <row r="200" ht="15.75" customHeight="1">
      <c r="A200" s="16" t="s">
        <v>298</v>
      </c>
      <c r="F200" s="24"/>
      <c r="G200" s="19">
        <f>$G$18</f>
        <v>10</v>
      </c>
      <c r="H200" s="20">
        <v>10.0</v>
      </c>
      <c r="I200" s="20">
        <v>10.0</v>
      </c>
      <c r="J200" s="20">
        <v>0.0</v>
      </c>
      <c r="K200" s="20">
        <v>0.0</v>
      </c>
      <c r="L200" s="20">
        <v>4.0</v>
      </c>
      <c r="N200" s="23"/>
      <c r="O200" s="19">
        <f>$G$18</f>
        <v>10</v>
      </c>
      <c r="P200" s="40">
        <f t="shared" ref="P200:T200" si="210">H200/H$214</f>
        <v>0.03802281369</v>
      </c>
      <c r="Q200" s="40">
        <f t="shared" si="210"/>
        <v>0.101010101</v>
      </c>
      <c r="R200" s="40">
        <f t="shared" si="210"/>
        <v>0</v>
      </c>
      <c r="S200" s="40">
        <f t="shared" si="210"/>
        <v>0</v>
      </c>
      <c r="T200" s="40">
        <f t="shared" si="210"/>
        <v>0.1818181818</v>
      </c>
    </row>
    <row r="201" ht="15.75" customHeight="1">
      <c r="A201" s="16" t="s">
        <v>299</v>
      </c>
      <c r="F201" s="24"/>
      <c r="G201" s="19">
        <f>$G$19</f>
        <v>11</v>
      </c>
      <c r="H201" s="20">
        <v>17.0</v>
      </c>
      <c r="I201" s="20">
        <v>12.0</v>
      </c>
      <c r="J201" s="20">
        <v>0.0</v>
      </c>
      <c r="K201" s="20">
        <v>1.0</v>
      </c>
      <c r="L201" s="20">
        <v>3.0</v>
      </c>
      <c r="N201" s="23"/>
      <c r="O201" s="19">
        <f>$G$19</f>
        <v>11</v>
      </c>
      <c r="P201" s="40">
        <f t="shared" ref="P201:T201" si="211">H201/H$214</f>
        <v>0.06463878327</v>
      </c>
      <c r="Q201" s="40">
        <f t="shared" si="211"/>
        <v>0.1212121212</v>
      </c>
      <c r="R201" s="40">
        <f t="shared" si="211"/>
        <v>0</v>
      </c>
      <c r="S201" s="40">
        <f t="shared" si="211"/>
        <v>0.125</v>
      </c>
      <c r="T201" s="40">
        <f t="shared" si="211"/>
        <v>0.1363636364</v>
      </c>
    </row>
    <row r="202" ht="15.75" customHeight="1">
      <c r="A202" s="16" t="s">
        <v>300</v>
      </c>
      <c r="F202" s="24"/>
      <c r="G202" s="19">
        <f>$G$20</f>
        <v>12</v>
      </c>
      <c r="H202" s="20">
        <v>16.0</v>
      </c>
      <c r="I202" s="20">
        <v>4.0</v>
      </c>
      <c r="J202" s="20">
        <v>1.0</v>
      </c>
      <c r="K202" s="20">
        <v>2.0</v>
      </c>
      <c r="L202" s="20">
        <v>1.0</v>
      </c>
      <c r="N202" s="23"/>
      <c r="O202" s="19">
        <f>$G$20</f>
        <v>12</v>
      </c>
      <c r="P202" s="40">
        <f t="shared" ref="P202:T202" si="212">H202/H$214</f>
        <v>0.0608365019</v>
      </c>
      <c r="Q202" s="40">
        <f t="shared" si="212"/>
        <v>0.0404040404</v>
      </c>
      <c r="R202" s="40">
        <f t="shared" si="212"/>
        <v>0.5</v>
      </c>
      <c r="S202" s="40">
        <f t="shared" si="212"/>
        <v>0.25</v>
      </c>
      <c r="T202" s="40">
        <f t="shared" si="212"/>
        <v>0.04545454545</v>
      </c>
    </row>
    <row r="203" ht="15.75" customHeight="1">
      <c r="A203" s="16" t="s">
        <v>301</v>
      </c>
      <c r="F203" s="24"/>
      <c r="G203" s="19">
        <f>$G$21</f>
        <v>13</v>
      </c>
      <c r="H203" s="20">
        <v>12.0</v>
      </c>
      <c r="I203" s="20">
        <v>6.0</v>
      </c>
      <c r="J203" s="20">
        <v>0.0</v>
      </c>
      <c r="K203" s="20">
        <v>0.0</v>
      </c>
      <c r="L203" s="20">
        <v>3.0</v>
      </c>
      <c r="N203" s="23"/>
      <c r="O203" s="19">
        <f>$G$21</f>
        <v>13</v>
      </c>
      <c r="P203" s="40">
        <f t="shared" ref="P203:T203" si="213">H203/H$214</f>
        <v>0.04562737643</v>
      </c>
      <c r="Q203" s="40">
        <f t="shared" si="213"/>
        <v>0.06060606061</v>
      </c>
      <c r="R203" s="40">
        <f t="shared" si="213"/>
        <v>0</v>
      </c>
      <c r="S203" s="40">
        <f t="shared" si="213"/>
        <v>0</v>
      </c>
      <c r="T203" s="40">
        <f t="shared" si="213"/>
        <v>0.1363636364</v>
      </c>
    </row>
    <row r="204" ht="15.75" customHeight="1">
      <c r="A204" s="16" t="s">
        <v>302</v>
      </c>
      <c r="F204" s="24"/>
      <c r="G204" s="19">
        <f>$G$22</f>
        <v>14</v>
      </c>
      <c r="H204" s="20">
        <v>11.0</v>
      </c>
      <c r="I204" s="20">
        <v>13.0</v>
      </c>
      <c r="J204" s="20">
        <v>0.0</v>
      </c>
      <c r="K204" s="20">
        <v>0.0</v>
      </c>
      <c r="L204" s="20">
        <v>1.0</v>
      </c>
      <c r="N204" s="23"/>
      <c r="O204" s="19">
        <f>$G$22</f>
        <v>14</v>
      </c>
      <c r="P204" s="40">
        <f t="shared" ref="P204:T204" si="214">H204/H$214</f>
        <v>0.04182509506</v>
      </c>
      <c r="Q204" s="40">
        <f t="shared" si="214"/>
        <v>0.1313131313</v>
      </c>
      <c r="R204" s="40">
        <f t="shared" si="214"/>
        <v>0</v>
      </c>
      <c r="S204" s="40">
        <f t="shared" si="214"/>
        <v>0</v>
      </c>
      <c r="T204" s="40">
        <f t="shared" si="214"/>
        <v>0.04545454545</v>
      </c>
    </row>
    <row r="205" ht="15.75" customHeight="1">
      <c r="A205" s="16" t="s">
        <v>303</v>
      </c>
      <c r="F205" s="24"/>
      <c r="G205" s="19">
        <f>$G$23</f>
        <v>15</v>
      </c>
      <c r="H205" s="20">
        <v>16.0</v>
      </c>
      <c r="I205" s="20">
        <v>4.0</v>
      </c>
      <c r="J205" s="20">
        <v>0.0</v>
      </c>
      <c r="K205" s="20">
        <v>0.0</v>
      </c>
      <c r="L205" s="20">
        <v>2.0</v>
      </c>
      <c r="N205" s="23"/>
      <c r="O205" s="19">
        <f>$G$23</f>
        <v>15</v>
      </c>
      <c r="P205" s="40">
        <f t="shared" ref="P205:T205" si="215">H205/H$214</f>
        <v>0.0608365019</v>
      </c>
      <c r="Q205" s="40">
        <f t="shared" si="215"/>
        <v>0.0404040404</v>
      </c>
      <c r="R205" s="40">
        <f t="shared" si="215"/>
        <v>0</v>
      </c>
      <c r="S205" s="40">
        <f t="shared" si="215"/>
        <v>0</v>
      </c>
      <c r="T205" s="40">
        <f t="shared" si="215"/>
        <v>0.09090909091</v>
      </c>
    </row>
    <row r="206" ht="15.75" customHeight="1">
      <c r="A206" s="16" t="s">
        <v>300</v>
      </c>
      <c r="F206" s="24"/>
      <c r="G206" s="19">
        <f>$G$24</f>
        <v>16</v>
      </c>
      <c r="H206" s="20">
        <v>38.0</v>
      </c>
      <c r="I206" s="20">
        <v>3.0</v>
      </c>
      <c r="J206" s="20">
        <v>0.0</v>
      </c>
      <c r="K206" s="20">
        <v>1.0</v>
      </c>
      <c r="L206" s="20">
        <v>0.0</v>
      </c>
      <c r="N206" s="23"/>
      <c r="O206" s="19">
        <f>$G$24</f>
        <v>16</v>
      </c>
      <c r="P206" s="40">
        <f t="shared" ref="P206:T206" si="216">H206/H$214</f>
        <v>0.144486692</v>
      </c>
      <c r="Q206" s="40">
        <f t="shared" si="216"/>
        <v>0.0303030303</v>
      </c>
      <c r="R206" s="40">
        <f t="shared" si="216"/>
        <v>0</v>
      </c>
      <c r="S206" s="40">
        <f t="shared" si="216"/>
        <v>0.125</v>
      </c>
      <c r="T206" s="40">
        <f t="shared" si="216"/>
        <v>0</v>
      </c>
    </row>
    <row r="207" ht="15.75" customHeight="1">
      <c r="A207" s="16" t="s">
        <v>304</v>
      </c>
      <c r="F207" s="24"/>
      <c r="G207" s="19">
        <f>$G$25</f>
        <v>17</v>
      </c>
      <c r="H207" s="20">
        <v>19.0</v>
      </c>
      <c r="I207" s="20">
        <v>7.0</v>
      </c>
      <c r="J207" s="20">
        <v>0.0</v>
      </c>
      <c r="K207" s="20">
        <v>0.0</v>
      </c>
      <c r="L207" s="20">
        <v>0.0</v>
      </c>
      <c r="N207" s="23"/>
      <c r="O207" s="19">
        <f>$G$25</f>
        <v>17</v>
      </c>
      <c r="P207" s="40">
        <f t="shared" ref="P207:T207" si="217">H207/H$214</f>
        <v>0.07224334601</v>
      </c>
      <c r="Q207" s="40">
        <f t="shared" si="217"/>
        <v>0.07070707071</v>
      </c>
      <c r="R207" s="40">
        <f t="shared" si="217"/>
        <v>0</v>
      </c>
      <c r="S207" s="40">
        <f t="shared" si="217"/>
        <v>0</v>
      </c>
      <c r="T207" s="40">
        <f t="shared" si="217"/>
        <v>0</v>
      </c>
    </row>
    <row r="208" ht="15.75" customHeight="1">
      <c r="A208" s="16" t="s">
        <v>109</v>
      </c>
      <c r="F208" s="24"/>
      <c r="G208" s="19">
        <f>$G$26</f>
        <v>18</v>
      </c>
      <c r="H208" s="20">
        <v>13.0</v>
      </c>
      <c r="I208" s="20">
        <v>6.0</v>
      </c>
      <c r="J208" s="20">
        <v>0.0</v>
      </c>
      <c r="K208" s="20">
        <v>0.0</v>
      </c>
      <c r="L208" s="20">
        <v>0.0</v>
      </c>
      <c r="N208" s="23"/>
      <c r="O208" s="19">
        <f>$G$26</f>
        <v>18</v>
      </c>
      <c r="P208" s="40">
        <f t="shared" ref="P208:T208" si="218">H208/H$214</f>
        <v>0.04942965779</v>
      </c>
      <c r="Q208" s="40">
        <f t="shared" si="218"/>
        <v>0.06060606061</v>
      </c>
      <c r="R208" s="40">
        <f t="shared" si="218"/>
        <v>0</v>
      </c>
      <c r="S208" s="40">
        <f t="shared" si="218"/>
        <v>0</v>
      </c>
      <c r="T208" s="40">
        <f t="shared" si="218"/>
        <v>0</v>
      </c>
    </row>
    <row r="209" ht="15.75" customHeight="1">
      <c r="A209" s="16" t="s">
        <v>172</v>
      </c>
      <c r="F209" s="24"/>
      <c r="G209" s="19">
        <f>$G$27</f>
        <v>19</v>
      </c>
      <c r="H209" s="20">
        <v>13.0</v>
      </c>
      <c r="I209" s="20">
        <v>6.0</v>
      </c>
      <c r="J209" s="20">
        <v>0.0</v>
      </c>
      <c r="K209" s="20">
        <v>0.0</v>
      </c>
      <c r="L209" s="20">
        <v>0.0</v>
      </c>
      <c r="N209" s="23"/>
      <c r="O209" s="19">
        <f>$G$27</f>
        <v>19</v>
      </c>
      <c r="P209" s="40">
        <f t="shared" ref="P209:T209" si="219">H209/H$214</f>
        <v>0.04942965779</v>
      </c>
      <c r="Q209" s="40">
        <f t="shared" si="219"/>
        <v>0.06060606061</v>
      </c>
      <c r="R209" s="40">
        <f t="shared" si="219"/>
        <v>0</v>
      </c>
      <c r="S209" s="40">
        <f t="shared" si="219"/>
        <v>0</v>
      </c>
      <c r="T209" s="40">
        <f t="shared" si="219"/>
        <v>0</v>
      </c>
    </row>
    <row r="210" ht="15.75" customHeight="1">
      <c r="A210" s="16" t="s">
        <v>305</v>
      </c>
      <c r="F210" s="24"/>
      <c r="G210" s="19">
        <f>$G$28</f>
        <v>20</v>
      </c>
      <c r="H210" s="20">
        <v>8.0</v>
      </c>
      <c r="I210" s="20">
        <v>4.0</v>
      </c>
      <c r="J210" s="20">
        <v>0.0</v>
      </c>
      <c r="K210" s="20">
        <v>0.0</v>
      </c>
      <c r="L210" s="20">
        <v>0.0</v>
      </c>
      <c r="N210" s="23"/>
      <c r="O210" s="19">
        <f>$G$28</f>
        <v>20</v>
      </c>
      <c r="P210" s="40">
        <f t="shared" ref="P210:T210" si="220">H210/H$214</f>
        <v>0.03041825095</v>
      </c>
      <c r="Q210" s="40">
        <f t="shared" si="220"/>
        <v>0.0404040404</v>
      </c>
      <c r="R210" s="40">
        <f t="shared" si="220"/>
        <v>0</v>
      </c>
      <c r="S210" s="40">
        <f t="shared" si="220"/>
        <v>0</v>
      </c>
      <c r="T210" s="40">
        <f t="shared" si="220"/>
        <v>0</v>
      </c>
    </row>
    <row r="211" ht="15.75" customHeight="1">
      <c r="A211" s="16" t="s">
        <v>90</v>
      </c>
      <c r="F211" s="24"/>
      <c r="G211" s="19">
        <f>$G$29</f>
        <v>21</v>
      </c>
      <c r="H211" s="20">
        <v>6.0</v>
      </c>
      <c r="I211" s="20">
        <v>2.0</v>
      </c>
      <c r="J211" s="20">
        <v>0.0</v>
      </c>
      <c r="K211" s="20">
        <v>0.0</v>
      </c>
      <c r="L211" s="20">
        <v>0.0</v>
      </c>
      <c r="N211" s="23"/>
      <c r="O211" s="19">
        <f>$G$29</f>
        <v>21</v>
      </c>
      <c r="P211" s="40">
        <f t="shared" ref="P211:T211" si="221">H211/H$214</f>
        <v>0.02281368821</v>
      </c>
      <c r="Q211" s="40">
        <f t="shared" si="221"/>
        <v>0.0202020202</v>
      </c>
      <c r="R211" s="40">
        <f t="shared" si="221"/>
        <v>0</v>
      </c>
      <c r="S211" s="40">
        <f t="shared" si="221"/>
        <v>0</v>
      </c>
      <c r="T211" s="40">
        <f t="shared" si="221"/>
        <v>0</v>
      </c>
    </row>
    <row r="212" ht="15.75" customHeight="1">
      <c r="A212" s="16" t="s">
        <v>133</v>
      </c>
      <c r="F212" s="24"/>
      <c r="G212" s="19">
        <f>$G$30</f>
        <v>22</v>
      </c>
      <c r="H212" s="20">
        <v>3.0</v>
      </c>
      <c r="I212" s="20">
        <v>2.0</v>
      </c>
      <c r="J212" s="20">
        <v>0.0</v>
      </c>
      <c r="K212" s="20">
        <v>0.0</v>
      </c>
      <c r="L212" s="20">
        <v>0.0</v>
      </c>
      <c r="N212" s="23"/>
      <c r="O212" s="19">
        <f>$G$30</f>
        <v>22</v>
      </c>
      <c r="P212" s="40">
        <f t="shared" ref="P212:T212" si="222">H212/H$214</f>
        <v>0.01140684411</v>
      </c>
      <c r="Q212" s="40">
        <f t="shared" si="222"/>
        <v>0.0202020202</v>
      </c>
      <c r="R212" s="40">
        <f t="shared" si="222"/>
        <v>0</v>
      </c>
      <c r="S212" s="40">
        <f t="shared" si="222"/>
        <v>0</v>
      </c>
      <c r="T212" s="40">
        <f t="shared" si="222"/>
        <v>0</v>
      </c>
    </row>
    <row r="213" ht="15.75" customHeight="1">
      <c r="A213" s="16" t="s">
        <v>70</v>
      </c>
      <c r="F213" s="28"/>
      <c r="G213" s="71">
        <f>$G$31</f>
        <v>23</v>
      </c>
      <c r="H213" s="20">
        <v>1.0</v>
      </c>
      <c r="I213" s="20">
        <v>2.0</v>
      </c>
      <c r="J213" s="20">
        <v>0.0</v>
      </c>
      <c r="K213" s="20">
        <v>1.0</v>
      </c>
      <c r="L213" s="20">
        <v>1.0</v>
      </c>
      <c r="N213" s="27"/>
      <c r="O213" s="19">
        <f>$G$31</f>
        <v>23</v>
      </c>
      <c r="P213" s="40">
        <f t="shared" ref="P213:T213" si="223">H213/H$214</f>
        <v>0.003802281369</v>
      </c>
      <c r="Q213" s="40">
        <f t="shared" si="223"/>
        <v>0.0202020202</v>
      </c>
      <c r="R213" s="40">
        <f t="shared" si="223"/>
        <v>0</v>
      </c>
      <c r="S213" s="40">
        <f t="shared" si="223"/>
        <v>0.125</v>
      </c>
      <c r="T213" s="40">
        <f t="shared" si="223"/>
        <v>0.04545454545</v>
      </c>
    </row>
    <row r="214" ht="15.75" customHeight="1">
      <c r="D214" s="59"/>
      <c r="F214" s="41"/>
      <c r="G214" s="41"/>
      <c r="H214" s="26">
        <f t="shared" ref="H214:L214" si="224">SUM(H190:H213)</f>
        <v>263</v>
      </c>
      <c r="I214" s="26">
        <f t="shared" si="224"/>
        <v>99</v>
      </c>
      <c r="J214" s="26">
        <f t="shared" si="224"/>
        <v>2</v>
      </c>
      <c r="K214" s="26">
        <f t="shared" si="224"/>
        <v>8</v>
      </c>
      <c r="L214" s="26">
        <f t="shared" si="224"/>
        <v>22</v>
      </c>
      <c r="N214" s="41"/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108">
        <v>45202.0</v>
      </c>
      <c r="G216" s="19">
        <f>$G$8</f>
        <v>0</v>
      </c>
      <c r="H216" s="20">
        <v>2.0</v>
      </c>
      <c r="I216" s="20">
        <v>2.0</v>
      </c>
      <c r="J216" s="20">
        <v>0.0</v>
      </c>
      <c r="K216" s="20">
        <v>0.0</v>
      </c>
      <c r="L216" s="20">
        <v>0.0</v>
      </c>
      <c r="N216" s="29">
        <v>45202.0</v>
      </c>
      <c r="O216" s="19">
        <f>$G$8</f>
        <v>0</v>
      </c>
      <c r="P216" s="40">
        <f t="shared" ref="P216:T216" si="225">H216/H$240</f>
        <v>0.006993006993</v>
      </c>
      <c r="Q216" s="40">
        <f t="shared" si="225"/>
        <v>0.01739130435</v>
      </c>
      <c r="R216" s="40">
        <f t="shared" si="225"/>
        <v>0</v>
      </c>
      <c r="S216" s="40">
        <f t="shared" si="225"/>
        <v>0</v>
      </c>
      <c r="T216" s="40">
        <f t="shared" si="225"/>
        <v>0</v>
      </c>
    </row>
    <row r="217" ht="15.75" customHeight="1">
      <c r="F217" s="24"/>
      <c r="G217" s="19">
        <f>$G$9</f>
        <v>1</v>
      </c>
      <c r="H217" s="20">
        <v>1.0</v>
      </c>
      <c r="I217" s="20">
        <v>0.0</v>
      </c>
      <c r="J217" s="20">
        <v>0.0</v>
      </c>
      <c r="K217" s="20">
        <v>0.0</v>
      </c>
      <c r="L217" s="20">
        <v>0.0</v>
      </c>
      <c r="N217" s="23"/>
      <c r="O217" s="19">
        <f>$G$9</f>
        <v>1</v>
      </c>
      <c r="P217" s="40">
        <f t="shared" ref="P217:T217" si="226">H217/H$240</f>
        <v>0.003496503497</v>
      </c>
      <c r="Q217" s="40">
        <f t="shared" si="226"/>
        <v>0</v>
      </c>
      <c r="R217" s="40">
        <f t="shared" si="226"/>
        <v>0</v>
      </c>
      <c r="S217" s="40">
        <f t="shared" si="226"/>
        <v>0</v>
      </c>
      <c r="T217" s="40">
        <f t="shared" si="226"/>
        <v>0</v>
      </c>
    </row>
    <row r="218" ht="15.75" customHeight="1">
      <c r="F218" s="24"/>
      <c r="G218" s="19">
        <f>$G$10</f>
        <v>2</v>
      </c>
      <c r="H218" s="16">
        <v>0.0</v>
      </c>
      <c r="I218" s="16">
        <v>0.0</v>
      </c>
      <c r="J218" s="16">
        <v>0.0</v>
      </c>
      <c r="K218" s="16">
        <v>1.0</v>
      </c>
      <c r="L218" s="16">
        <v>0.0</v>
      </c>
      <c r="N218" s="23"/>
      <c r="O218" s="19">
        <f>$G$10</f>
        <v>2</v>
      </c>
      <c r="P218" s="40">
        <f t="shared" ref="P218:T218" si="227">H218/H$240</f>
        <v>0</v>
      </c>
      <c r="Q218" s="40">
        <f t="shared" si="227"/>
        <v>0</v>
      </c>
      <c r="R218" s="40">
        <f t="shared" si="227"/>
        <v>0</v>
      </c>
      <c r="S218" s="40">
        <f t="shared" si="227"/>
        <v>0.06666666667</v>
      </c>
      <c r="T218" s="40">
        <f t="shared" si="227"/>
        <v>0</v>
      </c>
    </row>
    <row r="219" ht="15.75" customHeight="1">
      <c r="F219" s="24"/>
      <c r="G219" s="19">
        <f>$G$11</f>
        <v>3</v>
      </c>
      <c r="H219" s="20">
        <v>1.0</v>
      </c>
      <c r="I219" s="20">
        <v>0.0</v>
      </c>
      <c r="J219" s="20">
        <v>0.0</v>
      </c>
      <c r="K219" s="20">
        <v>0.0</v>
      </c>
      <c r="L219" s="20">
        <v>0.0</v>
      </c>
      <c r="N219" s="23"/>
      <c r="O219" s="19">
        <f>$G$11</f>
        <v>3</v>
      </c>
      <c r="P219" s="40">
        <f t="shared" ref="P219:T219" si="228">H219/H$240</f>
        <v>0.003496503497</v>
      </c>
      <c r="Q219" s="40">
        <f t="shared" si="228"/>
        <v>0</v>
      </c>
      <c r="R219" s="40">
        <f t="shared" si="228"/>
        <v>0</v>
      </c>
      <c r="S219" s="40">
        <f t="shared" si="228"/>
        <v>0</v>
      </c>
      <c r="T219" s="40">
        <f t="shared" si="228"/>
        <v>0</v>
      </c>
    </row>
    <row r="220" ht="15.75" customHeight="1">
      <c r="F220" s="24"/>
      <c r="G220" s="19">
        <f>$G$12</f>
        <v>4</v>
      </c>
      <c r="H220" s="20">
        <v>1.0</v>
      </c>
      <c r="I220" s="20">
        <v>2.0</v>
      </c>
      <c r="J220" s="20">
        <v>0.0</v>
      </c>
      <c r="K220" s="20">
        <v>0.0</v>
      </c>
      <c r="L220" s="20">
        <v>1.0</v>
      </c>
      <c r="N220" s="23"/>
      <c r="O220" s="19">
        <f>$G$12</f>
        <v>4</v>
      </c>
      <c r="P220" s="40">
        <f t="shared" ref="P220:T220" si="229">H220/H$240</f>
        <v>0.003496503497</v>
      </c>
      <c r="Q220" s="40">
        <f t="shared" si="229"/>
        <v>0.01739130435</v>
      </c>
      <c r="R220" s="40">
        <f t="shared" si="229"/>
        <v>0</v>
      </c>
      <c r="S220" s="40">
        <f t="shared" si="229"/>
        <v>0</v>
      </c>
      <c r="T220" s="40">
        <f t="shared" si="229"/>
        <v>0.04166666667</v>
      </c>
    </row>
    <row r="221" ht="15.75" customHeight="1">
      <c r="F221" s="24"/>
      <c r="G221" s="19">
        <f>$G$13</f>
        <v>5</v>
      </c>
      <c r="H221" s="20">
        <v>3.0</v>
      </c>
      <c r="I221" s="20">
        <v>0.0</v>
      </c>
      <c r="J221" s="20">
        <v>0.0</v>
      </c>
      <c r="K221" s="20">
        <v>2.0</v>
      </c>
      <c r="L221" s="20">
        <v>0.0</v>
      </c>
      <c r="N221" s="23"/>
      <c r="O221" s="19">
        <f>$G$13</f>
        <v>5</v>
      </c>
      <c r="P221" s="40">
        <f t="shared" ref="P221:T221" si="230">H221/H$240</f>
        <v>0.01048951049</v>
      </c>
      <c r="Q221" s="40">
        <f t="shared" si="230"/>
        <v>0</v>
      </c>
      <c r="R221" s="40">
        <f t="shared" si="230"/>
        <v>0</v>
      </c>
      <c r="S221" s="40">
        <f t="shared" si="230"/>
        <v>0.1333333333</v>
      </c>
      <c r="T221" s="40">
        <f t="shared" si="230"/>
        <v>0</v>
      </c>
    </row>
    <row r="222" ht="15.75" customHeight="1">
      <c r="F222" s="24"/>
      <c r="G222" s="19">
        <f>$G$14</f>
        <v>6</v>
      </c>
      <c r="H222" s="20">
        <v>8.0</v>
      </c>
      <c r="I222" s="20">
        <v>2.0</v>
      </c>
      <c r="J222" s="20">
        <v>0.0</v>
      </c>
      <c r="K222" s="20">
        <v>0.0</v>
      </c>
      <c r="L222" s="20">
        <v>3.0</v>
      </c>
      <c r="N222" s="23"/>
      <c r="O222" s="19">
        <f>$G$14</f>
        <v>6</v>
      </c>
      <c r="P222" s="40">
        <f t="shared" ref="P222:T222" si="231">H222/H$240</f>
        <v>0.02797202797</v>
      </c>
      <c r="Q222" s="40">
        <f t="shared" si="231"/>
        <v>0.01739130435</v>
      </c>
      <c r="R222" s="40">
        <f t="shared" si="231"/>
        <v>0</v>
      </c>
      <c r="S222" s="40">
        <f t="shared" si="231"/>
        <v>0</v>
      </c>
      <c r="T222" s="40">
        <f t="shared" si="231"/>
        <v>0.125</v>
      </c>
    </row>
    <row r="223" ht="15.75" customHeight="1">
      <c r="F223" s="24"/>
      <c r="G223" s="19">
        <f>$G$15</f>
        <v>7</v>
      </c>
      <c r="H223" s="20">
        <v>32.0</v>
      </c>
      <c r="I223" s="20">
        <v>9.0</v>
      </c>
      <c r="J223" s="20">
        <v>1.0</v>
      </c>
      <c r="K223" s="20">
        <v>0.0</v>
      </c>
      <c r="L223" s="20">
        <v>1.0</v>
      </c>
      <c r="N223" s="23"/>
      <c r="O223" s="19">
        <f>$G$15</f>
        <v>7</v>
      </c>
      <c r="P223" s="40">
        <f t="shared" ref="P223:T223" si="232">H223/H$240</f>
        <v>0.1118881119</v>
      </c>
      <c r="Q223" s="40">
        <f t="shared" si="232"/>
        <v>0.07826086957</v>
      </c>
      <c r="R223" s="40">
        <f t="shared" si="232"/>
        <v>0.5</v>
      </c>
      <c r="S223" s="40">
        <f t="shared" si="232"/>
        <v>0</v>
      </c>
      <c r="T223" s="40">
        <f t="shared" si="232"/>
        <v>0.04166666667</v>
      </c>
    </row>
    <row r="224" ht="15.75" customHeight="1">
      <c r="F224" s="24"/>
      <c r="G224" s="19">
        <f>$G$16</f>
        <v>8</v>
      </c>
      <c r="H224" s="20">
        <v>17.0</v>
      </c>
      <c r="I224" s="20">
        <v>4.0</v>
      </c>
      <c r="J224" s="20">
        <v>0.0</v>
      </c>
      <c r="K224" s="20">
        <v>1.0</v>
      </c>
      <c r="L224" s="20">
        <v>0.0</v>
      </c>
      <c r="N224" s="23"/>
      <c r="O224" s="19">
        <f>$G$16</f>
        <v>8</v>
      </c>
      <c r="P224" s="40">
        <f t="shared" ref="P224:T224" si="233">H224/H$240</f>
        <v>0.05944055944</v>
      </c>
      <c r="Q224" s="40">
        <f t="shared" si="233"/>
        <v>0.0347826087</v>
      </c>
      <c r="R224" s="40">
        <f t="shared" si="233"/>
        <v>0</v>
      </c>
      <c r="S224" s="40">
        <f t="shared" si="233"/>
        <v>0.06666666667</v>
      </c>
      <c r="T224" s="40">
        <f t="shared" si="233"/>
        <v>0</v>
      </c>
    </row>
    <row r="225" ht="15.75" customHeight="1">
      <c r="F225" s="24"/>
      <c r="G225" s="19">
        <f>$G$17</f>
        <v>9</v>
      </c>
      <c r="H225" s="20">
        <v>19.0</v>
      </c>
      <c r="I225" s="20">
        <v>8.0</v>
      </c>
      <c r="J225" s="20">
        <v>0.0</v>
      </c>
      <c r="K225" s="20">
        <v>0.0</v>
      </c>
      <c r="L225" s="20">
        <v>1.0</v>
      </c>
      <c r="N225" s="23"/>
      <c r="O225" s="19">
        <f>$G$17</f>
        <v>9</v>
      </c>
      <c r="P225" s="40">
        <f t="shared" ref="P225:T225" si="234">H225/H$240</f>
        <v>0.06643356643</v>
      </c>
      <c r="Q225" s="40">
        <f t="shared" si="234"/>
        <v>0.06956521739</v>
      </c>
      <c r="R225" s="40">
        <f t="shared" si="234"/>
        <v>0</v>
      </c>
      <c r="S225" s="40">
        <f t="shared" si="234"/>
        <v>0</v>
      </c>
      <c r="T225" s="40">
        <f t="shared" si="234"/>
        <v>0.04166666667</v>
      </c>
    </row>
    <row r="226" ht="15.75" customHeight="1">
      <c r="F226" s="24"/>
      <c r="G226" s="19">
        <f>$G$18</f>
        <v>10</v>
      </c>
      <c r="H226" s="20">
        <v>16.0</v>
      </c>
      <c r="I226" s="20">
        <v>8.0</v>
      </c>
      <c r="J226" s="20">
        <v>0.0</v>
      </c>
      <c r="K226" s="20">
        <v>1.0</v>
      </c>
      <c r="L226" s="20">
        <v>3.0</v>
      </c>
      <c r="N226" s="23"/>
      <c r="O226" s="19">
        <f>$G$18</f>
        <v>10</v>
      </c>
      <c r="P226" s="40">
        <f t="shared" ref="P226:T226" si="235">H226/H$240</f>
        <v>0.05594405594</v>
      </c>
      <c r="Q226" s="40">
        <f t="shared" si="235"/>
        <v>0.06956521739</v>
      </c>
      <c r="R226" s="40">
        <f t="shared" si="235"/>
        <v>0</v>
      </c>
      <c r="S226" s="40">
        <f t="shared" si="235"/>
        <v>0.06666666667</v>
      </c>
      <c r="T226" s="40">
        <f t="shared" si="235"/>
        <v>0.125</v>
      </c>
    </row>
    <row r="227" ht="15.75" customHeight="1">
      <c r="F227" s="24"/>
      <c r="G227" s="19">
        <f>$G$19</f>
        <v>11</v>
      </c>
      <c r="H227" s="20">
        <v>16.0</v>
      </c>
      <c r="I227" s="20">
        <v>9.0</v>
      </c>
      <c r="J227" s="20">
        <v>0.0</v>
      </c>
      <c r="K227" s="20">
        <v>0.0</v>
      </c>
      <c r="L227" s="20">
        <v>5.0</v>
      </c>
      <c r="N227" s="23"/>
      <c r="O227" s="19">
        <f>$G$19</f>
        <v>11</v>
      </c>
      <c r="P227" s="40">
        <f t="shared" ref="P227:T227" si="236">H227/H$240</f>
        <v>0.05594405594</v>
      </c>
      <c r="Q227" s="40">
        <f t="shared" si="236"/>
        <v>0.07826086957</v>
      </c>
      <c r="R227" s="40">
        <f t="shared" si="236"/>
        <v>0</v>
      </c>
      <c r="S227" s="40">
        <f t="shared" si="236"/>
        <v>0</v>
      </c>
      <c r="T227" s="40">
        <f t="shared" si="236"/>
        <v>0.2083333333</v>
      </c>
    </row>
    <row r="228" ht="15.75" customHeight="1">
      <c r="F228" s="24"/>
      <c r="G228" s="19">
        <f>$G$20</f>
        <v>12</v>
      </c>
      <c r="H228" s="20">
        <v>9.0</v>
      </c>
      <c r="I228" s="20">
        <v>3.0</v>
      </c>
      <c r="J228" s="20">
        <v>0.0</v>
      </c>
      <c r="K228" s="20">
        <v>1.0</v>
      </c>
      <c r="L228" s="20">
        <v>1.0</v>
      </c>
      <c r="N228" s="23"/>
      <c r="O228" s="19">
        <f>$G$20</f>
        <v>12</v>
      </c>
      <c r="P228" s="40">
        <f t="shared" ref="P228:T228" si="237">H228/H$240</f>
        <v>0.03146853147</v>
      </c>
      <c r="Q228" s="40">
        <f t="shared" si="237"/>
        <v>0.02608695652</v>
      </c>
      <c r="R228" s="40">
        <f t="shared" si="237"/>
        <v>0</v>
      </c>
      <c r="S228" s="40">
        <f t="shared" si="237"/>
        <v>0.06666666667</v>
      </c>
      <c r="T228" s="40">
        <f t="shared" si="237"/>
        <v>0.04166666667</v>
      </c>
    </row>
    <row r="229" ht="15.75" customHeight="1">
      <c r="F229" s="24"/>
      <c r="G229" s="19">
        <f>$G$21</f>
        <v>13</v>
      </c>
      <c r="H229" s="20">
        <v>13.0</v>
      </c>
      <c r="I229" s="20">
        <v>4.0</v>
      </c>
      <c r="J229" s="20">
        <v>0.0</v>
      </c>
      <c r="K229" s="20">
        <v>3.0</v>
      </c>
      <c r="L229" s="20">
        <v>4.0</v>
      </c>
      <c r="N229" s="23"/>
      <c r="O229" s="19">
        <f>$G$21</f>
        <v>13</v>
      </c>
      <c r="P229" s="40">
        <f t="shared" ref="P229:T229" si="238">H229/H$240</f>
        <v>0.04545454545</v>
      </c>
      <c r="Q229" s="40">
        <f t="shared" si="238"/>
        <v>0.0347826087</v>
      </c>
      <c r="R229" s="40">
        <f t="shared" si="238"/>
        <v>0</v>
      </c>
      <c r="S229" s="40">
        <f t="shared" si="238"/>
        <v>0.2</v>
      </c>
      <c r="T229" s="40">
        <f t="shared" si="238"/>
        <v>0.1666666667</v>
      </c>
    </row>
    <row r="230" ht="15.75" customHeight="1">
      <c r="F230" s="24"/>
      <c r="G230" s="19">
        <f>$G$22</f>
        <v>14</v>
      </c>
      <c r="H230" s="20">
        <v>16.0</v>
      </c>
      <c r="I230" s="20">
        <v>13.0</v>
      </c>
      <c r="J230" s="20">
        <v>0.0</v>
      </c>
      <c r="K230" s="20">
        <v>1.0</v>
      </c>
      <c r="L230" s="20">
        <v>3.0</v>
      </c>
      <c r="N230" s="23"/>
      <c r="O230" s="19">
        <f>$G$22</f>
        <v>14</v>
      </c>
      <c r="P230" s="40">
        <f t="shared" ref="P230:T230" si="239">H230/H$240</f>
        <v>0.05594405594</v>
      </c>
      <c r="Q230" s="40">
        <f t="shared" si="239"/>
        <v>0.1130434783</v>
      </c>
      <c r="R230" s="40">
        <f t="shared" si="239"/>
        <v>0</v>
      </c>
      <c r="S230" s="40">
        <f t="shared" si="239"/>
        <v>0.06666666667</v>
      </c>
      <c r="T230" s="40">
        <f t="shared" si="239"/>
        <v>0.125</v>
      </c>
    </row>
    <row r="231" ht="15.75" customHeight="1">
      <c r="F231" s="24"/>
      <c r="G231" s="19">
        <f>$G$23</f>
        <v>15</v>
      </c>
      <c r="H231" s="20">
        <v>16.0</v>
      </c>
      <c r="I231" s="20">
        <v>6.0</v>
      </c>
      <c r="J231" s="20">
        <v>0.0</v>
      </c>
      <c r="K231" s="20">
        <v>1.0</v>
      </c>
      <c r="L231" s="20">
        <v>0.0</v>
      </c>
      <c r="N231" s="23"/>
      <c r="O231" s="19">
        <f>$G$23</f>
        <v>15</v>
      </c>
      <c r="P231" s="40">
        <f t="shared" ref="P231:T231" si="240">H231/H$240</f>
        <v>0.05594405594</v>
      </c>
      <c r="Q231" s="40">
        <f t="shared" si="240"/>
        <v>0.05217391304</v>
      </c>
      <c r="R231" s="40">
        <f t="shared" si="240"/>
        <v>0</v>
      </c>
      <c r="S231" s="40">
        <f t="shared" si="240"/>
        <v>0.06666666667</v>
      </c>
      <c r="T231" s="40">
        <f t="shared" si="240"/>
        <v>0</v>
      </c>
    </row>
    <row r="232" ht="15.75" customHeight="1">
      <c r="F232" s="24"/>
      <c r="G232" s="19">
        <f>$G$24</f>
        <v>16</v>
      </c>
      <c r="H232" s="20">
        <v>25.0</v>
      </c>
      <c r="I232" s="20">
        <v>5.0</v>
      </c>
      <c r="J232" s="20">
        <v>1.0</v>
      </c>
      <c r="K232" s="20">
        <v>2.0</v>
      </c>
      <c r="L232" s="20">
        <v>1.0</v>
      </c>
      <c r="N232" s="23"/>
      <c r="O232" s="19">
        <f>$G$24</f>
        <v>16</v>
      </c>
      <c r="P232" s="40">
        <f t="shared" ref="P232:T232" si="241">H232/H$240</f>
        <v>0.08741258741</v>
      </c>
      <c r="Q232" s="40">
        <f t="shared" si="241"/>
        <v>0.04347826087</v>
      </c>
      <c r="R232" s="40">
        <f t="shared" si="241"/>
        <v>0.5</v>
      </c>
      <c r="S232" s="40">
        <f t="shared" si="241"/>
        <v>0.1333333333</v>
      </c>
      <c r="T232" s="40">
        <f t="shared" si="241"/>
        <v>0.04166666667</v>
      </c>
    </row>
    <row r="233" ht="15.75" customHeight="1">
      <c r="F233" s="24"/>
      <c r="G233" s="19">
        <f>$G$25</f>
        <v>17</v>
      </c>
      <c r="H233" s="20">
        <v>25.0</v>
      </c>
      <c r="I233" s="20">
        <v>8.0</v>
      </c>
      <c r="J233" s="20">
        <v>0.0</v>
      </c>
      <c r="K233" s="20">
        <v>1.0</v>
      </c>
      <c r="L233" s="20">
        <v>1.0</v>
      </c>
      <c r="N233" s="23"/>
      <c r="O233" s="19">
        <f>$G$25</f>
        <v>17</v>
      </c>
      <c r="P233" s="40">
        <f t="shared" ref="P233:T233" si="242">H233/H$240</f>
        <v>0.08741258741</v>
      </c>
      <c r="Q233" s="40">
        <f t="shared" si="242"/>
        <v>0.06956521739</v>
      </c>
      <c r="R233" s="40">
        <f t="shared" si="242"/>
        <v>0</v>
      </c>
      <c r="S233" s="40">
        <f t="shared" si="242"/>
        <v>0.06666666667</v>
      </c>
      <c r="T233" s="40">
        <f t="shared" si="242"/>
        <v>0.04166666667</v>
      </c>
    </row>
    <row r="234" ht="15.75" customHeight="1">
      <c r="F234" s="24"/>
      <c r="G234" s="19">
        <f>$G$26</f>
        <v>18</v>
      </c>
      <c r="H234" s="20">
        <v>17.0</v>
      </c>
      <c r="I234" s="20">
        <v>7.0</v>
      </c>
      <c r="J234" s="20">
        <v>0.0</v>
      </c>
      <c r="K234" s="20">
        <v>0.0</v>
      </c>
      <c r="L234" s="20">
        <v>0.0</v>
      </c>
      <c r="N234" s="23"/>
      <c r="O234" s="19">
        <f>$G$26</f>
        <v>18</v>
      </c>
      <c r="P234" s="40">
        <f t="shared" ref="P234:T234" si="243">H234/H$240</f>
        <v>0.05944055944</v>
      </c>
      <c r="Q234" s="40">
        <f t="shared" si="243"/>
        <v>0.06086956522</v>
      </c>
      <c r="R234" s="40">
        <f t="shared" si="243"/>
        <v>0</v>
      </c>
      <c r="S234" s="40">
        <f t="shared" si="243"/>
        <v>0</v>
      </c>
      <c r="T234" s="40">
        <f t="shared" si="243"/>
        <v>0</v>
      </c>
    </row>
    <row r="235" ht="15.75" customHeight="1">
      <c r="F235" s="24"/>
      <c r="G235" s="19">
        <f>$G$27</f>
        <v>19</v>
      </c>
      <c r="H235" s="20">
        <v>14.0</v>
      </c>
      <c r="I235" s="20">
        <v>11.0</v>
      </c>
      <c r="J235" s="20">
        <v>0.0</v>
      </c>
      <c r="K235" s="20">
        <v>0.0</v>
      </c>
      <c r="L235" s="20">
        <v>0.0</v>
      </c>
      <c r="N235" s="23"/>
      <c r="O235" s="19">
        <f>$G$27</f>
        <v>19</v>
      </c>
      <c r="P235" s="40">
        <f t="shared" ref="P235:T235" si="244">H235/H$240</f>
        <v>0.04895104895</v>
      </c>
      <c r="Q235" s="40">
        <f t="shared" si="244"/>
        <v>0.09565217391</v>
      </c>
      <c r="R235" s="40">
        <f t="shared" si="244"/>
        <v>0</v>
      </c>
      <c r="S235" s="40">
        <f t="shared" si="244"/>
        <v>0</v>
      </c>
      <c r="T235" s="40">
        <f t="shared" si="244"/>
        <v>0</v>
      </c>
    </row>
    <row r="236" ht="15.75" customHeight="1">
      <c r="F236" s="24"/>
      <c r="G236" s="19">
        <f>$G$28</f>
        <v>20</v>
      </c>
      <c r="H236" s="20">
        <v>15.0</v>
      </c>
      <c r="I236" s="20">
        <v>9.0</v>
      </c>
      <c r="J236" s="20">
        <v>0.0</v>
      </c>
      <c r="K236" s="20">
        <v>0.0</v>
      </c>
      <c r="L236" s="20">
        <v>0.0</v>
      </c>
      <c r="N236" s="23"/>
      <c r="O236" s="19">
        <f>$G$28</f>
        <v>20</v>
      </c>
      <c r="P236" s="40">
        <f t="shared" ref="P236:T236" si="245">H236/H$240</f>
        <v>0.05244755245</v>
      </c>
      <c r="Q236" s="40">
        <f t="shared" si="245"/>
        <v>0.07826086957</v>
      </c>
      <c r="R236" s="40">
        <f t="shared" si="245"/>
        <v>0</v>
      </c>
      <c r="S236" s="40">
        <f t="shared" si="245"/>
        <v>0</v>
      </c>
      <c r="T236" s="40">
        <f t="shared" si="245"/>
        <v>0</v>
      </c>
    </row>
    <row r="237" ht="15.75" customHeight="1">
      <c r="F237" s="24"/>
      <c r="G237" s="19">
        <f>$G$29</f>
        <v>21</v>
      </c>
      <c r="H237" s="20">
        <v>12.0</v>
      </c>
      <c r="I237" s="20">
        <v>4.0</v>
      </c>
      <c r="J237" s="20">
        <v>0.0</v>
      </c>
      <c r="K237" s="20">
        <v>0.0</v>
      </c>
      <c r="L237" s="20">
        <v>0.0</v>
      </c>
      <c r="N237" s="23"/>
      <c r="O237" s="19">
        <f>$G$29</f>
        <v>21</v>
      </c>
      <c r="P237" s="40">
        <f t="shared" ref="P237:T237" si="246">H237/H$240</f>
        <v>0.04195804196</v>
      </c>
      <c r="Q237" s="40">
        <f t="shared" si="246"/>
        <v>0.0347826087</v>
      </c>
      <c r="R237" s="40">
        <f t="shared" si="246"/>
        <v>0</v>
      </c>
      <c r="S237" s="40">
        <f t="shared" si="246"/>
        <v>0</v>
      </c>
      <c r="T237" s="40">
        <f t="shared" si="246"/>
        <v>0</v>
      </c>
    </row>
    <row r="238" ht="15.75" customHeight="1">
      <c r="F238" s="24"/>
      <c r="G238" s="19">
        <f>$G$30</f>
        <v>22</v>
      </c>
      <c r="H238" s="20">
        <v>5.0</v>
      </c>
      <c r="I238" s="20">
        <v>1.0</v>
      </c>
      <c r="J238" s="20">
        <v>0.0</v>
      </c>
      <c r="K238" s="20">
        <v>1.0</v>
      </c>
      <c r="L238" s="20">
        <v>0.0</v>
      </c>
      <c r="N238" s="23"/>
      <c r="O238" s="19">
        <f>$G$30</f>
        <v>22</v>
      </c>
      <c r="P238" s="40">
        <f t="shared" ref="P238:T238" si="247">H238/H$240</f>
        <v>0.01748251748</v>
      </c>
      <c r="Q238" s="40">
        <f t="shared" si="247"/>
        <v>0.008695652174</v>
      </c>
      <c r="R238" s="40">
        <f t="shared" si="247"/>
        <v>0</v>
      </c>
      <c r="S238" s="40">
        <f t="shared" si="247"/>
        <v>0.06666666667</v>
      </c>
      <c r="T238" s="40">
        <f t="shared" si="247"/>
        <v>0</v>
      </c>
    </row>
    <row r="239" ht="15.75" customHeight="1">
      <c r="F239" s="28"/>
      <c r="G239" s="71">
        <f>$G$31</f>
        <v>23</v>
      </c>
      <c r="H239" s="20">
        <v>3.0</v>
      </c>
      <c r="I239" s="20">
        <v>0.0</v>
      </c>
      <c r="J239" s="20">
        <v>0.0</v>
      </c>
      <c r="K239" s="20">
        <v>0.0</v>
      </c>
      <c r="L239" s="20">
        <v>0.0</v>
      </c>
      <c r="N239" s="27"/>
      <c r="O239" s="19">
        <f>$G$31</f>
        <v>23</v>
      </c>
      <c r="P239" s="40">
        <f t="shared" ref="P239:T239" si="248">H239/H$240</f>
        <v>0.01048951049</v>
      </c>
      <c r="Q239" s="40">
        <f t="shared" si="248"/>
        <v>0</v>
      </c>
      <c r="R239" s="40">
        <f t="shared" si="248"/>
        <v>0</v>
      </c>
      <c r="S239" s="40">
        <f t="shared" si="248"/>
        <v>0</v>
      </c>
      <c r="T239" s="40">
        <f t="shared" si="248"/>
        <v>0</v>
      </c>
    </row>
    <row r="240" ht="15.75" customHeight="1">
      <c r="F240" s="41"/>
      <c r="G240" s="41"/>
      <c r="H240" s="26">
        <f t="shared" ref="H240:L240" si="249">SUM(H216:H239)</f>
        <v>286</v>
      </c>
      <c r="I240" s="26">
        <f t="shared" si="249"/>
        <v>115</v>
      </c>
      <c r="J240" s="26">
        <f t="shared" si="249"/>
        <v>2</v>
      </c>
      <c r="K240" s="26">
        <f t="shared" si="249"/>
        <v>15</v>
      </c>
      <c r="L240" s="26">
        <f t="shared" si="249"/>
        <v>24</v>
      </c>
      <c r="N240" s="41"/>
    </row>
    <row r="241" ht="15.75" customHeight="1">
      <c r="G241" s="16"/>
      <c r="H241" s="17">
        <f>$H$7</f>
        <v>31</v>
      </c>
      <c r="I241" s="17">
        <f>$I$7</f>
        <v>32</v>
      </c>
      <c r="J241" s="17">
        <f>$J$7</f>
        <v>41</v>
      </c>
      <c r="K241" s="17">
        <f>$K$7</f>
        <v>42</v>
      </c>
      <c r="L241" s="17">
        <f>$L$7</f>
        <v>5</v>
      </c>
      <c r="O241" s="16"/>
      <c r="P241" s="17">
        <f>$H$7</f>
        <v>31</v>
      </c>
      <c r="Q241" s="17">
        <f>$I$7</f>
        <v>32</v>
      </c>
      <c r="R241" s="17">
        <f>$J$7</f>
        <v>41</v>
      </c>
      <c r="S241" s="17">
        <f>$K$7</f>
        <v>42</v>
      </c>
      <c r="T241" s="17">
        <f>$L$7</f>
        <v>5</v>
      </c>
    </row>
    <row r="242" ht="15.75" customHeight="1">
      <c r="F242" s="39">
        <v>45203.0</v>
      </c>
      <c r="G242" s="19">
        <f>$G$8</f>
        <v>0</v>
      </c>
      <c r="H242" s="20">
        <v>3.0</v>
      </c>
      <c r="I242" s="20">
        <v>0.0</v>
      </c>
      <c r="J242" s="20">
        <v>0.0</v>
      </c>
      <c r="K242" s="20">
        <v>0.0</v>
      </c>
      <c r="L242" s="20">
        <v>0.0</v>
      </c>
      <c r="N242" s="39">
        <v>45203.0</v>
      </c>
      <c r="O242" s="19">
        <f>$G$8</f>
        <v>0</v>
      </c>
      <c r="P242" s="40">
        <f t="shared" ref="P242:T242" si="250">H242/H$266</f>
        <v>0.012</v>
      </c>
      <c r="Q242" s="40">
        <f t="shared" si="250"/>
        <v>0</v>
      </c>
      <c r="R242" s="40">
        <f t="shared" si="250"/>
        <v>0</v>
      </c>
      <c r="S242" s="40">
        <f t="shared" si="250"/>
        <v>0</v>
      </c>
      <c r="T242" s="40">
        <f t="shared" si="250"/>
        <v>0</v>
      </c>
    </row>
    <row r="243" ht="15.75" customHeight="1">
      <c r="F243" s="24"/>
      <c r="G243" s="19">
        <f>$G$9</f>
        <v>1</v>
      </c>
      <c r="H243" s="20">
        <v>1.0</v>
      </c>
      <c r="I243" s="20">
        <v>1.0</v>
      </c>
      <c r="J243" s="20">
        <v>0.0</v>
      </c>
      <c r="K243" s="20">
        <v>0.0</v>
      </c>
      <c r="L243" s="20">
        <v>0.0</v>
      </c>
      <c r="N243" s="23"/>
      <c r="O243" s="19">
        <f>$G$9</f>
        <v>1</v>
      </c>
      <c r="P243" s="40">
        <f t="shared" ref="P243:T243" si="251">H243/H$266</f>
        <v>0.004</v>
      </c>
      <c r="Q243" s="40">
        <f t="shared" si="251"/>
        <v>0.007407407407</v>
      </c>
      <c r="R243" s="40">
        <f t="shared" si="251"/>
        <v>0</v>
      </c>
      <c r="S243" s="40">
        <f t="shared" si="251"/>
        <v>0</v>
      </c>
      <c r="T243" s="40">
        <f t="shared" si="251"/>
        <v>0</v>
      </c>
    </row>
    <row r="244" ht="15.75" customHeight="1">
      <c r="F244" s="24"/>
      <c r="G244" s="19">
        <f>$G$10</f>
        <v>2</v>
      </c>
      <c r="H244" s="16">
        <v>1.0</v>
      </c>
      <c r="I244" s="16">
        <v>2.0</v>
      </c>
      <c r="J244" s="16">
        <v>0.0</v>
      </c>
      <c r="K244" s="16">
        <v>0.0</v>
      </c>
      <c r="L244" s="16">
        <v>0.0</v>
      </c>
      <c r="N244" s="23"/>
      <c r="O244" s="19">
        <f>$G$10</f>
        <v>2</v>
      </c>
      <c r="P244" s="40">
        <f t="shared" ref="P244:T244" si="252">H244/H$266</f>
        <v>0.004</v>
      </c>
      <c r="Q244" s="40">
        <f t="shared" si="252"/>
        <v>0.01481481481</v>
      </c>
      <c r="R244" s="40">
        <f t="shared" si="252"/>
        <v>0</v>
      </c>
      <c r="S244" s="40">
        <f t="shared" si="252"/>
        <v>0</v>
      </c>
      <c r="T244" s="40">
        <f t="shared" si="252"/>
        <v>0</v>
      </c>
    </row>
    <row r="245" ht="15.75" customHeight="1">
      <c r="F245" s="24"/>
      <c r="G245" s="19">
        <f>$G$11</f>
        <v>3</v>
      </c>
      <c r="H245" s="20">
        <v>0.0</v>
      </c>
      <c r="I245" s="20">
        <v>0.0</v>
      </c>
      <c r="J245" s="20">
        <v>0.0</v>
      </c>
      <c r="K245" s="20">
        <v>0.0</v>
      </c>
      <c r="L245" s="20">
        <v>0.0</v>
      </c>
      <c r="N245" s="23"/>
      <c r="O245" s="19">
        <f>$G$11</f>
        <v>3</v>
      </c>
      <c r="P245" s="40">
        <f t="shared" ref="P245:T245" si="253">H245/H$266</f>
        <v>0</v>
      </c>
      <c r="Q245" s="40">
        <f t="shared" si="253"/>
        <v>0</v>
      </c>
      <c r="R245" s="40">
        <f t="shared" si="253"/>
        <v>0</v>
      </c>
      <c r="S245" s="40">
        <f t="shared" si="253"/>
        <v>0</v>
      </c>
      <c r="T245" s="40">
        <f t="shared" si="253"/>
        <v>0</v>
      </c>
    </row>
    <row r="246" ht="15.75" customHeight="1">
      <c r="F246" s="24"/>
      <c r="G246" s="19">
        <f>$G$12</f>
        <v>4</v>
      </c>
      <c r="H246" s="20">
        <v>3.0</v>
      </c>
      <c r="I246" s="20">
        <v>0.0</v>
      </c>
      <c r="J246" s="20">
        <v>0.0</v>
      </c>
      <c r="K246" s="20">
        <v>0.0</v>
      </c>
      <c r="L246" s="20">
        <v>0.0</v>
      </c>
      <c r="N246" s="23"/>
      <c r="O246" s="19">
        <f>$G$12</f>
        <v>4</v>
      </c>
      <c r="P246" s="40">
        <f t="shared" ref="P246:T246" si="254">H246/H$266</f>
        <v>0.012</v>
      </c>
      <c r="Q246" s="40">
        <f t="shared" si="254"/>
        <v>0</v>
      </c>
      <c r="R246" s="40">
        <f t="shared" si="254"/>
        <v>0</v>
      </c>
      <c r="S246" s="40">
        <f t="shared" si="254"/>
        <v>0</v>
      </c>
      <c r="T246" s="40">
        <f t="shared" si="254"/>
        <v>0</v>
      </c>
    </row>
    <row r="247" ht="15.75" customHeight="1">
      <c r="F247" s="24"/>
      <c r="G247" s="19">
        <f>$G$13</f>
        <v>5</v>
      </c>
      <c r="H247" s="20">
        <v>4.0</v>
      </c>
      <c r="I247" s="20">
        <v>2.0</v>
      </c>
      <c r="J247" s="20">
        <v>0.0</v>
      </c>
      <c r="K247" s="20">
        <v>1.0</v>
      </c>
      <c r="L247" s="20">
        <v>1.0</v>
      </c>
      <c r="N247" s="23"/>
      <c r="O247" s="19">
        <f>$G$13</f>
        <v>5</v>
      </c>
      <c r="P247" s="40">
        <f t="shared" ref="P247:T247" si="255">H247/H$266</f>
        <v>0.016</v>
      </c>
      <c r="Q247" s="40">
        <f t="shared" si="255"/>
        <v>0.01481481481</v>
      </c>
      <c r="R247" s="40">
        <f t="shared" si="255"/>
        <v>0</v>
      </c>
      <c r="S247" s="40">
        <f t="shared" si="255"/>
        <v>0.07142857143</v>
      </c>
      <c r="T247" s="40">
        <f t="shared" si="255"/>
        <v>0.02380952381</v>
      </c>
    </row>
    <row r="248" ht="15.75" customHeight="1">
      <c r="F248" s="24"/>
      <c r="G248" s="19">
        <f>$G$14</f>
        <v>6</v>
      </c>
      <c r="H248" s="20">
        <v>10.0</v>
      </c>
      <c r="I248" s="20">
        <v>1.0</v>
      </c>
      <c r="J248" s="20">
        <v>0.0</v>
      </c>
      <c r="K248" s="20">
        <v>0.0</v>
      </c>
      <c r="L248" s="20">
        <v>0.0</v>
      </c>
      <c r="N248" s="23"/>
      <c r="O248" s="19">
        <f>$G$14</f>
        <v>6</v>
      </c>
      <c r="P248" s="40">
        <f t="shared" ref="P248:T248" si="256">H248/H$266</f>
        <v>0.04</v>
      </c>
      <c r="Q248" s="40">
        <f t="shared" si="256"/>
        <v>0.007407407407</v>
      </c>
      <c r="R248" s="40">
        <f t="shared" si="256"/>
        <v>0</v>
      </c>
      <c r="S248" s="40">
        <f t="shared" si="256"/>
        <v>0</v>
      </c>
      <c r="T248" s="40">
        <f t="shared" si="256"/>
        <v>0</v>
      </c>
    </row>
    <row r="249" ht="15.75" customHeight="1">
      <c r="F249" s="24"/>
      <c r="G249" s="19">
        <f>$G$15</f>
        <v>7</v>
      </c>
      <c r="H249" s="20">
        <v>33.0</v>
      </c>
      <c r="I249" s="20">
        <v>7.0</v>
      </c>
      <c r="J249" s="20">
        <v>1.0</v>
      </c>
      <c r="K249" s="20">
        <v>0.0</v>
      </c>
      <c r="L249" s="20">
        <v>2.0</v>
      </c>
      <c r="N249" s="23"/>
      <c r="O249" s="19">
        <f>$G$15</f>
        <v>7</v>
      </c>
      <c r="P249" s="40">
        <f t="shared" ref="P249:T249" si="257">H249/H$266</f>
        <v>0.132</v>
      </c>
      <c r="Q249" s="40">
        <f t="shared" si="257"/>
        <v>0.05185185185</v>
      </c>
      <c r="R249" s="40">
        <f t="shared" si="257"/>
        <v>0.5</v>
      </c>
      <c r="S249" s="40">
        <f t="shared" si="257"/>
        <v>0</v>
      </c>
      <c r="T249" s="40">
        <f t="shared" si="257"/>
        <v>0.04761904762</v>
      </c>
    </row>
    <row r="250" ht="15.75" customHeight="1">
      <c r="F250" s="24"/>
      <c r="G250" s="19">
        <f>$G$16</f>
        <v>8</v>
      </c>
      <c r="H250" s="20">
        <v>15.0</v>
      </c>
      <c r="I250" s="20">
        <v>10.0</v>
      </c>
      <c r="J250" s="20">
        <v>0.0</v>
      </c>
      <c r="K250" s="20">
        <v>1.0</v>
      </c>
      <c r="L250" s="20">
        <v>2.0</v>
      </c>
      <c r="N250" s="23"/>
      <c r="O250" s="19">
        <f>$G$16</f>
        <v>8</v>
      </c>
      <c r="P250" s="40">
        <f t="shared" ref="P250:T250" si="258">H250/H$266</f>
        <v>0.06</v>
      </c>
      <c r="Q250" s="40">
        <f t="shared" si="258"/>
        <v>0.07407407407</v>
      </c>
      <c r="R250" s="40">
        <f t="shared" si="258"/>
        <v>0</v>
      </c>
      <c r="S250" s="40">
        <f t="shared" si="258"/>
        <v>0.07142857143</v>
      </c>
      <c r="T250" s="40">
        <f t="shared" si="258"/>
        <v>0.04761904762</v>
      </c>
    </row>
    <row r="251" ht="15.75" customHeight="1">
      <c r="F251" s="24"/>
      <c r="G251" s="19">
        <f>$G$17</f>
        <v>9</v>
      </c>
      <c r="H251" s="20">
        <v>11.0</v>
      </c>
      <c r="I251" s="20">
        <v>11.0</v>
      </c>
      <c r="J251" s="20">
        <v>0.0</v>
      </c>
      <c r="K251" s="20">
        <v>2.0</v>
      </c>
      <c r="L251" s="20">
        <v>9.0</v>
      </c>
      <c r="N251" s="23"/>
      <c r="O251" s="19">
        <f>$G$17</f>
        <v>9</v>
      </c>
      <c r="P251" s="40">
        <f t="shared" ref="P251:T251" si="259">H251/H$266</f>
        <v>0.044</v>
      </c>
      <c r="Q251" s="40">
        <f t="shared" si="259"/>
        <v>0.08148148148</v>
      </c>
      <c r="R251" s="40">
        <f t="shared" si="259"/>
        <v>0</v>
      </c>
      <c r="S251" s="40">
        <f t="shared" si="259"/>
        <v>0.1428571429</v>
      </c>
      <c r="T251" s="40">
        <f t="shared" si="259"/>
        <v>0.2142857143</v>
      </c>
    </row>
    <row r="252" ht="15.75" customHeight="1">
      <c r="F252" s="24"/>
      <c r="G252" s="19">
        <f>$G$18</f>
        <v>10</v>
      </c>
      <c r="H252" s="20">
        <v>7.0</v>
      </c>
      <c r="I252" s="20">
        <v>8.0</v>
      </c>
      <c r="J252" s="20">
        <v>1.0</v>
      </c>
      <c r="K252" s="20">
        <v>1.0</v>
      </c>
      <c r="L252" s="20">
        <v>6.0</v>
      </c>
      <c r="N252" s="23"/>
      <c r="O252" s="19">
        <f>$G$18</f>
        <v>10</v>
      </c>
      <c r="P252" s="40">
        <f t="shared" ref="P252:T252" si="260">H252/H$266</f>
        <v>0.028</v>
      </c>
      <c r="Q252" s="40">
        <f t="shared" si="260"/>
        <v>0.05925925926</v>
      </c>
      <c r="R252" s="40">
        <f t="shared" si="260"/>
        <v>0.5</v>
      </c>
      <c r="S252" s="40">
        <f t="shared" si="260"/>
        <v>0.07142857143</v>
      </c>
      <c r="T252" s="40">
        <f t="shared" si="260"/>
        <v>0.1428571429</v>
      </c>
    </row>
    <row r="253" ht="15.75" customHeight="1">
      <c r="F253" s="24"/>
      <c r="G253" s="19">
        <f>$G$19</f>
        <v>11</v>
      </c>
      <c r="H253" s="20">
        <v>17.0</v>
      </c>
      <c r="I253" s="20">
        <v>13.0</v>
      </c>
      <c r="J253" s="20">
        <v>0.0</v>
      </c>
      <c r="K253" s="20">
        <v>2.0</v>
      </c>
      <c r="L253" s="20">
        <v>4.0</v>
      </c>
      <c r="N253" s="23"/>
      <c r="O253" s="19">
        <f>$G$19</f>
        <v>11</v>
      </c>
      <c r="P253" s="40">
        <f t="shared" ref="P253:T253" si="261">H253/H$266</f>
        <v>0.068</v>
      </c>
      <c r="Q253" s="40">
        <f t="shared" si="261"/>
        <v>0.0962962963</v>
      </c>
      <c r="R253" s="40">
        <f t="shared" si="261"/>
        <v>0</v>
      </c>
      <c r="S253" s="40">
        <f t="shared" si="261"/>
        <v>0.1428571429</v>
      </c>
      <c r="T253" s="40">
        <f t="shared" si="261"/>
        <v>0.09523809524</v>
      </c>
    </row>
    <row r="254" ht="15.75" customHeight="1">
      <c r="F254" s="24"/>
      <c r="G254" s="19">
        <f>$G$20</f>
        <v>12</v>
      </c>
      <c r="H254" s="20">
        <v>16.0</v>
      </c>
      <c r="I254" s="20">
        <v>9.0</v>
      </c>
      <c r="J254" s="20">
        <v>0.0</v>
      </c>
      <c r="K254" s="20">
        <v>1.0</v>
      </c>
      <c r="L254" s="20">
        <v>6.0</v>
      </c>
      <c r="N254" s="23"/>
      <c r="O254" s="19">
        <f>$G$20</f>
        <v>12</v>
      </c>
      <c r="P254" s="40">
        <f t="shared" ref="P254:T254" si="262">H254/H$266</f>
        <v>0.064</v>
      </c>
      <c r="Q254" s="40">
        <f t="shared" si="262"/>
        <v>0.06666666667</v>
      </c>
      <c r="R254" s="40">
        <f t="shared" si="262"/>
        <v>0</v>
      </c>
      <c r="S254" s="40">
        <f t="shared" si="262"/>
        <v>0.07142857143</v>
      </c>
      <c r="T254" s="40">
        <f t="shared" si="262"/>
        <v>0.1428571429</v>
      </c>
    </row>
    <row r="255" ht="15.75" customHeight="1">
      <c r="F255" s="24"/>
      <c r="G255" s="19">
        <f>$G$21</f>
        <v>13</v>
      </c>
      <c r="H255" s="20">
        <v>8.0</v>
      </c>
      <c r="I255" s="20">
        <v>6.0</v>
      </c>
      <c r="J255" s="20">
        <v>0.0</v>
      </c>
      <c r="K255" s="20">
        <v>0.0</v>
      </c>
      <c r="L255" s="20">
        <v>1.0</v>
      </c>
      <c r="N255" s="23"/>
      <c r="O255" s="19">
        <f>$G$21</f>
        <v>13</v>
      </c>
      <c r="P255" s="40">
        <f t="shared" ref="P255:T255" si="263">H255/H$266</f>
        <v>0.032</v>
      </c>
      <c r="Q255" s="40">
        <f t="shared" si="263"/>
        <v>0.04444444444</v>
      </c>
      <c r="R255" s="40">
        <f t="shared" si="263"/>
        <v>0</v>
      </c>
      <c r="S255" s="40">
        <f t="shared" si="263"/>
        <v>0</v>
      </c>
      <c r="T255" s="40">
        <f t="shared" si="263"/>
        <v>0.02380952381</v>
      </c>
    </row>
    <row r="256" ht="15.75" customHeight="1">
      <c r="F256" s="24"/>
      <c r="G256" s="19">
        <f>$G$22</f>
        <v>14</v>
      </c>
      <c r="H256" s="20">
        <v>13.0</v>
      </c>
      <c r="I256" s="20">
        <v>8.0</v>
      </c>
      <c r="J256" s="20">
        <v>0.0</v>
      </c>
      <c r="K256" s="20">
        <v>2.0</v>
      </c>
      <c r="L256" s="20">
        <v>3.0</v>
      </c>
      <c r="N256" s="23"/>
      <c r="O256" s="19">
        <f>$G$22</f>
        <v>14</v>
      </c>
      <c r="P256" s="40">
        <f t="shared" ref="P256:T256" si="264">H256/H$266</f>
        <v>0.052</v>
      </c>
      <c r="Q256" s="40">
        <f t="shared" si="264"/>
        <v>0.05925925926</v>
      </c>
      <c r="R256" s="40">
        <f t="shared" si="264"/>
        <v>0</v>
      </c>
      <c r="S256" s="40">
        <f t="shared" si="264"/>
        <v>0.1428571429</v>
      </c>
      <c r="T256" s="40">
        <f t="shared" si="264"/>
        <v>0.07142857143</v>
      </c>
    </row>
    <row r="257" ht="15.75" customHeight="1">
      <c r="F257" s="24"/>
      <c r="G257" s="19">
        <f>$G$23</f>
        <v>15</v>
      </c>
      <c r="H257" s="20">
        <v>12.0</v>
      </c>
      <c r="I257" s="20">
        <v>18.0</v>
      </c>
      <c r="J257" s="20">
        <v>0.0</v>
      </c>
      <c r="K257" s="20">
        <v>2.0</v>
      </c>
      <c r="L257" s="20">
        <v>5.0</v>
      </c>
      <c r="N257" s="23"/>
      <c r="O257" s="19">
        <f>$G$23</f>
        <v>15</v>
      </c>
      <c r="P257" s="40">
        <f t="shared" ref="P257:T257" si="265">H257/H$266</f>
        <v>0.048</v>
      </c>
      <c r="Q257" s="40">
        <f t="shared" si="265"/>
        <v>0.1333333333</v>
      </c>
      <c r="R257" s="40">
        <f t="shared" si="265"/>
        <v>0</v>
      </c>
      <c r="S257" s="40">
        <f t="shared" si="265"/>
        <v>0.1428571429</v>
      </c>
      <c r="T257" s="40">
        <f t="shared" si="265"/>
        <v>0.119047619</v>
      </c>
    </row>
    <row r="258" ht="15.75" customHeight="1">
      <c r="F258" s="24"/>
      <c r="G258" s="19">
        <f>$G$24</f>
        <v>16</v>
      </c>
      <c r="H258" s="20">
        <v>24.0</v>
      </c>
      <c r="I258" s="20">
        <v>10.0</v>
      </c>
      <c r="J258" s="20">
        <v>0.0</v>
      </c>
      <c r="K258" s="20">
        <v>1.0</v>
      </c>
      <c r="L258" s="20">
        <v>2.0</v>
      </c>
      <c r="N258" s="23"/>
      <c r="O258" s="19">
        <f>$G$24</f>
        <v>16</v>
      </c>
      <c r="P258" s="40">
        <f t="shared" ref="P258:T258" si="266">H258/H$266</f>
        <v>0.096</v>
      </c>
      <c r="Q258" s="40">
        <f t="shared" si="266"/>
        <v>0.07407407407</v>
      </c>
      <c r="R258" s="40">
        <f t="shared" si="266"/>
        <v>0</v>
      </c>
      <c r="S258" s="40">
        <f t="shared" si="266"/>
        <v>0.07142857143</v>
      </c>
      <c r="T258" s="40">
        <f t="shared" si="266"/>
        <v>0.04761904762</v>
      </c>
    </row>
    <row r="259" ht="15.75" customHeight="1">
      <c r="F259" s="24"/>
      <c r="G259" s="19">
        <f>$G$25</f>
        <v>17</v>
      </c>
      <c r="H259" s="20">
        <v>21.0</v>
      </c>
      <c r="I259" s="20">
        <v>7.0</v>
      </c>
      <c r="J259" s="20">
        <v>0.0</v>
      </c>
      <c r="K259" s="20">
        <v>0.0</v>
      </c>
      <c r="L259" s="20">
        <v>0.0</v>
      </c>
      <c r="N259" s="23"/>
      <c r="O259" s="19">
        <f>$G$25</f>
        <v>17</v>
      </c>
      <c r="P259" s="40">
        <f t="shared" ref="P259:T259" si="267">H259/H$266</f>
        <v>0.084</v>
      </c>
      <c r="Q259" s="40">
        <f t="shared" si="267"/>
        <v>0.05185185185</v>
      </c>
      <c r="R259" s="40">
        <f t="shared" si="267"/>
        <v>0</v>
      </c>
      <c r="S259" s="40">
        <f t="shared" si="267"/>
        <v>0</v>
      </c>
      <c r="T259" s="40">
        <f t="shared" si="267"/>
        <v>0</v>
      </c>
    </row>
    <row r="260" ht="15.75" customHeight="1">
      <c r="F260" s="24"/>
      <c r="G260" s="19">
        <f>$G$26</f>
        <v>18</v>
      </c>
      <c r="H260" s="20">
        <v>13.0</v>
      </c>
      <c r="I260" s="20">
        <v>8.0</v>
      </c>
      <c r="J260" s="20">
        <v>0.0</v>
      </c>
      <c r="K260" s="20">
        <v>0.0</v>
      </c>
      <c r="L260" s="20">
        <v>1.0</v>
      </c>
      <c r="N260" s="23"/>
      <c r="O260" s="19">
        <f>$G$26</f>
        <v>18</v>
      </c>
      <c r="P260" s="40">
        <f t="shared" ref="P260:T260" si="268">H260/H$266</f>
        <v>0.052</v>
      </c>
      <c r="Q260" s="40">
        <f t="shared" si="268"/>
        <v>0.05925925926</v>
      </c>
      <c r="R260" s="40">
        <f t="shared" si="268"/>
        <v>0</v>
      </c>
      <c r="S260" s="40">
        <f t="shared" si="268"/>
        <v>0</v>
      </c>
      <c r="T260" s="40">
        <f t="shared" si="268"/>
        <v>0.02380952381</v>
      </c>
    </row>
    <row r="261" ht="15.75" customHeight="1">
      <c r="F261" s="24"/>
      <c r="G261" s="19">
        <f>$G$27</f>
        <v>19</v>
      </c>
      <c r="H261" s="20">
        <v>14.0</v>
      </c>
      <c r="I261" s="20">
        <v>2.0</v>
      </c>
      <c r="J261" s="20">
        <v>0.0</v>
      </c>
      <c r="K261" s="20">
        <v>0.0</v>
      </c>
      <c r="L261" s="20">
        <v>0.0</v>
      </c>
      <c r="N261" s="23"/>
      <c r="O261" s="19">
        <f>$G$27</f>
        <v>19</v>
      </c>
      <c r="P261" s="40">
        <f t="shared" ref="P261:T261" si="269">H261/H$266</f>
        <v>0.056</v>
      </c>
      <c r="Q261" s="40">
        <f t="shared" si="269"/>
        <v>0.01481481481</v>
      </c>
      <c r="R261" s="40">
        <f t="shared" si="269"/>
        <v>0</v>
      </c>
      <c r="S261" s="40">
        <f t="shared" si="269"/>
        <v>0</v>
      </c>
      <c r="T261" s="40">
        <f t="shared" si="269"/>
        <v>0</v>
      </c>
    </row>
    <row r="262" ht="15.75" customHeight="1">
      <c r="F262" s="24"/>
      <c r="G262" s="19">
        <f>$G$28</f>
        <v>20</v>
      </c>
      <c r="H262" s="20">
        <v>9.0</v>
      </c>
      <c r="I262" s="20">
        <v>5.0</v>
      </c>
      <c r="J262" s="20">
        <v>0.0</v>
      </c>
      <c r="K262" s="20">
        <v>0.0</v>
      </c>
      <c r="L262" s="20">
        <v>0.0</v>
      </c>
      <c r="N262" s="23"/>
      <c r="O262" s="19">
        <f>$G$28</f>
        <v>20</v>
      </c>
      <c r="P262" s="40">
        <f t="shared" ref="P262:T262" si="270">H262/H$266</f>
        <v>0.036</v>
      </c>
      <c r="Q262" s="40">
        <f t="shared" si="270"/>
        <v>0.03703703704</v>
      </c>
      <c r="R262" s="40">
        <f t="shared" si="270"/>
        <v>0</v>
      </c>
      <c r="S262" s="40">
        <f t="shared" si="270"/>
        <v>0</v>
      </c>
      <c r="T262" s="40">
        <f t="shared" si="270"/>
        <v>0</v>
      </c>
    </row>
    <row r="263" ht="15.75" customHeight="1">
      <c r="F263" s="24"/>
      <c r="G263" s="19">
        <f>$G$29</f>
        <v>21</v>
      </c>
      <c r="H263" s="20">
        <v>10.0</v>
      </c>
      <c r="I263" s="20">
        <v>4.0</v>
      </c>
      <c r="J263" s="20">
        <v>0.0</v>
      </c>
      <c r="K263" s="20">
        <v>0.0</v>
      </c>
      <c r="L263" s="20">
        <v>0.0</v>
      </c>
      <c r="N263" s="23"/>
      <c r="O263" s="19">
        <f>$G$29</f>
        <v>21</v>
      </c>
      <c r="P263" s="40">
        <f t="shared" ref="P263:T263" si="271">H263/H$266</f>
        <v>0.04</v>
      </c>
      <c r="Q263" s="40">
        <f t="shared" si="271"/>
        <v>0.02962962963</v>
      </c>
      <c r="R263" s="40">
        <f t="shared" si="271"/>
        <v>0</v>
      </c>
      <c r="S263" s="40">
        <f t="shared" si="271"/>
        <v>0</v>
      </c>
      <c r="T263" s="40">
        <f t="shared" si="271"/>
        <v>0</v>
      </c>
    </row>
    <row r="264" ht="15.75" customHeight="1">
      <c r="F264" s="24"/>
      <c r="G264" s="19">
        <f>$G$30</f>
        <v>22</v>
      </c>
      <c r="H264" s="20">
        <v>2.0</v>
      </c>
      <c r="I264" s="20">
        <v>2.0</v>
      </c>
      <c r="J264" s="20">
        <v>0.0</v>
      </c>
      <c r="K264" s="20">
        <v>1.0</v>
      </c>
      <c r="L264" s="20">
        <v>0.0</v>
      </c>
      <c r="N264" s="23"/>
      <c r="O264" s="19">
        <f>$G$30</f>
        <v>22</v>
      </c>
      <c r="P264" s="40">
        <f t="shared" ref="P264:T264" si="272">H264/H$266</f>
        <v>0.008</v>
      </c>
      <c r="Q264" s="40">
        <f t="shared" si="272"/>
        <v>0.01481481481</v>
      </c>
      <c r="R264" s="40">
        <f t="shared" si="272"/>
        <v>0</v>
      </c>
      <c r="S264" s="40">
        <f t="shared" si="272"/>
        <v>0.07142857143</v>
      </c>
      <c r="T264" s="40">
        <f t="shared" si="272"/>
        <v>0</v>
      </c>
    </row>
    <row r="265" ht="15.75" customHeight="1">
      <c r="F265" s="28"/>
      <c r="G265" s="71">
        <f>$G$31</f>
        <v>23</v>
      </c>
      <c r="H265" s="20">
        <v>3.0</v>
      </c>
      <c r="I265" s="20">
        <v>1.0</v>
      </c>
      <c r="J265" s="20">
        <v>0.0</v>
      </c>
      <c r="K265" s="20">
        <v>0.0</v>
      </c>
      <c r="L265" s="20">
        <v>0.0</v>
      </c>
      <c r="N265" s="27"/>
      <c r="O265" s="19">
        <f>$G$31</f>
        <v>23</v>
      </c>
      <c r="P265" s="40">
        <f t="shared" ref="P265:T265" si="273">H265/H$266</f>
        <v>0.012</v>
      </c>
      <c r="Q265" s="40">
        <f t="shared" si="273"/>
        <v>0.007407407407</v>
      </c>
      <c r="R265" s="40">
        <f t="shared" si="273"/>
        <v>0</v>
      </c>
      <c r="S265" s="40">
        <f t="shared" si="273"/>
        <v>0</v>
      </c>
      <c r="T265" s="40">
        <f t="shared" si="273"/>
        <v>0</v>
      </c>
    </row>
    <row r="266" ht="15.75" customHeight="1">
      <c r="F266" s="41"/>
      <c r="G266" s="41"/>
      <c r="H266" s="26">
        <f t="shared" ref="H266:L266" si="274">SUM(H242:H265)</f>
        <v>250</v>
      </c>
      <c r="I266" s="26">
        <f t="shared" si="274"/>
        <v>135</v>
      </c>
      <c r="J266" s="26">
        <f t="shared" si="274"/>
        <v>2</v>
      </c>
      <c r="K266" s="26">
        <f t="shared" si="274"/>
        <v>14</v>
      </c>
      <c r="L266" s="26">
        <f t="shared" si="274"/>
        <v>42</v>
      </c>
      <c r="N266" s="41"/>
    </row>
    <row r="267" ht="15.75" customHeight="1">
      <c r="G267" s="16"/>
      <c r="H267" s="17">
        <f>$H$7</f>
        <v>31</v>
      </c>
      <c r="I267" s="17">
        <f>$I$7</f>
        <v>32</v>
      </c>
      <c r="J267" s="17">
        <f>$J$7</f>
        <v>41</v>
      </c>
      <c r="K267" s="17">
        <f>$K$7</f>
        <v>42</v>
      </c>
      <c r="L267" s="17">
        <f>$L$7</f>
        <v>5</v>
      </c>
      <c r="O267" s="16"/>
      <c r="P267" s="17">
        <f>$H$7</f>
        <v>31</v>
      </c>
      <c r="Q267" s="17">
        <f>$I$7</f>
        <v>32</v>
      </c>
      <c r="R267" s="17">
        <f>$J$7</f>
        <v>41</v>
      </c>
      <c r="S267" s="17">
        <f>$K$7</f>
        <v>42</v>
      </c>
      <c r="T267" s="17">
        <f>$L$7</f>
        <v>5</v>
      </c>
    </row>
    <row r="268" ht="15.75" customHeight="1">
      <c r="F268" s="39">
        <v>45204.0</v>
      </c>
      <c r="G268" s="19">
        <f>$G$8</f>
        <v>0</v>
      </c>
      <c r="H268" s="20">
        <v>6.0</v>
      </c>
      <c r="I268" s="20">
        <v>0.0</v>
      </c>
      <c r="J268" s="20">
        <v>0.0</v>
      </c>
      <c r="K268" s="20">
        <v>0.0</v>
      </c>
      <c r="L268" s="20">
        <v>0.0</v>
      </c>
      <c r="N268" s="39">
        <v>45204.0</v>
      </c>
      <c r="O268" s="19">
        <f>$G$8</f>
        <v>0</v>
      </c>
      <c r="P268" s="40">
        <f t="shared" ref="P268:T268" si="275">H268/H$292</f>
        <v>0.04166666667</v>
      </c>
      <c r="Q268" s="40">
        <f t="shared" si="275"/>
        <v>0</v>
      </c>
      <c r="R268" s="40" t="str">
        <f t="shared" si="275"/>
        <v>#DIV/0!</v>
      </c>
      <c r="S268" s="40">
        <f t="shared" si="275"/>
        <v>0</v>
      </c>
      <c r="T268" s="40" t="str">
        <f t="shared" si="275"/>
        <v>#DIV/0!</v>
      </c>
    </row>
    <row r="269" ht="15.75" customHeight="1">
      <c r="F269" s="24"/>
      <c r="G269" s="19">
        <f>$G$9</f>
        <v>1</v>
      </c>
      <c r="H269" s="20">
        <v>3.0</v>
      </c>
      <c r="I269" s="20">
        <v>0.0</v>
      </c>
      <c r="J269" s="20">
        <v>0.0</v>
      </c>
      <c r="K269" s="20">
        <v>0.0</v>
      </c>
      <c r="L269" s="20">
        <v>0.0</v>
      </c>
      <c r="N269" s="23"/>
      <c r="O269" s="19">
        <f>$G$9</f>
        <v>1</v>
      </c>
      <c r="P269" s="40">
        <f t="shared" ref="P269:T269" si="276">H269/H$292</f>
        <v>0.02083333333</v>
      </c>
      <c r="Q269" s="40">
        <f t="shared" si="276"/>
        <v>0</v>
      </c>
      <c r="R269" s="40" t="str">
        <f t="shared" si="276"/>
        <v>#DIV/0!</v>
      </c>
      <c r="S269" s="40">
        <f t="shared" si="276"/>
        <v>0</v>
      </c>
      <c r="T269" s="40" t="str">
        <f t="shared" si="276"/>
        <v>#DIV/0!</v>
      </c>
    </row>
    <row r="270" ht="15.75" customHeight="1">
      <c r="F270" s="24"/>
      <c r="G270" s="19">
        <f>$G$10</f>
        <v>2</v>
      </c>
      <c r="H270" s="20">
        <v>0.0</v>
      </c>
      <c r="I270" s="20">
        <v>0.0</v>
      </c>
      <c r="J270" s="20">
        <v>0.0</v>
      </c>
      <c r="K270" s="20">
        <v>0.0</v>
      </c>
      <c r="L270" s="20">
        <v>0.0</v>
      </c>
      <c r="N270" s="23"/>
      <c r="O270" s="19">
        <f>$G$10</f>
        <v>2</v>
      </c>
      <c r="P270" s="40">
        <f t="shared" ref="P270:T270" si="277">H270/H$292</f>
        <v>0</v>
      </c>
      <c r="Q270" s="40">
        <f t="shared" si="277"/>
        <v>0</v>
      </c>
      <c r="R270" s="40" t="str">
        <f t="shared" si="277"/>
        <v>#DIV/0!</v>
      </c>
      <c r="S270" s="40">
        <f t="shared" si="277"/>
        <v>0</v>
      </c>
      <c r="T270" s="40" t="str">
        <f t="shared" si="277"/>
        <v>#DIV/0!</v>
      </c>
    </row>
    <row r="271" ht="15.75" customHeight="1">
      <c r="F271" s="24"/>
      <c r="G271" s="19">
        <f>$G$11</f>
        <v>3</v>
      </c>
      <c r="H271" s="16">
        <v>1.0</v>
      </c>
      <c r="I271" s="16">
        <v>0.0</v>
      </c>
      <c r="J271" s="16">
        <v>0.0</v>
      </c>
      <c r="K271" s="16">
        <v>0.0</v>
      </c>
      <c r="L271" s="16">
        <v>0.0</v>
      </c>
      <c r="N271" s="23"/>
      <c r="O271" s="19">
        <f>$G$11</f>
        <v>3</v>
      </c>
      <c r="P271" s="40">
        <f t="shared" ref="P271:T271" si="278">H271/H$292</f>
        <v>0.006944444444</v>
      </c>
      <c r="Q271" s="40">
        <f t="shared" si="278"/>
        <v>0</v>
      </c>
      <c r="R271" s="40" t="str">
        <f t="shared" si="278"/>
        <v>#DIV/0!</v>
      </c>
      <c r="S271" s="40">
        <f t="shared" si="278"/>
        <v>0</v>
      </c>
      <c r="T271" s="40" t="str">
        <f t="shared" si="278"/>
        <v>#DIV/0!</v>
      </c>
    </row>
    <row r="272" ht="15.75" customHeight="1">
      <c r="F272" s="24"/>
      <c r="G272" s="19">
        <f>$G$12</f>
        <v>4</v>
      </c>
      <c r="H272" s="20">
        <v>1.0</v>
      </c>
      <c r="I272" s="20">
        <v>1.0</v>
      </c>
      <c r="J272" s="20">
        <v>0.0</v>
      </c>
      <c r="K272" s="20">
        <v>0.0</v>
      </c>
      <c r="L272" s="20">
        <v>0.0</v>
      </c>
      <c r="N272" s="23"/>
      <c r="O272" s="19">
        <f>$G$12</f>
        <v>4</v>
      </c>
      <c r="P272" s="40">
        <f t="shared" ref="P272:T272" si="279">H272/H$292</f>
        <v>0.006944444444</v>
      </c>
      <c r="Q272" s="40">
        <f t="shared" si="279"/>
        <v>0.01886792453</v>
      </c>
      <c r="R272" s="40" t="str">
        <f t="shared" si="279"/>
        <v>#DIV/0!</v>
      </c>
      <c r="S272" s="40">
        <f t="shared" si="279"/>
        <v>0</v>
      </c>
      <c r="T272" s="40" t="str">
        <f t="shared" si="279"/>
        <v>#DIV/0!</v>
      </c>
    </row>
    <row r="273" ht="15.75" customHeight="1">
      <c r="F273" s="24"/>
      <c r="G273" s="19">
        <f>$G$13</f>
        <v>5</v>
      </c>
      <c r="H273" s="20">
        <v>1.0</v>
      </c>
      <c r="I273" s="20">
        <v>0.0</v>
      </c>
      <c r="J273" s="20">
        <v>0.0</v>
      </c>
      <c r="K273" s="20">
        <v>0.0</v>
      </c>
      <c r="L273" s="20">
        <v>0.0</v>
      </c>
      <c r="N273" s="23"/>
      <c r="O273" s="19">
        <f>$G$13</f>
        <v>5</v>
      </c>
      <c r="P273" s="40">
        <f t="shared" ref="P273:T273" si="280">H273/H$292</f>
        <v>0.006944444444</v>
      </c>
      <c r="Q273" s="40">
        <f t="shared" si="280"/>
        <v>0</v>
      </c>
      <c r="R273" s="40" t="str">
        <f t="shared" si="280"/>
        <v>#DIV/0!</v>
      </c>
      <c r="S273" s="40">
        <f t="shared" si="280"/>
        <v>0</v>
      </c>
      <c r="T273" s="40" t="str">
        <f t="shared" si="280"/>
        <v>#DIV/0!</v>
      </c>
    </row>
    <row r="274" ht="15.75" customHeight="1">
      <c r="F274" s="24"/>
      <c r="G274" s="19">
        <f>$G$14</f>
        <v>6</v>
      </c>
      <c r="H274" s="20">
        <v>1.0</v>
      </c>
      <c r="I274" s="20">
        <v>1.0</v>
      </c>
      <c r="J274" s="20">
        <v>0.0</v>
      </c>
      <c r="K274" s="20">
        <v>0.0</v>
      </c>
      <c r="L274" s="20">
        <v>0.0</v>
      </c>
      <c r="N274" s="23"/>
      <c r="O274" s="19">
        <f>$G$14</f>
        <v>6</v>
      </c>
      <c r="P274" s="40">
        <f t="shared" ref="P274:T274" si="281">H274/H$292</f>
        <v>0.006944444444</v>
      </c>
      <c r="Q274" s="40">
        <f t="shared" si="281"/>
        <v>0.01886792453</v>
      </c>
      <c r="R274" s="40" t="str">
        <f t="shared" si="281"/>
        <v>#DIV/0!</v>
      </c>
      <c r="S274" s="40">
        <f t="shared" si="281"/>
        <v>0</v>
      </c>
      <c r="T274" s="40" t="str">
        <f t="shared" si="281"/>
        <v>#DIV/0!</v>
      </c>
    </row>
    <row r="275" ht="15.75" customHeight="1">
      <c r="F275" s="24"/>
      <c r="G275" s="19">
        <f>$G$15</f>
        <v>7</v>
      </c>
      <c r="H275" s="20">
        <v>8.0</v>
      </c>
      <c r="I275" s="20">
        <v>4.0</v>
      </c>
      <c r="J275" s="20">
        <v>0.0</v>
      </c>
      <c r="K275" s="20">
        <v>0.0</v>
      </c>
      <c r="L275" s="20">
        <v>0.0</v>
      </c>
      <c r="N275" s="23"/>
      <c r="O275" s="19">
        <f>$G$15</f>
        <v>7</v>
      </c>
      <c r="P275" s="40">
        <f t="shared" ref="P275:T275" si="282">H275/H$292</f>
        <v>0.05555555556</v>
      </c>
      <c r="Q275" s="40">
        <f t="shared" si="282"/>
        <v>0.07547169811</v>
      </c>
      <c r="R275" s="40" t="str">
        <f t="shared" si="282"/>
        <v>#DIV/0!</v>
      </c>
      <c r="S275" s="40">
        <f t="shared" si="282"/>
        <v>0</v>
      </c>
      <c r="T275" s="40" t="str">
        <f t="shared" si="282"/>
        <v>#DIV/0!</v>
      </c>
    </row>
    <row r="276" ht="15.75" customHeight="1">
      <c r="F276" s="24"/>
      <c r="G276" s="19">
        <f>$G$16</f>
        <v>8</v>
      </c>
      <c r="H276" s="20">
        <v>9.0</v>
      </c>
      <c r="I276" s="20">
        <v>0.0</v>
      </c>
      <c r="J276" s="20">
        <v>0.0</v>
      </c>
      <c r="K276" s="20">
        <v>0.0</v>
      </c>
      <c r="L276" s="20">
        <v>0.0</v>
      </c>
      <c r="N276" s="23"/>
      <c r="O276" s="19">
        <f>$G$16</f>
        <v>8</v>
      </c>
      <c r="P276" s="40">
        <f t="shared" ref="P276:T276" si="283">H276/H$292</f>
        <v>0.0625</v>
      </c>
      <c r="Q276" s="40">
        <f t="shared" si="283"/>
        <v>0</v>
      </c>
      <c r="R276" s="40" t="str">
        <f t="shared" si="283"/>
        <v>#DIV/0!</v>
      </c>
      <c r="S276" s="40">
        <f t="shared" si="283"/>
        <v>0</v>
      </c>
      <c r="T276" s="40" t="str">
        <f t="shared" si="283"/>
        <v>#DIV/0!</v>
      </c>
    </row>
    <row r="277" ht="15.75" customHeight="1">
      <c r="F277" s="24"/>
      <c r="G277" s="19">
        <f>$G$17</f>
        <v>9</v>
      </c>
      <c r="H277" s="20">
        <v>3.0</v>
      </c>
      <c r="I277" s="20">
        <v>2.0</v>
      </c>
      <c r="J277" s="20">
        <v>0.0</v>
      </c>
      <c r="K277" s="20">
        <v>1.0</v>
      </c>
      <c r="L277" s="20">
        <v>0.0</v>
      </c>
      <c r="N277" s="23"/>
      <c r="O277" s="19">
        <f>$G$17</f>
        <v>9</v>
      </c>
      <c r="P277" s="40">
        <f t="shared" ref="P277:T277" si="284">H277/H$292</f>
        <v>0.02083333333</v>
      </c>
      <c r="Q277" s="40">
        <f t="shared" si="284"/>
        <v>0.03773584906</v>
      </c>
      <c r="R277" s="40" t="str">
        <f t="shared" si="284"/>
        <v>#DIV/0!</v>
      </c>
      <c r="S277" s="40">
        <f t="shared" si="284"/>
        <v>0.3333333333</v>
      </c>
      <c r="T277" s="40" t="str">
        <f t="shared" si="284"/>
        <v>#DIV/0!</v>
      </c>
    </row>
    <row r="278" ht="15.75" customHeight="1">
      <c r="F278" s="24"/>
      <c r="G278" s="19">
        <f>$G$18</f>
        <v>10</v>
      </c>
      <c r="H278" s="20">
        <v>4.0</v>
      </c>
      <c r="I278" s="20">
        <v>3.0</v>
      </c>
      <c r="J278" s="20">
        <v>0.0</v>
      </c>
      <c r="K278" s="20">
        <v>0.0</v>
      </c>
      <c r="L278" s="20">
        <v>0.0</v>
      </c>
      <c r="N278" s="23"/>
      <c r="O278" s="19">
        <f>$G$18</f>
        <v>10</v>
      </c>
      <c r="P278" s="40">
        <f t="shared" ref="P278:T278" si="285">H278/H$292</f>
        <v>0.02777777778</v>
      </c>
      <c r="Q278" s="40">
        <f t="shared" si="285"/>
        <v>0.05660377358</v>
      </c>
      <c r="R278" s="40" t="str">
        <f t="shared" si="285"/>
        <v>#DIV/0!</v>
      </c>
      <c r="S278" s="40">
        <f t="shared" si="285"/>
        <v>0</v>
      </c>
      <c r="T278" s="40" t="str">
        <f t="shared" si="285"/>
        <v>#DIV/0!</v>
      </c>
    </row>
    <row r="279" ht="15.75" customHeight="1">
      <c r="F279" s="24"/>
      <c r="G279" s="19">
        <f>$G$19</f>
        <v>11</v>
      </c>
      <c r="H279" s="20">
        <v>9.0</v>
      </c>
      <c r="I279" s="20">
        <v>1.0</v>
      </c>
      <c r="J279" s="20">
        <v>0.0</v>
      </c>
      <c r="K279" s="20">
        <v>0.0</v>
      </c>
      <c r="L279" s="20">
        <v>0.0</v>
      </c>
      <c r="N279" s="23"/>
      <c r="O279" s="19">
        <f>$G$19</f>
        <v>11</v>
      </c>
      <c r="P279" s="40">
        <f t="shared" ref="P279:T279" si="286">H279/H$292</f>
        <v>0.0625</v>
      </c>
      <c r="Q279" s="40">
        <f t="shared" si="286"/>
        <v>0.01886792453</v>
      </c>
      <c r="R279" s="40" t="str">
        <f t="shared" si="286"/>
        <v>#DIV/0!</v>
      </c>
      <c r="S279" s="40">
        <f t="shared" si="286"/>
        <v>0</v>
      </c>
      <c r="T279" s="40" t="str">
        <f t="shared" si="286"/>
        <v>#DIV/0!</v>
      </c>
    </row>
    <row r="280" ht="15.75" customHeight="1">
      <c r="F280" s="24"/>
      <c r="G280" s="19">
        <f>$G$20</f>
        <v>12</v>
      </c>
      <c r="H280" s="20">
        <v>7.0</v>
      </c>
      <c r="I280" s="20">
        <v>7.0</v>
      </c>
      <c r="J280" s="20">
        <v>0.0</v>
      </c>
      <c r="K280" s="20">
        <v>0.0</v>
      </c>
      <c r="L280" s="20">
        <v>0.0</v>
      </c>
      <c r="N280" s="23"/>
      <c r="O280" s="19">
        <f>$G$20</f>
        <v>12</v>
      </c>
      <c r="P280" s="40">
        <f t="shared" ref="P280:T280" si="287">H280/H$292</f>
        <v>0.04861111111</v>
      </c>
      <c r="Q280" s="40">
        <f t="shared" si="287"/>
        <v>0.1320754717</v>
      </c>
      <c r="R280" s="40" t="str">
        <f t="shared" si="287"/>
        <v>#DIV/0!</v>
      </c>
      <c r="S280" s="40">
        <f t="shared" si="287"/>
        <v>0</v>
      </c>
      <c r="T280" s="40" t="str">
        <f t="shared" si="287"/>
        <v>#DIV/0!</v>
      </c>
    </row>
    <row r="281" ht="15.75" customHeight="1">
      <c r="F281" s="24"/>
      <c r="G281" s="19">
        <f>$G$21</f>
        <v>13</v>
      </c>
      <c r="H281" s="20">
        <v>10.0</v>
      </c>
      <c r="I281" s="20">
        <v>1.0</v>
      </c>
      <c r="J281" s="20">
        <v>0.0</v>
      </c>
      <c r="K281" s="20">
        <v>0.0</v>
      </c>
      <c r="L281" s="20">
        <v>0.0</v>
      </c>
      <c r="N281" s="23"/>
      <c r="O281" s="19">
        <f>$G$21</f>
        <v>13</v>
      </c>
      <c r="P281" s="40">
        <f t="shared" ref="P281:T281" si="288">H281/H$292</f>
        <v>0.06944444444</v>
      </c>
      <c r="Q281" s="40">
        <f t="shared" si="288"/>
        <v>0.01886792453</v>
      </c>
      <c r="R281" s="40" t="str">
        <f t="shared" si="288"/>
        <v>#DIV/0!</v>
      </c>
      <c r="S281" s="40">
        <f t="shared" si="288"/>
        <v>0</v>
      </c>
      <c r="T281" s="40" t="str">
        <f t="shared" si="288"/>
        <v>#DIV/0!</v>
      </c>
    </row>
    <row r="282" ht="15.75" customHeight="1">
      <c r="F282" s="24"/>
      <c r="G282" s="19">
        <f>$G$22</f>
        <v>14</v>
      </c>
      <c r="H282" s="20">
        <v>7.0</v>
      </c>
      <c r="I282" s="20">
        <v>2.0</v>
      </c>
      <c r="J282" s="20">
        <v>0.0</v>
      </c>
      <c r="K282" s="20">
        <v>0.0</v>
      </c>
      <c r="L282" s="20">
        <v>0.0</v>
      </c>
      <c r="N282" s="23"/>
      <c r="O282" s="19">
        <f>$G$22</f>
        <v>14</v>
      </c>
      <c r="P282" s="40">
        <f t="shared" ref="P282:T282" si="289">H282/H$292</f>
        <v>0.04861111111</v>
      </c>
      <c r="Q282" s="40">
        <f t="shared" si="289"/>
        <v>0.03773584906</v>
      </c>
      <c r="R282" s="40" t="str">
        <f t="shared" si="289"/>
        <v>#DIV/0!</v>
      </c>
      <c r="S282" s="40">
        <f t="shared" si="289"/>
        <v>0</v>
      </c>
      <c r="T282" s="40" t="str">
        <f t="shared" si="289"/>
        <v>#DIV/0!</v>
      </c>
    </row>
    <row r="283" ht="15.75" customHeight="1">
      <c r="F283" s="24"/>
      <c r="G283" s="19">
        <f>$G$23</f>
        <v>15</v>
      </c>
      <c r="H283" s="20">
        <v>6.0</v>
      </c>
      <c r="I283" s="20">
        <v>6.0</v>
      </c>
      <c r="J283" s="20">
        <v>0.0</v>
      </c>
      <c r="K283" s="20">
        <v>0.0</v>
      </c>
      <c r="L283" s="20">
        <v>0.0</v>
      </c>
      <c r="N283" s="23"/>
      <c r="O283" s="19">
        <f>$G$23</f>
        <v>15</v>
      </c>
      <c r="P283" s="40">
        <f t="shared" ref="P283:T283" si="290">H283/H$292</f>
        <v>0.04166666667</v>
      </c>
      <c r="Q283" s="40">
        <f t="shared" si="290"/>
        <v>0.1132075472</v>
      </c>
      <c r="R283" s="40" t="str">
        <f t="shared" si="290"/>
        <v>#DIV/0!</v>
      </c>
      <c r="S283" s="40">
        <f t="shared" si="290"/>
        <v>0</v>
      </c>
      <c r="T283" s="40" t="str">
        <f t="shared" si="290"/>
        <v>#DIV/0!</v>
      </c>
    </row>
    <row r="284" ht="15.75" customHeight="1">
      <c r="F284" s="24"/>
      <c r="G284" s="19">
        <f>$G$24</f>
        <v>16</v>
      </c>
      <c r="H284" s="20">
        <v>18.0</v>
      </c>
      <c r="I284" s="20">
        <v>5.0</v>
      </c>
      <c r="J284" s="20">
        <v>0.0</v>
      </c>
      <c r="K284" s="20">
        <v>0.0</v>
      </c>
      <c r="L284" s="20">
        <v>0.0</v>
      </c>
      <c r="N284" s="23"/>
      <c r="O284" s="19">
        <f>$G$24</f>
        <v>16</v>
      </c>
      <c r="P284" s="40">
        <f t="shared" ref="P284:T284" si="291">H284/H$292</f>
        <v>0.125</v>
      </c>
      <c r="Q284" s="40">
        <f t="shared" si="291"/>
        <v>0.09433962264</v>
      </c>
      <c r="R284" s="40" t="str">
        <f t="shared" si="291"/>
        <v>#DIV/0!</v>
      </c>
      <c r="S284" s="40">
        <f t="shared" si="291"/>
        <v>0</v>
      </c>
      <c r="T284" s="40" t="str">
        <f t="shared" si="291"/>
        <v>#DIV/0!</v>
      </c>
    </row>
    <row r="285" ht="15.75" customHeight="1">
      <c r="F285" s="24"/>
      <c r="G285" s="19">
        <f>$G$25</f>
        <v>17</v>
      </c>
      <c r="H285" s="20">
        <v>18.0</v>
      </c>
      <c r="I285" s="20">
        <v>4.0</v>
      </c>
      <c r="J285" s="20">
        <v>0.0</v>
      </c>
      <c r="K285" s="20">
        <v>0.0</v>
      </c>
      <c r="L285" s="20">
        <v>0.0</v>
      </c>
      <c r="N285" s="23"/>
      <c r="O285" s="19">
        <f>$G$25</f>
        <v>17</v>
      </c>
      <c r="P285" s="40">
        <f t="shared" ref="P285:T285" si="292">H285/H$292</f>
        <v>0.125</v>
      </c>
      <c r="Q285" s="40">
        <f t="shared" si="292"/>
        <v>0.07547169811</v>
      </c>
      <c r="R285" s="40" t="str">
        <f t="shared" si="292"/>
        <v>#DIV/0!</v>
      </c>
      <c r="S285" s="40">
        <f t="shared" si="292"/>
        <v>0</v>
      </c>
      <c r="T285" s="40" t="str">
        <f t="shared" si="292"/>
        <v>#DIV/0!</v>
      </c>
    </row>
    <row r="286" ht="15.75" customHeight="1">
      <c r="F286" s="24"/>
      <c r="G286" s="19">
        <f>$G$26</f>
        <v>18</v>
      </c>
      <c r="H286" s="20">
        <v>8.0</v>
      </c>
      <c r="I286" s="20">
        <v>3.0</v>
      </c>
      <c r="J286" s="20">
        <v>0.0</v>
      </c>
      <c r="K286" s="20">
        <v>0.0</v>
      </c>
      <c r="L286" s="20">
        <v>0.0</v>
      </c>
      <c r="N286" s="23"/>
      <c r="O286" s="19">
        <f>$G$26</f>
        <v>18</v>
      </c>
      <c r="P286" s="40">
        <f t="shared" ref="P286:T286" si="293">H286/H$292</f>
        <v>0.05555555556</v>
      </c>
      <c r="Q286" s="40">
        <f t="shared" si="293"/>
        <v>0.05660377358</v>
      </c>
      <c r="R286" s="40" t="str">
        <f t="shared" si="293"/>
        <v>#DIV/0!</v>
      </c>
      <c r="S286" s="40">
        <f t="shared" si="293"/>
        <v>0</v>
      </c>
      <c r="T286" s="40" t="str">
        <f t="shared" si="293"/>
        <v>#DIV/0!</v>
      </c>
    </row>
    <row r="287" ht="15.75" customHeight="1">
      <c r="F287" s="24"/>
      <c r="G287" s="19">
        <f>$G$27</f>
        <v>19</v>
      </c>
      <c r="H287" s="20">
        <v>5.0</v>
      </c>
      <c r="I287" s="20">
        <v>4.0</v>
      </c>
      <c r="J287" s="20">
        <v>0.0</v>
      </c>
      <c r="K287" s="20">
        <v>1.0</v>
      </c>
      <c r="L287" s="20">
        <v>0.0</v>
      </c>
      <c r="N287" s="23"/>
      <c r="O287" s="19">
        <f>$G$27</f>
        <v>19</v>
      </c>
      <c r="P287" s="40">
        <f t="shared" ref="P287:T287" si="294">H287/H$292</f>
        <v>0.03472222222</v>
      </c>
      <c r="Q287" s="40">
        <f t="shared" si="294"/>
        <v>0.07547169811</v>
      </c>
      <c r="R287" s="40" t="str">
        <f t="shared" si="294"/>
        <v>#DIV/0!</v>
      </c>
      <c r="S287" s="40">
        <f t="shared" si="294"/>
        <v>0.3333333333</v>
      </c>
      <c r="T287" s="40" t="str">
        <f t="shared" si="294"/>
        <v>#DIV/0!</v>
      </c>
    </row>
    <row r="288" ht="15.75" customHeight="1">
      <c r="F288" s="24"/>
      <c r="G288" s="19">
        <f>$G$28</f>
        <v>20</v>
      </c>
      <c r="H288" s="20">
        <v>9.0</v>
      </c>
      <c r="I288" s="20">
        <v>5.0</v>
      </c>
      <c r="J288" s="20">
        <v>0.0</v>
      </c>
      <c r="K288" s="20">
        <v>0.0</v>
      </c>
      <c r="L288" s="20">
        <v>0.0</v>
      </c>
      <c r="N288" s="23"/>
      <c r="O288" s="19">
        <f>$G$28</f>
        <v>20</v>
      </c>
      <c r="P288" s="40">
        <f t="shared" ref="P288:T288" si="295">H288/H$292</f>
        <v>0.0625</v>
      </c>
      <c r="Q288" s="40">
        <f t="shared" si="295"/>
        <v>0.09433962264</v>
      </c>
      <c r="R288" s="40" t="str">
        <f t="shared" si="295"/>
        <v>#DIV/0!</v>
      </c>
      <c r="S288" s="40">
        <f t="shared" si="295"/>
        <v>0</v>
      </c>
      <c r="T288" s="40" t="str">
        <f t="shared" si="295"/>
        <v>#DIV/0!</v>
      </c>
    </row>
    <row r="289" ht="15.75" customHeight="1">
      <c r="F289" s="24"/>
      <c r="G289" s="19">
        <f>$G$29</f>
        <v>21</v>
      </c>
      <c r="H289" s="20">
        <v>3.0</v>
      </c>
      <c r="I289" s="20">
        <v>2.0</v>
      </c>
      <c r="J289" s="20">
        <v>0.0</v>
      </c>
      <c r="K289" s="20">
        <v>1.0</v>
      </c>
      <c r="L289" s="20">
        <v>0.0</v>
      </c>
      <c r="N289" s="23"/>
      <c r="O289" s="19">
        <f>$G$29</f>
        <v>21</v>
      </c>
      <c r="P289" s="40">
        <f t="shared" ref="P289:T289" si="296">H289/H$292</f>
        <v>0.02083333333</v>
      </c>
      <c r="Q289" s="40">
        <f t="shared" si="296"/>
        <v>0.03773584906</v>
      </c>
      <c r="R289" s="40" t="str">
        <f t="shared" si="296"/>
        <v>#DIV/0!</v>
      </c>
      <c r="S289" s="40">
        <f t="shared" si="296"/>
        <v>0.3333333333</v>
      </c>
      <c r="T289" s="40" t="str">
        <f t="shared" si="296"/>
        <v>#DIV/0!</v>
      </c>
    </row>
    <row r="290" ht="15.75" customHeight="1">
      <c r="F290" s="24"/>
      <c r="G290" s="19">
        <f>$G$30</f>
        <v>22</v>
      </c>
      <c r="H290" s="20">
        <v>4.0</v>
      </c>
      <c r="I290" s="20">
        <v>1.0</v>
      </c>
      <c r="J290" s="20">
        <v>0.0</v>
      </c>
      <c r="K290" s="20">
        <v>0.0</v>
      </c>
      <c r="L290" s="20">
        <v>0.0</v>
      </c>
      <c r="N290" s="23"/>
      <c r="O290" s="19">
        <f>$G$30</f>
        <v>22</v>
      </c>
      <c r="P290" s="40">
        <f t="shared" ref="P290:T290" si="297">H290/H$292</f>
        <v>0.02777777778</v>
      </c>
      <c r="Q290" s="40">
        <f t="shared" si="297"/>
        <v>0.01886792453</v>
      </c>
      <c r="R290" s="40" t="str">
        <f t="shared" si="297"/>
        <v>#DIV/0!</v>
      </c>
      <c r="S290" s="40">
        <f t="shared" si="297"/>
        <v>0</v>
      </c>
      <c r="T290" s="40" t="str">
        <f t="shared" si="297"/>
        <v>#DIV/0!</v>
      </c>
    </row>
    <row r="291" ht="15.75" customHeight="1">
      <c r="F291" s="28"/>
      <c r="G291" s="71">
        <f>$G$31</f>
        <v>23</v>
      </c>
      <c r="H291" s="20">
        <v>3.0</v>
      </c>
      <c r="I291" s="20">
        <v>1.0</v>
      </c>
      <c r="J291" s="20">
        <v>0.0</v>
      </c>
      <c r="K291" s="20">
        <v>0.0</v>
      </c>
      <c r="L291" s="20">
        <v>0.0</v>
      </c>
      <c r="N291" s="27"/>
      <c r="O291" s="19">
        <f>$G$31</f>
        <v>23</v>
      </c>
      <c r="P291" s="40">
        <f t="shared" ref="P291:T291" si="298">H291/H$292</f>
        <v>0.02083333333</v>
      </c>
      <c r="Q291" s="40">
        <f t="shared" si="298"/>
        <v>0.01886792453</v>
      </c>
      <c r="R291" s="40" t="str">
        <f t="shared" si="298"/>
        <v>#DIV/0!</v>
      </c>
      <c r="S291" s="40">
        <f t="shared" si="298"/>
        <v>0</v>
      </c>
      <c r="T291" s="40" t="str">
        <f t="shared" si="298"/>
        <v>#DIV/0!</v>
      </c>
    </row>
    <row r="292" ht="15.75" customHeight="1">
      <c r="F292" s="41"/>
      <c r="G292" s="41"/>
      <c r="H292" s="26">
        <f t="shared" ref="H292:L292" si="299">SUM(H268:H291)</f>
        <v>144</v>
      </c>
      <c r="I292" s="26">
        <f t="shared" si="299"/>
        <v>53</v>
      </c>
      <c r="J292" s="26">
        <f t="shared" si="299"/>
        <v>0</v>
      </c>
      <c r="K292" s="26">
        <f t="shared" si="299"/>
        <v>3</v>
      </c>
      <c r="L292" s="26">
        <f t="shared" si="299"/>
        <v>0</v>
      </c>
      <c r="N292" s="41"/>
    </row>
    <row r="293" ht="15.75" customHeight="1">
      <c r="G293" s="16"/>
      <c r="H293" s="17">
        <f>$H$7</f>
        <v>31</v>
      </c>
      <c r="I293" s="17">
        <f>$I$7</f>
        <v>32</v>
      </c>
      <c r="J293" s="17">
        <f>$J$7</f>
        <v>41</v>
      </c>
      <c r="K293" s="17">
        <f>$K$7</f>
        <v>42</v>
      </c>
      <c r="L293" s="17">
        <f>$L$7</f>
        <v>5</v>
      </c>
      <c r="O293" s="16"/>
      <c r="P293" s="17">
        <f>$H$7</f>
        <v>31</v>
      </c>
      <c r="Q293" s="17">
        <f>$I$7</f>
        <v>32</v>
      </c>
      <c r="R293" s="17">
        <f>$J$7</f>
        <v>41</v>
      </c>
      <c r="S293" s="17">
        <f>$K$7</f>
        <v>42</v>
      </c>
      <c r="T293" s="17">
        <f>$L$7</f>
        <v>5</v>
      </c>
    </row>
    <row r="294" ht="15.75" customHeight="1">
      <c r="F294" s="39">
        <v>45205.0</v>
      </c>
      <c r="G294" s="19">
        <f>$G$8</f>
        <v>0</v>
      </c>
      <c r="H294" s="19">
        <v>3.0</v>
      </c>
      <c r="I294" s="19">
        <v>1.0</v>
      </c>
      <c r="J294" s="19">
        <v>0.0</v>
      </c>
      <c r="K294" s="19">
        <v>0.0</v>
      </c>
      <c r="L294" s="19">
        <v>0.0</v>
      </c>
      <c r="N294" s="39">
        <v>45205.0</v>
      </c>
      <c r="O294" s="19">
        <f>$G$8</f>
        <v>0</v>
      </c>
      <c r="P294" s="44">
        <f t="shared" ref="P294:T294" si="300">H294/H$318</f>
        <v>0.009259259259</v>
      </c>
      <c r="Q294" s="44">
        <f t="shared" si="300"/>
        <v>0.009259259259</v>
      </c>
      <c r="R294" s="44">
        <f t="shared" si="300"/>
        <v>0</v>
      </c>
      <c r="S294" s="44">
        <f t="shared" si="300"/>
        <v>0</v>
      </c>
      <c r="T294" s="44">
        <f t="shared" si="300"/>
        <v>0</v>
      </c>
    </row>
    <row r="295" ht="15.75" customHeight="1">
      <c r="F295" s="24"/>
      <c r="G295" s="19">
        <f>$G$9</f>
        <v>1</v>
      </c>
      <c r="H295" s="27">
        <v>2.0</v>
      </c>
      <c r="I295" s="27">
        <v>0.0</v>
      </c>
      <c r="J295" s="27">
        <v>0.0</v>
      </c>
      <c r="K295" s="27">
        <v>0.0</v>
      </c>
      <c r="L295" s="27">
        <v>0.0</v>
      </c>
      <c r="N295" s="23"/>
      <c r="O295" s="19">
        <f>$G$9</f>
        <v>1</v>
      </c>
      <c r="P295" s="44">
        <f t="shared" ref="P295:T295" si="301">H295/H$318</f>
        <v>0.006172839506</v>
      </c>
      <c r="Q295" s="44">
        <f t="shared" si="301"/>
        <v>0</v>
      </c>
      <c r="R295" s="44">
        <f t="shared" si="301"/>
        <v>0</v>
      </c>
      <c r="S295" s="44">
        <f t="shared" si="301"/>
        <v>0</v>
      </c>
      <c r="T295" s="44">
        <f t="shared" si="301"/>
        <v>0</v>
      </c>
    </row>
    <row r="296" ht="15.75" customHeight="1">
      <c r="F296" s="24"/>
      <c r="G296" s="19">
        <f>$G$10</f>
        <v>2</v>
      </c>
      <c r="H296" s="45">
        <v>1.0</v>
      </c>
      <c r="I296" s="45">
        <v>0.0</v>
      </c>
      <c r="J296" s="45">
        <v>0.0</v>
      </c>
      <c r="K296" s="45">
        <v>0.0</v>
      </c>
      <c r="L296" s="45">
        <v>0.0</v>
      </c>
      <c r="N296" s="23"/>
      <c r="O296" s="19">
        <f>$G$10</f>
        <v>2</v>
      </c>
      <c r="P296" s="44">
        <f t="shared" ref="P296:T296" si="302">H296/H$318</f>
        <v>0.003086419753</v>
      </c>
      <c r="Q296" s="44">
        <f t="shared" si="302"/>
        <v>0</v>
      </c>
      <c r="R296" s="44">
        <f t="shared" si="302"/>
        <v>0</v>
      </c>
      <c r="S296" s="44">
        <f t="shared" si="302"/>
        <v>0</v>
      </c>
      <c r="T296" s="44">
        <f t="shared" si="302"/>
        <v>0</v>
      </c>
    </row>
    <row r="297" ht="15.75" customHeight="1">
      <c r="F297" s="24"/>
      <c r="G297" s="19">
        <f>$G$11</f>
        <v>3</v>
      </c>
      <c r="H297" s="45">
        <v>0.0</v>
      </c>
      <c r="I297" s="45">
        <v>0.0</v>
      </c>
      <c r="J297" s="45">
        <v>0.0</v>
      </c>
      <c r="K297" s="45">
        <v>0.0</v>
      </c>
      <c r="L297" s="45">
        <v>0.0</v>
      </c>
      <c r="N297" s="23"/>
      <c r="O297" s="19">
        <f>$G$11</f>
        <v>3</v>
      </c>
      <c r="P297" s="44">
        <f t="shared" ref="P297:T297" si="303">H297/H$318</f>
        <v>0</v>
      </c>
      <c r="Q297" s="44">
        <f t="shared" si="303"/>
        <v>0</v>
      </c>
      <c r="R297" s="44">
        <f t="shared" si="303"/>
        <v>0</v>
      </c>
      <c r="S297" s="44">
        <f t="shared" si="303"/>
        <v>0</v>
      </c>
      <c r="T297" s="44">
        <f t="shared" si="303"/>
        <v>0</v>
      </c>
    </row>
    <row r="298" ht="15.75" customHeight="1">
      <c r="F298" s="24"/>
      <c r="G298" s="19">
        <f>$G$12</f>
        <v>4</v>
      </c>
      <c r="H298" s="45">
        <v>2.0</v>
      </c>
      <c r="I298" s="45">
        <v>1.0</v>
      </c>
      <c r="J298" s="45">
        <v>0.0</v>
      </c>
      <c r="K298" s="45">
        <v>0.0</v>
      </c>
      <c r="L298" s="45">
        <v>0.0</v>
      </c>
      <c r="N298" s="23"/>
      <c r="O298" s="19">
        <f>$G$12</f>
        <v>4</v>
      </c>
      <c r="P298" s="44">
        <f t="shared" ref="P298:T298" si="304">H298/H$318</f>
        <v>0.006172839506</v>
      </c>
      <c r="Q298" s="44">
        <f t="shared" si="304"/>
        <v>0.009259259259</v>
      </c>
      <c r="R298" s="44">
        <f t="shared" si="304"/>
        <v>0</v>
      </c>
      <c r="S298" s="44">
        <f t="shared" si="304"/>
        <v>0</v>
      </c>
      <c r="T298" s="44">
        <f t="shared" si="304"/>
        <v>0</v>
      </c>
    </row>
    <row r="299" ht="15.75" customHeight="1">
      <c r="F299" s="24"/>
      <c r="G299" s="19">
        <f>$G$13</f>
        <v>5</v>
      </c>
      <c r="H299" s="45">
        <v>2.0</v>
      </c>
      <c r="I299" s="45">
        <v>0.0</v>
      </c>
      <c r="J299" s="45">
        <v>0.0</v>
      </c>
      <c r="K299" s="45">
        <v>1.0</v>
      </c>
      <c r="L299" s="45">
        <v>0.0</v>
      </c>
      <c r="N299" s="23"/>
      <c r="O299" s="19">
        <f>$G$13</f>
        <v>5</v>
      </c>
      <c r="P299" s="44">
        <f t="shared" ref="P299:T299" si="305">H299/H$318</f>
        <v>0.006172839506</v>
      </c>
      <c r="Q299" s="44">
        <f t="shared" si="305"/>
        <v>0</v>
      </c>
      <c r="R299" s="44">
        <f t="shared" si="305"/>
        <v>0</v>
      </c>
      <c r="S299" s="44">
        <f t="shared" si="305"/>
        <v>0.125</v>
      </c>
      <c r="T299" s="44">
        <f t="shared" si="305"/>
        <v>0</v>
      </c>
    </row>
    <row r="300" ht="15.75" customHeight="1">
      <c r="F300" s="24"/>
      <c r="G300" s="19">
        <f>$G$14</f>
        <v>6</v>
      </c>
      <c r="H300" s="45">
        <v>11.0</v>
      </c>
      <c r="I300" s="45">
        <v>2.0</v>
      </c>
      <c r="J300" s="45">
        <v>0.0</v>
      </c>
      <c r="K300" s="45">
        <v>0.0</v>
      </c>
      <c r="L300" s="45">
        <v>1.0</v>
      </c>
      <c r="N300" s="23"/>
      <c r="O300" s="19">
        <f>$G$14</f>
        <v>6</v>
      </c>
      <c r="P300" s="44">
        <f t="shared" ref="P300:T300" si="306">H300/H$318</f>
        <v>0.03395061728</v>
      </c>
      <c r="Q300" s="44">
        <f t="shared" si="306"/>
        <v>0.01851851852</v>
      </c>
      <c r="R300" s="44">
        <f t="shared" si="306"/>
        <v>0</v>
      </c>
      <c r="S300" s="44">
        <f t="shared" si="306"/>
        <v>0</v>
      </c>
      <c r="T300" s="44">
        <f t="shared" si="306"/>
        <v>0.03125</v>
      </c>
    </row>
    <row r="301" ht="15.75" customHeight="1">
      <c r="F301" s="24"/>
      <c r="G301" s="19">
        <f>$G$15</f>
        <v>7</v>
      </c>
      <c r="H301" s="45">
        <v>36.0</v>
      </c>
      <c r="I301" s="45">
        <v>8.0</v>
      </c>
      <c r="J301" s="45">
        <v>1.0</v>
      </c>
      <c r="K301" s="45">
        <v>0.0</v>
      </c>
      <c r="L301" s="45">
        <v>0.0</v>
      </c>
      <c r="N301" s="23"/>
      <c r="O301" s="19">
        <f>$G$15</f>
        <v>7</v>
      </c>
      <c r="P301" s="44">
        <f t="shared" ref="P301:T301" si="307">H301/H$318</f>
        <v>0.1111111111</v>
      </c>
      <c r="Q301" s="44">
        <f t="shared" si="307"/>
        <v>0.07407407407</v>
      </c>
      <c r="R301" s="44">
        <f t="shared" si="307"/>
        <v>0.5</v>
      </c>
      <c r="S301" s="44">
        <f t="shared" si="307"/>
        <v>0</v>
      </c>
      <c r="T301" s="44">
        <f t="shared" si="307"/>
        <v>0</v>
      </c>
    </row>
    <row r="302" ht="15.75" customHeight="1">
      <c r="F302" s="24"/>
      <c r="G302" s="19">
        <f>$G$16</f>
        <v>8</v>
      </c>
      <c r="H302" s="45">
        <v>16.0</v>
      </c>
      <c r="I302" s="45">
        <v>9.0</v>
      </c>
      <c r="J302" s="45">
        <v>0.0</v>
      </c>
      <c r="K302" s="45">
        <v>0.0</v>
      </c>
      <c r="L302" s="45">
        <v>4.0</v>
      </c>
      <c r="N302" s="23"/>
      <c r="O302" s="19">
        <f>$G$16</f>
        <v>8</v>
      </c>
      <c r="P302" s="44">
        <f t="shared" ref="P302:T302" si="308">H302/H$318</f>
        <v>0.04938271605</v>
      </c>
      <c r="Q302" s="44">
        <f t="shared" si="308"/>
        <v>0.08333333333</v>
      </c>
      <c r="R302" s="44">
        <f t="shared" si="308"/>
        <v>0</v>
      </c>
      <c r="S302" s="44">
        <f t="shared" si="308"/>
        <v>0</v>
      </c>
      <c r="T302" s="44">
        <f t="shared" si="308"/>
        <v>0.125</v>
      </c>
    </row>
    <row r="303" ht="15.75" customHeight="1">
      <c r="F303" s="24"/>
      <c r="G303" s="19">
        <f>$G$17</f>
        <v>9</v>
      </c>
      <c r="H303" s="45">
        <v>14.0</v>
      </c>
      <c r="I303" s="45">
        <v>5.0</v>
      </c>
      <c r="J303" s="45">
        <v>0.0</v>
      </c>
      <c r="K303" s="45">
        <v>0.0</v>
      </c>
      <c r="L303" s="45">
        <v>3.0</v>
      </c>
      <c r="N303" s="23"/>
      <c r="O303" s="19">
        <f>$G$17</f>
        <v>9</v>
      </c>
      <c r="P303" s="44">
        <f t="shared" ref="P303:T303" si="309">H303/H$318</f>
        <v>0.04320987654</v>
      </c>
      <c r="Q303" s="44">
        <f t="shared" si="309"/>
        <v>0.0462962963</v>
      </c>
      <c r="R303" s="44">
        <f t="shared" si="309"/>
        <v>0</v>
      </c>
      <c r="S303" s="44">
        <f t="shared" si="309"/>
        <v>0</v>
      </c>
      <c r="T303" s="44">
        <f t="shared" si="309"/>
        <v>0.09375</v>
      </c>
    </row>
    <row r="304" ht="15.75" customHeight="1">
      <c r="F304" s="24"/>
      <c r="G304" s="19">
        <f>$G$18</f>
        <v>10</v>
      </c>
      <c r="H304" s="45">
        <v>13.0</v>
      </c>
      <c r="I304" s="45">
        <v>5.0</v>
      </c>
      <c r="J304" s="45">
        <v>0.0</v>
      </c>
      <c r="K304" s="45">
        <v>0.0</v>
      </c>
      <c r="L304" s="45">
        <v>4.0</v>
      </c>
      <c r="N304" s="23"/>
      <c r="O304" s="19">
        <f>$G$18</f>
        <v>10</v>
      </c>
      <c r="P304" s="44">
        <f t="shared" ref="P304:T304" si="310">H304/H$318</f>
        <v>0.04012345679</v>
      </c>
      <c r="Q304" s="44">
        <f t="shared" si="310"/>
        <v>0.0462962963</v>
      </c>
      <c r="R304" s="44">
        <f t="shared" si="310"/>
        <v>0</v>
      </c>
      <c r="S304" s="44">
        <f t="shared" si="310"/>
        <v>0</v>
      </c>
      <c r="T304" s="44">
        <f t="shared" si="310"/>
        <v>0.125</v>
      </c>
    </row>
    <row r="305" ht="15.75" customHeight="1">
      <c r="F305" s="24"/>
      <c r="G305" s="19">
        <f>$G$19</f>
        <v>11</v>
      </c>
      <c r="H305" s="45">
        <v>20.0</v>
      </c>
      <c r="I305" s="45">
        <v>5.0</v>
      </c>
      <c r="J305" s="45">
        <v>0.0</v>
      </c>
      <c r="K305" s="45">
        <v>1.0</v>
      </c>
      <c r="L305" s="45">
        <v>4.0</v>
      </c>
      <c r="N305" s="23"/>
      <c r="O305" s="19">
        <f>$G$19</f>
        <v>11</v>
      </c>
      <c r="P305" s="44">
        <f t="shared" ref="P305:T305" si="311">H305/H$318</f>
        <v>0.06172839506</v>
      </c>
      <c r="Q305" s="44">
        <f t="shared" si="311"/>
        <v>0.0462962963</v>
      </c>
      <c r="R305" s="44">
        <f t="shared" si="311"/>
        <v>0</v>
      </c>
      <c r="S305" s="44">
        <f t="shared" si="311"/>
        <v>0.125</v>
      </c>
      <c r="T305" s="44">
        <f t="shared" si="311"/>
        <v>0.125</v>
      </c>
    </row>
    <row r="306" ht="15.75" customHeight="1">
      <c r="F306" s="24"/>
      <c r="G306" s="19">
        <f>$G$20</f>
        <v>12</v>
      </c>
      <c r="H306" s="45">
        <v>19.0</v>
      </c>
      <c r="I306" s="45">
        <v>8.0</v>
      </c>
      <c r="J306" s="45">
        <v>0.0</v>
      </c>
      <c r="K306" s="45">
        <v>1.0</v>
      </c>
      <c r="L306" s="45">
        <v>2.0</v>
      </c>
      <c r="N306" s="23"/>
      <c r="O306" s="19">
        <f>$G$20</f>
        <v>12</v>
      </c>
      <c r="P306" s="44">
        <f t="shared" ref="P306:T306" si="312">H306/H$318</f>
        <v>0.05864197531</v>
      </c>
      <c r="Q306" s="44">
        <f t="shared" si="312"/>
        <v>0.07407407407</v>
      </c>
      <c r="R306" s="44">
        <f t="shared" si="312"/>
        <v>0</v>
      </c>
      <c r="S306" s="44">
        <f t="shared" si="312"/>
        <v>0.125</v>
      </c>
      <c r="T306" s="44">
        <f t="shared" si="312"/>
        <v>0.0625</v>
      </c>
    </row>
    <row r="307" ht="15.75" customHeight="1">
      <c r="F307" s="24"/>
      <c r="G307" s="19">
        <f>$G$21</f>
        <v>13</v>
      </c>
      <c r="H307" s="45">
        <v>15.0</v>
      </c>
      <c r="I307" s="45">
        <v>3.0</v>
      </c>
      <c r="J307" s="45">
        <v>0.0</v>
      </c>
      <c r="K307" s="45">
        <v>1.0</v>
      </c>
      <c r="L307" s="45">
        <v>3.0</v>
      </c>
      <c r="N307" s="23"/>
      <c r="O307" s="19">
        <f>$G$21</f>
        <v>13</v>
      </c>
      <c r="P307" s="44">
        <f t="shared" ref="P307:T307" si="313">H307/H$318</f>
        <v>0.0462962963</v>
      </c>
      <c r="Q307" s="44">
        <f t="shared" si="313"/>
        <v>0.02777777778</v>
      </c>
      <c r="R307" s="44">
        <f t="shared" si="313"/>
        <v>0</v>
      </c>
      <c r="S307" s="44">
        <f t="shared" si="313"/>
        <v>0.125</v>
      </c>
      <c r="T307" s="44">
        <f t="shared" si="313"/>
        <v>0.09375</v>
      </c>
    </row>
    <row r="308" ht="15.75" customHeight="1">
      <c r="F308" s="24"/>
      <c r="G308" s="19">
        <f>$G$22</f>
        <v>14</v>
      </c>
      <c r="H308" s="45">
        <v>14.0</v>
      </c>
      <c r="I308" s="45">
        <v>2.0</v>
      </c>
      <c r="J308" s="45">
        <v>0.0</v>
      </c>
      <c r="K308" s="45">
        <v>1.0</v>
      </c>
      <c r="L308" s="45">
        <v>2.0</v>
      </c>
      <c r="N308" s="23"/>
      <c r="O308" s="19">
        <f>$G$22</f>
        <v>14</v>
      </c>
      <c r="P308" s="44">
        <f t="shared" ref="P308:T308" si="314">H308/H$318</f>
        <v>0.04320987654</v>
      </c>
      <c r="Q308" s="44">
        <f t="shared" si="314"/>
        <v>0.01851851852</v>
      </c>
      <c r="R308" s="44">
        <f t="shared" si="314"/>
        <v>0</v>
      </c>
      <c r="S308" s="44">
        <f t="shared" si="314"/>
        <v>0.125</v>
      </c>
      <c r="T308" s="44">
        <f t="shared" si="314"/>
        <v>0.0625</v>
      </c>
    </row>
    <row r="309" ht="15.75" customHeight="1">
      <c r="F309" s="24"/>
      <c r="G309" s="19">
        <f>$G$23</f>
        <v>15</v>
      </c>
      <c r="H309" s="45">
        <v>17.0</v>
      </c>
      <c r="I309" s="45">
        <v>2.0</v>
      </c>
      <c r="J309" s="45">
        <v>0.0</v>
      </c>
      <c r="K309" s="45">
        <v>0.0</v>
      </c>
      <c r="L309" s="45">
        <v>4.0</v>
      </c>
      <c r="N309" s="23"/>
      <c r="O309" s="19">
        <f>$G$23</f>
        <v>15</v>
      </c>
      <c r="P309" s="44">
        <f t="shared" ref="P309:T309" si="315">H309/H$318</f>
        <v>0.0524691358</v>
      </c>
      <c r="Q309" s="44">
        <f t="shared" si="315"/>
        <v>0.01851851852</v>
      </c>
      <c r="R309" s="44">
        <f t="shared" si="315"/>
        <v>0</v>
      </c>
      <c r="S309" s="44">
        <f t="shared" si="315"/>
        <v>0</v>
      </c>
      <c r="T309" s="44">
        <f t="shared" si="315"/>
        <v>0.125</v>
      </c>
    </row>
    <row r="310" ht="15.75" customHeight="1">
      <c r="F310" s="24"/>
      <c r="G310" s="19">
        <f>$G$24</f>
        <v>16</v>
      </c>
      <c r="H310" s="45">
        <v>23.0</v>
      </c>
      <c r="I310" s="45">
        <v>14.0</v>
      </c>
      <c r="J310" s="45">
        <v>1.0</v>
      </c>
      <c r="K310" s="45">
        <v>1.0</v>
      </c>
      <c r="L310" s="45">
        <v>1.0</v>
      </c>
      <c r="N310" s="23"/>
      <c r="O310" s="19">
        <f>$G$24</f>
        <v>16</v>
      </c>
      <c r="P310" s="44">
        <f t="shared" ref="P310:T310" si="316">H310/H$318</f>
        <v>0.07098765432</v>
      </c>
      <c r="Q310" s="44">
        <f t="shared" si="316"/>
        <v>0.1296296296</v>
      </c>
      <c r="R310" s="44">
        <f t="shared" si="316"/>
        <v>0.5</v>
      </c>
      <c r="S310" s="44">
        <f t="shared" si="316"/>
        <v>0.125</v>
      </c>
      <c r="T310" s="44">
        <f t="shared" si="316"/>
        <v>0.03125</v>
      </c>
    </row>
    <row r="311" ht="15.75" customHeight="1">
      <c r="F311" s="24"/>
      <c r="G311" s="19">
        <f>$G$25</f>
        <v>17</v>
      </c>
      <c r="H311" s="45">
        <v>32.0</v>
      </c>
      <c r="I311" s="45">
        <v>10.0</v>
      </c>
      <c r="J311" s="45">
        <v>0.0</v>
      </c>
      <c r="K311" s="45">
        <v>1.0</v>
      </c>
      <c r="L311" s="45">
        <v>2.0</v>
      </c>
      <c r="N311" s="23"/>
      <c r="O311" s="19">
        <f>$G$25</f>
        <v>17</v>
      </c>
      <c r="P311" s="44">
        <f t="shared" ref="P311:T311" si="317">H311/H$318</f>
        <v>0.0987654321</v>
      </c>
      <c r="Q311" s="44">
        <f t="shared" si="317"/>
        <v>0.09259259259</v>
      </c>
      <c r="R311" s="44">
        <f t="shared" si="317"/>
        <v>0</v>
      </c>
      <c r="S311" s="44">
        <f t="shared" si="317"/>
        <v>0.125</v>
      </c>
      <c r="T311" s="44">
        <f t="shared" si="317"/>
        <v>0.0625</v>
      </c>
    </row>
    <row r="312" ht="15.75" customHeight="1">
      <c r="F312" s="24"/>
      <c r="G312" s="19">
        <f>$G$26</f>
        <v>18</v>
      </c>
      <c r="H312" s="45">
        <v>17.0</v>
      </c>
      <c r="I312" s="45">
        <v>11.0</v>
      </c>
      <c r="J312" s="45">
        <v>0.0</v>
      </c>
      <c r="K312" s="45">
        <v>0.0</v>
      </c>
      <c r="L312" s="45">
        <v>1.0</v>
      </c>
      <c r="N312" s="23"/>
      <c r="O312" s="19">
        <f>$G$26</f>
        <v>18</v>
      </c>
      <c r="P312" s="44">
        <f t="shared" ref="P312:T312" si="318">H312/H$318</f>
        <v>0.0524691358</v>
      </c>
      <c r="Q312" s="44">
        <f t="shared" si="318"/>
        <v>0.1018518519</v>
      </c>
      <c r="R312" s="44">
        <f t="shared" si="318"/>
        <v>0</v>
      </c>
      <c r="S312" s="44">
        <f t="shared" si="318"/>
        <v>0</v>
      </c>
      <c r="T312" s="44">
        <f t="shared" si="318"/>
        <v>0.03125</v>
      </c>
    </row>
    <row r="313" ht="15.75" customHeight="1">
      <c r="F313" s="24"/>
      <c r="G313" s="19">
        <f>$G$27</f>
        <v>19</v>
      </c>
      <c r="H313" s="45">
        <v>22.0</v>
      </c>
      <c r="I313" s="45">
        <v>9.0</v>
      </c>
      <c r="J313" s="45">
        <v>0.0</v>
      </c>
      <c r="K313" s="45">
        <v>0.0</v>
      </c>
      <c r="L313" s="45">
        <v>1.0</v>
      </c>
      <c r="N313" s="23"/>
      <c r="O313" s="19">
        <f>$G$27</f>
        <v>19</v>
      </c>
      <c r="P313" s="44">
        <f t="shared" ref="P313:T313" si="319">H313/H$318</f>
        <v>0.06790123457</v>
      </c>
      <c r="Q313" s="44">
        <f t="shared" si="319"/>
        <v>0.08333333333</v>
      </c>
      <c r="R313" s="44">
        <f t="shared" si="319"/>
        <v>0</v>
      </c>
      <c r="S313" s="44">
        <f t="shared" si="319"/>
        <v>0</v>
      </c>
      <c r="T313" s="44">
        <f t="shared" si="319"/>
        <v>0.03125</v>
      </c>
    </row>
    <row r="314" ht="15.75" customHeight="1">
      <c r="F314" s="24"/>
      <c r="G314" s="19">
        <f>$G$28</f>
        <v>20</v>
      </c>
      <c r="H314" s="45">
        <v>13.0</v>
      </c>
      <c r="I314" s="45">
        <v>4.0</v>
      </c>
      <c r="J314" s="45">
        <v>0.0</v>
      </c>
      <c r="K314" s="45">
        <v>0.0</v>
      </c>
      <c r="L314" s="45">
        <v>0.0</v>
      </c>
      <c r="N314" s="23"/>
      <c r="O314" s="19">
        <f>$G$28</f>
        <v>20</v>
      </c>
      <c r="P314" s="44">
        <f t="shared" ref="P314:T314" si="320">H314/H$318</f>
        <v>0.04012345679</v>
      </c>
      <c r="Q314" s="44">
        <f t="shared" si="320"/>
        <v>0.03703703704</v>
      </c>
      <c r="R314" s="44">
        <f t="shared" si="320"/>
        <v>0</v>
      </c>
      <c r="S314" s="44">
        <f t="shared" si="320"/>
        <v>0</v>
      </c>
      <c r="T314" s="44">
        <f t="shared" si="320"/>
        <v>0</v>
      </c>
    </row>
    <row r="315" ht="15.75" customHeight="1">
      <c r="F315" s="24"/>
      <c r="G315" s="19">
        <f>$G$29</f>
        <v>21</v>
      </c>
      <c r="H315" s="45">
        <v>17.0</v>
      </c>
      <c r="I315" s="45">
        <v>6.0</v>
      </c>
      <c r="J315" s="45">
        <v>0.0</v>
      </c>
      <c r="K315" s="45">
        <v>0.0</v>
      </c>
      <c r="L315" s="45">
        <v>0.0</v>
      </c>
      <c r="N315" s="23"/>
      <c r="O315" s="19">
        <f>$G$29</f>
        <v>21</v>
      </c>
      <c r="P315" s="44">
        <f t="shared" ref="P315:T315" si="321">H315/H$318</f>
        <v>0.0524691358</v>
      </c>
      <c r="Q315" s="44">
        <f t="shared" si="321"/>
        <v>0.05555555556</v>
      </c>
      <c r="R315" s="44">
        <f t="shared" si="321"/>
        <v>0</v>
      </c>
      <c r="S315" s="44">
        <f t="shared" si="321"/>
        <v>0</v>
      </c>
      <c r="T315" s="44">
        <f t="shared" si="321"/>
        <v>0</v>
      </c>
    </row>
    <row r="316" ht="15.75" customHeight="1">
      <c r="F316" s="24"/>
      <c r="G316" s="19">
        <f>$G$30</f>
        <v>22</v>
      </c>
      <c r="H316" s="109">
        <v>8.0</v>
      </c>
      <c r="I316" s="109">
        <v>1.0</v>
      </c>
      <c r="J316" s="109">
        <v>0.0</v>
      </c>
      <c r="K316" s="109">
        <v>1.0</v>
      </c>
      <c r="L316" s="109">
        <v>0.0</v>
      </c>
      <c r="N316" s="23"/>
      <c r="O316" s="19">
        <f>$G$30</f>
        <v>22</v>
      </c>
      <c r="P316" s="44">
        <f t="shared" ref="P316:T316" si="322">H316/H$318</f>
        <v>0.02469135802</v>
      </c>
      <c r="Q316" s="44">
        <f t="shared" si="322"/>
        <v>0.009259259259</v>
      </c>
      <c r="R316" s="44">
        <f t="shared" si="322"/>
        <v>0</v>
      </c>
      <c r="S316" s="44">
        <f t="shared" si="322"/>
        <v>0.125</v>
      </c>
      <c r="T316" s="44">
        <f t="shared" si="322"/>
        <v>0</v>
      </c>
    </row>
    <row r="317" ht="15.75" customHeight="1">
      <c r="F317" s="28"/>
      <c r="G317" s="71">
        <f>$G$31</f>
        <v>23</v>
      </c>
      <c r="H317" s="46">
        <v>7.0</v>
      </c>
      <c r="I317" s="46">
        <v>2.0</v>
      </c>
      <c r="J317" s="46">
        <v>0.0</v>
      </c>
      <c r="K317" s="46">
        <v>0.0</v>
      </c>
      <c r="L317" s="46">
        <v>0.0</v>
      </c>
      <c r="N317" s="27"/>
      <c r="O317" s="19">
        <f>$G$31</f>
        <v>23</v>
      </c>
      <c r="P317" s="44">
        <f t="shared" ref="P317:T317" si="323">H317/H$318</f>
        <v>0.02160493827</v>
      </c>
      <c r="Q317" s="44">
        <f t="shared" si="323"/>
        <v>0.01851851852</v>
      </c>
      <c r="R317" s="44">
        <f t="shared" si="323"/>
        <v>0</v>
      </c>
      <c r="S317" s="44">
        <f t="shared" si="323"/>
        <v>0</v>
      </c>
      <c r="T317" s="44">
        <f t="shared" si="323"/>
        <v>0</v>
      </c>
    </row>
    <row r="318" ht="15.75" customHeight="1">
      <c r="F318" s="41"/>
      <c r="G318" s="41"/>
      <c r="H318" s="26">
        <f t="shared" ref="H318:L318" si="324">SUM(H294:H317)</f>
        <v>324</v>
      </c>
      <c r="I318" s="26">
        <f t="shared" si="324"/>
        <v>108</v>
      </c>
      <c r="J318" s="26">
        <f t="shared" si="324"/>
        <v>2</v>
      </c>
      <c r="K318" s="26">
        <f t="shared" si="324"/>
        <v>8</v>
      </c>
      <c r="L318" s="26">
        <f t="shared" si="324"/>
        <v>32</v>
      </c>
      <c r="N318" s="41"/>
    </row>
    <row r="319" ht="15.75" customHeight="1">
      <c r="G319" s="16"/>
      <c r="H319" s="17">
        <f>$H$7</f>
        <v>31</v>
      </c>
      <c r="I319" s="17">
        <f>$I$7</f>
        <v>32</v>
      </c>
      <c r="J319" s="17">
        <f>$J$7</f>
        <v>41</v>
      </c>
      <c r="K319" s="17">
        <f>$K$7</f>
        <v>42</v>
      </c>
      <c r="L319" s="17">
        <f>$L$7</f>
        <v>5</v>
      </c>
      <c r="O319" s="16"/>
      <c r="P319" s="17">
        <f>$H$7</f>
        <v>31</v>
      </c>
      <c r="Q319" s="17">
        <f>$I$7</f>
        <v>32</v>
      </c>
      <c r="R319" s="17">
        <f>$J$7</f>
        <v>41</v>
      </c>
      <c r="S319" s="17">
        <f>$K$7</f>
        <v>42</v>
      </c>
      <c r="T319" s="17">
        <f>$L$7</f>
        <v>5</v>
      </c>
    </row>
    <row r="320" ht="15.75" customHeight="1">
      <c r="F320" s="39">
        <v>45206.0</v>
      </c>
      <c r="G320" s="19">
        <f>$G$8</f>
        <v>0</v>
      </c>
      <c r="H320" s="20">
        <v>10.0</v>
      </c>
      <c r="I320" s="20">
        <v>1.0</v>
      </c>
      <c r="J320" s="20">
        <v>0.0</v>
      </c>
      <c r="K320" s="20">
        <v>0.0</v>
      </c>
      <c r="L320" s="20">
        <v>0.0</v>
      </c>
      <c r="N320" s="39">
        <v>45206.0</v>
      </c>
      <c r="O320" s="19">
        <f>$G$8</f>
        <v>0</v>
      </c>
      <c r="P320" s="40">
        <f t="shared" ref="P320:T320" si="325">H320/H$344</f>
        <v>0.02915451895</v>
      </c>
      <c r="Q320" s="40">
        <f t="shared" si="325"/>
        <v>0.009090909091</v>
      </c>
      <c r="R320" s="40">
        <f t="shared" si="325"/>
        <v>0</v>
      </c>
      <c r="S320" s="40">
        <f t="shared" si="325"/>
        <v>0</v>
      </c>
      <c r="T320" s="40">
        <f t="shared" si="325"/>
        <v>0</v>
      </c>
    </row>
    <row r="321" ht="15.75" customHeight="1">
      <c r="F321" s="24"/>
      <c r="G321" s="19">
        <f>$G$9</f>
        <v>1</v>
      </c>
      <c r="H321" s="20">
        <v>4.0</v>
      </c>
      <c r="I321" s="20">
        <v>0.0</v>
      </c>
      <c r="J321" s="20">
        <v>0.0</v>
      </c>
      <c r="K321" s="20">
        <v>0.0</v>
      </c>
      <c r="L321" s="20">
        <v>0.0</v>
      </c>
      <c r="N321" s="23"/>
      <c r="O321" s="19">
        <f>$G$9</f>
        <v>1</v>
      </c>
      <c r="P321" s="40">
        <f t="shared" ref="P321:T321" si="326">H321/H$344</f>
        <v>0.01166180758</v>
      </c>
      <c r="Q321" s="40">
        <f t="shared" si="326"/>
        <v>0</v>
      </c>
      <c r="R321" s="40">
        <f t="shared" si="326"/>
        <v>0</v>
      </c>
      <c r="S321" s="40">
        <f t="shared" si="326"/>
        <v>0</v>
      </c>
      <c r="T321" s="40">
        <f t="shared" si="326"/>
        <v>0</v>
      </c>
    </row>
    <row r="322" ht="15.75" customHeight="1">
      <c r="F322" s="24"/>
      <c r="G322" s="19">
        <f>$G$10</f>
        <v>2</v>
      </c>
      <c r="H322" s="34">
        <v>1.0</v>
      </c>
      <c r="I322" s="34">
        <v>0.0</v>
      </c>
      <c r="J322" s="34">
        <v>0.0</v>
      </c>
      <c r="K322" s="34">
        <v>0.0</v>
      </c>
      <c r="L322" s="34">
        <v>0.0</v>
      </c>
      <c r="N322" s="23"/>
      <c r="O322" s="19">
        <f>$G$10</f>
        <v>2</v>
      </c>
      <c r="P322" s="40">
        <f t="shared" ref="P322:T322" si="327">H322/H$344</f>
        <v>0.002915451895</v>
      </c>
      <c r="Q322" s="40">
        <f t="shared" si="327"/>
        <v>0</v>
      </c>
      <c r="R322" s="40">
        <f t="shared" si="327"/>
        <v>0</v>
      </c>
      <c r="S322" s="40">
        <f t="shared" si="327"/>
        <v>0</v>
      </c>
      <c r="T322" s="40">
        <f t="shared" si="327"/>
        <v>0</v>
      </c>
    </row>
    <row r="323" ht="15.75" customHeight="1">
      <c r="F323" s="24"/>
      <c r="G323" s="19">
        <f>$G$11</f>
        <v>3</v>
      </c>
      <c r="H323" s="20">
        <v>1.0</v>
      </c>
      <c r="I323" s="20">
        <v>1.0</v>
      </c>
      <c r="J323" s="20">
        <v>0.0</v>
      </c>
      <c r="K323" s="20">
        <v>0.0</v>
      </c>
      <c r="L323" s="20">
        <v>0.0</v>
      </c>
      <c r="N323" s="23"/>
      <c r="O323" s="19">
        <f>$G$11</f>
        <v>3</v>
      </c>
      <c r="P323" s="40">
        <f t="shared" ref="P323:T323" si="328">H323/H$344</f>
        <v>0.002915451895</v>
      </c>
      <c r="Q323" s="40">
        <f t="shared" si="328"/>
        <v>0.009090909091</v>
      </c>
      <c r="R323" s="40">
        <f t="shared" si="328"/>
        <v>0</v>
      </c>
      <c r="S323" s="40">
        <f t="shared" si="328"/>
        <v>0</v>
      </c>
      <c r="T323" s="40">
        <f t="shared" si="328"/>
        <v>0</v>
      </c>
    </row>
    <row r="324" ht="15.75" customHeight="1">
      <c r="F324" s="24"/>
      <c r="G324" s="19">
        <f>$G$12</f>
        <v>4</v>
      </c>
      <c r="H324" s="20">
        <v>4.0</v>
      </c>
      <c r="I324" s="20">
        <v>2.0</v>
      </c>
      <c r="J324" s="20">
        <v>0.0</v>
      </c>
      <c r="K324" s="20">
        <v>0.0</v>
      </c>
      <c r="L324" s="20">
        <v>0.0</v>
      </c>
      <c r="N324" s="23"/>
      <c r="O324" s="19">
        <f>$G$12</f>
        <v>4</v>
      </c>
      <c r="P324" s="40">
        <f t="shared" ref="P324:T324" si="329">H324/H$344</f>
        <v>0.01166180758</v>
      </c>
      <c r="Q324" s="40">
        <f t="shared" si="329"/>
        <v>0.01818181818</v>
      </c>
      <c r="R324" s="40">
        <f t="shared" si="329"/>
        <v>0</v>
      </c>
      <c r="S324" s="40">
        <f t="shared" si="329"/>
        <v>0</v>
      </c>
      <c r="T324" s="40">
        <f t="shared" si="329"/>
        <v>0</v>
      </c>
    </row>
    <row r="325" ht="15.75" customHeight="1">
      <c r="F325" s="24"/>
      <c r="G325" s="19">
        <f>$G$13</f>
        <v>5</v>
      </c>
      <c r="H325" s="20">
        <v>4.0</v>
      </c>
      <c r="I325" s="20">
        <v>2.0</v>
      </c>
      <c r="J325" s="20">
        <v>0.0</v>
      </c>
      <c r="K325" s="20">
        <v>0.0</v>
      </c>
      <c r="L325" s="20">
        <v>2.0</v>
      </c>
      <c r="N325" s="23"/>
      <c r="O325" s="19">
        <f>$G$13</f>
        <v>5</v>
      </c>
      <c r="P325" s="40">
        <f t="shared" ref="P325:T325" si="330">H325/H$344</f>
        <v>0.01166180758</v>
      </c>
      <c r="Q325" s="40">
        <f t="shared" si="330"/>
        <v>0.01818181818</v>
      </c>
      <c r="R325" s="40">
        <f t="shared" si="330"/>
        <v>0</v>
      </c>
      <c r="S325" s="40">
        <f t="shared" si="330"/>
        <v>0</v>
      </c>
      <c r="T325" s="40">
        <f t="shared" si="330"/>
        <v>0.06451612903</v>
      </c>
    </row>
    <row r="326" ht="15.75" customHeight="1">
      <c r="F326" s="24"/>
      <c r="G326" s="19">
        <f>$G$14</f>
        <v>6</v>
      </c>
      <c r="H326" s="20">
        <v>10.0</v>
      </c>
      <c r="I326" s="20">
        <v>5.0</v>
      </c>
      <c r="J326" s="20">
        <v>0.0</v>
      </c>
      <c r="K326" s="20">
        <v>0.0</v>
      </c>
      <c r="L326" s="20">
        <v>2.0</v>
      </c>
      <c r="N326" s="23"/>
      <c r="O326" s="19">
        <f>$G$14</f>
        <v>6</v>
      </c>
      <c r="P326" s="40">
        <f t="shared" ref="P326:T326" si="331">H326/H$344</f>
        <v>0.02915451895</v>
      </c>
      <c r="Q326" s="40">
        <f t="shared" si="331"/>
        <v>0.04545454545</v>
      </c>
      <c r="R326" s="40">
        <f t="shared" si="331"/>
        <v>0</v>
      </c>
      <c r="S326" s="40">
        <f t="shared" si="331"/>
        <v>0</v>
      </c>
      <c r="T326" s="40">
        <f t="shared" si="331"/>
        <v>0.06451612903</v>
      </c>
    </row>
    <row r="327" ht="15.75" customHeight="1">
      <c r="F327" s="24"/>
      <c r="G327" s="19">
        <f>$G$15</f>
        <v>7</v>
      </c>
      <c r="H327" s="20">
        <v>13.0</v>
      </c>
      <c r="I327" s="20">
        <v>9.0</v>
      </c>
      <c r="J327" s="20">
        <v>0.0</v>
      </c>
      <c r="K327" s="20">
        <v>1.0</v>
      </c>
      <c r="L327" s="20">
        <v>2.0</v>
      </c>
      <c r="N327" s="23"/>
      <c r="O327" s="19">
        <f>$G$15</f>
        <v>7</v>
      </c>
      <c r="P327" s="40">
        <f t="shared" ref="P327:T327" si="332">H327/H$344</f>
        <v>0.03790087464</v>
      </c>
      <c r="Q327" s="40">
        <f t="shared" si="332"/>
        <v>0.08181818182</v>
      </c>
      <c r="R327" s="40">
        <f t="shared" si="332"/>
        <v>0</v>
      </c>
      <c r="S327" s="40">
        <f t="shared" si="332"/>
        <v>0.1</v>
      </c>
      <c r="T327" s="40">
        <f t="shared" si="332"/>
        <v>0.06451612903</v>
      </c>
    </row>
    <row r="328" ht="15.75" customHeight="1">
      <c r="F328" s="24"/>
      <c r="G328" s="19">
        <f>$G$16</f>
        <v>8</v>
      </c>
      <c r="H328" s="20">
        <v>14.0</v>
      </c>
      <c r="I328" s="20">
        <v>6.0</v>
      </c>
      <c r="J328" s="20">
        <v>0.0</v>
      </c>
      <c r="K328" s="20">
        <v>0.0</v>
      </c>
      <c r="L328" s="20">
        <v>4.0</v>
      </c>
      <c r="N328" s="23"/>
      <c r="O328" s="19">
        <f>$G$16</f>
        <v>8</v>
      </c>
      <c r="P328" s="40">
        <f t="shared" ref="P328:T328" si="333">H328/H$344</f>
        <v>0.04081632653</v>
      </c>
      <c r="Q328" s="40">
        <f t="shared" si="333"/>
        <v>0.05454545455</v>
      </c>
      <c r="R328" s="40">
        <f t="shared" si="333"/>
        <v>0</v>
      </c>
      <c r="S328" s="40">
        <f t="shared" si="333"/>
        <v>0</v>
      </c>
      <c r="T328" s="40">
        <f t="shared" si="333"/>
        <v>0.1290322581</v>
      </c>
    </row>
    <row r="329" ht="15.75" customHeight="1">
      <c r="F329" s="24"/>
      <c r="G329" s="19">
        <f>$G$17</f>
        <v>9</v>
      </c>
      <c r="H329" s="20">
        <v>17.0</v>
      </c>
      <c r="I329" s="20">
        <v>7.0</v>
      </c>
      <c r="J329" s="20">
        <v>0.0</v>
      </c>
      <c r="K329" s="20">
        <v>0.0</v>
      </c>
      <c r="L329" s="20">
        <v>1.0</v>
      </c>
      <c r="N329" s="23"/>
      <c r="O329" s="19">
        <f>$G$17</f>
        <v>9</v>
      </c>
      <c r="P329" s="40">
        <f t="shared" ref="P329:T329" si="334">H329/H$344</f>
        <v>0.04956268222</v>
      </c>
      <c r="Q329" s="40">
        <f t="shared" si="334"/>
        <v>0.06363636364</v>
      </c>
      <c r="R329" s="40">
        <f t="shared" si="334"/>
        <v>0</v>
      </c>
      <c r="S329" s="40">
        <f t="shared" si="334"/>
        <v>0</v>
      </c>
      <c r="T329" s="40">
        <f t="shared" si="334"/>
        <v>0.03225806452</v>
      </c>
    </row>
    <row r="330" ht="15.75" customHeight="1">
      <c r="F330" s="24"/>
      <c r="G330" s="19">
        <f>$G$18</f>
        <v>10</v>
      </c>
      <c r="H330" s="20">
        <v>14.0</v>
      </c>
      <c r="I330" s="20">
        <v>4.0</v>
      </c>
      <c r="J330" s="20">
        <v>0.0</v>
      </c>
      <c r="K330" s="20">
        <v>1.0</v>
      </c>
      <c r="L330" s="20">
        <v>4.0</v>
      </c>
      <c r="N330" s="23"/>
      <c r="O330" s="19">
        <f>$G$18</f>
        <v>10</v>
      </c>
      <c r="P330" s="40">
        <f t="shared" ref="P330:T330" si="335">H330/H$344</f>
        <v>0.04081632653</v>
      </c>
      <c r="Q330" s="40">
        <f t="shared" si="335"/>
        <v>0.03636363636</v>
      </c>
      <c r="R330" s="40">
        <f t="shared" si="335"/>
        <v>0</v>
      </c>
      <c r="S330" s="40">
        <f t="shared" si="335"/>
        <v>0.1</v>
      </c>
      <c r="T330" s="40">
        <f t="shared" si="335"/>
        <v>0.1290322581</v>
      </c>
    </row>
    <row r="331" ht="15.75" customHeight="1">
      <c r="F331" s="24"/>
      <c r="G331" s="19">
        <f>$G$19</f>
        <v>11</v>
      </c>
      <c r="H331" s="20">
        <v>29.0</v>
      </c>
      <c r="I331" s="20">
        <v>5.0</v>
      </c>
      <c r="J331" s="20">
        <v>0.0</v>
      </c>
      <c r="K331" s="20">
        <v>2.0</v>
      </c>
      <c r="L331" s="20">
        <v>2.0</v>
      </c>
      <c r="N331" s="23"/>
      <c r="O331" s="19">
        <f>$G$19</f>
        <v>11</v>
      </c>
      <c r="P331" s="40">
        <f t="shared" ref="P331:T331" si="336">H331/H$344</f>
        <v>0.08454810496</v>
      </c>
      <c r="Q331" s="40">
        <f t="shared" si="336"/>
        <v>0.04545454545</v>
      </c>
      <c r="R331" s="40">
        <f t="shared" si="336"/>
        <v>0</v>
      </c>
      <c r="S331" s="40">
        <f t="shared" si="336"/>
        <v>0.2</v>
      </c>
      <c r="T331" s="40">
        <f t="shared" si="336"/>
        <v>0.06451612903</v>
      </c>
    </row>
    <row r="332" ht="15.75" customHeight="1">
      <c r="F332" s="24"/>
      <c r="G332" s="19">
        <f>$G$20</f>
        <v>12</v>
      </c>
      <c r="H332" s="20">
        <v>14.0</v>
      </c>
      <c r="I332" s="20">
        <v>9.0</v>
      </c>
      <c r="J332" s="20">
        <v>0.0</v>
      </c>
      <c r="K332" s="20">
        <v>0.0</v>
      </c>
      <c r="L332" s="20">
        <v>3.0</v>
      </c>
      <c r="N332" s="23"/>
      <c r="O332" s="19">
        <f>$G$20</f>
        <v>12</v>
      </c>
      <c r="P332" s="40">
        <f t="shared" ref="P332:T332" si="337">H332/H$344</f>
        <v>0.04081632653</v>
      </c>
      <c r="Q332" s="40">
        <f t="shared" si="337"/>
        <v>0.08181818182</v>
      </c>
      <c r="R332" s="40">
        <f t="shared" si="337"/>
        <v>0</v>
      </c>
      <c r="S332" s="40">
        <f t="shared" si="337"/>
        <v>0</v>
      </c>
      <c r="T332" s="40">
        <f t="shared" si="337"/>
        <v>0.09677419355</v>
      </c>
    </row>
    <row r="333" ht="15.75" customHeight="1">
      <c r="F333" s="24"/>
      <c r="G333" s="19">
        <f>$G$21</f>
        <v>13</v>
      </c>
      <c r="H333" s="20">
        <v>30.0</v>
      </c>
      <c r="I333" s="20">
        <v>11.0</v>
      </c>
      <c r="J333" s="20">
        <v>0.0</v>
      </c>
      <c r="K333" s="20">
        <v>0.0</v>
      </c>
      <c r="L333" s="20">
        <v>2.0</v>
      </c>
      <c r="N333" s="23"/>
      <c r="O333" s="19">
        <f>$G$21</f>
        <v>13</v>
      </c>
      <c r="P333" s="40">
        <f t="shared" ref="P333:T333" si="338">H333/H$344</f>
        <v>0.08746355685</v>
      </c>
      <c r="Q333" s="40">
        <f t="shared" si="338"/>
        <v>0.1</v>
      </c>
      <c r="R333" s="40">
        <f t="shared" si="338"/>
        <v>0</v>
      </c>
      <c r="S333" s="40">
        <f t="shared" si="338"/>
        <v>0</v>
      </c>
      <c r="T333" s="40">
        <f t="shared" si="338"/>
        <v>0.06451612903</v>
      </c>
    </row>
    <row r="334" ht="15.75" customHeight="1">
      <c r="F334" s="24"/>
      <c r="G334" s="19">
        <f>$G$22</f>
        <v>14</v>
      </c>
      <c r="H334" s="20">
        <v>14.0</v>
      </c>
      <c r="I334" s="20">
        <v>8.0</v>
      </c>
      <c r="J334" s="20">
        <v>0.0</v>
      </c>
      <c r="K334" s="20">
        <v>1.0</v>
      </c>
      <c r="L334" s="20">
        <v>3.0</v>
      </c>
      <c r="N334" s="23"/>
      <c r="O334" s="19">
        <f>$G$22</f>
        <v>14</v>
      </c>
      <c r="P334" s="40">
        <f t="shared" ref="P334:T334" si="339">H334/H$344</f>
        <v>0.04081632653</v>
      </c>
      <c r="Q334" s="40">
        <f t="shared" si="339"/>
        <v>0.07272727273</v>
      </c>
      <c r="R334" s="40">
        <f t="shared" si="339"/>
        <v>0</v>
      </c>
      <c r="S334" s="40">
        <f t="shared" si="339"/>
        <v>0.1</v>
      </c>
      <c r="T334" s="40">
        <f t="shared" si="339"/>
        <v>0.09677419355</v>
      </c>
    </row>
    <row r="335" ht="15.75" customHeight="1">
      <c r="F335" s="24"/>
      <c r="G335" s="19">
        <f>$G$23</f>
        <v>15</v>
      </c>
      <c r="H335" s="20">
        <v>29.0</v>
      </c>
      <c r="I335" s="20">
        <v>4.0</v>
      </c>
      <c r="J335" s="20">
        <v>0.0</v>
      </c>
      <c r="K335" s="20">
        <v>1.0</v>
      </c>
      <c r="L335" s="20">
        <v>2.0</v>
      </c>
      <c r="N335" s="23"/>
      <c r="O335" s="19">
        <f>$G$23</f>
        <v>15</v>
      </c>
      <c r="P335" s="40">
        <f t="shared" ref="P335:T335" si="340">H335/H$344</f>
        <v>0.08454810496</v>
      </c>
      <c r="Q335" s="40">
        <f t="shared" si="340"/>
        <v>0.03636363636</v>
      </c>
      <c r="R335" s="40">
        <f t="shared" si="340"/>
        <v>0</v>
      </c>
      <c r="S335" s="40">
        <f t="shared" si="340"/>
        <v>0.1</v>
      </c>
      <c r="T335" s="40">
        <f t="shared" si="340"/>
        <v>0.06451612903</v>
      </c>
    </row>
    <row r="336" ht="15.75" customHeight="1">
      <c r="F336" s="24"/>
      <c r="G336" s="19">
        <f>$G$24</f>
        <v>16</v>
      </c>
      <c r="H336" s="20">
        <v>29.0</v>
      </c>
      <c r="I336" s="20">
        <v>9.0</v>
      </c>
      <c r="J336" s="20">
        <v>0.0</v>
      </c>
      <c r="K336" s="20">
        <v>2.0</v>
      </c>
      <c r="L336" s="20">
        <v>1.0</v>
      </c>
      <c r="N336" s="23"/>
      <c r="O336" s="19">
        <f>$G$24</f>
        <v>16</v>
      </c>
      <c r="P336" s="40">
        <f t="shared" ref="P336:T336" si="341">H336/H$344</f>
        <v>0.08454810496</v>
      </c>
      <c r="Q336" s="40">
        <f t="shared" si="341"/>
        <v>0.08181818182</v>
      </c>
      <c r="R336" s="40">
        <f t="shared" si="341"/>
        <v>0</v>
      </c>
      <c r="S336" s="40">
        <f t="shared" si="341"/>
        <v>0.2</v>
      </c>
      <c r="T336" s="40">
        <f t="shared" si="341"/>
        <v>0.03225806452</v>
      </c>
    </row>
    <row r="337" ht="15.75" customHeight="1">
      <c r="F337" s="24"/>
      <c r="G337" s="19">
        <f>$G$25</f>
        <v>17</v>
      </c>
      <c r="H337" s="20">
        <v>29.0</v>
      </c>
      <c r="I337" s="20">
        <v>4.0</v>
      </c>
      <c r="J337" s="20">
        <v>0.0</v>
      </c>
      <c r="K337" s="20">
        <v>0.0</v>
      </c>
      <c r="L337" s="20">
        <v>1.0</v>
      </c>
      <c r="N337" s="23"/>
      <c r="O337" s="19">
        <f>$G$25</f>
        <v>17</v>
      </c>
      <c r="P337" s="40">
        <f t="shared" ref="P337:T337" si="342">H337/H$344</f>
        <v>0.08454810496</v>
      </c>
      <c r="Q337" s="40">
        <f t="shared" si="342"/>
        <v>0.03636363636</v>
      </c>
      <c r="R337" s="40">
        <f t="shared" si="342"/>
        <v>0</v>
      </c>
      <c r="S337" s="40">
        <f t="shared" si="342"/>
        <v>0</v>
      </c>
      <c r="T337" s="40">
        <f t="shared" si="342"/>
        <v>0.03225806452</v>
      </c>
    </row>
    <row r="338" ht="15.75" customHeight="1">
      <c r="F338" s="24"/>
      <c r="G338" s="19">
        <f>$G$26</f>
        <v>18</v>
      </c>
      <c r="H338" s="20">
        <v>17.0</v>
      </c>
      <c r="I338" s="20">
        <v>3.0</v>
      </c>
      <c r="J338" s="20">
        <v>0.0</v>
      </c>
      <c r="K338" s="20">
        <v>0.0</v>
      </c>
      <c r="L338" s="20">
        <v>0.0</v>
      </c>
      <c r="N338" s="23"/>
      <c r="O338" s="19">
        <f>$G$26</f>
        <v>18</v>
      </c>
      <c r="P338" s="40">
        <f t="shared" ref="P338:T338" si="343">H338/H$344</f>
        <v>0.04956268222</v>
      </c>
      <c r="Q338" s="40">
        <f t="shared" si="343"/>
        <v>0.02727272727</v>
      </c>
      <c r="R338" s="40">
        <f t="shared" si="343"/>
        <v>0</v>
      </c>
      <c r="S338" s="40">
        <f t="shared" si="343"/>
        <v>0</v>
      </c>
      <c r="T338" s="40">
        <f t="shared" si="343"/>
        <v>0</v>
      </c>
    </row>
    <row r="339" ht="15.75" customHeight="1">
      <c r="F339" s="24"/>
      <c r="G339" s="19">
        <f>$G$27</f>
        <v>19</v>
      </c>
      <c r="H339" s="20">
        <v>20.0</v>
      </c>
      <c r="I339" s="20">
        <v>6.0</v>
      </c>
      <c r="J339" s="20">
        <v>1.0</v>
      </c>
      <c r="K339" s="20">
        <v>0.0</v>
      </c>
      <c r="L339" s="20">
        <v>1.0</v>
      </c>
      <c r="N339" s="23"/>
      <c r="O339" s="19">
        <f>$G$27</f>
        <v>19</v>
      </c>
      <c r="P339" s="40">
        <f t="shared" ref="P339:T339" si="344">H339/H$344</f>
        <v>0.0583090379</v>
      </c>
      <c r="Q339" s="40">
        <f t="shared" si="344"/>
        <v>0.05454545455</v>
      </c>
      <c r="R339" s="40">
        <f t="shared" si="344"/>
        <v>1</v>
      </c>
      <c r="S339" s="40">
        <f t="shared" si="344"/>
        <v>0</v>
      </c>
      <c r="T339" s="40">
        <f t="shared" si="344"/>
        <v>0.03225806452</v>
      </c>
    </row>
    <row r="340" ht="15.75" customHeight="1">
      <c r="F340" s="24"/>
      <c r="G340" s="19">
        <f>$G$28</f>
        <v>20</v>
      </c>
      <c r="H340" s="20">
        <v>16.0</v>
      </c>
      <c r="I340" s="20">
        <v>6.0</v>
      </c>
      <c r="J340" s="20">
        <v>0.0</v>
      </c>
      <c r="K340" s="20">
        <v>1.0</v>
      </c>
      <c r="L340" s="20">
        <v>1.0</v>
      </c>
      <c r="N340" s="23"/>
      <c r="O340" s="19">
        <f>$G$28</f>
        <v>20</v>
      </c>
      <c r="P340" s="40">
        <f t="shared" ref="P340:T340" si="345">H340/H$344</f>
        <v>0.04664723032</v>
      </c>
      <c r="Q340" s="40">
        <f t="shared" si="345"/>
        <v>0.05454545455</v>
      </c>
      <c r="R340" s="40">
        <f t="shared" si="345"/>
        <v>0</v>
      </c>
      <c r="S340" s="40">
        <f t="shared" si="345"/>
        <v>0.1</v>
      </c>
      <c r="T340" s="40">
        <f t="shared" si="345"/>
        <v>0.03225806452</v>
      </c>
    </row>
    <row r="341" ht="15.75" customHeight="1">
      <c r="F341" s="24"/>
      <c r="G341" s="19">
        <f>$G$29</f>
        <v>21</v>
      </c>
      <c r="H341" s="20">
        <v>8.0</v>
      </c>
      <c r="I341" s="20">
        <v>2.0</v>
      </c>
      <c r="J341" s="20">
        <v>0.0</v>
      </c>
      <c r="K341" s="20">
        <v>1.0</v>
      </c>
      <c r="L341" s="20">
        <v>0.0</v>
      </c>
      <c r="N341" s="23"/>
      <c r="O341" s="19">
        <f>$G$29</f>
        <v>21</v>
      </c>
      <c r="P341" s="40">
        <f t="shared" ref="P341:T341" si="346">H341/H$344</f>
        <v>0.02332361516</v>
      </c>
      <c r="Q341" s="40">
        <f t="shared" si="346"/>
        <v>0.01818181818</v>
      </c>
      <c r="R341" s="40">
        <f t="shared" si="346"/>
        <v>0</v>
      </c>
      <c r="S341" s="40">
        <f t="shared" si="346"/>
        <v>0.1</v>
      </c>
      <c r="T341" s="40">
        <f t="shared" si="346"/>
        <v>0</v>
      </c>
    </row>
    <row r="342" ht="15.75" customHeight="1">
      <c r="F342" s="24"/>
      <c r="G342" s="19">
        <f>$G$30</f>
        <v>22</v>
      </c>
      <c r="H342" s="20">
        <v>7.0</v>
      </c>
      <c r="I342" s="20">
        <v>3.0</v>
      </c>
      <c r="J342" s="20">
        <v>0.0</v>
      </c>
      <c r="K342" s="20">
        <v>0.0</v>
      </c>
      <c r="L342" s="20">
        <v>0.0</v>
      </c>
      <c r="N342" s="23"/>
      <c r="O342" s="19">
        <f>$G$30</f>
        <v>22</v>
      </c>
      <c r="P342" s="40">
        <f t="shared" ref="P342:T342" si="347">H342/H$344</f>
        <v>0.02040816327</v>
      </c>
      <c r="Q342" s="40">
        <f t="shared" si="347"/>
        <v>0.02727272727</v>
      </c>
      <c r="R342" s="40">
        <f t="shared" si="347"/>
        <v>0</v>
      </c>
      <c r="S342" s="40">
        <f t="shared" si="347"/>
        <v>0</v>
      </c>
      <c r="T342" s="40">
        <f t="shared" si="347"/>
        <v>0</v>
      </c>
    </row>
    <row r="343" ht="15.75" customHeight="1">
      <c r="F343" s="28"/>
      <c r="G343" s="71">
        <f>$G$31</f>
        <v>23</v>
      </c>
      <c r="H343" s="20">
        <v>9.0</v>
      </c>
      <c r="I343" s="20">
        <v>3.0</v>
      </c>
      <c r="J343" s="20">
        <v>0.0</v>
      </c>
      <c r="K343" s="20">
        <v>0.0</v>
      </c>
      <c r="L343" s="20">
        <v>0.0</v>
      </c>
      <c r="N343" s="27"/>
      <c r="O343" s="19">
        <f>$G$31</f>
        <v>23</v>
      </c>
      <c r="P343" s="40">
        <f t="shared" ref="P343:T343" si="348">H343/H$344</f>
        <v>0.02623906706</v>
      </c>
      <c r="Q343" s="40">
        <f t="shared" si="348"/>
        <v>0.02727272727</v>
      </c>
      <c r="R343" s="40">
        <f t="shared" si="348"/>
        <v>0</v>
      </c>
      <c r="S343" s="40">
        <f t="shared" si="348"/>
        <v>0</v>
      </c>
      <c r="T343" s="40">
        <f t="shared" si="348"/>
        <v>0</v>
      </c>
    </row>
    <row r="344" ht="15.75" customHeight="1">
      <c r="F344" s="41"/>
      <c r="G344" s="41"/>
      <c r="H344" s="26">
        <f t="shared" ref="H344:L344" si="349">SUM(H320:H343)</f>
        <v>343</v>
      </c>
      <c r="I344" s="26">
        <f t="shared" si="349"/>
        <v>110</v>
      </c>
      <c r="J344" s="26">
        <f t="shared" si="349"/>
        <v>1</v>
      </c>
      <c r="K344" s="26">
        <f t="shared" si="349"/>
        <v>10</v>
      </c>
      <c r="L344" s="26">
        <f t="shared" si="349"/>
        <v>31</v>
      </c>
      <c r="N344" s="41"/>
    </row>
    <row r="345" ht="15.75" customHeight="1">
      <c r="G345" s="16"/>
      <c r="H345" s="17">
        <f>$H$7</f>
        <v>31</v>
      </c>
      <c r="I345" s="17">
        <f>$I$7</f>
        <v>32</v>
      </c>
      <c r="J345" s="17">
        <f>$J$7</f>
        <v>41</v>
      </c>
      <c r="K345" s="17">
        <f>$K$7</f>
        <v>42</v>
      </c>
      <c r="L345" s="17">
        <f>$L$7</f>
        <v>5</v>
      </c>
      <c r="O345" s="16"/>
      <c r="P345" s="17">
        <f>$H$7</f>
        <v>31</v>
      </c>
      <c r="Q345" s="17">
        <f>$I$7</f>
        <v>32</v>
      </c>
      <c r="R345" s="17">
        <f>$J$7</f>
        <v>41</v>
      </c>
      <c r="S345" s="17">
        <f>$K$7</f>
        <v>42</v>
      </c>
      <c r="T345" s="17">
        <f>$L$7</f>
        <v>5</v>
      </c>
    </row>
    <row r="346" ht="15.75" customHeight="1">
      <c r="F346" s="39">
        <v>45207.0</v>
      </c>
      <c r="G346" s="19">
        <f>$G$8</f>
        <v>0</v>
      </c>
      <c r="H346" s="20">
        <v>7.0</v>
      </c>
      <c r="I346" s="20">
        <v>2.0</v>
      </c>
      <c r="J346" s="20">
        <v>1.0</v>
      </c>
      <c r="K346" s="20">
        <v>0.0</v>
      </c>
      <c r="L346" s="20">
        <v>2.0</v>
      </c>
      <c r="N346" s="39">
        <v>45207.0</v>
      </c>
      <c r="O346" s="19">
        <f>$G$8</f>
        <v>0</v>
      </c>
      <c r="P346" s="40">
        <f t="shared" ref="P346:T346" si="350">H346/H$370</f>
        <v>0.0159453303</v>
      </c>
      <c r="Q346" s="40">
        <f t="shared" si="350"/>
        <v>0.01538461538</v>
      </c>
      <c r="R346" s="40">
        <f t="shared" si="350"/>
        <v>0.25</v>
      </c>
      <c r="S346" s="40">
        <f t="shared" si="350"/>
        <v>0</v>
      </c>
      <c r="T346" s="40">
        <f t="shared" si="350"/>
        <v>0.2</v>
      </c>
    </row>
    <row r="347" ht="15.75" customHeight="1">
      <c r="F347" s="24"/>
      <c r="G347" s="19">
        <f>$G$9</f>
        <v>1</v>
      </c>
      <c r="H347" s="20">
        <v>8.0</v>
      </c>
      <c r="I347" s="20">
        <v>0.0</v>
      </c>
      <c r="J347" s="20">
        <v>0.0</v>
      </c>
      <c r="K347" s="20">
        <v>0.0</v>
      </c>
      <c r="L347" s="20">
        <v>1.0</v>
      </c>
      <c r="N347" s="23"/>
      <c r="O347" s="19">
        <f>$G$9</f>
        <v>1</v>
      </c>
      <c r="P347" s="40">
        <f t="shared" ref="P347:T347" si="351">H347/H$370</f>
        <v>0.01822323462</v>
      </c>
      <c r="Q347" s="40">
        <f t="shared" si="351"/>
        <v>0</v>
      </c>
      <c r="R347" s="40">
        <f t="shared" si="351"/>
        <v>0</v>
      </c>
      <c r="S347" s="40">
        <f t="shared" si="351"/>
        <v>0</v>
      </c>
      <c r="T347" s="40">
        <f t="shared" si="351"/>
        <v>0.1</v>
      </c>
    </row>
    <row r="348" ht="15.75" customHeight="1">
      <c r="F348" s="24"/>
      <c r="G348" s="19">
        <f>$G$10</f>
        <v>2</v>
      </c>
      <c r="H348" s="16">
        <v>1.0</v>
      </c>
      <c r="I348" s="16">
        <v>1.0</v>
      </c>
      <c r="J348" s="16">
        <v>0.0</v>
      </c>
      <c r="K348" s="16">
        <v>0.0</v>
      </c>
      <c r="L348" s="16">
        <v>0.0</v>
      </c>
      <c r="N348" s="23"/>
      <c r="O348" s="19">
        <f>$G$10</f>
        <v>2</v>
      </c>
      <c r="P348" s="40">
        <f t="shared" ref="P348:T348" si="352">H348/H$370</f>
        <v>0.002277904328</v>
      </c>
      <c r="Q348" s="40">
        <f t="shared" si="352"/>
        <v>0.007692307692</v>
      </c>
      <c r="R348" s="40">
        <f t="shared" si="352"/>
        <v>0</v>
      </c>
      <c r="S348" s="40">
        <f t="shared" si="352"/>
        <v>0</v>
      </c>
      <c r="T348" s="40">
        <f t="shared" si="352"/>
        <v>0</v>
      </c>
    </row>
    <row r="349" ht="15.75" customHeight="1">
      <c r="F349" s="24"/>
      <c r="G349" s="19">
        <f>$G$11</f>
        <v>3</v>
      </c>
      <c r="H349" s="20">
        <v>4.0</v>
      </c>
      <c r="I349" s="20">
        <v>1.0</v>
      </c>
      <c r="J349" s="20">
        <v>0.0</v>
      </c>
      <c r="K349" s="20">
        <v>0.0</v>
      </c>
      <c r="L349" s="20">
        <v>0.0</v>
      </c>
      <c r="N349" s="23"/>
      <c r="O349" s="19">
        <f>$G$11</f>
        <v>3</v>
      </c>
      <c r="P349" s="40">
        <f t="shared" ref="P349:T349" si="353">H349/H$370</f>
        <v>0.009111617312</v>
      </c>
      <c r="Q349" s="40">
        <f t="shared" si="353"/>
        <v>0.007692307692</v>
      </c>
      <c r="R349" s="40">
        <f t="shared" si="353"/>
        <v>0</v>
      </c>
      <c r="S349" s="40">
        <f t="shared" si="353"/>
        <v>0</v>
      </c>
      <c r="T349" s="40">
        <f t="shared" si="353"/>
        <v>0</v>
      </c>
    </row>
    <row r="350" ht="15.75" customHeight="1">
      <c r="F350" s="24"/>
      <c r="G350" s="19">
        <f>$G$12</f>
        <v>4</v>
      </c>
      <c r="H350" s="20">
        <v>4.0</v>
      </c>
      <c r="I350" s="20">
        <v>2.0</v>
      </c>
      <c r="J350" s="20">
        <v>0.0</v>
      </c>
      <c r="K350" s="20">
        <v>0.0</v>
      </c>
      <c r="L350" s="20">
        <v>0.0</v>
      </c>
      <c r="N350" s="23"/>
      <c r="O350" s="19">
        <f>$G$12</f>
        <v>4</v>
      </c>
      <c r="P350" s="40">
        <f t="shared" ref="P350:T350" si="354">H350/H$370</f>
        <v>0.009111617312</v>
      </c>
      <c r="Q350" s="40">
        <f t="shared" si="354"/>
        <v>0.01538461538</v>
      </c>
      <c r="R350" s="40">
        <f t="shared" si="354"/>
        <v>0</v>
      </c>
      <c r="S350" s="40">
        <f t="shared" si="354"/>
        <v>0</v>
      </c>
      <c r="T350" s="40">
        <f t="shared" si="354"/>
        <v>0</v>
      </c>
    </row>
    <row r="351" ht="15.75" customHeight="1">
      <c r="F351" s="24"/>
      <c r="G351" s="19">
        <f>$G$13</f>
        <v>5</v>
      </c>
      <c r="H351" s="20">
        <v>4.0</v>
      </c>
      <c r="I351" s="20">
        <v>2.0</v>
      </c>
      <c r="J351" s="20">
        <v>0.0</v>
      </c>
      <c r="K351" s="20">
        <v>0.0</v>
      </c>
      <c r="L351" s="20">
        <v>0.0</v>
      </c>
      <c r="N351" s="23"/>
      <c r="O351" s="19">
        <f>$G$13</f>
        <v>5</v>
      </c>
      <c r="P351" s="40">
        <f t="shared" ref="P351:T351" si="355">H351/H$370</f>
        <v>0.009111617312</v>
      </c>
      <c r="Q351" s="40">
        <f t="shared" si="355"/>
        <v>0.01538461538</v>
      </c>
      <c r="R351" s="40">
        <f t="shared" si="355"/>
        <v>0</v>
      </c>
      <c r="S351" s="40">
        <f t="shared" si="355"/>
        <v>0</v>
      </c>
      <c r="T351" s="40">
        <f t="shared" si="355"/>
        <v>0</v>
      </c>
    </row>
    <row r="352" ht="15.75" customHeight="1">
      <c r="F352" s="24"/>
      <c r="G352" s="19">
        <f>$G$14</f>
        <v>6</v>
      </c>
      <c r="H352" s="20">
        <v>3.0</v>
      </c>
      <c r="I352" s="20">
        <v>4.0</v>
      </c>
      <c r="J352" s="20">
        <v>0.0</v>
      </c>
      <c r="K352" s="20">
        <v>0.0</v>
      </c>
      <c r="L352" s="20">
        <v>1.0</v>
      </c>
      <c r="N352" s="23"/>
      <c r="O352" s="19">
        <f>$G$14</f>
        <v>6</v>
      </c>
      <c r="P352" s="40">
        <f t="shared" ref="P352:T352" si="356">H352/H$370</f>
        <v>0.006833712984</v>
      </c>
      <c r="Q352" s="40">
        <f t="shared" si="356"/>
        <v>0.03076923077</v>
      </c>
      <c r="R352" s="40">
        <f t="shared" si="356"/>
        <v>0</v>
      </c>
      <c r="S352" s="40">
        <f t="shared" si="356"/>
        <v>0</v>
      </c>
      <c r="T352" s="40">
        <f t="shared" si="356"/>
        <v>0.1</v>
      </c>
    </row>
    <row r="353" ht="15.75" customHeight="1">
      <c r="F353" s="24"/>
      <c r="G353" s="19">
        <f>$G$15</f>
        <v>7</v>
      </c>
      <c r="H353" s="20">
        <v>16.0</v>
      </c>
      <c r="I353" s="20">
        <v>3.0</v>
      </c>
      <c r="J353" s="20">
        <v>0.0</v>
      </c>
      <c r="K353" s="20">
        <v>0.0</v>
      </c>
      <c r="L353" s="20">
        <v>1.0</v>
      </c>
      <c r="N353" s="23"/>
      <c r="O353" s="19">
        <f>$G$15</f>
        <v>7</v>
      </c>
      <c r="P353" s="40">
        <f t="shared" ref="P353:T353" si="357">H353/H$370</f>
        <v>0.03644646925</v>
      </c>
      <c r="Q353" s="40">
        <f t="shared" si="357"/>
        <v>0.02307692308</v>
      </c>
      <c r="R353" s="40">
        <f t="shared" si="357"/>
        <v>0</v>
      </c>
      <c r="S353" s="40">
        <f t="shared" si="357"/>
        <v>0</v>
      </c>
      <c r="T353" s="40">
        <f t="shared" si="357"/>
        <v>0.1</v>
      </c>
    </row>
    <row r="354" ht="15.75" customHeight="1">
      <c r="F354" s="24"/>
      <c r="G354" s="19">
        <f>$G$16</f>
        <v>8</v>
      </c>
      <c r="H354" s="20">
        <v>16.0</v>
      </c>
      <c r="I354" s="20">
        <v>6.0</v>
      </c>
      <c r="J354" s="20">
        <v>0.0</v>
      </c>
      <c r="K354" s="20">
        <v>0.0</v>
      </c>
      <c r="L354" s="20">
        <v>1.0</v>
      </c>
      <c r="N354" s="23"/>
      <c r="O354" s="19">
        <f>$G$16</f>
        <v>8</v>
      </c>
      <c r="P354" s="40">
        <f t="shared" ref="P354:T354" si="358">H354/H$370</f>
        <v>0.03644646925</v>
      </c>
      <c r="Q354" s="40">
        <f t="shared" si="358"/>
        <v>0.04615384615</v>
      </c>
      <c r="R354" s="40">
        <f t="shared" si="358"/>
        <v>0</v>
      </c>
      <c r="S354" s="40">
        <f t="shared" si="358"/>
        <v>0</v>
      </c>
      <c r="T354" s="40">
        <f t="shared" si="358"/>
        <v>0.1</v>
      </c>
    </row>
    <row r="355" ht="15.75" customHeight="1">
      <c r="F355" s="24"/>
      <c r="G355" s="19">
        <f>$G$17</f>
        <v>9</v>
      </c>
      <c r="H355" s="20">
        <v>14.0</v>
      </c>
      <c r="I355" s="20">
        <v>5.0</v>
      </c>
      <c r="J355" s="20">
        <v>0.0</v>
      </c>
      <c r="K355" s="20">
        <v>0.0</v>
      </c>
      <c r="L355" s="20">
        <v>1.0</v>
      </c>
      <c r="N355" s="23"/>
      <c r="O355" s="19">
        <f>$G$17</f>
        <v>9</v>
      </c>
      <c r="P355" s="40">
        <f t="shared" ref="P355:T355" si="359">H355/H$370</f>
        <v>0.03189066059</v>
      </c>
      <c r="Q355" s="40">
        <f t="shared" si="359"/>
        <v>0.03846153846</v>
      </c>
      <c r="R355" s="40">
        <f t="shared" si="359"/>
        <v>0</v>
      </c>
      <c r="S355" s="40">
        <f t="shared" si="359"/>
        <v>0</v>
      </c>
      <c r="T355" s="40">
        <f t="shared" si="359"/>
        <v>0.1</v>
      </c>
    </row>
    <row r="356" ht="15.75" customHeight="1">
      <c r="F356" s="24"/>
      <c r="G356" s="19">
        <f>$G$18</f>
        <v>10</v>
      </c>
      <c r="H356" s="20">
        <v>27.0</v>
      </c>
      <c r="I356" s="20">
        <v>8.0</v>
      </c>
      <c r="J356" s="20">
        <v>0.0</v>
      </c>
      <c r="K356" s="20">
        <v>0.0</v>
      </c>
      <c r="L356" s="20">
        <v>1.0</v>
      </c>
      <c r="N356" s="23"/>
      <c r="O356" s="19">
        <f>$G$18</f>
        <v>10</v>
      </c>
      <c r="P356" s="40">
        <f t="shared" ref="P356:T356" si="360">H356/H$370</f>
        <v>0.06150341686</v>
      </c>
      <c r="Q356" s="40">
        <f t="shared" si="360"/>
        <v>0.06153846154</v>
      </c>
      <c r="R356" s="40">
        <f t="shared" si="360"/>
        <v>0</v>
      </c>
      <c r="S356" s="40">
        <f t="shared" si="360"/>
        <v>0</v>
      </c>
      <c r="T356" s="40">
        <f t="shared" si="360"/>
        <v>0.1</v>
      </c>
    </row>
    <row r="357" ht="15.75" customHeight="1">
      <c r="F357" s="24"/>
      <c r="G357" s="19">
        <f>$G$19</f>
        <v>11</v>
      </c>
      <c r="H357" s="20">
        <v>40.0</v>
      </c>
      <c r="I357" s="20">
        <v>9.0</v>
      </c>
      <c r="J357" s="20">
        <v>0.0</v>
      </c>
      <c r="K357" s="20">
        <v>1.0</v>
      </c>
      <c r="L357" s="20">
        <v>0.0</v>
      </c>
      <c r="N357" s="23"/>
      <c r="O357" s="19">
        <f>$G$19</f>
        <v>11</v>
      </c>
      <c r="P357" s="40">
        <f t="shared" ref="P357:T357" si="361">H357/H$370</f>
        <v>0.09111617312</v>
      </c>
      <c r="Q357" s="40">
        <f t="shared" si="361"/>
        <v>0.06923076923</v>
      </c>
      <c r="R357" s="40">
        <f t="shared" si="361"/>
        <v>0</v>
      </c>
      <c r="S357" s="40">
        <f t="shared" si="361"/>
        <v>0.25</v>
      </c>
      <c r="T357" s="40">
        <f t="shared" si="361"/>
        <v>0</v>
      </c>
    </row>
    <row r="358" ht="15.75" customHeight="1">
      <c r="F358" s="24"/>
      <c r="G358" s="19">
        <f>$G$20</f>
        <v>12</v>
      </c>
      <c r="H358" s="20">
        <v>33.0</v>
      </c>
      <c r="I358" s="20">
        <v>6.0</v>
      </c>
      <c r="J358" s="20">
        <v>0.0</v>
      </c>
      <c r="K358" s="20">
        <v>1.0</v>
      </c>
      <c r="L358" s="20">
        <v>0.0</v>
      </c>
      <c r="N358" s="23"/>
      <c r="O358" s="19">
        <f>$G$20</f>
        <v>12</v>
      </c>
      <c r="P358" s="40">
        <f t="shared" ref="P358:T358" si="362">H358/H$370</f>
        <v>0.07517084282</v>
      </c>
      <c r="Q358" s="40">
        <f t="shared" si="362"/>
        <v>0.04615384615</v>
      </c>
      <c r="R358" s="40">
        <f t="shared" si="362"/>
        <v>0</v>
      </c>
      <c r="S358" s="40">
        <f t="shared" si="362"/>
        <v>0.25</v>
      </c>
      <c r="T358" s="40">
        <f t="shared" si="362"/>
        <v>0</v>
      </c>
    </row>
    <row r="359" ht="15.75" customHeight="1">
      <c r="F359" s="24"/>
      <c r="G359" s="19">
        <f>$G$21</f>
        <v>13</v>
      </c>
      <c r="H359" s="20">
        <v>35.0</v>
      </c>
      <c r="I359" s="20">
        <v>5.0</v>
      </c>
      <c r="J359" s="20">
        <v>0.0</v>
      </c>
      <c r="K359" s="20">
        <v>0.0</v>
      </c>
      <c r="L359" s="20">
        <v>0.0</v>
      </c>
      <c r="N359" s="23"/>
      <c r="O359" s="19">
        <f>$G$21</f>
        <v>13</v>
      </c>
      <c r="P359" s="40">
        <f t="shared" ref="P359:T359" si="363">H359/H$370</f>
        <v>0.07972665148</v>
      </c>
      <c r="Q359" s="40">
        <f t="shared" si="363"/>
        <v>0.03846153846</v>
      </c>
      <c r="R359" s="40">
        <f t="shared" si="363"/>
        <v>0</v>
      </c>
      <c r="S359" s="40">
        <f t="shared" si="363"/>
        <v>0</v>
      </c>
      <c r="T359" s="40">
        <f t="shared" si="363"/>
        <v>0</v>
      </c>
    </row>
    <row r="360" ht="15.75" customHeight="1">
      <c r="F360" s="24"/>
      <c r="G360" s="19">
        <f>$G$22</f>
        <v>14</v>
      </c>
      <c r="H360" s="20">
        <v>45.0</v>
      </c>
      <c r="I360" s="20">
        <v>11.0</v>
      </c>
      <c r="J360" s="20">
        <v>1.0</v>
      </c>
      <c r="K360" s="20">
        <v>1.0</v>
      </c>
      <c r="L360" s="20">
        <v>0.0</v>
      </c>
      <c r="N360" s="23"/>
      <c r="O360" s="19">
        <f>$G$22</f>
        <v>14</v>
      </c>
      <c r="P360" s="40">
        <f t="shared" ref="P360:T360" si="364">H360/H$370</f>
        <v>0.1025056948</v>
      </c>
      <c r="Q360" s="40">
        <f t="shared" si="364"/>
        <v>0.08461538462</v>
      </c>
      <c r="R360" s="40">
        <f t="shared" si="364"/>
        <v>0.25</v>
      </c>
      <c r="S360" s="40">
        <f t="shared" si="364"/>
        <v>0.25</v>
      </c>
      <c r="T360" s="40">
        <f t="shared" si="364"/>
        <v>0</v>
      </c>
    </row>
    <row r="361" ht="15.75" customHeight="1">
      <c r="F361" s="24"/>
      <c r="G361" s="19">
        <f>$G$23</f>
        <v>15</v>
      </c>
      <c r="H361" s="20">
        <v>39.0</v>
      </c>
      <c r="I361" s="20">
        <v>15.0</v>
      </c>
      <c r="J361" s="20">
        <v>0.0</v>
      </c>
      <c r="K361" s="20">
        <v>0.0</v>
      </c>
      <c r="L361" s="20">
        <v>1.0</v>
      </c>
      <c r="N361" s="23"/>
      <c r="O361" s="19">
        <f>$G$23</f>
        <v>15</v>
      </c>
      <c r="P361" s="40">
        <f t="shared" ref="P361:T361" si="365">H361/H$370</f>
        <v>0.08883826879</v>
      </c>
      <c r="Q361" s="40">
        <f t="shared" si="365"/>
        <v>0.1153846154</v>
      </c>
      <c r="R361" s="40">
        <f t="shared" si="365"/>
        <v>0</v>
      </c>
      <c r="S361" s="40">
        <f t="shared" si="365"/>
        <v>0</v>
      </c>
      <c r="T361" s="40">
        <f t="shared" si="365"/>
        <v>0.1</v>
      </c>
    </row>
    <row r="362" ht="15.75" customHeight="1">
      <c r="F362" s="24"/>
      <c r="G362" s="19">
        <f>$G$24</f>
        <v>16</v>
      </c>
      <c r="H362" s="20">
        <v>31.0</v>
      </c>
      <c r="I362" s="20">
        <v>11.0</v>
      </c>
      <c r="J362" s="20">
        <v>0.0</v>
      </c>
      <c r="K362" s="20">
        <v>0.0</v>
      </c>
      <c r="L362" s="20">
        <v>0.0</v>
      </c>
      <c r="N362" s="23"/>
      <c r="O362" s="19">
        <f>$G$24</f>
        <v>16</v>
      </c>
      <c r="P362" s="40">
        <f t="shared" ref="P362:T362" si="366">H362/H$370</f>
        <v>0.07061503417</v>
      </c>
      <c r="Q362" s="40">
        <f t="shared" si="366"/>
        <v>0.08461538462</v>
      </c>
      <c r="R362" s="40">
        <f t="shared" si="366"/>
        <v>0</v>
      </c>
      <c r="S362" s="40">
        <f t="shared" si="366"/>
        <v>0</v>
      </c>
      <c r="T362" s="40">
        <f t="shared" si="366"/>
        <v>0</v>
      </c>
    </row>
    <row r="363" ht="15.75" customHeight="1">
      <c r="F363" s="24"/>
      <c r="G363" s="19">
        <f>$G$25</f>
        <v>17</v>
      </c>
      <c r="H363" s="20">
        <v>35.0</v>
      </c>
      <c r="I363" s="20">
        <v>7.0</v>
      </c>
      <c r="J363" s="20">
        <v>2.0</v>
      </c>
      <c r="K363" s="20">
        <v>1.0</v>
      </c>
      <c r="L363" s="20">
        <v>1.0</v>
      </c>
      <c r="N363" s="23"/>
      <c r="O363" s="19">
        <f>$G$25</f>
        <v>17</v>
      </c>
      <c r="P363" s="40">
        <f t="shared" ref="P363:T363" si="367">H363/H$370</f>
        <v>0.07972665148</v>
      </c>
      <c r="Q363" s="40">
        <f t="shared" si="367"/>
        <v>0.05384615385</v>
      </c>
      <c r="R363" s="40">
        <f t="shared" si="367"/>
        <v>0.5</v>
      </c>
      <c r="S363" s="40">
        <f t="shared" si="367"/>
        <v>0.25</v>
      </c>
      <c r="T363" s="40">
        <f t="shared" si="367"/>
        <v>0.1</v>
      </c>
    </row>
    <row r="364" ht="15.75" customHeight="1">
      <c r="F364" s="24"/>
      <c r="G364" s="19">
        <f>$G$26</f>
        <v>18</v>
      </c>
      <c r="H364" s="20">
        <v>26.0</v>
      </c>
      <c r="I364" s="20">
        <v>15.0</v>
      </c>
      <c r="J364" s="20">
        <v>0.0</v>
      </c>
      <c r="K364" s="20">
        <v>0.0</v>
      </c>
      <c r="L364" s="20">
        <v>0.0</v>
      </c>
      <c r="N364" s="23"/>
      <c r="O364" s="19">
        <f>$G$26</f>
        <v>18</v>
      </c>
      <c r="P364" s="40">
        <f t="shared" ref="P364:T364" si="368">H364/H$370</f>
        <v>0.05922551253</v>
      </c>
      <c r="Q364" s="40">
        <f t="shared" si="368"/>
        <v>0.1153846154</v>
      </c>
      <c r="R364" s="40">
        <f t="shared" si="368"/>
        <v>0</v>
      </c>
      <c r="S364" s="40">
        <f t="shared" si="368"/>
        <v>0</v>
      </c>
      <c r="T364" s="40">
        <f t="shared" si="368"/>
        <v>0</v>
      </c>
    </row>
    <row r="365" ht="15.75" customHeight="1">
      <c r="F365" s="24"/>
      <c r="G365" s="19">
        <f>$G$27</f>
        <v>19</v>
      </c>
      <c r="H365" s="20">
        <v>21.0</v>
      </c>
      <c r="I365" s="20">
        <v>5.0</v>
      </c>
      <c r="J365" s="20">
        <v>0.0</v>
      </c>
      <c r="K365" s="20">
        <v>0.0</v>
      </c>
      <c r="L365" s="20">
        <v>0.0</v>
      </c>
      <c r="N365" s="23"/>
      <c r="O365" s="19">
        <f>$G$27</f>
        <v>19</v>
      </c>
      <c r="P365" s="40">
        <f t="shared" ref="P365:T365" si="369">H365/H$370</f>
        <v>0.04783599089</v>
      </c>
      <c r="Q365" s="40">
        <f t="shared" si="369"/>
        <v>0.03846153846</v>
      </c>
      <c r="R365" s="40">
        <f t="shared" si="369"/>
        <v>0</v>
      </c>
      <c r="S365" s="40">
        <f t="shared" si="369"/>
        <v>0</v>
      </c>
      <c r="T365" s="40">
        <f t="shared" si="369"/>
        <v>0</v>
      </c>
    </row>
    <row r="366" ht="15.75" customHeight="1">
      <c r="F366" s="24"/>
      <c r="G366" s="19">
        <f>$G$28</f>
        <v>20</v>
      </c>
      <c r="H366" s="20">
        <v>10.0</v>
      </c>
      <c r="I366" s="20">
        <v>5.0</v>
      </c>
      <c r="J366" s="20">
        <v>0.0</v>
      </c>
      <c r="K366" s="20">
        <v>0.0</v>
      </c>
      <c r="L366" s="20">
        <v>0.0</v>
      </c>
      <c r="N366" s="23"/>
      <c r="O366" s="19">
        <f>$G$28</f>
        <v>20</v>
      </c>
      <c r="P366" s="40">
        <f t="shared" ref="P366:T366" si="370">H366/H$370</f>
        <v>0.02277904328</v>
      </c>
      <c r="Q366" s="40">
        <f t="shared" si="370"/>
        <v>0.03846153846</v>
      </c>
      <c r="R366" s="40">
        <f t="shared" si="370"/>
        <v>0</v>
      </c>
      <c r="S366" s="40">
        <f t="shared" si="370"/>
        <v>0</v>
      </c>
      <c r="T366" s="40">
        <f t="shared" si="370"/>
        <v>0</v>
      </c>
    </row>
    <row r="367" ht="15.75" customHeight="1">
      <c r="F367" s="24"/>
      <c r="G367" s="19">
        <f>$G$29</f>
        <v>21</v>
      </c>
      <c r="H367" s="20">
        <v>10.0</v>
      </c>
      <c r="I367" s="20">
        <v>5.0</v>
      </c>
      <c r="J367" s="20">
        <v>0.0</v>
      </c>
      <c r="K367" s="20">
        <v>0.0</v>
      </c>
      <c r="L367" s="20">
        <v>0.0</v>
      </c>
      <c r="N367" s="23"/>
      <c r="O367" s="19">
        <f>$G$29</f>
        <v>21</v>
      </c>
      <c r="P367" s="40">
        <f t="shared" ref="P367:T367" si="371">H367/H$370</f>
        <v>0.02277904328</v>
      </c>
      <c r="Q367" s="40">
        <f t="shared" si="371"/>
        <v>0.03846153846</v>
      </c>
      <c r="R367" s="40">
        <f t="shared" si="371"/>
        <v>0</v>
      </c>
      <c r="S367" s="40">
        <f t="shared" si="371"/>
        <v>0</v>
      </c>
      <c r="T367" s="40">
        <f t="shared" si="371"/>
        <v>0</v>
      </c>
    </row>
    <row r="368" ht="15.75" customHeight="1">
      <c r="F368" s="24"/>
      <c r="G368" s="19">
        <f>$G$30</f>
        <v>22</v>
      </c>
      <c r="H368" s="20">
        <v>5.0</v>
      </c>
      <c r="I368" s="20">
        <v>1.0</v>
      </c>
      <c r="J368" s="20">
        <v>0.0</v>
      </c>
      <c r="K368" s="20">
        <v>0.0</v>
      </c>
      <c r="L368" s="20">
        <v>0.0</v>
      </c>
      <c r="N368" s="23"/>
      <c r="O368" s="19">
        <f>$G$30</f>
        <v>22</v>
      </c>
      <c r="P368" s="40">
        <f t="shared" ref="P368:T368" si="372">H368/H$370</f>
        <v>0.01138952164</v>
      </c>
      <c r="Q368" s="40">
        <f t="shared" si="372"/>
        <v>0.007692307692</v>
      </c>
      <c r="R368" s="40">
        <f t="shared" si="372"/>
        <v>0</v>
      </c>
      <c r="S368" s="40">
        <f t="shared" si="372"/>
        <v>0</v>
      </c>
      <c r="T368" s="40">
        <f t="shared" si="372"/>
        <v>0</v>
      </c>
    </row>
    <row r="369" ht="15.75" customHeight="1">
      <c r="F369" s="28"/>
      <c r="G369" s="71">
        <f>$G$31</f>
        <v>23</v>
      </c>
      <c r="H369" s="20">
        <v>5.0</v>
      </c>
      <c r="I369" s="20">
        <v>1.0</v>
      </c>
      <c r="J369" s="20">
        <v>0.0</v>
      </c>
      <c r="K369" s="20">
        <v>0.0</v>
      </c>
      <c r="L369" s="20">
        <v>0.0</v>
      </c>
      <c r="N369" s="27"/>
      <c r="O369" s="19">
        <f>$G$31</f>
        <v>23</v>
      </c>
      <c r="P369" s="40">
        <f t="shared" ref="P369:T369" si="373">H369/H$370</f>
        <v>0.01138952164</v>
      </c>
      <c r="Q369" s="40">
        <f t="shared" si="373"/>
        <v>0.007692307692</v>
      </c>
      <c r="R369" s="40">
        <f t="shared" si="373"/>
        <v>0</v>
      </c>
      <c r="S369" s="40">
        <f t="shared" si="373"/>
        <v>0</v>
      </c>
      <c r="T369" s="40">
        <f t="shared" si="373"/>
        <v>0</v>
      </c>
    </row>
    <row r="370" ht="15.75" customHeight="1">
      <c r="F370" s="41"/>
      <c r="G370" s="41"/>
      <c r="H370" s="26">
        <f t="shared" ref="H370:L370" si="374">SUM(H346:H369)</f>
        <v>439</v>
      </c>
      <c r="I370" s="26">
        <f t="shared" si="374"/>
        <v>130</v>
      </c>
      <c r="J370" s="26">
        <f t="shared" si="374"/>
        <v>4</v>
      </c>
      <c r="K370" s="26">
        <f t="shared" si="374"/>
        <v>4</v>
      </c>
      <c r="L370" s="26">
        <f t="shared" si="374"/>
        <v>10</v>
      </c>
      <c r="N370" s="41"/>
    </row>
    <row r="371" ht="15.75" customHeight="1">
      <c r="G371" s="16"/>
      <c r="H371" s="54"/>
      <c r="I371" s="54"/>
      <c r="J371" s="54"/>
      <c r="K371" s="54"/>
      <c r="L371" s="54"/>
      <c r="O371" s="16"/>
      <c r="P371" s="54"/>
      <c r="Q371" s="54"/>
      <c r="R371" s="54"/>
      <c r="S371" s="54"/>
      <c r="T371" s="54"/>
    </row>
    <row r="372" ht="15.75" customHeight="1">
      <c r="F372" s="55"/>
      <c r="G372" s="51"/>
      <c r="H372" s="16"/>
      <c r="I372" s="16"/>
      <c r="J372" s="16"/>
      <c r="K372" s="16"/>
      <c r="L372" s="16"/>
      <c r="N372" s="55"/>
      <c r="O372" s="51"/>
      <c r="P372" s="52"/>
      <c r="Q372" s="52"/>
      <c r="R372" s="52"/>
      <c r="S372" s="52"/>
      <c r="T372" s="52"/>
    </row>
    <row r="373" ht="15.75" customHeight="1">
      <c r="G373" s="51"/>
      <c r="H373" s="16"/>
      <c r="I373" s="16"/>
      <c r="J373" s="16"/>
      <c r="K373" s="16"/>
      <c r="L373" s="16"/>
      <c r="O373" s="51"/>
      <c r="P373" s="52"/>
      <c r="Q373" s="52"/>
      <c r="R373" s="52"/>
      <c r="S373" s="52"/>
      <c r="T373" s="52"/>
    </row>
    <row r="374" ht="15.75" customHeight="1">
      <c r="G374" s="51"/>
      <c r="H374" s="16"/>
      <c r="I374" s="16"/>
      <c r="J374" s="16"/>
      <c r="K374" s="16"/>
      <c r="L374" s="16"/>
      <c r="O374" s="51"/>
      <c r="P374" s="52"/>
      <c r="Q374" s="52"/>
      <c r="R374" s="52"/>
      <c r="S374" s="52"/>
      <c r="T374" s="52"/>
    </row>
    <row r="375" ht="15.75" customHeight="1">
      <c r="G375" s="51"/>
      <c r="H375" s="16"/>
      <c r="I375" s="16"/>
      <c r="J375" s="16"/>
      <c r="K375" s="16"/>
      <c r="L375" s="16"/>
      <c r="O375" s="51"/>
      <c r="P375" s="52"/>
      <c r="Q375" s="52"/>
      <c r="R375" s="52"/>
      <c r="S375" s="52"/>
      <c r="T375" s="52"/>
    </row>
    <row r="376" ht="15.75" customHeight="1">
      <c r="G376" s="51"/>
      <c r="H376" s="16"/>
      <c r="I376" s="16"/>
      <c r="J376" s="16"/>
      <c r="K376" s="16"/>
      <c r="L376" s="16"/>
      <c r="O376" s="51"/>
      <c r="P376" s="52"/>
      <c r="Q376" s="52"/>
      <c r="R376" s="52"/>
      <c r="S376" s="52"/>
      <c r="T376" s="52"/>
    </row>
    <row r="377" ht="15.75" customHeight="1">
      <c r="G377" s="51"/>
      <c r="H377" s="16"/>
      <c r="I377" s="16"/>
      <c r="J377" s="16"/>
      <c r="K377" s="16"/>
      <c r="L377" s="16"/>
      <c r="O377" s="51"/>
      <c r="P377" s="52"/>
      <c r="Q377" s="52"/>
      <c r="R377" s="52"/>
      <c r="S377" s="52"/>
      <c r="T377" s="52"/>
    </row>
    <row r="378" ht="15.75" customHeight="1">
      <c r="G378" s="51"/>
      <c r="H378" s="16"/>
      <c r="I378" s="16"/>
      <c r="J378" s="16"/>
      <c r="K378" s="16"/>
      <c r="L378" s="16"/>
      <c r="O378" s="51"/>
      <c r="P378" s="52"/>
      <c r="Q378" s="52"/>
      <c r="R378" s="52"/>
      <c r="S378" s="52"/>
      <c r="T378" s="52"/>
    </row>
    <row r="379" ht="15.75" customHeight="1">
      <c r="G379" s="51"/>
      <c r="H379" s="16"/>
      <c r="I379" s="16"/>
      <c r="J379" s="16"/>
      <c r="K379" s="16"/>
      <c r="L379" s="16"/>
      <c r="O379" s="51"/>
      <c r="P379" s="52"/>
      <c r="Q379" s="52"/>
      <c r="R379" s="52"/>
      <c r="S379" s="52"/>
      <c r="T379" s="52"/>
    </row>
    <row r="380" ht="15.75" customHeight="1">
      <c r="G380" s="51"/>
      <c r="H380" s="16"/>
      <c r="I380" s="16"/>
      <c r="J380" s="16"/>
      <c r="K380" s="16"/>
      <c r="L380" s="16"/>
      <c r="O380" s="51"/>
      <c r="P380" s="52"/>
      <c r="Q380" s="52"/>
      <c r="R380" s="52"/>
      <c r="S380" s="52"/>
      <c r="T380" s="52"/>
    </row>
    <row r="381" ht="15.75" customHeight="1">
      <c r="G381" s="51"/>
      <c r="H381" s="16"/>
      <c r="I381" s="16"/>
      <c r="J381" s="16"/>
      <c r="K381" s="16"/>
      <c r="L381" s="16"/>
      <c r="O381" s="51"/>
      <c r="P381" s="52"/>
      <c r="Q381" s="52"/>
      <c r="R381" s="52"/>
      <c r="S381" s="52"/>
      <c r="T381" s="52"/>
    </row>
    <row r="382" ht="15.75" customHeight="1">
      <c r="G382" s="51"/>
      <c r="H382" s="16"/>
      <c r="I382" s="16"/>
      <c r="J382" s="16"/>
      <c r="K382" s="16"/>
      <c r="L382" s="16"/>
      <c r="O382" s="51"/>
      <c r="P382" s="52"/>
      <c r="Q382" s="52"/>
      <c r="R382" s="52"/>
      <c r="S382" s="52"/>
      <c r="T382" s="52"/>
    </row>
    <row r="383" ht="15.75" customHeight="1">
      <c r="G383" s="51"/>
      <c r="H383" s="16"/>
      <c r="I383" s="16"/>
      <c r="J383" s="16"/>
      <c r="K383" s="16"/>
      <c r="L383" s="16"/>
      <c r="O383" s="51"/>
      <c r="P383" s="52"/>
      <c r="Q383" s="52"/>
      <c r="R383" s="52"/>
      <c r="S383" s="52"/>
      <c r="T383" s="52"/>
    </row>
    <row r="384" ht="15.75" customHeight="1">
      <c r="G384" s="51"/>
      <c r="H384" s="16"/>
      <c r="I384" s="16"/>
      <c r="J384" s="16"/>
      <c r="K384" s="16"/>
      <c r="L384" s="16"/>
      <c r="O384" s="51"/>
      <c r="P384" s="52"/>
      <c r="Q384" s="52"/>
      <c r="R384" s="52"/>
      <c r="S384" s="52"/>
      <c r="T384" s="52"/>
    </row>
    <row r="385" ht="15.75" customHeight="1">
      <c r="G385" s="51"/>
      <c r="H385" s="16"/>
      <c r="I385" s="16"/>
      <c r="J385" s="16"/>
      <c r="K385" s="16"/>
      <c r="L385" s="16"/>
      <c r="O385" s="51"/>
      <c r="P385" s="52"/>
      <c r="Q385" s="52"/>
      <c r="R385" s="52"/>
      <c r="S385" s="52"/>
      <c r="T385" s="52"/>
    </row>
    <row r="386" ht="15.75" customHeight="1">
      <c r="G386" s="51"/>
      <c r="H386" s="16"/>
      <c r="I386" s="16"/>
      <c r="J386" s="16"/>
      <c r="K386" s="16"/>
      <c r="L386" s="16"/>
      <c r="O386" s="51"/>
      <c r="P386" s="52"/>
      <c r="Q386" s="52"/>
      <c r="R386" s="52"/>
      <c r="S386" s="52"/>
      <c r="T386" s="52"/>
    </row>
    <row r="387" ht="15.75" customHeight="1">
      <c r="G387" s="51"/>
      <c r="H387" s="16"/>
      <c r="I387" s="16"/>
      <c r="J387" s="16"/>
      <c r="K387" s="16"/>
      <c r="L387" s="16"/>
      <c r="O387" s="51"/>
      <c r="P387" s="52"/>
      <c r="Q387" s="52"/>
      <c r="R387" s="52"/>
      <c r="S387" s="52"/>
      <c r="T387" s="52"/>
    </row>
    <row r="388" ht="15.75" customHeight="1">
      <c r="G388" s="51"/>
      <c r="H388" s="16"/>
      <c r="I388" s="16"/>
      <c r="J388" s="16"/>
      <c r="K388" s="16"/>
      <c r="L388" s="16"/>
      <c r="O388" s="51"/>
      <c r="P388" s="52"/>
      <c r="Q388" s="52"/>
      <c r="R388" s="52"/>
      <c r="S388" s="52"/>
      <c r="T388" s="52"/>
    </row>
    <row r="389" ht="15.75" customHeight="1">
      <c r="G389" s="51"/>
      <c r="H389" s="16"/>
      <c r="I389" s="16"/>
      <c r="J389" s="16"/>
      <c r="K389" s="16"/>
      <c r="L389" s="16"/>
      <c r="O389" s="51"/>
      <c r="P389" s="52"/>
      <c r="Q389" s="52"/>
      <c r="R389" s="52"/>
      <c r="S389" s="52"/>
      <c r="T389" s="52"/>
    </row>
    <row r="390" ht="15.75" customHeight="1">
      <c r="G390" s="51"/>
      <c r="H390" s="16"/>
      <c r="I390" s="16"/>
      <c r="J390" s="16"/>
      <c r="K390" s="16"/>
      <c r="L390" s="16"/>
      <c r="O390" s="51"/>
      <c r="P390" s="52"/>
      <c r="Q390" s="52"/>
      <c r="R390" s="52"/>
      <c r="S390" s="52"/>
      <c r="T390" s="52"/>
    </row>
    <row r="391" ht="15.75" customHeight="1">
      <c r="G391" s="51"/>
      <c r="H391" s="16"/>
      <c r="I391" s="16"/>
      <c r="J391" s="16"/>
      <c r="K391" s="16"/>
      <c r="L391" s="16"/>
      <c r="O391" s="51"/>
      <c r="P391" s="52"/>
      <c r="Q391" s="52"/>
      <c r="R391" s="52"/>
      <c r="S391" s="52"/>
      <c r="T391" s="52"/>
    </row>
    <row r="392" ht="15.75" customHeight="1">
      <c r="G392" s="51"/>
      <c r="H392" s="16"/>
      <c r="I392" s="16"/>
      <c r="J392" s="16"/>
      <c r="K392" s="16"/>
      <c r="L392" s="16"/>
      <c r="O392" s="51"/>
      <c r="P392" s="52"/>
      <c r="Q392" s="52"/>
      <c r="R392" s="52"/>
      <c r="S392" s="52"/>
      <c r="T392" s="52"/>
    </row>
    <row r="393" ht="15.75" customHeight="1">
      <c r="G393" s="51"/>
      <c r="H393" s="16"/>
      <c r="I393" s="16"/>
      <c r="J393" s="16"/>
      <c r="K393" s="16"/>
      <c r="L393" s="16"/>
      <c r="O393" s="51"/>
      <c r="P393" s="52"/>
      <c r="Q393" s="52"/>
      <c r="R393" s="52"/>
      <c r="S393" s="52"/>
      <c r="T393" s="52"/>
    </row>
    <row r="394" ht="15.75" customHeight="1">
      <c r="G394" s="51"/>
      <c r="H394" s="16"/>
      <c r="I394" s="16"/>
      <c r="J394" s="16"/>
      <c r="K394" s="16"/>
      <c r="L394" s="16"/>
      <c r="O394" s="51"/>
      <c r="P394" s="52"/>
      <c r="Q394" s="52"/>
      <c r="R394" s="52"/>
      <c r="S394" s="52"/>
      <c r="T394" s="52"/>
    </row>
    <row r="395" ht="15.75" customHeight="1">
      <c r="G395" s="51"/>
      <c r="H395" s="16"/>
      <c r="I395" s="16"/>
      <c r="J395" s="16"/>
      <c r="K395" s="16"/>
      <c r="L395" s="16"/>
      <c r="O395" s="51"/>
      <c r="P395" s="52"/>
      <c r="Q395" s="52"/>
      <c r="R395" s="52"/>
      <c r="S395" s="52"/>
      <c r="T395" s="52"/>
    </row>
    <row r="396" ht="15.75" customHeight="1">
      <c r="F396" s="41"/>
      <c r="G396" s="41"/>
      <c r="H396" s="26">
        <f t="shared" ref="H396:L396" si="375">SUM(H372:H395)</f>
        <v>0</v>
      </c>
      <c r="I396" s="26">
        <f t="shared" si="375"/>
        <v>0</v>
      </c>
      <c r="J396" s="26">
        <f t="shared" si="375"/>
        <v>0</v>
      </c>
      <c r="K396" s="26">
        <f t="shared" si="375"/>
        <v>0</v>
      </c>
      <c r="L396" s="26">
        <f t="shared" si="375"/>
        <v>0</v>
      </c>
      <c r="N396" s="41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H3:L3"/>
    <mergeCell ref="H4:L4"/>
    <mergeCell ref="H6:L6"/>
    <mergeCell ref="F8:F31"/>
    <mergeCell ref="F34:F57"/>
    <mergeCell ref="F242:F265"/>
    <mergeCell ref="F268:F291"/>
    <mergeCell ref="F294:F317"/>
    <mergeCell ref="F320:F343"/>
    <mergeCell ref="F346:F369"/>
    <mergeCell ref="F372:F395"/>
    <mergeCell ref="F60:F83"/>
    <mergeCell ref="F86:F109"/>
    <mergeCell ref="F112:F135"/>
    <mergeCell ref="F138:F161"/>
    <mergeCell ref="F164:F187"/>
    <mergeCell ref="F190:F213"/>
    <mergeCell ref="F216:F23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62"/>
      <c r="B1" s="62"/>
      <c r="C1" s="62"/>
      <c r="D1" s="62"/>
      <c r="E1" s="62"/>
      <c r="F1" s="63"/>
      <c r="G1" s="63"/>
      <c r="H1" s="2" t="s">
        <v>0</v>
      </c>
      <c r="I1" s="3">
        <v>1.10021106E8</v>
      </c>
      <c r="J1" s="2"/>
      <c r="K1" s="2"/>
      <c r="L1" s="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2"/>
      <c r="B2" s="62"/>
      <c r="C2" s="62"/>
      <c r="D2" s="62"/>
      <c r="E2" s="62"/>
      <c r="F2" s="63"/>
      <c r="G2" s="63"/>
      <c r="H2" s="2" t="s">
        <v>1</v>
      </c>
      <c r="I2" s="2" t="s">
        <v>2</v>
      </c>
      <c r="J2" s="2"/>
      <c r="K2" s="2"/>
      <c r="L2" s="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62"/>
      <c r="B3" s="64" t="s">
        <v>3</v>
      </c>
      <c r="C3" s="5"/>
      <c r="D3" s="64" t="s">
        <v>4</v>
      </c>
      <c r="E3" s="5"/>
      <c r="F3" s="63"/>
      <c r="G3" s="63"/>
      <c r="H3" s="6" t="s">
        <v>312</v>
      </c>
      <c r="I3" s="7"/>
      <c r="J3" s="7"/>
      <c r="K3" s="7"/>
      <c r="L3" s="8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5.75" customHeight="1">
      <c r="A4" s="65" t="s">
        <v>6</v>
      </c>
      <c r="B4" s="99" t="s">
        <v>7</v>
      </c>
      <c r="C4" s="100" t="s">
        <v>8</v>
      </c>
      <c r="D4" s="99" t="s">
        <v>7</v>
      </c>
      <c r="E4" s="100" t="s">
        <v>8</v>
      </c>
      <c r="F4" s="63"/>
      <c r="G4" s="63"/>
      <c r="H4" s="6" t="s">
        <v>313</v>
      </c>
      <c r="I4" s="7"/>
      <c r="J4" s="7"/>
      <c r="K4" s="7"/>
      <c r="L4" s="8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5.75" customHeight="1">
      <c r="A5" s="68" t="s">
        <v>10</v>
      </c>
      <c r="B5" s="69" t="s">
        <v>11</v>
      </c>
      <c r="C5" s="101" t="s">
        <v>12</v>
      </c>
      <c r="D5" s="101" t="s">
        <v>13</v>
      </c>
      <c r="E5" s="102" t="s">
        <v>14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5.75" customHeight="1">
      <c r="A6" s="63"/>
      <c r="B6" s="63"/>
      <c r="C6" s="63"/>
      <c r="D6" s="63"/>
      <c r="E6" s="103"/>
      <c r="F6" s="63"/>
      <c r="G6" s="63"/>
      <c r="H6" s="15" t="s">
        <v>15</v>
      </c>
      <c r="I6" s="7"/>
      <c r="J6" s="7"/>
      <c r="K6" s="7"/>
      <c r="L6" s="8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5.75" customHeight="1">
      <c r="A7" s="63"/>
      <c r="B7" s="63"/>
      <c r="C7" s="63"/>
      <c r="D7" s="63"/>
      <c r="E7" s="63"/>
      <c r="F7" s="63"/>
      <c r="G7" s="16"/>
      <c r="H7" s="19">
        <v>31.0</v>
      </c>
      <c r="I7" s="19">
        <v>32.0</v>
      </c>
      <c r="J7" s="19">
        <v>41.0</v>
      </c>
      <c r="K7" s="19">
        <v>42.0</v>
      </c>
      <c r="L7" s="19">
        <v>5.0</v>
      </c>
      <c r="M7" s="63"/>
      <c r="N7" s="63"/>
      <c r="O7" s="63"/>
      <c r="P7" s="16"/>
      <c r="Q7" s="19">
        <v>31.0</v>
      </c>
      <c r="R7" s="19">
        <v>32.0</v>
      </c>
      <c r="S7" s="19">
        <v>41.0</v>
      </c>
      <c r="T7" s="19">
        <v>42.0</v>
      </c>
      <c r="U7" s="19">
        <v>5.0</v>
      </c>
      <c r="V7" s="63"/>
      <c r="W7" s="63"/>
      <c r="X7" s="63"/>
      <c r="Y7" s="63"/>
      <c r="Z7" s="63"/>
    </row>
    <row r="8" ht="15.75" customHeight="1">
      <c r="A8" s="63"/>
      <c r="B8" s="63"/>
      <c r="C8" s="63"/>
      <c r="D8" s="63"/>
      <c r="E8" s="63"/>
      <c r="F8" s="21">
        <v>45194.0</v>
      </c>
      <c r="G8" s="19">
        <v>0.0</v>
      </c>
      <c r="H8" s="20">
        <v>69.0</v>
      </c>
      <c r="I8" s="20">
        <v>19.0</v>
      </c>
      <c r="J8" s="20">
        <v>1.0</v>
      </c>
      <c r="K8" s="20">
        <v>6.0</v>
      </c>
      <c r="L8" s="20">
        <v>8.0</v>
      </c>
      <c r="M8" s="63"/>
      <c r="N8" s="18">
        <v>45194.0</v>
      </c>
      <c r="O8" s="63"/>
      <c r="P8" s="19">
        <v>0.0</v>
      </c>
      <c r="Q8" s="104">
        <f t="shared" ref="Q8:R8" si="1">H8/H$32</f>
        <v>0.009261744966</v>
      </c>
      <c r="R8" s="104">
        <f t="shared" si="1"/>
        <v>0.006403774857</v>
      </c>
      <c r="S8" s="104">
        <v>0.0</v>
      </c>
      <c r="T8" s="104">
        <f t="shared" ref="T8:U8" si="2">K8/K$32</f>
        <v>0.01192842942</v>
      </c>
      <c r="U8" s="104">
        <f t="shared" si="2"/>
        <v>0.01344537815</v>
      </c>
      <c r="V8" s="63"/>
      <c r="W8" s="63"/>
      <c r="X8" s="63"/>
      <c r="Y8" s="63"/>
      <c r="Z8" s="63"/>
    </row>
    <row r="9" ht="15.75" customHeight="1">
      <c r="A9" s="63"/>
      <c r="B9" s="63"/>
      <c r="C9" s="63"/>
      <c r="D9" s="63"/>
      <c r="E9" s="63"/>
      <c r="F9" s="24"/>
      <c r="G9" s="19">
        <v>1.0</v>
      </c>
      <c r="H9" s="20">
        <v>47.0</v>
      </c>
      <c r="I9" s="20">
        <v>13.0</v>
      </c>
      <c r="J9" s="20">
        <v>0.0</v>
      </c>
      <c r="K9" s="20">
        <v>4.0</v>
      </c>
      <c r="L9" s="20">
        <v>3.0</v>
      </c>
      <c r="M9" s="63"/>
      <c r="N9" s="23"/>
      <c r="O9" s="63"/>
      <c r="P9" s="19">
        <v>1.0</v>
      </c>
      <c r="Q9" s="104">
        <f t="shared" ref="Q9:R9" si="3">H9/H$32</f>
        <v>0.006308724832</v>
      </c>
      <c r="R9" s="104">
        <f t="shared" si="3"/>
        <v>0.004381530165</v>
      </c>
      <c r="S9" s="104">
        <v>0.0</v>
      </c>
      <c r="T9" s="104">
        <f t="shared" ref="T9:U9" si="4">K9/K$32</f>
        <v>0.007952286282</v>
      </c>
      <c r="U9" s="104">
        <f t="shared" si="4"/>
        <v>0.005042016807</v>
      </c>
      <c r="V9" s="63"/>
      <c r="W9" s="63"/>
      <c r="X9" s="63"/>
      <c r="Y9" s="63"/>
      <c r="Z9" s="63"/>
    </row>
    <row r="10" ht="15.75" customHeight="1">
      <c r="A10" s="63"/>
      <c r="B10" s="63"/>
      <c r="C10" s="63"/>
      <c r="D10" s="63"/>
      <c r="E10" s="63"/>
      <c r="F10" s="24"/>
      <c r="G10" s="19">
        <v>2.0</v>
      </c>
      <c r="H10" s="20">
        <v>33.0</v>
      </c>
      <c r="I10" s="20">
        <v>16.0</v>
      </c>
      <c r="J10" s="20">
        <v>1.0</v>
      </c>
      <c r="K10" s="20">
        <v>10.0</v>
      </c>
      <c r="L10" s="20">
        <v>6.0</v>
      </c>
      <c r="M10" s="63"/>
      <c r="N10" s="23"/>
      <c r="O10" s="63"/>
      <c r="P10" s="19">
        <v>2.0</v>
      </c>
      <c r="Q10" s="104">
        <f t="shared" ref="Q10:R10" si="5">H10/H$32</f>
        <v>0.004429530201</v>
      </c>
      <c r="R10" s="104">
        <f t="shared" si="5"/>
        <v>0.005392652511</v>
      </c>
      <c r="S10" s="104">
        <v>0.0</v>
      </c>
      <c r="T10" s="104">
        <f t="shared" ref="T10:U10" si="6">K10/K$32</f>
        <v>0.01988071571</v>
      </c>
      <c r="U10" s="104">
        <f t="shared" si="6"/>
        <v>0.01008403361</v>
      </c>
      <c r="V10" s="63"/>
      <c r="W10" s="63"/>
      <c r="X10" s="63"/>
      <c r="Y10" s="63"/>
      <c r="Z10" s="63"/>
    </row>
    <row r="11" ht="15.75" customHeight="1">
      <c r="A11" s="63"/>
      <c r="B11" s="63"/>
      <c r="C11" s="63"/>
      <c r="D11" s="63"/>
      <c r="E11" s="63"/>
      <c r="F11" s="24"/>
      <c r="G11" s="19">
        <v>3.0</v>
      </c>
      <c r="H11" s="20">
        <v>35.0</v>
      </c>
      <c r="I11" s="20">
        <v>17.0</v>
      </c>
      <c r="J11" s="20">
        <v>1.0</v>
      </c>
      <c r="K11" s="20">
        <v>10.0</v>
      </c>
      <c r="L11" s="20">
        <v>5.0</v>
      </c>
      <c r="M11" s="63"/>
      <c r="N11" s="23"/>
      <c r="O11" s="63"/>
      <c r="P11" s="19">
        <v>3.0</v>
      </c>
      <c r="Q11" s="104">
        <f t="shared" ref="Q11:R11" si="7">H11/H$32</f>
        <v>0.004697986577</v>
      </c>
      <c r="R11" s="104">
        <f t="shared" si="7"/>
        <v>0.005729693293</v>
      </c>
      <c r="S11" s="104">
        <v>0.0</v>
      </c>
      <c r="T11" s="104">
        <f t="shared" ref="T11:U11" si="8">K11/K$32</f>
        <v>0.01988071571</v>
      </c>
      <c r="U11" s="104">
        <f t="shared" si="8"/>
        <v>0.008403361345</v>
      </c>
      <c r="V11" s="63"/>
      <c r="W11" s="63"/>
      <c r="X11" s="63"/>
      <c r="Y11" s="63"/>
      <c r="Z11" s="63"/>
    </row>
    <row r="12" ht="15.75" customHeight="1">
      <c r="A12" s="63"/>
      <c r="B12" s="63"/>
      <c r="C12" s="63"/>
      <c r="D12" s="63"/>
      <c r="E12" s="63"/>
      <c r="F12" s="24"/>
      <c r="G12" s="19">
        <v>4.0</v>
      </c>
      <c r="H12" s="20">
        <v>80.0</v>
      </c>
      <c r="I12" s="20">
        <v>30.0</v>
      </c>
      <c r="J12" s="20">
        <v>1.0</v>
      </c>
      <c r="K12" s="20">
        <v>9.0</v>
      </c>
      <c r="L12" s="20">
        <v>18.0</v>
      </c>
      <c r="M12" s="63"/>
      <c r="N12" s="23"/>
      <c r="O12" s="63"/>
      <c r="P12" s="19">
        <v>4.0</v>
      </c>
      <c r="Q12" s="104">
        <f t="shared" ref="Q12:R12" si="9">H12/H$32</f>
        <v>0.01073825503</v>
      </c>
      <c r="R12" s="104">
        <f t="shared" si="9"/>
        <v>0.01011122346</v>
      </c>
      <c r="S12" s="104">
        <v>0.0</v>
      </c>
      <c r="T12" s="104">
        <f t="shared" ref="T12:U12" si="10">K12/K$32</f>
        <v>0.01789264414</v>
      </c>
      <c r="U12" s="104">
        <f t="shared" si="10"/>
        <v>0.03025210084</v>
      </c>
      <c r="V12" s="63"/>
      <c r="W12" s="63"/>
      <c r="X12" s="63"/>
      <c r="Y12" s="63"/>
      <c r="Z12" s="63"/>
    </row>
    <row r="13" ht="15.75" customHeight="1">
      <c r="A13" s="63"/>
      <c r="B13" s="63"/>
      <c r="C13" s="63"/>
      <c r="D13" s="63"/>
      <c r="E13" s="63"/>
      <c r="F13" s="24"/>
      <c r="G13" s="19">
        <v>5.0</v>
      </c>
      <c r="H13" s="20">
        <v>165.0</v>
      </c>
      <c r="I13" s="20">
        <v>76.0</v>
      </c>
      <c r="J13" s="20">
        <v>10.0</v>
      </c>
      <c r="K13" s="20">
        <v>20.0</v>
      </c>
      <c r="L13" s="20">
        <v>23.0</v>
      </c>
      <c r="M13" s="63"/>
      <c r="N13" s="23"/>
      <c r="O13" s="63"/>
      <c r="P13" s="19">
        <v>5.0</v>
      </c>
      <c r="Q13" s="104">
        <f t="shared" ref="Q13:R13" si="11">H13/H$32</f>
        <v>0.02214765101</v>
      </c>
      <c r="R13" s="104">
        <f t="shared" si="11"/>
        <v>0.02561509943</v>
      </c>
      <c r="S13" s="104">
        <v>0.0</v>
      </c>
      <c r="T13" s="104">
        <f t="shared" ref="T13:U13" si="12">K13/K$32</f>
        <v>0.03976143141</v>
      </c>
      <c r="U13" s="104">
        <f t="shared" si="12"/>
        <v>0.03865546218</v>
      </c>
      <c r="V13" s="63"/>
      <c r="W13" s="63"/>
      <c r="X13" s="63"/>
      <c r="Y13" s="63"/>
      <c r="Z13" s="63"/>
    </row>
    <row r="14" ht="15.75" customHeight="1">
      <c r="A14" s="63"/>
      <c r="B14" s="63"/>
      <c r="C14" s="63"/>
      <c r="D14" s="63"/>
      <c r="E14" s="63"/>
      <c r="F14" s="24"/>
      <c r="G14" s="19">
        <v>6.0</v>
      </c>
      <c r="H14" s="20">
        <v>423.0</v>
      </c>
      <c r="I14" s="20">
        <v>142.0</v>
      </c>
      <c r="J14" s="20">
        <v>12.0</v>
      </c>
      <c r="K14" s="20">
        <v>26.0</v>
      </c>
      <c r="L14" s="20">
        <v>40.0</v>
      </c>
      <c r="M14" s="63"/>
      <c r="N14" s="23"/>
      <c r="O14" s="63"/>
      <c r="P14" s="19">
        <v>6.0</v>
      </c>
      <c r="Q14" s="104">
        <f t="shared" ref="Q14:R14" si="13">H14/H$32</f>
        <v>0.05677852349</v>
      </c>
      <c r="R14" s="104">
        <f t="shared" si="13"/>
        <v>0.04785979103</v>
      </c>
      <c r="S14" s="104">
        <v>0.0</v>
      </c>
      <c r="T14" s="104">
        <f t="shared" ref="T14:U14" si="14">K14/K$32</f>
        <v>0.05168986083</v>
      </c>
      <c r="U14" s="104">
        <f t="shared" si="14"/>
        <v>0.06722689076</v>
      </c>
      <c r="V14" s="63"/>
      <c r="W14" s="63"/>
      <c r="X14" s="63"/>
      <c r="Y14" s="63"/>
      <c r="Z14" s="63"/>
    </row>
    <row r="15" ht="15.75" customHeight="1">
      <c r="A15" s="63"/>
      <c r="B15" s="63"/>
      <c r="C15" s="63"/>
      <c r="D15" s="63"/>
      <c r="E15" s="63"/>
      <c r="F15" s="24"/>
      <c r="G15" s="19">
        <v>7.0</v>
      </c>
      <c r="H15" s="20">
        <v>649.0</v>
      </c>
      <c r="I15" s="20">
        <v>227.0</v>
      </c>
      <c r="J15" s="20">
        <v>31.0</v>
      </c>
      <c r="K15" s="20">
        <v>39.0</v>
      </c>
      <c r="L15" s="20">
        <v>42.0</v>
      </c>
      <c r="M15" s="63"/>
      <c r="N15" s="23"/>
      <c r="O15" s="63"/>
      <c r="P15" s="19">
        <v>7.0</v>
      </c>
      <c r="Q15" s="104">
        <f t="shared" ref="Q15:R15" si="15">H15/H$32</f>
        <v>0.08711409396</v>
      </c>
      <c r="R15" s="104">
        <f t="shared" si="15"/>
        <v>0.0765082575</v>
      </c>
      <c r="S15" s="104">
        <v>0.0</v>
      </c>
      <c r="T15" s="104">
        <f t="shared" ref="T15:U15" si="16">K15/K$32</f>
        <v>0.07753479125</v>
      </c>
      <c r="U15" s="104">
        <f t="shared" si="16"/>
        <v>0.07058823529</v>
      </c>
      <c r="V15" s="63"/>
      <c r="W15" s="63"/>
      <c r="X15" s="63"/>
      <c r="Y15" s="63"/>
      <c r="Z15" s="63"/>
    </row>
    <row r="16" ht="15.75" customHeight="1">
      <c r="A16" s="63"/>
      <c r="B16" s="63"/>
      <c r="C16" s="63"/>
      <c r="D16" s="63"/>
      <c r="E16" s="63"/>
      <c r="F16" s="24"/>
      <c r="G16" s="19">
        <v>8.0</v>
      </c>
      <c r="H16" s="20">
        <v>564.0</v>
      </c>
      <c r="I16" s="20">
        <v>311.0</v>
      </c>
      <c r="J16" s="20">
        <v>11.0</v>
      </c>
      <c r="K16" s="20">
        <v>44.0</v>
      </c>
      <c r="L16" s="20">
        <v>36.0</v>
      </c>
      <c r="M16" s="63"/>
      <c r="N16" s="23"/>
      <c r="O16" s="63"/>
      <c r="P16" s="19">
        <v>8.0</v>
      </c>
      <c r="Q16" s="104">
        <f t="shared" ref="Q16:R16" si="17">H16/H$32</f>
        <v>0.07570469799</v>
      </c>
      <c r="R16" s="104">
        <f t="shared" si="17"/>
        <v>0.1048196832</v>
      </c>
      <c r="S16" s="104">
        <v>0.0</v>
      </c>
      <c r="T16" s="104">
        <f t="shared" ref="T16:U16" si="18">K16/K$32</f>
        <v>0.08747514911</v>
      </c>
      <c r="U16" s="104">
        <f t="shared" si="18"/>
        <v>0.06050420168</v>
      </c>
      <c r="V16" s="63"/>
      <c r="W16" s="63"/>
      <c r="X16" s="63"/>
      <c r="Y16" s="63"/>
      <c r="Z16" s="63"/>
    </row>
    <row r="17" ht="15.75" customHeight="1">
      <c r="A17" s="63"/>
      <c r="B17" s="63"/>
      <c r="C17" s="63"/>
      <c r="D17" s="63"/>
      <c r="E17" s="63"/>
      <c r="F17" s="24"/>
      <c r="G17" s="19">
        <v>9.0</v>
      </c>
      <c r="H17" s="20">
        <v>686.0</v>
      </c>
      <c r="I17" s="20">
        <v>311.0</v>
      </c>
      <c r="J17" s="20">
        <v>14.0</v>
      </c>
      <c r="K17" s="20">
        <v>34.0</v>
      </c>
      <c r="L17" s="20">
        <v>59.0</v>
      </c>
      <c r="M17" s="63"/>
      <c r="N17" s="23"/>
      <c r="O17" s="63"/>
      <c r="P17" s="19">
        <v>9.0</v>
      </c>
      <c r="Q17" s="104">
        <f t="shared" ref="Q17:R17" si="19">H17/H$32</f>
        <v>0.09208053691</v>
      </c>
      <c r="R17" s="104">
        <f t="shared" si="19"/>
        <v>0.1048196832</v>
      </c>
      <c r="S17" s="104">
        <v>0.0</v>
      </c>
      <c r="T17" s="104">
        <f t="shared" ref="T17:U17" si="20">K17/K$32</f>
        <v>0.0675944334</v>
      </c>
      <c r="U17" s="104">
        <f t="shared" si="20"/>
        <v>0.09915966387</v>
      </c>
      <c r="V17" s="63"/>
      <c r="W17" s="63"/>
      <c r="X17" s="63"/>
      <c r="Y17" s="63"/>
      <c r="Z17" s="63"/>
    </row>
    <row r="18" ht="15.75" customHeight="1">
      <c r="A18" s="63"/>
      <c r="B18" s="63"/>
      <c r="C18" s="63"/>
      <c r="D18" s="63"/>
      <c r="E18" s="63"/>
      <c r="F18" s="24"/>
      <c r="G18" s="19">
        <v>10.0</v>
      </c>
      <c r="H18" s="20">
        <v>619.0</v>
      </c>
      <c r="I18" s="20">
        <v>228.0</v>
      </c>
      <c r="J18" s="20">
        <v>2.0</v>
      </c>
      <c r="K18" s="20">
        <v>46.0</v>
      </c>
      <c r="L18" s="20">
        <v>37.0</v>
      </c>
      <c r="M18" s="63"/>
      <c r="N18" s="23"/>
      <c r="O18" s="63"/>
      <c r="P18" s="19">
        <v>10.0</v>
      </c>
      <c r="Q18" s="104">
        <f t="shared" ref="Q18:R18" si="21">H18/H$32</f>
        <v>0.08308724832</v>
      </c>
      <c r="R18" s="104">
        <f t="shared" si="21"/>
        <v>0.07684529828</v>
      </c>
      <c r="S18" s="104">
        <v>0.0</v>
      </c>
      <c r="T18" s="104">
        <f t="shared" ref="T18:U18" si="22">K18/K$32</f>
        <v>0.09145129225</v>
      </c>
      <c r="U18" s="104">
        <f t="shared" si="22"/>
        <v>0.06218487395</v>
      </c>
      <c r="V18" s="63"/>
      <c r="W18" s="63"/>
      <c r="X18" s="63"/>
      <c r="Y18" s="63"/>
      <c r="Z18" s="63"/>
    </row>
    <row r="19" ht="15.75" customHeight="1">
      <c r="A19" s="63"/>
      <c r="B19" s="63"/>
      <c r="C19" s="63"/>
      <c r="D19" s="63"/>
      <c r="E19" s="63"/>
      <c r="F19" s="24"/>
      <c r="G19" s="19">
        <v>11.0</v>
      </c>
      <c r="H19" s="20">
        <v>482.0</v>
      </c>
      <c r="I19" s="20">
        <v>178.0</v>
      </c>
      <c r="J19" s="20">
        <v>2.0</v>
      </c>
      <c r="K19" s="20">
        <v>32.0</v>
      </c>
      <c r="L19" s="20">
        <v>58.0</v>
      </c>
      <c r="M19" s="63"/>
      <c r="N19" s="23"/>
      <c r="O19" s="63"/>
      <c r="P19" s="19">
        <v>11.0</v>
      </c>
      <c r="Q19" s="104">
        <f t="shared" ref="Q19:R19" si="23">H19/H$32</f>
        <v>0.06469798658</v>
      </c>
      <c r="R19" s="104">
        <f t="shared" si="23"/>
        <v>0.05999325918</v>
      </c>
      <c r="S19" s="104">
        <v>0.0</v>
      </c>
      <c r="T19" s="104">
        <f t="shared" ref="T19:U19" si="24">K19/K$32</f>
        <v>0.06361829026</v>
      </c>
      <c r="U19" s="104">
        <f t="shared" si="24"/>
        <v>0.0974789916</v>
      </c>
      <c r="V19" s="63"/>
      <c r="W19" s="63"/>
      <c r="X19" s="63"/>
      <c r="Y19" s="63"/>
      <c r="Z19" s="63"/>
    </row>
    <row r="20" ht="15.75" customHeight="1">
      <c r="A20" s="63"/>
      <c r="B20" s="63"/>
      <c r="C20" s="63"/>
      <c r="D20" s="63"/>
      <c r="E20" s="63"/>
      <c r="F20" s="24"/>
      <c r="G20" s="19">
        <v>12.0</v>
      </c>
      <c r="H20" s="20">
        <v>371.0</v>
      </c>
      <c r="I20" s="20">
        <v>162.0</v>
      </c>
      <c r="J20" s="20">
        <v>2.0</v>
      </c>
      <c r="K20" s="20">
        <v>27.0</v>
      </c>
      <c r="L20" s="20">
        <v>37.0</v>
      </c>
      <c r="M20" s="63"/>
      <c r="N20" s="23"/>
      <c r="O20" s="63"/>
      <c r="P20" s="19">
        <v>12.0</v>
      </c>
      <c r="Q20" s="104">
        <f t="shared" ref="Q20:R20" si="25">H20/H$32</f>
        <v>0.04979865772</v>
      </c>
      <c r="R20" s="104">
        <f t="shared" si="25"/>
        <v>0.05460060667</v>
      </c>
      <c r="S20" s="104">
        <v>0.0</v>
      </c>
      <c r="T20" s="104">
        <f t="shared" ref="T20:U20" si="26">K20/K$32</f>
        <v>0.05367793241</v>
      </c>
      <c r="U20" s="104">
        <f t="shared" si="26"/>
        <v>0.06218487395</v>
      </c>
      <c r="V20" s="63"/>
      <c r="W20" s="63"/>
      <c r="X20" s="63"/>
      <c r="Y20" s="63"/>
      <c r="Z20" s="63"/>
    </row>
    <row r="21" ht="15.75" customHeight="1">
      <c r="A21" s="63"/>
      <c r="B21" s="63"/>
      <c r="C21" s="63"/>
      <c r="D21" s="63"/>
      <c r="E21" s="63"/>
      <c r="F21" s="24"/>
      <c r="G21" s="19">
        <v>13.0</v>
      </c>
      <c r="H21" s="20">
        <v>441.0</v>
      </c>
      <c r="I21" s="20">
        <v>167.0</v>
      </c>
      <c r="J21" s="20">
        <v>10.0</v>
      </c>
      <c r="K21" s="20">
        <v>33.0</v>
      </c>
      <c r="L21" s="20">
        <v>43.0</v>
      </c>
      <c r="M21" s="63"/>
      <c r="N21" s="23"/>
      <c r="O21" s="63"/>
      <c r="P21" s="19">
        <v>13.0</v>
      </c>
      <c r="Q21" s="104">
        <f t="shared" ref="Q21:R21" si="27">H21/H$32</f>
        <v>0.05919463087</v>
      </c>
      <c r="R21" s="104">
        <f t="shared" si="27"/>
        <v>0.05628581058</v>
      </c>
      <c r="S21" s="104">
        <v>0.0</v>
      </c>
      <c r="T21" s="104">
        <f t="shared" ref="T21:U21" si="28">K21/K$32</f>
        <v>0.06560636183</v>
      </c>
      <c r="U21" s="104">
        <f t="shared" si="28"/>
        <v>0.07226890756</v>
      </c>
      <c r="V21" s="63"/>
      <c r="W21" s="63"/>
      <c r="X21" s="63"/>
      <c r="Y21" s="63"/>
      <c r="Z21" s="63"/>
    </row>
    <row r="22" ht="15.75" customHeight="1">
      <c r="A22" s="63"/>
      <c r="B22" s="63"/>
      <c r="C22" s="63"/>
      <c r="D22" s="63"/>
      <c r="E22" s="63"/>
      <c r="F22" s="24"/>
      <c r="G22" s="19">
        <v>14.0</v>
      </c>
      <c r="H22" s="20">
        <v>408.0</v>
      </c>
      <c r="I22" s="20">
        <v>160.0</v>
      </c>
      <c r="J22" s="20">
        <v>11.0</v>
      </c>
      <c r="K22" s="20">
        <v>28.0</v>
      </c>
      <c r="L22" s="20">
        <v>45.0</v>
      </c>
      <c r="M22" s="63"/>
      <c r="N22" s="23"/>
      <c r="O22" s="63"/>
      <c r="P22" s="19">
        <v>14.0</v>
      </c>
      <c r="Q22" s="104">
        <f t="shared" ref="Q22:R22" si="29">H22/H$32</f>
        <v>0.05476510067</v>
      </c>
      <c r="R22" s="104">
        <f t="shared" si="29"/>
        <v>0.05392652511</v>
      </c>
      <c r="S22" s="104">
        <v>0.0</v>
      </c>
      <c r="T22" s="104">
        <f t="shared" ref="T22:U22" si="30">K22/K$32</f>
        <v>0.05566600398</v>
      </c>
      <c r="U22" s="104">
        <f t="shared" si="30"/>
        <v>0.0756302521</v>
      </c>
      <c r="V22" s="63"/>
      <c r="W22" s="63"/>
      <c r="X22" s="63"/>
      <c r="Y22" s="63"/>
      <c r="Z22" s="63"/>
    </row>
    <row r="23" ht="15.75" customHeight="1">
      <c r="A23" s="63"/>
      <c r="B23" s="63"/>
      <c r="C23" s="63"/>
      <c r="D23" s="63"/>
      <c r="E23" s="63"/>
      <c r="F23" s="24"/>
      <c r="G23" s="19">
        <v>15.0</v>
      </c>
      <c r="H23" s="20">
        <v>357.0</v>
      </c>
      <c r="I23" s="20">
        <v>161.0</v>
      </c>
      <c r="J23" s="20">
        <v>9.0</v>
      </c>
      <c r="K23" s="20">
        <v>32.0</v>
      </c>
      <c r="L23" s="20">
        <v>28.0</v>
      </c>
      <c r="M23" s="63"/>
      <c r="N23" s="23"/>
      <c r="O23" s="63"/>
      <c r="P23" s="19">
        <v>15.0</v>
      </c>
      <c r="Q23" s="104">
        <f t="shared" ref="Q23:R23" si="31">H23/H$32</f>
        <v>0.04791946309</v>
      </c>
      <c r="R23" s="104">
        <f t="shared" si="31"/>
        <v>0.05426356589</v>
      </c>
      <c r="S23" s="104">
        <v>0.0</v>
      </c>
      <c r="T23" s="104">
        <f t="shared" ref="T23:U23" si="32">K23/K$32</f>
        <v>0.06361829026</v>
      </c>
      <c r="U23" s="104">
        <f t="shared" si="32"/>
        <v>0.04705882353</v>
      </c>
      <c r="V23" s="63"/>
      <c r="W23" s="63"/>
      <c r="X23" s="63"/>
      <c r="Y23" s="63"/>
      <c r="Z23" s="63"/>
    </row>
    <row r="24" ht="15.75" customHeight="1">
      <c r="A24" s="63"/>
      <c r="B24" s="63"/>
      <c r="C24" s="63"/>
      <c r="D24" s="63"/>
      <c r="E24" s="63"/>
      <c r="F24" s="24"/>
      <c r="G24" s="19">
        <v>16.0</v>
      </c>
      <c r="H24" s="20">
        <v>395.0</v>
      </c>
      <c r="I24" s="20">
        <v>173.0</v>
      </c>
      <c r="J24" s="20">
        <v>4.0</v>
      </c>
      <c r="K24" s="20">
        <v>22.0</v>
      </c>
      <c r="L24" s="20">
        <v>26.0</v>
      </c>
      <c r="M24" s="63"/>
      <c r="N24" s="23"/>
      <c r="O24" s="63"/>
      <c r="P24" s="19">
        <v>16.0</v>
      </c>
      <c r="Q24" s="104">
        <f t="shared" ref="Q24:R24" si="33">H24/H$32</f>
        <v>0.05302013423</v>
      </c>
      <c r="R24" s="104">
        <f t="shared" si="33"/>
        <v>0.05830805527</v>
      </c>
      <c r="S24" s="104">
        <v>0.0</v>
      </c>
      <c r="T24" s="104">
        <f t="shared" ref="T24:U24" si="34">K24/K$32</f>
        <v>0.04373757455</v>
      </c>
      <c r="U24" s="104">
        <f t="shared" si="34"/>
        <v>0.04369747899</v>
      </c>
      <c r="V24" s="63"/>
      <c r="W24" s="63"/>
      <c r="X24" s="63"/>
      <c r="Y24" s="63"/>
      <c r="Z24" s="63"/>
    </row>
    <row r="25" ht="15.75" customHeight="1">
      <c r="A25" s="63"/>
      <c r="B25" s="63"/>
      <c r="C25" s="63"/>
      <c r="D25" s="63"/>
      <c r="E25" s="63"/>
      <c r="F25" s="24"/>
      <c r="G25" s="19">
        <v>17.0</v>
      </c>
      <c r="H25" s="20">
        <v>453.0</v>
      </c>
      <c r="I25" s="20">
        <v>206.0</v>
      </c>
      <c r="J25" s="20">
        <v>1.0</v>
      </c>
      <c r="K25" s="20">
        <v>22.0</v>
      </c>
      <c r="L25" s="20">
        <v>20.0</v>
      </c>
      <c r="M25" s="63"/>
      <c r="N25" s="23"/>
      <c r="O25" s="63"/>
      <c r="P25" s="19">
        <v>17.0</v>
      </c>
      <c r="Q25" s="104">
        <f t="shared" ref="Q25:R25" si="35">H25/H$32</f>
        <v>0.06080536913</v>
      </c>
      <c r="R25" s="104">
        <f t="shared" si="35"/>
        <v>0.06943040108</v>
      </c>
      <c r="S25" s="104">
        <v>0.0</v>
      </c>
      <c r="T25" s="104">
        <f t="shared" ref="T25:U25" si="36">K25/K$32</f>
        <v>0.04373757455</v>
      </c>
      <c r="U25" s="104">
        <f t="shared" si="36"/>
        <v>0.03361344538</v>
      </c>
      <c r="V25" s="63"/>
      <c r="W25" s="63"/>
      <c r="X25" s="63"/>
      <c r="Y25" s="63"/>
      <c r="Z25" s="63"/>
    </row>
    <row r="26" ht="15.75" customHeight="1">
      <c r="A26" s="63"/>
      <c r="B26" s="63"/>
      <c r="C26" s="63"/>
      <c r="D26" s="63"/>
      <c r="E26" s="63"/>
      <c r="F26" s="24"/>
      <c r="G26" s="19">
        <v>18.0</v>
      </c>
      <c r="H26" s="20">
        <v>297.0</v>
      </c>
      <c r="I26" s="20">
        <v>113.0</v>
      </c>
      <c r="J26" s="20">
        <v>3.0</v>
      </c>
      <c r="K26" s="20">
        <v>15.0</v>
      </c>
      <c r="L26" s="20">
        <v>16.0</v>
      </c>
      <c r="M26" s="63"/>
      <c r="N26" s="23"/>
      <c r="O26" s="63"/>
      <c r="P26" s="19">
        <v>18.0</v>
      </c>
      <c r="Q26" s="104">
        <f t="shared" ref="Q26:R26" si="37">H26/H$32</f>
        <v>0.03986577181</v>
      </c>
      <c r="R26" s="104">
        <f t="shared" si="37"/>
        <v>0.03808560836</v>
      </c>
      <c r="S26" s="104">
        <v>0.0</v>
      </c>
      <c r="T26" s="104">
        <f t="shared" ref="T26:U26" si="38">K26/K$32</f>
        <v>0.02982107356</v>
      </c>
      <c r="U26" s="104">
        <f t="shared" si="38"/>
        <v>0.0268907563</v>
      </c>
      <c r="V26" s="63"/>
      <c r="W26" s="63"/>
      <c r="X26" s="63"/>
      <c r="Y26" s="63"/>
      <c r="Z26" s="63"/>
    </row>
    <row r="27" ht="15.75" customHeight="1">
      <c r="A27" s="63"/>
      <c r="B27" s="63"/>
      <c r="C27" s="63"/>
      <c r="D27" s="63"/>
      <c r="E27" s="63"/>
      <c r="F27" s="24"/>
      <c r="G27" s="19">
        <v>19.0</v>
      </c>
      <c r="H27" s="20">
        <v>258.0</v>
      </c>
      <c r="I27" s="20">
        <v>73.0</v>
      </c>
      <c r="J27" s="20">
        <v>4.0</v>
      </c>
      <c r="K27" s="20">
        <v>16.0</v>
      </c>
      <c r="L27" s="20">
        <v>8.0</v>
      </c>
      <c r="M27" s="63"/>
      <c r="N27" s="23"/>
      <c r="O27" s="63"/>
      <c r="P27" s="19">
        <v>19.0</v>
      </c>
      <c r="Q27" s="104">
        <f t="shared" ref="Q27:R27" si="39">H27/H$32</f>
        <v>0.03463087248</v>
      </c>
      <c r="R27" s="104">
        <f t="shared" si="39"/>
        <v>0.02460397708</v>
      </c>
      <c r="S27" s="104">
        <v>0.0</v>
      </c>
      <c r="T27" s="104">
        <f t="shared" ref="T27:U27" si="40">K27/K$32</f>
        <v>0.03180914513</v>
      </c>
      <c r="U27" s="104">
        <f t="shared" si="40"/>
        <v>0.01344537815</v>
      </c>
      <c r="V27" s="63"/>
      <c r="W27" s="63"/>
      <c r="X27" s="63"/>
      <c r="Y27" s="63"/>
      <c r="Z27" s="63"/>
    </row>
    <row r="28" ht="15.75" customHeight="1">
      <c r="A28" s="63"/>
      <c r="B28" s="63"/>
      <c r="C28" s="63"/>
      <c r="D28" s="63"/>
      <c r="E28" s="63"/>
      <c r="F28" s="24"/>
      <c r="G28" s="19">
        <v>20.0</v>
      </c>
      <c r="H28" s="20">
        <v>201.0</v>
      </c>
      <c r="I28" s="20">
        <v>69.0</v>
      </c>
      <c r="J28" s="20">
        <v>2.0</v>
      </c>
      <c r="K28" s="20">
        <v>5.0</v>
      </c>
      <c r="L28" s="20">
        <v>11.0</v>
      </c>
      <c r="M28" s="63"/>
      <c r="N28" s="23"/>
      <c r="O28" s="63"/>
      <c r="P28" s="19">
        <v>20.0</v>
      </c>
      <c r="Q28" s="104">
        <f t="shared" ref="Q28:R28" si="41">H28/H$32</f>
        <v>0.02697986577</v>
      </c>
      <c r="R28" s="104">
        <f t="shared" si="41"/>
        <v>0.02325581395</v>
      </c>
      <c r="S28" s="104">
        <v>0.0</v>
      </c>
      <c r="T28" s="104">
        <f t="shared" ref="T28:U28" si="42">K28/K$32</f>
        <v>0.009940357853</v>
      </c>
      <c r="U28" s="104">
        <f t="shared" si="42"/>
        <v>0.01848739496</v>
      </c>
      <c r="V28" s="63"/>
      <c r="W28" s="63"/>
      <c r="X28" s="63"/>
      <c r="Y28" s="63"/>
      <c r="Z28" s="63"/>
    </row>
    <row r="29" ht="15.75" customHeight="1">
      <c r="A29" s="63"/>
      <c r="B29" s="63"/>
      <c r="C29" s="63"/>
      <c r="D29" s="63"/>
      <c r="E29" s="63"/>
      <c r="F29" s="24"/>
      <c r="G29" s="19">
        <v>21.0</v>
      </c>
      <c r="H29" s="20">
        <v>184.0</v>
      </c>
      <c r="I29" s="20">
        <v>56.0</v>
      </c>
      <c r="J29" s="20">
        <v>0.0</v>
      </c>
      <c r="K29" s="20">
        <v>8.0</v>
      </c>
      <c r="L29" s="20">
        <v>6.0</v>
      </c>
      <c r="M29" s="63"/>
      <c r="N29" s="23"/>
      <c r="O29" s="63"/>
      <c r="P29" s="19">
        <v>21.0</v>
      </c>
      <c r="Q29" s="104">
        <f t="shared" ref="Q29:R29" si="43">H29/H$32</f>
        <v>0.02469798658</v>
      </c>
      <c r="R29" s="104">
        <f t="shared" si="43"/>
        <v>0.01887428379</v>
      </c>
      <c r="S29" s="104">
        <v>0.0</v>
      </c>
      <c r="T29" s="104">
        <f t="shared" ref="T29:U29" si="44">K29/K$32</f>
        <v>0.01590457256</v>
      </c>
      <c r="U29" s="104">
        <f t="shared" si="44"/>
        <v>0.01008403361</v>
      </c>
      <c r="V29" s="63"/>
      <c r="W29" s="63"/>
      <c r="X29" s="63"/>
      <c r="Y29" s="63"/>
      <c r="Z29" s="63"/>
    </row>
    <row r="30" ht="15.75" customHeight="1">
      <c r="A30" s="63"/>
      <c r="B30" s="63"/>
      <c r="C30" s="63"/>
      <c r="D30" s="63"/>
      <c r="E30" s="63"/>
      <c r="F30" s="24"/>
      <c r="G30" s="19">
        <v>22.0</v>
      </c>
      <c r="H30" s="20">
        <v>148.0</v>
      </c>
      <c r="I30" s="20">
        <v>41.0</v>
      </c>
      <c r="J30" s="20">
        <v>0.0</v>
      </c>
      <c r="K30" s="20">
        <v>5.0</v>
      </c>
      <c r="L30" s="20">
        <v>10.0</v>
      </c>
      <c r="M30" s="63"/>
      <c r="N30" s="23"/>
      <c r="O30" s="63"/>
      <c r="P30" s="19">
        <v>22.0</v>
      </c>
      <c r="Q30" s="104">
        <f t="shared" ref="Q30:R30" si="45">H30/H$32</f>
        <v>0.01986577181</v>
      </c>
      <c r="R30" s="104">
        <f t="shared" si="45"/>
        <v>0.01381867206</v>
      </c>
      <c r="S30" s="104">
        <v>0.0</v>
      </c>
      <c r="T30" s="104">
        <f t="shared" ref="T30:U30" si="46">K30/K$32</f>
        <v>0.009940357853</v>
      </c>
      <c r="U30" s="104">
        <f t="shared" si="46"/>
        <v>0.01680672269</v>
      </c>
      <c r="V30" s="63"/>
      <c r="W30" s="63"/>
      <c r="X30" s="63"/>
      <c r="Y30" s="63"/>
      <c r="Z30" s="63"/>
    </row>
    <row r="31" ht="15.75" customHeight="1">
      <c r="A31" s="63"/>
      <c r="B31" s="63"/>
      <c r="C31" s="63"/>
      <c r="D31" s="63"/>
      <c r="E31" s="63"/>
      <c r="F31" s="28"/>
      <c r="G31" s="19">
        <v>23.0</v>
      </c>
      <c r="H31" s="20">
        <v>85.0</v>
      </c>
      <c r="I31" s="20">
        <v>18.0</v>
      </c>
      <c r="J31" s="20">
        <v>1.0</v>
      </c>
      <c r="K31" s="20">
        <v>10.0</v>
      </c>
      <c r="L31" s="20">
        <v>10.0</v>
      </c>
      <c r="M31" s="63"/>
      <c r="N31" s="27"/>
      <c r="O31" s="63"/>
      <c r="P31" s="19">
        <v>23.0</v>
      </c>
      <c r="Q31" s="20">
        <f t="shared" ref="Q31:R31" si="47">H31/H$32</f>
        <v>0.01140939597</v>
      </c>
      <c r="R31" s="20">
        <f t="shared" si="47"/>
        <v>0.006066734075</v>
      </c>
      <c r="S31" s="20">
        <v>0.0</v>
      </c>
      <c r="T31" s="20">
        <f t="shared" ref="T31:U31" si="48">K31/K$32</f>
        <v>0.01988071571</v>
      </c>
      <c r="U31" s="20">
        <f t="shared" si="48"/>
        <v>0.01680672269</v>
      </c>
      <c r="V31" s="63"/>
      <c r="W31" s="63"/>
      <c r="X31" s="63"/>
      <c r="Y31" s="63"/>
      <c r="Z31" s="63"/>
    </row>
    <row r="32" ht="15.75" customHeight="1">
      <c r="A32" s="63"/>
      <c r="B32" s="63"/>
      <c r="C32" s="63"/>
      <c r="D32" s="63"/>
      <c r="E32" s="63"/>
      <c r="F32" s="86"/>
      <c r="G32" s="86"/>
      <c r="H32" s="73">
        <f t="shared" ref="H32:L32" si="49">SUM(H8:H31)</f>
        <v>7450</v>
      </c>
      <c r="I32" s="73">
        <f t="shared" si="49"/>
        <v>2967</v>
      </c>
      <c r="J32" s="73">
        <f t="shared" si="49"/>
        <v>133</v>
      </c>
      <c r="K32" s="73">
        <f t="shared" si="49"/>
        <v>503</v>
      </c>
      <c r="L32" s="73">
        <f t="shared" si="49"/>
        <v>595</v>
      </c>
      <c r="M32" s="63"/>
      <c r="N32" s="86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63"/>
      <c r="B33" s="63"/>
      <c r="C33" s="63"/>
      <c r="D33" s="63"/>
      <c r="E33" s="63"/>
      <c r="F33" s="63"/>
      <c r="G33" s="16"/>
      <c r="H33" s="19">
        <f>$H$7</f>
        <v>31</v>
      </c>
      <c r="I33" s="19">
        <f>$I$7</f>
        <v>32</v>
      </c>
      <c r="J33" s="19">
        <f>$J$7</f>
        <v>41</v>
      </c>
      <c r="K33" s="19">
        <f>$K$7</f>
        <v>42</v>
      </c>
      <c r="L33" s="19">
        <f>$L$7</f>
        <v>5</v>
      </c>
      <c r="M33" s="63"/>
      <c r="N33" s="63"/>
      <c r="O33" s="16"/>
      <c r="P33" s="19">
        <f>$H$7</f>
        <v>31</v>
      </c>
      <c r="Q33" s="19">
        <f>$I$7</f>
        <v>32</v>
      </c>
      <c r="R33" s="19">
        <f>$J$7</f>
        <v>41</v>
      </c>
      <c r="S33" s="19">
        <f>$K$7</f>
        <v>42</v>
      </c>
      <c r="T33" s="19">
        <f>$L$7</f>
        <v>5</v>
      </c>
      <c r="U33" s="63"/>
      <c r="V33" s="63"/>
      <c r="W33" s="63"/>
      <c r="X33" s="63"/>
      <c r="Y33" s="63"/>
      <c r="Z33" s="63"/>
    </row>
    <row r="34" ht="15.75" customHeight="1">
      <c r="A34" s="63"/>
      <c r="B34" s="63"/>
      <c r="C34" s="63"/>
      <c r="D34" s="63"/>
      <c r="E34" s="63"/>
      <c r="F34" s="21">
        <v>45195.0</v>
      </c>
      <c r="G34" s="19">
        <f>$G$8</f>
        <v>0</v>
      </c>
      <c r="H34" s="20">
        <v>53.0</v>
      </c>
      <c r="I34" s="20">
        <v>26.0</v>
      </c>
      <c r="J34" s="20">
        <v>0.0</v>
      </c>
      <c r="K34" s="20">
        <v>10.0</v>
      </c>
      <c r="L34" s="20">
        <v>14.0</v>
      </c>
      <c r="M34" s="63"/>
      <c r="N34" s="18">
        <v>45195.0</v>
      </c>
      <c r="O34" s="19">
        <f>$G$8</f>
        <v>0</v>
      </c>
      <c r="P34" s="40">
        <f t="shared" ref="P34:T34" si="50">H34/H$58</f>
        <v>0.007440685105</v>
      </c>
      <c r="Q34" s="40">
        <f t="shared" si="50"/>
        <v>0.008898015058</v>
      </c>
      <c r="R34" s="40">
        <f t="shared" si="50"/>
        <v>0</v>
      </c>
      <c r="S34" s="40">
        <f t="shared" si="50"/>
        <v>0.01706484642</v>
      </c>
      <c r="T34" s="40">
        <f t="shared" si="50"/>
        <v>0.02194357367</v>
      </c>
      <c r="U34" s="63"/>
      <c r="V34" s="63"/>
      <c r="W34" s="63"/>
      <c r="X34" s="63"/>
      <c r="Y34" s="63"/>
      <c r="Z34" s="63"/>
    </row>
    <row r="35" ht="15.75" customHeight="1">
      <c r="A35" s="63"/>
      <c r="B35" s="63"/>
      <c r="C35" s="63"/>
      <c r="D35" s="63"/>
      <c r="E35" s="63"/>
      <c r="F35" s="24"/>
      <c r="G35" s="19">
        <f>$G$9</f>
        <v>1</v>
      </c>
      <c r="H35" s="20">
        <v>30.0</v>
      </c>
      <c r="I35" s="20">
        <v>12.0</v>
      </c>
      <c r="J35" s="20">
        <v>0.0</v>
      </c>
      <c r="K35" s="20">
        <v>9.0</v>
      </c>
      <c r="L35" s="20">
        <v>4.0</v>
      </c>
      <c r="M35" s="63"/>
      <c r="N35" s="23"/>
      <c r="O35" s="19">
        <f>$G$9</f>
        <v>1</v>
      </c>
      <c r="P35" s="40">
        <f t="shared" ref="P35:T35" si="51">H35/H$58</f>
        <v>0.00421170855</v>
      </c>
      <c r="Q35" s="40">
        <f t="shared" si="51"/>
        <v>0.004106776181</v>
      </c>
      <c r="R35" s="40">
        <f t="shared" si="51"/>
        <v>0</v>
      </c>
      <c r="S35" s="40">
        <f t="shared" si="51"/>
        <v>0.01535836177</v>
      </c>
      <c r="T35" s="40">
        <f t="shared" si="51"/>
        <v>0.006269592476</v>
      </c>
      <c r="U35" s="63"/>
      <c r="V35" s="63"/>
      <c r="W35" s="63"/>
      <c r="X35" s="63"/>
      <c r="Y35" s="63"/>
      <c r="Z35" s="63"/>
    </row>
    <row r="36" ht="15.75" customHeight="1">
      <c r="A36" s="63"/>
      <c r="B36" s="63"/>
      <c r="C36" s="63"/>
      <c r="D36" s="63"/>
      <c r="E36" s="63"/>
      <c r="F36" s="24"/>
      <c r="G36" s="19">
        <f>$G$10</f>
        <v>2</v>
      </c>
      <c r="H36" s="16">
        <v>44.0</v>
      </c>
      <c r="I36" s="16">
        <v>16.0</v>
      </c>
      <c r="J36" s="16">
        <v>0.0</v>
      </c>
      <c r="K36" s="16">
        <v>9.0</v>
      </c>
      <c r="L36" s="16">
        <v>14.0</v>
      </c>
      <c r="M36" s="63"/>
      <c r="N36" s="23"/>
      <c r="O36" s="19">
        <f>$G$10</f>
        <v>2</v>
      </c>
      <c r="P36" s="40">
        <f t="shared" ref="P36:T36" si="52">H36/H$58</f>
        <v>0.00617717254</v>
      </c>
      <c r="Q36" s="40">
        <f t="shared" si="52"/>
        <v>0.005475701574</v>
      </c>
      <c r="R36" s="40">
        <f t="shared" si="52"/>
        <v>0</v>
      </c>
      <c r="S36" s="40">
        <f t="shared" si="52"/>
        <v>0.01535836177</v>
      </c>
      <c r="T36" s="40">
        <f t="shared" si="52"/>
        <v>0.02194357367</v>
      </c>
      <c r="U36" s="63"/>
      <c r="V36" s="63"/>
      <c r="W36" s="63"/>
      <c r="X36" s="63"/>
      <c r="Y36" s="63"/>
      <c r="Z36" s="63"/>
    </row>
    <row r="37" ht="15.75" customHeight="1">
      <c r="A37" s="63"/>
      <c r="B37" s="63"/>
      <c r="C37" s="63"/>
      <c r="D37" s="63"/>
      <c r="E37" s="63"/>
      <c r="F37" s="24"/>
      <c r="G37" s="19">
        <f>$G$11</f>
        <v>3</v>
      </c>
      <c r="H37" s="20">
        <v>42.0</v>
      </c>
      <c r="I37" s="20">
        <v>15.0</v>
      </c>
      <c r="J37" s="20">
        <v>3.0</v>
      </c>
      <c r="K37" s="20">
        <v>16.0</v>
      </c>
      <c r="L37" s="20">
        <v>14.0</v>
      </c>
      <c r="M37" s="63"/>
      <c r="N37" s="23"/>
      <c r="O37" s="19">
        <f>$G$11</f>
        <v>3</v>
      </c>
      <c r="P37" s="40">
        <f t="shared" ref="P37:T37" si="53">H37/H$58</f>
        <v>0.00589639197</v>
      </c>
      <c r="Q37" s="40">
        <f t="shared" si="53"/>
        <v>0.005133470226</v>
      </c>
      <c r="R37" s="40">
        <f t="shared" si="53"/>
        <v>0.02803738318</v>
      </c>
      <c r="S37" s="40">
        <f t="shared" si="53"/>
        <v>0.02730375427</v>
      </c>
      <c r="T37" s="40">
        <f t="shared" si="53"/>
        <v>0.02194357367</v>
      </c>
      <c r="U37" s="63"/>
      <c r="V37" s="63"/>
      <c r="W37" s="63"/>
      <c r="X37" s="63"/>
      <c r="Y37" s="63"/>
      <c r="Z37" s="63"/>
    </row>
    <row r="38" ht="15.75" customHeight="1">
      <c r="A38" s="63"/>
      <c r="B38" s="63"/>
      <c r="C38" s="63"/>
      <c r="D38" s="63"/>
      <c r="E38" s="63"/>
      <c r="F38" s="24"/>
      <c r="G38" s="19">
        <f>$G$12</f>
        <v>4</v>
      </c>
      <c r="H38" s="20">
        <v>70.0</v>
      </c>
      <c r="I38" s="20">
        <v>47.0</v>
      </c>
      <c r="J38" s="20">
        <v>2.0</v>
      </c>
      <c r="K38" s="20">
        <v>15.0</v>
      </c>
      <c r="L38" s="20">
        <v>25.0</v>
      </c>
      <c r="M38" s="63"/>
      <c r="N38" s="23"/>
      <c r="O38" s="19">
        <f>$G$12</f>
        <v>4</v>
      </c>
      <c r="P38" s="40">
        <f t="shared" ref="P38:T38" si="54">H38/H$58</f>
        <v>0.009827319949</v>
      </c>
      <c r="Q38" s="40">
        <f t="shared" si="54"/>
        <v>0.01608487337</v>
      </c>
      <c r="R38" s="40">
        <f t="shared" si="54"/>
        <v>0.01869158879</v>
      </c>
      <c r="S38" s="40">
        <f t="shared" si="54"/>
        <v>0.02559726962</v>
      </c>
      <c r="T38" s="40">
        <f t="shared" si="54"/>
        <v>0.03918495298</v>
      </c>
      <c r="U38" s="63"/>
      <c r="V38" s="63"/>
      <c r="W38" s="63"/>
      <c r="X38" s="63"/>
      <c r="Y38" s="63"/>
      <c r="Z38" s="63"/>
    </row>
    <row r="39" ht="15.75" customHeight="1">
      <c r="A39" s="63"/>
      <c r="B39" s="63"/>
      <c r="C39" s="63"/>
      <c r="D39" s="63"/>
      <c r="E39" s="63"/>
      <c r="F39" s="24"/>
      <c r="G39" s="19">
        <f>$G$13</f>
        <v>5</v>
      </c>
      <c r="H39" s="20">
        <v>155.0</v>
      </c>
      <c r="I39" s="20">
        <v>70.0</v>
      </c>
      <c r="J39" s="20">
        <v>8.0</v>
      </c>
      <c r="K39" s="20">
        <v>30.0</v>
      </c>
      <c r="L39" s="20">
        <v>24.0</v>
      </c>
      <c r="M39" s="63"/>
      <c r="N39" s="23"/>
      <c r="O39" s="19">
        <f>$G$13</f>
        <v>5</v>
      </c>
      <c r="P39" s="40">
        <f t="shared" ref="P39:T39" si="55">H39/H$58</f>
        <v>0.02176049417</v>
      </c>
      <c r="Q39" s="40">
        <f t="shared" si="55"/>
        <v>0.02395619439</v>
      </c>
      <c r="R39" s="40">
        <f t="shared" si="55"/>
        <v>0.07476635514</v>
      </c>
      <c r="S39" s="40">
        <f t="shared" si="55"/>
        <v>0.05119453925</v>
      </c>
      <c r="T39" s="40">
        <f t="shared" si="55"/>
        <v>0.03761755486</v>
      </c>
      <c r="U39" s="63"/>
      <c r="V39" s="63"/>
      <c r="W39" s="63"/>
      <c r="X39" s="63"/>
      <c r="Y39" s="63"/>
      <c r="Z39" s="63"/>
    </row>
    <row r="40" ht="15.75" customHeight="1">
      <c r="A40" s="63"/>
      <c r="B40" s="63"/>
      <c r="C40" s="63"/>
      <c r="D40" s="63"/>
      <c r="E40" s="63"/>
      <c r="F40" s="24"/>
      <c r="G40" s="19">
        <f>$G$14</f>
        <v>6</v>
      </c>
      <c r="H40" s="20">
        <v>330.0</v>
      </c>
      <c r="I40" s="20">
        <v>124.0</v>
      </c>
      <c r="J40" s="20">
        <v>16.0</v>
      </c>
      <c r="K40" s="20">
        <v>40.0</v>
      </c>
      <c r="L40" s="20">
        <v>51.0</v>
      </c>
      <c r="M40" s="63"/>
      <c r="N40" s="23"/>
      <c r="O40" s="19">
        <f>$G$14</f>
        <v>6</v>
      </c>
      <c r="P40" s="40">
        <f t="shared" ref="P40:T40" si="56">H40/H$58</f>
        <v>0.04632879405</v>
      </c>
      <c r="Q40" s="40">
        <f t="shared" si="56"/>
        <v>0.0424366872</v>
      </c>
      <c r="R40" s="40">
        <f t="shared" si="56"/>
        <v>0.1495327103</v>
      </c>
      <c r="S40" s="40">
        <f t="shared" si="56"/>
        <v>0.06825938567</v>
      </c>
      <c r="T40" s="40">
        <f t="shared" si="56"/>
        <v>0.07993730408</v>
      </c>
      <c r="U40" s="63"/>
      <c r="V40" s="63"/>
      <c r="W40" s="63"/>
      <c r="X40" s="63"/>
      <c r="Y40" s="63"/>
      <c r="Z40" s="63"/>
    </row>
    <row r="41" ht="15.75" customHeight="1">
      <c r="A41" s="63"/>
      <c r="B41" s="63"/>
      <c r="C41" s="63"/>
      <c r="D41" s="63"/>
      <c r="E41" s="63"/>
      <c r="F41" s="24"/>
      <c r="G41" s="19">
        <f>$G$15</f>
        <v>7</v>
      </c>
      <c r="H41" s="20">
        <v>601.0</v>
      </c>
      <c r="I41" s="20">
        <v>213.0</v>
      </c>
      <c r="J41" s="20">
        <v>20.0</v>
      </c>
      <c r="K41" s="20">
        <v>49.0</v>
      </c>
      <c r="L41" s="20">
        <v>39.0</v>
      </c>
      <c r="M41" s="63"/>
      <c r="N41" s="23"/>
      <c r="O41" s="19">
        <f>$G$15</f>
        <v>7</v>
      </c>
      <c r="P41" s="40">
        <f t="shared" ref="P41:T41" si="57">H41/H$58</f>
        <v>0.08437456128</v>
      </c>
      <c r="Q41" s="40">
        <f t="shared" si="57"/>
        <v>0.07289527721</v>
      </c>
      <c r="R41" s="40">
        <f t="shared" si="57"/>
        <v>0.1869158879</v>
      </c>
      <c r="S41" s="40">
        <f t="shared" si="57"/>
        <v>0.08361774744</v>
      </c>
      <c r="T41" s="40">
        <f t="shared" si="57"/>
        <v>0.06112852665</v>
      </c>
      <c r="U41" s="63"/>
      <c r="V41" s="63"/>
      <c r="W41" s="63"/>
      <c r="X41" s="63"/>
      <c r="Y41" s="63"/>
      <c r="Z41" s="63"/>
    </row>
    <row r="42" ht="15.75" customHeight="1">
      <c r="A42" s="63"/>
      <c r="B42" s="63"/>
      <c r="C42" s="63"/>
      <c r="D42" s="63"/>
      <c r="E42" s="63"/>
      <c r="F42" s="24"/>
      <c r="G42" s="19">
        <f>$G$16</f>
        <v>8</v>
      </c>
      <c r="H42" s="20">
        <v>542.0</v>
      </c>
      <c r="I42" s="20">
        <v>313.0</v>
      </c>
      <c r="J42" s="20">
        <v>22.0</v>
      </c>
      <c r="K42" s="20">
        <v>55.0</v>
      </c>
      <c r="L42" s="20">
        <v>33.0</v>
      </c>
      <c r="M42" s="63"/>
      <c r="N42" s="23"/>
      <c r="O42" s="19">
        <f>$G$16</f>
        <v>8</v>
      </c>
      <c r="P42" s="40">
        <f t="shared" ref="P42:T42" si="58">H42/H$58</f>
        <v>0.07609153447</v>
      </c>
      <c r="Q42" s="40">
        <f t="shared" si="58"/>
        <v>0.107118412</v>
      </c>
      <c r="R42" s="40">
        <f t="shared" si="58"/>
        <v>0.2056074766</v>
      </c>
      <c r="S42" s="40">
        <f t="shared" si="58"/>
        <v>0.09385665529</v>
      </c>
      <c r="T42" s="40">
        <f t="shared" si="58"/>
        <v>0.05172413793</v>
      </c>
      <c r="U42" s="63"/>
      <c r="V42" s="63"/>
      <c r="W42" s="63"/>
      <c r="X42" s="63"/>
      <c r="Y42" s="63"/>
      <c r="Z42" s="63"/>
    </row>
    <row r="43" ht="15.75" customHeight="1">
      <c r="A43" s="63"/>
      <c r="B43" s="63"/>
      <c r="C43" s="63"/>
      <c r="D43" s="63"/>
      <c r="E43" s="63"/>
      <c r="F43" s="24"/>
      <c r="G43" s="19">
        <f>$G$17</f>
        <v>9</v>
      </c>
      <c r="H43" s="20">
        <v>621.0</v>
      </c>
      <c r="I43" s="20">
        <v>280.0</v>
      </c>
      <c r="J43" s="20">
        <v>6.0</v>
      </c>
      <c r="K43" s="20">
        <v>44.0</v>
      </c>
      <c r="L43" s="20">
        <v>60.0</v>
      </c>
      <c r="M43" s="63"/>
      <c r="N43" s="23"/>
      <c r="O43" s="19">
        <f>$G$17</f>
        <v>9</v>
      </c>
      <c r="P43" s="40">
        <f t="shared" ref="P43:T43" si="59">H43/H$58</f>
        <v>0.08718236698</v>
      </c>
      <c r="Q43" s="40">
        <f t="shared" si="59"/>
        <v>0.09582477755</v>
      </c>
      <c r="R43" s="40">
        <f t="shared" si="59"/>
        <v>0.05607476636</v>
      </c>
      <c r="S43" s="40">
        <f t="shared" si="59"/>
        <v>0.07508532423</v>
      </c>
      <c r="T43" s="40">
        <f t="shared" si="59"/>
        <v>0.09404388715</v>
      </c>
      <c r="U43" s="63"/>
      <c r="V43" s="63"/>
      <c r="W43" s="63"/>
      <c r="X43" s="63"/>
      <c r="Y43" s="63"/>
      <c r="Z43" s="63"/>
    </row>
    <row r="44" ht="15.75" customHeight="1">
      <c r="A44" s="63"/>
      <c r="B44" s="63"/>
      <c r="C44" s="63"/>
      <c r="D44" s="63"/>
      <c r="E44" s="63"/>
      <c r="F44" s="24"/>
      <c r="G44" s="19">
        <f>$G$18</f>
        <v>10</v>
      </c>
      <c r="H44" s="20">
        <v>517.0</v>
      </c>
      <c r="I44" s="20">
        <v>234.0</v>
      </c>
      <c r="J44" s="20">
        <v>2.0</v>
      </c>
      <c r="K44" s="20">
        <v>41.0</v>
      </c>
      <c r="L44" s="20">
        <v>36.0</v>
      </c>
      <c r="M44" s="63"/>
      <c r="N44" s="23"/>
      <c r="O44" s="19">
        <f>$G$18</f>
        <v>10</v>
      </c>
      <c r="P44" s="40">
        <f t="shared" ref="P44:T44" si="60">H44/H$58</f>
        <v>0.07258177734</v>
      </c>
      <c r="Q44" s="40">
        <f t="shared" si="60"/>
        <v>0.08008213552</v>
      </c>
      <c r="R44" s="40">
        <f t="shared" si="60"/>
        <v>0.01869158879</v>
      </c>
      <c r="S44" s="40">
        <f t="shared" si="60"/>
        <v>0.06996587031</v>
      </c>
      <c r="T44" s="40">
        <f t="shared" si="60"/>
        <v>0.05642633229</v>
      </c>
      <c r="U44" s="63"/>
      <c r="V44" s="63"/>
      <c r="W44" s="63"/>
      <c r="X44" s="63"/>
      <c r="Y44" s="63"/>
      <c r="Z44" s="63"/>
    </row>
    <row r="45" ht="15.75" customHeight="1">
      <c r="A45" s="63"/>
      <c r="B45" s="63"/>
      <c r="C45" s="63"/>
      <c r="D45" s="63"/>
      <c r="E45" s="63"/>
      <c r="F45" s="24"/>
      <c r="G45" s="19">
        <f>$G$19</f>
        <v>11</v>
      </c>
      <c r="H45" s="20">
        <v>466.0</v>
      </c>
      <c r="I45" s="20">
        <v>175.0</v>
      </c>
      <c r="J45" s="20">
        <v>4.0</v>
      </c>
      <c r="K45" s="20">
        <v>21.0</v>
      </c>
      <c r="L45" s="20">
        <v>48.0</v>
      </c>
      <c r="M45" s="63"/>
      <c r="N45" s="23"/>
      <c r="O45" s="19">
        <f>$G$19</f>
        <v>11</v>
      </c>
      <c r="P45" s="40">
        <f t="shared" ref="P45:T45" si="61">H45/H$58</f>
        <v>0.06542187281</v>
      </c>
      <c r="Q45" s="40">
        <f t="shared" si="61"/>
        <v>0.05989048597</v>
      </c>
      <c r="R45" s="40">
        <f t="shared" si="61"/>
        <v>0.03738317757</v>
      </c>
      <c r="S45" s="40">
        <f t="shared" si="61"/>
        <v>0.03583617747</v>
      </c>
      <c r="T45" s="40">
        <f t="shared" si="61"/>
        <v>0.07523510972</v>
      </c>
      <c r="U45" s="63"/>
      <c r="V45" s="63"/>
      <c r="W45" s="63"/>
      <c r="X45" s="63"/>
      <c r="Y45" s="63"/>
      <c r="Z45" s="63"/>
    </row>
    <row r="46" ht="15.75" customHeight="1">
      <c r="A46" s="63"/>
      <c r="B46" s="63"/>
      <c r="C46" s="63"/>
      <c r="D46" s="63"/>
      <c r="E46" s="63"/>
      <c r="F46" s="24"/>
      <c r="G46" s="19">
        <f>$G$20</f>
        <v>12</v>
      </c>
      <c r="H46" s="20">
        <v>429.0</v>
      </c>
      <c r="I46" s="20">
        <v>152.0</v>
      </c>
      <c r="J46" s="20">
        <v>2.0</v>
      </c>
      <c r="K46" s="20">
        <v>26.0</v>
      </c>
      <c r="L46" s="20">
        <v>54.0</v>
      </c>
      <c r="M46" s="63"/>
      <c r="N46" s="23"/>
      <c r="O46" s="19">
        <f>$G$20</f>
        <v>12</v>
      </c>
      <c r="P46" s="40">
        <f t="shared" ref="P46:T46" si="62">H46/H$58</f>
        <v>0.06022743226</v>
      </c>
      <c r="Q46" s="40">
        <f t="shared" si="62"/>
        <v>0.05201916496</v>
      </c>
      <c r="R46" s="40">
        <f t="shared" si="62"/>
        <v>0.01869158879</v>
      </c>
      <c r="S46" s="40">
        <f t="shared" si="62"/>
        <v>0.04436860068</v>
      </c>
      <c r="T46" s="40">
        <f t="shared" si="62"/>
        <v>0.08463949843</v>
      </c>
      <c r="U46" s="63"/>
      <c r="V46" s="63"/>
      <c r="W46" s="63"/>
      <c r="X46" s="63"/>
      <c r="Y46" s="63"/>
      <c r="Z46" s="63"/>
    </row>
    <row r="47" ht="15.75" customHeight="1">
      <c r="A47" s="63"/>
      <c r="B47" s="63"/>
      <c r="C47" s="63"/>
      <c r="D47" s="63"/>
      <c r="E47" s="63"/>
      <c r="F47" s="24"/>
      <c r="G47" s="19">
        <f>$G$21</f>
        <v>13</v>
      </c>
      <c r="H47" s="20">
        <v>411.0</v>
      </c>
      <c r="I47" s="20">
        <v>163.0</v>
      </c>
      <c r="J47" s="20">
        <v>3.0</v>
      </c>
      <c r="K47" s="20">
        <v>30.0</v>
      </c>
      <c r="L47" s="20">
        <v>49.0</v>
      </c>
      <c r="M47" s="63"/>
      <c r="N47" s="23"/>
      <c r="O47" s="19">
        <f>$G$21</f>
        <v>13</v>
      </c>
      <c r="P47" s="40">
        <f t="shared" ref="P47:T47" si="63">H47/H$58</f>
        <v>0.05770040713</v>
      </c>
      <c r="Q47" s="40">
        <f t="shared" si="63"/>
        <v>0.05578370979</v>
      </c>
      <c r="R47" s="40">
        <f t="shared" si="63"/>
        <v>0.02803738318</v>
      </c>
      <c r="S47" s="40">
        <f t="shared" si="63"/>
        <v>0.05119453925</v>
      </c>
      <c r="T47" s="40">
        <f t="shared" si="63"/>
        <v>0.07680250784</v>
      </c>
      <c r="U47" s="63"/>
      <c r="V47" s="63"/>
      <c r="W47" s="63"/>
      <c r="X47" s="63"/>
      <c r="Y47" s="63"/>
      <c r="Z47" s="63"/>
    </row>
    <row r="48" ht="15.75" customHeight="1">
      <c r="A48" s="63"/>
      <c r="B48" s="63"/>
      <c r="C48" s="63"/>
      <c r="D48" s="63"/>
      <c r="E48" s="63"/>
      <c r="F48" s="24"/>
      <c r="G48" s="19">
        <f>$G$22</f>
        <v>14</v>
      </c>
      <c r="H48" s="20">
        <v>388.0</v>
      </c>
      <c r="I48" s="20">
        <v>150.0</v>
      </c>
      <c r="J48" s="20">
        <v>2.0</v>
      </c>
      <c r="K48" s="20">
        <v>28.0</v>
      </c>
      <c r="L48" s="20">
        <v>36.0</v>
      </c>
      <c r="M48" s="63"/>
      <c r="N48" s="23"/>
      <c r="O48" s="19">
        <f>$G$22</f>
        <v>14</v>
      </c>
      <c r="P48" s="40">
        <f t="shared" ref="P48:T48" si="64">H48/H$58</f>
        <v>0.05447143058</v>
      </c>
      <c r="Q48" s="40">
        <f t="shared" si="64"/>
        <v>0.05133470226</v>
      </c>
      <c r="R48" s="40">
        <f t="shared" si="64"/>
        <v>0.01869158879</v>
      </c>
      <c r="S48" s="40">
        <f t="shared" si="64"/>
        <v>0.04778156997</v>
      </c>
      <c r="T48" s="40">
        <f t="shared" si="64"/>
        <v>0.05642633229</v>
      </c>
      <c r="U48" s="63"/>
      <c r="V48" s="63"/>
      <c r="W48" s="63"/>
      <c r="X48" s="63"/>
      <c r="Y48" s="63"/>
      <c r="Z48" s="63"/>
    </row>
    <row r="49" ht="15.75" customHeight="1">
      <c r="A49" s="63"/>
      <c r="B49" s="63"/>
      <c r="C49" s="63"/>
      <c r="D49" s="63"/>
      <c r="E49" s="63"/>
      <c r="F49" s="24"/>
      <c r="G49" s="19">
        <f>$G$23</f>
        <v>15</v>
      </c>
      <c r="H49" s="20">
        <v>410.0</v>
      </c>
      <c r="I49" s="20">
        <v>147.0</v>
      </c>
      <c r="J49" s="20">
        <v>8.0</v>
      </c>
      <c r="K49" s="20">
        <v>34.0</v>
      </c>
      <c r="L49" s="20">
        <v>28.0</v>
      </c>
      <c r="M49" s="63"/>
      <c r="N49" s="23"/>
      <c r="O49" s="19">
        <f>$G$23</f>
        <v>15</v>
      </c>
      <c r="P49" s="40">
        <f t="shared" ref="P49:T49" si="65">H49/H$58</f>
        <v>0.05756001685</v>
      </c>
      <c r="Q49" s="40">
        <f t="shared" si="65"/>
        <v>0.05030800821</v>
      </c>
      <c r="R49" s="40">
        <f t="shared" si="65"/>
        <v>0.07476635514</v>
      </c>
      <c r="S49" s="40">
        <f t="shared" si="65"/>
        <v>0.05802047782</v>
      </c>
      <c r="T49" s="40">
        <f t="shared" si="65"/>
        <v>0.04388714734</v>
      </c>
      <c r="U49" s="63"/>
      <c r="V49" s="63"/>
      <c r="W49" s="63"/>
      <c r="X49" s="63"/>
      <c r="Y49" s="63"/>
      <c r="Z49" s="63"/>
    </row>
    <row r="50" ht="15.75" customHeight="1">
      <c r="A50" s="63"/>
      <c r="B50" s="63"/>
      <c r="C50" s="63"/>
      <c r="D50" s="63"/>
      <c r="E50" s="63"/>
      <c r="F50" s="24"/>
      <c r="G50" s="19">
        <f>$G$24</f>
        <v>16</v>
      </c>
      <c r="H50" s="20">
        <v>354.0</v>
      </c>
      <c r="I50" s="20">
        <v>197.0</v>
      </c>
      <c r="J50" s="20">
        <v>1.0</v>
      </c>
      <c r="K50" s="20">
        <v>31.0</v>
      </c>
      <c r="L50" s="20">
        <v>24.0</v>
      </c>
      <c r="M50" s="63"/>
      <c r="N50" s="23"/>
      <c r="O50" s="19">
        <f>$G$24</f>
        <v>16</v>
      </c>
      <c r="P50" s="40">
        <f t="shared" ref="P50:T50" si="66">H50/H$58</f>
        <v>0.04969816089</v>
      </c>
      <c r="Q50" s="40">
        <f t="shared" si="66"/>
        <v>0.06741957563</v>
      </c>
      <c r="R50" s="40">
        <f t="shared" si="66"/>
        <v>0.009345794393</v>
      </c>
      <c r="S50" s="40">
        <f t="shared" si="66"/>
        <v>0.05290102389</v>
      </c>
      <c r="T50" s="40">
        <f t="shared" si="66"/>
        <v>0.03761755486</v>
      </c>
      <c r="U50" s="63"/>
      <c r="V50" s="63"/>
      <c r="W50" s="63"/>
      <c r="X50" s="63"/>
      <c r="Y50" s="63"/>
      <c r="Z50" s="63"/>
    </row>
    <row r="51" ht="15.75" customHeight="1">
      <c r="A51" s="63"/>
      <c r="B51" s="63"/>
      <c r="C51" s="63"/>
      <c r="D51" s="63"/>
      <c r="E51" s="63"/>
      <c r="F51" s="24"/>
      <c r="G51" s="19">
        <f>$G$25</f>
        <v>17</v>
      </c>
      <c r="H51" s="20">
        <v>414.0</v>
      </c>
      <c r="I51" s="20">
        <v>192.0</v>
      </c>
      <c r="J51" s="20">
        <v>0.0</v>
      </c>
      <c r="K51" s="20">
        <v>22.0</v>
      </c>
      <c r="L51" s="20">
        <v>13.0</v>
      </c>
      <c r="M51" s="63"/>
      <c r="N51" s="23"/>
      <c r="O51" s="19">
        <f>$G$25</f>
        <v>17</v>
      </c>
      <c r="P51" s="40">
        <f t="shared" ref="P51:T51" si="67">H51/H$58</f>
        <v>0.05812157799</v>
      </c>
      <c r="Q51" s="40">
        <f t="shared" si="67"/>
        <v>0.06570841889</v>
      </c>
      <c r="R51" s="40">
        <f t="shared" si="67"/>
        <v>0</v>
      </c>
      <c r="S51" s="40">
        <f t="shared" si="67"/>
        <v>0.03754266212</v>
      </c>
      <c r="T51" s="40">
        <f t="shared" si="67"/>
        <v>0.02037617555</v>
      </c>
      <c r="U51" s="63"/>
      <c r="V51" s="63"/>
      <c r="W51" s="63"/>
      <c r="X51" s="63"/>
      <c r="Y51" s="63"/>
      <c r="Z51" s="63"/>
    </row>
    <row r="52" ht="15.75" customHeight="1">
      <c r="A52" s="63"/>
      <c r="B52" s="63"/>
      <c r="C52" s="63"/>
      <c r="D52" s="63"/>
      <c r="E52" s="63"/>
      <c r="F52" s="24"/>
      <c r="G52" s="19">
        <f>$G$26</f>
        <v>18</v>
      </c>
      <c r="H52" s="20">
        <v>344.0</v>
      </c>
      <c r="I52" s="20">
        <v>127.0</v>
      </c>
      <c r="J52" s="20">
        <v>2.0</v>
      </c>
      <c r="K52" s="20">
        <v>13.0</v>
      </c>
      <c r="L52" s="20">
        <v>16.0</v>
      </c>
      <c r="M52" s="63"/>
      <c r="N52" s="23"/>
      <c r="O52" s="19">
        <f>$G$26</f>
        <v>18</v>
      </c>
      <c r="P52" s="40">
        <f t="shared" ref="P52:T52" si="68">H52/H$58</f>
        <v>0.04829425804</v>
      </c>
      <c r="Q52" s="40">
        <f t="shared" si="68"/>
        <v>0.04346338125</v>
      </c>
      <c r="R52" s="40">
        <f t="shared" si="68"/>
        <v>0.01869158879</v>
      </c>
      <c r="S52" s="40">
        <f t="shared" si="68"/>
        <v>0.02218430034</v>
      </c>
      <c r="T52" s="40">
        <f t="shared" si="68"/>
        <v>0.02507836991</v>
      </c>
      <c r="U52" s="63"/>
      <c r="V52" s="63"/>
      <c r="W52" s="63"/>
      <c r="X52" s="63"/>
      <c r="Y52" s="63"/>
      <c r="Z52" s="63"/>
    </row>
    <row r="53" ht="15.75" customHeight="1">
      <c r="A53" s="63"/>
      <c r="B53" s="63"/>
      <c r="C53" s="63"/>
      <c r="D53" s="63"/>
      <c r="E53" s="63"/>
      <c r="F53" s="24"/>
      <c r="G53" s="19">
        <f>$G$27</f>
        <v>19</v>
      </c>
      <c r="H53" s="20">
        <v>252.0</v>
      </c>
      <c r="I53" s="20">
        <v>77.0</v>
      </c>
      <c r="J53" s="20">
        <v>1.0</v>
      </c>
      <c r="K53" s="20">
        <v>15.0</v>
      </c>
      <c r="L53" s="20">
        <v>11.0</v>
      </c>
      <c r="M53" s="63"/>
      <c r="N53" s="23"/>
      <c r="O53" s="19">
        <f>$G$27</f>
        <v>19</v>
      </c>
      <c r="P53" s="40">
        <f t="shared" ref="P53:T53" si="69">H53/H$58</f>
        <v>0.03537835182</v>
      </c>
      <c r="Q53" s="40">
        <f t="shared" si="69"/>
        <v>0.02635181383</v>
      </c>
      <c r="R53" s="40">
        <f t="shared" si="69"/>
        <v>0.009345794393</v>
      </c>
      <c r="S53" s="40">
        <f t="shared" si="69"/>
        <v>0.02559726962</v>
      </c>
      <c r="T53" s="40">
        <f t="shared" si="69"/>
        <v>0.01724137931</v>
      </c>
      <c r="U53" s="63"/>
      <c r="V53" s="63"/>
      <c r="W53" s="63"/>
      <c r="X53" s="63"/>
      <c r="Y53" s="63"/>
      <c r="Z53" s="63"/>
    </row>
    <row r="54" ht="15.75" customHeight="1">
      <c r="A54" s="63"/>
      <c r="B54" s="63"/>
      <c r="C54" s="63"/>
      <c r="D54" s="63"/>
      <c r="E54" s="63"/>
      <c r="F54" s="24"/>
      <c r="G54" s="19">
        <f>$G$28</f>
        <v>20</v>
      </c>
      <c r="H54" s="20">
        <v>213.0</v>
      </c>
      <c r="I54" s="20">
        <v>60.0</v>
      </c>
      <c r="J54" s="20">
        <v>2.0</v>
      </c>
      <c r="K54" s="20">
        <v>10.0</v>
      </c>
      <c r="L54" s="20">
        <v>14.0</v>
      </c>
      <c r="M54" s="63"/>
      <c r="N54" s="23"/>
      <c r="O54" s="19">
        <f>$G$28</f>
        <v>20</v>
      </c>
      <c r="P54" s="40">
        <f t="shared" ref="P54:T54" si="70">H54/H$58</f>
        <v>0.0299031307</v>
      </c>
      <c r="Q54" s="40">
        <f t="shared" si="70"/>
        <v>0.0205338809</v>
      </c>
      <c r="R54" s="40">
        <f t="shared" si="70"/>
        <v>0.01869158879</v>
      </c>
      <c r="S54" s="40">
        <f t="shared" si="70"/>
        <v>0.01706484642</v>
      </c>
      <c r="T54" s="40">
        <f t="shared" si="70"/>
        <v>0.02194357367</v>
      </c>
      <c r="U54" s="63"/>
      <c r="V54" s="63"/>
      <c r="W54" s="63"/>
      <c r="X54" s="63"/>
      <c r="Y54" s="63"/>
      <c r="Z54" s="63"/>
    </row>
    <row r="55" ht="15.75" customHeight="1">
      <c r="A55" s="63"/>
      <c r="B55" s="63"/>
      <c r="C55" s="63"/>
      <c r="D55" s="63"/>
      <c r="E55" s="63"/>
      <c r="F55" s="24"/>
      <c r="G55" s="19">
        <f>$G$29</f>
        <v>21</v>
      </c>
      <c r="H55" s="20">
        <v>184.0</v>
      </c>
      <c r="I55" s="20">
        <v>52.0</v>
      </c>
      <c r="J55" s="20">
        <v>0.0</v>
      </c>
      <c r="K55" s="20">
        <v>6.0</v>
      </c>
      <c r="L55" s="20">
        <v>12.0</v>
      </c>
      <c r="M55" s="63"/>
      <c r="N55" s="23"/>
      <c r="O55" s="19">
        <f>$G$29</f>
        <v>21</v>
      </c>
      <c r="P55" s="40">
        <f t="shared" ref="P55:T55" si="71">H55/H$58</f>
        <v>0.02583181244</v>
      </c>
      <c r="Q55" s="40">
        <f t="shared" si="71"/>
        <v>0.01779603012</v>
      </c>
      <c r="R55" s="40">
        <f t="shared" si="71"/>
        <v>0</v>
      </c>
      <c r="S55" s="40">
        <f t="shared" si="71"/>
        <v>0.01023890785</v>
      </c>
      <c r="T55" s="40">
        <f t="shared" si="71"/>
        <v>0.01880877743</v>
      </c>
      <c r="U55" s="63"/>
      <c r="V55" s="63"/>
      <c r="W55" s="63"/>
      <c r="X55" s="63"/>
      <c r="Y55" s="63"/>
      <c r="Z55" s="63"/>
    </row>
    <row r="56" ht="15.75" customHeight="1">
      <c r="A56" s="63"/>
      <c r="B56" s="63"/>
      <c r="C56" s="63"/>
      <c r="D56" s="63"/>
      <c r="E56" s="63"/>
      <c r="F56" s="24"/>
      <c r="G56" s="19">
        <f>$G$30</f>
        <v>22</v>
      </c>
      <c r="H56" s="20">
        <v>153.0</v>
      </c>
      <c r="I56" s="20">
        <v>56.0</v>
      </c>
      <c r="J56" s="20">
        <v>2.0</v>
      </c>
      <c r="K56" s="20">
        <v>14.0</v>
      </c>
      <c r="L56" s="20">
        <v>9.0</v>
      </c>
      <c r="M56" s="63"/>
      <c r="N56" s="23"/>
      <c r="O56" s="19">
        <f>$G$30</f>
        <v>22</v>
      </c>
      <c r="P56" s="40">
        <f t="shared" ref="P56:T56" si="72">H56/H$58</f>
        <v>0.0214797136</v>
      </c>
      <c r="Q56" s="40">
        <f t="shared" si="72"/>
        <v>0.01916495551</v>
      </c>
      <c r="R56" s="40">
        <f t="shared" si="72"/>
        <v>0.01869158879</v>
      </c>
      <c r="S56" s="40">
        <f t="shared" si="72"/>
        <v>0.02389078498</v>
      </c>
      <c r="T56" s="40">
        <f t="shared" si="72"/>
        <v>0.01410658307</v>
      </c>
      <c r="U56" s="63"/>
      <c r="V56" s="63"/>
      <c r="W56" s="63"/>
      <c r="X56" s="63"/>
      <c r="Y56" s="63"/>
      <c r="Z56" s="63"/>
    </row>
    <row r="57" ht="15.75" customHeight="1">
      <c r="A57" s="63"/>
      <c r="B57" s="63"/>
      <c r="C57" s="63"/>
      <c r="D57" s="63"/>
      <c r="E57" s="63"/>
      <c r="F57" s="28"/>
      <c r="G57" s="19">
        <f>$G$31</f>
        <v>23</v>
      </c>
      <c r="H57" s="20">
        <v>100.0</v>
      </c>
      <c r="I57" s="20">
        <v>24.0</v>
      </c>
      <c r="J57" s="20">
        <v>1.0</v>
      </c>
      <c r="K57" s="20">
        <v>18.0</v>
      </c>
      <c r="L57" s="20">
        <v>10.0</v>
      </c>
      <c r="M57" s="63"/>
      <c r="N57" s="27"/>
      <c r="O57" s="19">
        <f>$G$31</f>
        <v>23</v>
      </c>
      <c r="P57" s="40">
        <f t="shared" ref="P57:T57" si="73">H57/H$58</f>
        <v>0.0140390285</v>
      </c>
      <c r="Q57" s="40">
        <f t="shared" si="73"/>
        <v>0.008213552361</v>
      </c>
      <c r="R57" s="40">
        <f t="shared" si="73"/>
        <v>0.009345794393</v>
      </c>
      <c r="S57" s="40">
        <f t="shared" si="73"/>
        <v>0.03071672355</v>
      </c>
      <c r="T57" s="40">
        <f t="shared" si="73"/>
        <v>0.01567398119</v>
      </c>
      <c r="U57" s="63"/>
      <c r="V57" s="63"/>
      <c r="W57" s="63"/>
      <c r="X57" s="63"/>
      <c r="Y57" s="63"/>
      <c r="Z57" s="63"/>
    </row>
    <row r="58" ht="15.75" customHeight="1">
      <c r="A58" s="63"/>
      <c r="B58" s="63"/>
      <c r="C58" s="63"/>
      <c r="D58" s="63"/>
      <c r="E58" s="63"/>
      <c r="F58" s="86"/>
      <c r="G58" s="86"/>
      <c r="H58" s="73">
        <f t="shared" ref="H58:L58" si="74">SUM(H34:H57)</f>
        <v>7123</v>
      </c>
      <c r="I58" s="73">
        <f t="shared" si="74"/>
        <v>2922</v>
      </c>
      <c r="J58" s="73">
        <f t="shared" si="74"/>
        <v>107</v>
      </c>
      <c r="K58" s="73">
        <f t="shared" si="74"/>
        <v>586</v>
      </c>
      <c r="L58" s="73">
        <f t="shared" si="74"/>
        <v>638</v>
      </c>
      <c r="M58" s="63"/>
      <c r="N58" s="86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63"/>
      <c r="B59" s="63"/>
      <c r="C59" s="63"/>
      <c r="D59" s="63"/>
      <c r="E59" s="63"/>
      <c r="F59" s="63"/>
      <c r="G59" s="16"/>
      <c r="H59" s="19">
        <f>$H$7</f>
        <v>31</v>
      </c>
      <c r="I59" s="19">
        <f>$I$7</f>
        <v>32</v>
      </c>
      <c r="J59" s="19">
        <f>$J$7</f>
        <v>41</v>
      </c>
      <c r="K59" s="19">
        <f>$K$7</f>
        <v>42</v>
      </c>
      <c r="L59" s="19">
        <f>$L$7</f>
        <v>5</v>
      </c>
      <c r="M59" s="63"/>
      <c r="N59" s="63"/>
      <c r="O59" s="16"/>
      <c r="P59" s="19">
        <f>$H$7</f>
        <v>31</v>
      </c>
      <c r="Q59" s="19">
        <f>$I$7</f>
        <v>32</v>
      </c>
      <c r="R59" s="19">
        <f>$J$7</f>
        <v>41</v>
      </c>
      <c r="S59" s="19">
        <f>$K$7</f>
        <v>42</v>
      </c>
      <c r="T59" s="19">
        <f>$L$7</f>
        <v>5</v>
      </c>
      <c r="U59" s="63"/>
      <c r="V59" s="63"/>
      <c r="W59" s="63"/>
      <c r="X59" s="63"/>
      <c r="Y59" s="63"/>
      <c r="Z59" s="63"/>
    </row>
    <row r="60" ht="15.75" customHeight="1">
      <c r="A60" s="63"/>
      <c r="B60" s="63"/>
      <c r="C60" s="63"/>
      <c r="D60" s="63"/>
      <c r="E60" s="63"/>
      <c r="F60" s="21">
        <v>45196.0</v>
      </c>
      <c r="G60" s="19">
        <f>$G$8</f>
        <v>0</v>
      </c>
      <c r="H60" s="20">
        <v>62.0</v>
      </c>
      <c r="I60" s="20">
        <v>21.0</v>
      </c>
      <c r="J60" s="20">
        <v>1.0</v>
      </c>
      <c r="K60" s="20">
        <v>7.0</v>
      </c>
      <c r="L60" s="20">
        <v>12.0</v>
      </c>
      <c r="M60" s="63"/>
      <c r="N60" s="18">
        <v>45196.0</v>
      </c>
      <c r="O60" s="19">
        <f>$G$8</f>
        <v>0</v>
      </c>
      <c r="P60" s="40">
        <f t="shared" ref="P60:T60" si="75">H60/H$84</f>
        <v>0.008550544752</v>
      </c>
      <c r="Q60" s="40">
        <f t="shared" si="75"/>
        <v>0.00700466978</v>
      </c>
      <c r="R60" s="40">
        <f t="shared" si="75"/>
        <v>0.008928571429</v>
      </c>
      <c r="S60" s="40">
        <f t="shared" si="75"/>
        <v>0.01182432432</v>
      </c>
      <c r="T60" s="40">
        <f t="shared" si="75"/>
        <v>0.01706970128</v>
      </c>
      <c r="U60" s="63"/>
      <c r="V60" s="63"/>
      <c r="W60" s="63"/>
      <c r="X60" s="63"/>
      <c r="Y60" s="63"/>
      <c r="Z60" s="63"/>
    </row>
    <row r="61" ht="15.75" customHeight="1">
      <c r="A61" s="63"/>
      <c r="B61" s="63"/>
      <c r="C61" s="63"/>
      <c r="D61" s="63"/>
      <c r="E61" s="63"/>
      <c r="F61" s="24"/>
      <c r="G61" s="19">
        <f>$G$9</f>
        <v>1</v>
      </c>
      <c r="H61" s="20">
        <v>55.0</v>
      </c>
      <c r="I61" s="20">
        <v>21.0</v>
      </c>
      <c r="J61" s="20">
        <v>0.0</v>
      </c>
      <c r="K61" s="20">
        <v>15.0</v>
      </c>
      <c r="L61" s="20">
        <v>4.0</v>
      </c>
      <c r="M61" s="63"/>
      <c r="N61" s="23"/>
      <c r="O61" s="19">
        <f>$G$9</f>
        <v>1</v>
      </c>
      <c r="P61" s="40">
        <f t="shared" ref="P61:T61" si="76">H61/H$84</f>
        <v>0.007585160667</v>
      </c>
      <c r="Q61" s="40">
        <f t="shared" si="76"/>
        <v>0.00700466978</v>
      </c>
      <c r="R61" s="40">
        <f t="shared" si="76"/>
        <v>0</v>
      </c>
      <c r="S61" s="40">
        <f t="shared" si="76"/>
        <v>0.02533783784</v>
      </c>
      <c r="T61" s="40">
        <f t="shared" si="76"/>
        <v>0.005689900427</v>
      </c>
      <c r="U61" s="63"/>
      <c r="V61" s="63"/>
      <c r="W61" s="63"/>
      <c r="X61" s="63"/>
      <c r="Y61" s="63"/>
      <c r="Z61" s="63"/>
    </row>
    <row r="62" ht="15.75" customHeight="1">
      <c r="A62" s="63"/>
      <c r="B62" s="63"/>
      <c r="C62" s="63"/>
      <c r="D62" s="63"/>
      <c r="E62" s="63"/>
      <c r="F62" s="24"/>
      <c r="G62" s="19">
        <f>$G$10</f>
        <v>2</v>
      </c>
      <c r="H62" s="16">
        <v>33.0</v>
      </c>
      <c r="I62" s="16">
        <v>12.0</v>
      </c>
      <c r="J62" s="16">
        <v>0.0</v>
      </c>
      <c r="K62" s="16">
        <v>14.0</v>
      </c>
      <c r="L62" s="16">
        <v>11.0</v>
      </c>
      <c r="M62" s="63"/>
      <c r="N62" s="23"/>
      <c r="O62" s="19">
        <f>$G$10</f>
        <v>2</v>
      </c>
      <c r="P62" s="40">
        <f t="shared" ref="P62:T62" si="77">H62/H$84</f>
        <v>0.0045510964</v>
      </c>
      <c r="Q62" s="40">
        <f t="shared" si="77"/>
        <v>0.004002668446</v>
      </c>
      <c r="R62" s="40">
        <f t="shared" si="77"/>
        <v>0</v>
      </c>
      <c r="S62" s="40">
        <f t="shared" si="77"/>
        <v>0.02364864865</v>
      </c>
      <c r="T62" s="40">
        <f t="shared" si="77"/>
        <v>0.01564722617</v>
      </c>
      <c r="U62" s="63"/>
      <c r="V62" s="63"/>
      <c r="W62" s="63"/>
      <c r="X62" s="63"/>
      <c r="Y62" s="63"/>
      <c r="Z62" s="63"/>
    </row>
    <row r="63" ht="15.75" customHeight="1">
      <c r="A63" s="63"/>
      <c r="B63" s="63"/>
      <c r="C63" s="63"/>
      <c r="D63" s="63"/>
      <c r="E63" s="63"/>
      <c r="F63" s="24"/>
      <c r="G63" s="19">
        <f>$G$11</f>
        <v>3</v>
      </c>
      <c r="H63" s="20">
        <v>37.0</v>
      </c>
      <c r="I63" s="20">
        <v>22.0</v>
      </c>
      <c r="J63" s="20">
        <v>0.0</v>
      </c>
      <c r="K63" s="20">
        <v>17.0</v>
      </c>
      <c r="L63" s="20">
        <v>9.0</v>
      </c>
      <c r="M63" s="63"/>
      <c r="N63" s="23"/>
      <c r="O63" s="19">
        <f>$G$11</f>
        <v>3</v>
      </c>
      <c r="P63" s="40">
        <f t="shared" ref="P63:T63" si="78">H63/H$84</f>
        <v>0.005102744449</v>
      </c>
      <c r="Q63" s="40">
        <f t="shared" si="78"/>
        <v>0.007338225484</v>
      </c>
      <c r="R63" s="40">
        <f t="shared" si="78"/>
        <v>0</v>
      </c>
      <c r="S63" s="40">
        <f t="shared" si="78"/>
        <v>0.02871621622</v>
      </c>
      <c r="T63" s="40">
        <f t="shared" si="78"/>
        <v>0.01280227596</v>
      </c>
      <c r="U63" s="63"/>
      <c r="V63" s="63"/>
      <c r="W63" s="63"/>
      <c r="X63" s="63"/>
      <c r="Y63" s="63"/>
      <c r="Z63" s="63"/>
    </row>
    <row r="64" ht="15.75" customHeight="1">
      <c r="A64" s="63"/>
      <c r="B64" s="63"/>
      <c r="C64" s="63"/>
      <c r="D64" s="63"/>
      <c r="E64" s="63"/>
      <c r="F64" s="24"/>
      <c r="G64" s="19">
        <f>$G$12</f>
        <v>4</v>
      </c>
      <c r="H64" s="20">
        <v>64.0</v>
      </c>
      <c r="I64" s="20">
        <v>38.0</v>
      </c>
      <c r="J64" s="20">
        <v>1.0</v>
      </c>
      <c r="K64" s="20">
        <v>23.0</v>
      </c>
      <c r="L64" s="20">
        <v>18.0</v>
      </c>
      <c r="M64" s="63"/>
      <c r="N64" s="23"/>
      <c r="O64" s="19">
        <f>$G$12</f>
        <v>4</v>
      </c>
      <c r="P64" s="40">
        <f t="shared" ref="P64:T64" si="79">H64/H$84</f>
        <v>0.008826368777</v>
      </c>
      <c r="Q64" s="40">
        <f t="shared" si="79"/>
        <v>0.01267511674</v>
      </c>
      <c r="R64" s="40">
        <f t="shared" si="79"/>
        <v>0.008928571429</v>
      </c>
      <c r="S64" s="40">
        <f t="shared" si="79"/>
        <v>0.03885135135</v>
      </c>
      <c r="T64" s="40">
        <f t="shared" si="79"/>
        <v>0.02560455192</v>
      </c>
      <c r="U64" s="63"/>
      <c r="V64" s="63"/>
      <c r="W64" s="63"/>
      <c r="X64" s="63"/>
      <c r="Y64" s="63"/>
      <c r="Z64" s="63"/>
    </row>
    <row r="65" ht="15.75" customHeight="1">
      <c r="A65" s="63"/>
      <c r="B65" s="63"/>
      <c r="C65" s="63"/>
      <c r="D65" s="63"/>
      <c r="E65" s="63"/>
      <c r="F65" s="24"/>
      <c r="G65" s="19">
        <f>$G$13</f>
        <v>5</v>
      </c>
      <c r="H65" s="20">
        <v>110.0</v>
      </c>
      <c r="I65" s="20">
        <v>82.0</v>
      </c>
      <c r="J65" s="20">
        <v>3.0</v>
      </c>
      <c r="K65" s="20">
        <v>17.0</v>
      </c>
      <c r="L65" s="20">
        <v>26.0</v>
      </c>
      <c r="M65" s="63"/>
      <c r="N65" s="23"/>
      <c r="O65" s="19">
        <f>$G$13</f>
        <v>5</v>
      </c>
      <c r="P65" s="40">
        <f t="shared" ref="P65:T65" si="80">H65/H$84</f>
        <v>0.01517032133</v>
      </c>
      <c r="Q65" s="40">
        <f t="shared" si="80"/>
        <v>0.02735156771</v>
      </c>
      <c r="R65" s="40">
        <f t="shared" si="80"/>
        <v>0.02678571429</v>
      </c>
      <c r="S65" s="40">
        <f t="shared" si="80"/>
        <v>0.02871621622</v>
      </c>
      <c r="T65" s="40">
        <f t="shared" si="80"/>
        <v>0.03698435277</v>
      </c>
      <c r="U65" s="63"/>
      <c r="V65" s="63"/>
      <c r="W65" s="63"/>
      <c r="X65" s="63"/>
      <c r="Y65" s="63"/>
      <c r="Z65" s="63"/>
    </row>
    <row r="66" ht="15.75" customHeight="1">
      <c r="A66" s="63"/>
      <c r="B66" s="63"/>
      <c r="C66" s="63"/>
      <c r="D66" s="63"/>
      <c r="E66" s="63"/>
      <c r="F66" s="24"/>
      <c r="G66" s="19">
        <f>$G$14</f>
        <v>6</v>
      </c>
      <c r="H66" s="20">
        <v>281.0</v>
      </c>
      <c r="I66" s="20">
        <v>122.0</v>
      </c>
      <c r="J66" s="20">
        <v>13.0</v>
      </c>
      <c r="K66" s="20">
        <v>40.0</v>
      </c>
      <c r="L66" s="20">
        <v>38.0</v>
      </c>
      <c r="M66" s="63"/>
      <c r="N66" s="23"/>
      <c r="O66" s="19">
        <f>$G$14</f>
        <v>6</v>
      </c>
      <c r="P66" s="40">
        <f t="shared" ref="P66:T66" si="81">H66/H$84</f>
        <v>0.03875327541</v>
      </c>
      <c r="Q66" s="40">
        <f t="shared" si="81"/>
        <v>0.04069379586</v>
      </c>
      <c r="R66" s="40">
        <f t="shared" si="81"/>
        <v>0.1160714286</v>
      </c>
      <c r="S66" s="40">
        <f t="shared" si="81"/>
        <v>0.06756756757</v>
      </c>
      <c r="T66" s="40">
        <f t="shared" si="81"/>
        <v>0.05405405405</v>
      </c>
      <c r="U66" s="63"/>
      <c r="V66" s="63"/>
      <c r="W66" s="63"/>
      <c r="X66" s="63"/>
      <c r="Y66" s="63"/>
      <c r="Z66" s="63"/>
    </row>
    <row r="67" ht="15.75" customHeight="1">
      <c r="A67" s="63"/>
      <c r="B67" s="63"/>
      <c r="C67" s="63"/>
      <c r="D67" s="63"/>
      <c r="E67" s="63"/>
      <c r="F67" s="24"/>
      <c r="G67" s="19">
        <f>$G$15</f>
        <v>7</v>
      </c>
      <c r="H67" s="20">
        <v>592.0</v>
      </c>
      <c r="I67" s="20">
        <v>200.0</v>
      </c>
      <c r="J67" s="20">
        <v>16.0</v>
      </c>
      <c r="K67" s="20">
        <v>47.0</v>
      </c>
      <c r="L67" s="20">
        <v>52.0</v>
      </c>
      <c r="M67" s="63"/>
      <c r="N67" s="23"/>
      <c r="O67" s="19">
        <f>$G$15</f>
        <v>7</v>
      </c>
      <c r="P67" s="40">
        <f t="shared" ref="P67:T67" si="82">H67/H$84</f>
        <v>0.08164391118</v>
      </c>
      <c r="Q67" s="40">
        <f t="shared" si="82"/>
        <v>0.06671114076</v>
      </c>
      <c r="R67" s="40">
        <f t="shared" si="82"/>
        <v>0.1428571429</v>
      </c>
      <c r="S67" s="40">
        <f t="shared" si="82"/>
        <v>0.07939189189</v>
      </c>
      <c r="T67" s="40">
        <f t="shared" si="82"/>
        <v>0.07396870555</v>
      </c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24"/>
      <c r="G68" s="19">
        <f>$G$16</f>
        <v>8</v>
      </c>
      <c r="H68" s="20">
        <v>542.0</v>
      </c>
      <c r="I68" s="20">
        <v>280.0</v>
      </c>
      <c r="J68" s="20">
        <v>11.0</v>
      </c>
      <c r="K68" s="20">
        <v>45.0</v>
      </c>
      <c r="L68" s="20">
        <v>45.0</v>
      </c>
      <c r="M68" s="63"/>
      <c r="N68" s="23"/>
      <c r="O68" s="19">
        <f>$G$16</f>
        <v>8</v>
      </c>
      <c r="P68" s="40">
        <f t="shared" ref="P68:T68" si="83">H68/H$84</f>
        <v>0.07474831058</v>
      </c>
      <c r="Q68" s="40">
        <f t="shared" si="83"/>
        <v>0.09339559706</v>
      </c>
      <c r="R68" s="40">
        <f t="shared" si="83"/>
        <v>0.09821428571</v>
      </c>
      <c r="S68" s="40">
        <f t="shared" si="83"/>
        <v>0.07601351351</v>
      </c>
      <c r="T68" s="40">
        <f t="shared" si="83"/>
        <v>0.0640113798</v>
      </c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24"/>
      <c r="G69" s="19">
        <f>$G$17</f>
        <v>9</v>
      </c>
      <c r="H69" s="20">
        <v>513.0</v>
      </c>
      <c r="I69" s="20">
        <v>273.0</v>
      </c>
      <c r="J69" s="20">
        <v>10.0</v>
      </c>
      <c r="K69" s="20">
        <v>45.0</v>
      </c>
      <c r="L69" s="20">
        <v>58.0</v>
      </c>
      <c r="M69" s="63"/>
      <c r="N69" s="23"/>
      <c r="O69" s="19">
        <f>$G$17</f>
        <v>9</v>
      </c>
      <c r="P69" s="40">
        <f t="shared" ref="P69:T69" si="84">H69/H$84</f>
        <v>0.07074886223</v>
      </c>
      <c r="Q69" s="40">
        <f t="shared" si="84"/>
        <v>0.09106070714</v>
      </c>
      <c r="R69" s="40">
        <f t="shared" si="84"/>
        <v>0.08928571429</v>
      </c>
      <c r="S69" s="40">
        <f t="shared" si="84"/>
        <v>0.07601351351</v>
      </c>
      <c r="T69" s="40">
        <f t="shared" si="84"/>
        <v>0.08250355619</v>
      </c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24"/>
      <c r="G70" s="19">
        <f>$G$18</f>
        <v>10</v>
      </c>
      <c r="H70" s="20">
        <v>526.0</v>
      </c>
      <c r="I70" s="20">
        <v>235.0</v>
      </c>
      <c r="J70" s="20">
        <v>18.0</v>
      </c>
      <c r="K70" s="20">
        <v>38.0</v>
      </c>
      <c r="L70" s="20">
        <v>67.0</v>
      </c>
      <c r="M70" s="63"/>
      <c r="N70" s="23"/>
      <c r="O70" s="19">
        <f>$G$18</f>
        <v>10</v>
      </c>
      <c r="P70" s="40">
        <f t="shared" ref="P70:T70" si="85">H70/H$84</f>
        <v>0.07254171838</v>
      </c>
      <c r="Q70" s="40">
        <f t="shared" si="85"/>
        <v>0.07838559039</v>
      </c>
      <c r="R70" s="40">
        <f t="shared" si="85"/>
        <v>0.1607142857</v>
      </c>
      <c r="S70" s="40">
        <f t="shared" si="85"/>
        <v>0.06418918919</v>
      </c>
      <c r="T70" s="40">
        <f t="shared" si="85"/>
        <v>0.09530583215</v>
      </c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24"/>
      <c r="G71" s="19">
        <f>$G$19</f>
        <v>11</v>
      </c>
      <c r="H71" s="20">
        <v>452.0</v>
      </c>
      <c r="I71" s="20">
        <v>175.0</v>
      </c>
      <c r="J71" s="20">
        <v>7.0</v>
      </c>
      <c r="K71" s="20">
        <v>41.0</v>
      </c>
      <c r="L71" s="20">
        <v>55.0</v>
      </c>
      <c r="M71" s="63"/>
      <c r="N71" s="23"/>
      <c r="O71" s="19">
        <f>$G$19</f>
        <v>11</v>
      </c>
      <c r="P71" s="40">
        <f t="shared" ref="P71:T71" si="86">H71/H$84</f>
        <v>0.06233622949</v>
      </c>
      <c r="Q71" s="40">
        <f t="shared" si="86"/>
        <v>0.05837224817</v>
      </c>
      <c r="R71" s="40">
        <f t="shared" si="86"/>
        <v>0.0625</v>
      </c>
      <c r="S71" s="40">
        <f t="shared" si="86"/>
        <v>0.06925675676</v>
      </c>
      <c r="T71" s="40">
        <f t="shared" si="86"/>
        <v>0.07823613087</v>
      </c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24"/>
      <c r="G72" s="19">
        <f>$G$20</f>
        <v>12</v>
      </c>
      <c r="H72" s="20">
        <v>406.0</v>
      </c>
      <c r="I72" s="20">
        <v>162.0</v>
      </c>
      <c r="J72" s="20">
        <v>7.0</v>
      </c>
      <c r="K72" s="20">
        <v>17.0</v>
      </c>
      <c r="L72" s="20">
        <v>65.0</v>
      </c>
      <c r="M72" s="63"/>
      <c r="N72" s="23"/>
      <c r="O72" s="19">
        <f>$G$20</f>
        <v>12</v>
      </c>
      <c r="P72" s="40">
        <f t="shared" ref="P72:T72" si="87">H72/H$84</f>
        <v>0.05599227693</v>
      </c>
      <c r="Q72" s="40">
        <f t="shared" si="87"/>
        <v>0.05403602402</v>
      </c>
      <c r="R72" s="40">
        <f t="shared" si="87"/>
        <v>0.0625</v>
      </c>
      <c r="S72" s="40">
        <f t="shared" si="87"/>
        <v>0.02871621622</v>
      </c>
      <c r="T72" s="40">
        <f t="shared" si="87"/>
        <v>0.09246088193</v>
      </c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24"/>
      <c r="G73" s="19">
        <f>$G$21</f>
        <v>13</v>
      </c>
      <c r="H73" s="20">
        <v>434.0</v>
      </c>
      <c r="I73" s="20">
        <v>189.0</v>
      </c>
      <c r="J73" s="20">
        <v>3.0</v>
      </c>
      <c r="K73" s="20">
        <v>34.0</v>
      </c>
      <c r="L73" s="20">
        <v>55.0</v>
      </c>
      <c r="M73" s="63"/>
      <c r="N73" s="23"/>
      <c r="O73" s="19">
        <f>$G$21</f>
        <v>13</v>
      </c>
      <c r="P73" s="40">
        <f t="shared" ref="P73:T73" si="88">H73/H$84</f>
        <v>0.05985381327</v>
      </c>
      <c r="Q73" s="40">
        <f t="shared" si="88"/>
        <v>0.06304202802</v>
      </c>
      <c r="R73" s="40">
        <f t="shared" si="88"/>
        <v>0.02678571429</v>
      </c>
      <c r="S73" s="40">
        <f t="shared" si="88"/>
        <v>0.05743243243</v>
      </c>
      <c r="T73" s="40">
        <f t="shared" si="88"/>
        <v>0.07823613087</v>
      </c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24"/>
      <c r="G74" s="19">
        <f>$G$22</f>
        <v>14</v>
      </c>
      <c r="H74" s="20">
        <v>434.0</v>
      </c>
      <c r="I74" s="20">
        <v>174.0</v>
      </c>
      <c r="J74" s="20">
        <v>6.0</v>
      </c>
      <c r="K74" s="20">
        <v>27.0</v>
      </c>
      <c r="L74" s="20">
        <v>49.0</v>
      </c>
      <c r="M74" s="63"/>
      <c r="N74" s="23"/>
      <c r="O74" s="19">
        <f>$G$22</f>
        <v>14</v>
      </c>
      <c r="P74" s="40">
        <f t="shared" ref="P74:T74" si="89">H74/H$84</f>
        <v>0.05985381327</v>
      </c>
      <c r="Q74" s="40">
        <f t="shared" si="89"/>
        <v>0.05803869246</v>
      </c>
      <c r="R74" s="40">
        <f t="shared" si="89"/>
        <v>0.05357142857</v>
      </c>
      <c r="S74" s="40">
        <f t="shared" si="89"/>
        <v>0.04560810811</v>
      </c>
      <c r="T74" s="40">
        <f t="shared" si="89"/>
        <v>0.06970128023</v>
      </c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24"/>
      <c r="G75" s="19">
        <f>$G$23</f>
        <v>15</v>
      </c>
      <c r="H75" s="20">
        <v>408.0</v>
      </c>
      <c r="I75" s="20">
        <v>170.0</v>
      </c>
      <c r="J75" s="20">
        <v>7.0</v>
      </c>
      <c r="K75" s="20">
        <v>32.0</v>
      </c>
      <c r="L75" s="20">
        <v>32.0</v>
      </c>
      <c r="M75" s="63"/>
      <c r="N75" s="23"/>
      <c r="O75" s="19">
        <f>$G$23</f>
        <v>15</v>
      </c>
      <c r="P75" s="40">
        <f t="shared" ref="P75:T75" si="90">H75/H$84</f>
        <v>0.05626810095</v>
      </c>
      <c r="Q75" s="40">
        <f t="shared" si="90"/>
        <v>0.05670446965</v>
      </c>
      <c r="R75" s="40">
        <f t="shared" si="90"/>
        <v>0.0625</v>
      </c>
      <c r="S75" s="40">
        <f t="shared" si="90"/>
        <v>0.05405405405</v>
      </c>
      <c r="T75" s="40">
        <f t="shared" si="90"/>
        <v>0.04551920341</v>
      </c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24"/>
      <c r="G76" s="19">
        <f>$G$24</f>
        <v>16</v>
      </c>
      <c r="H76" s="20">
        <v>425.0</v>
      </c>
      <c r="I76" s="20">
        <v>200.0</v>
      </c>
      <c r="J76" s="20">
        <v>2.0</v>
      </c>
      <c r="K76" s="20">
        <v>22.0</v>
      </c>
      <c r="L76" s="20">
        <v>28.0</v>
      </c>
      <c r="M76" s="63"/>
      <c r="N76" s="23"/>
      <c r="O76" s="19">
        <f>$G$24</f>
        <v>16</v>
      </c>
      <c r="P76" s="40">
        <f t="shared" ref="P76:T76" si="91">H76/H$84</f>
        <v>0.05861260516</v>
      </c>
      <c r="Q76" s="40">
        <f t="shared" si="91"/>
        <v>0.06671114076</v>
      </c>
      <c r="R76" s="40">
        <f t="shared" si="91"/>
        <v>0.01785714286</v>
      </c>
      <c r="S76" s="40">
        <f t="shared" si="91"/>
        <v>0.03716216216</v>
      </c>
      <c r="T76" s="40">
        <f t="shared" si="91"/>
        <v>0.03982930299</v>
      </c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24"/>
      <c r="G77" s="19">
        <f>$G$25</f>
        <v>17</v>
      </c>
      <c r="H77" s="20">
        <v>437.0</v>
      </c>
      <c r="I77" s="20">
        <v>202.0</v>
      </c>
      <c r="J77" s="20">
        <v>3.0</v>
      </c>
      <c r="K77" s="20">
        <v>16.0</v>
      </c>
      <c r="L77" s="20">
        <v>22.0</v>
      </c>
      <c r="M77" s="63"/>
      <c r="N77" s="23"/>
      <c r="O77" s="19">
        <f>$G$25</f>
        <v>17</v>
      </c>
      <c r="P77" s="40">
        <f t="shared" ref="P77:T77" si="92">H77/H$84</f>
        <v>0.0602675493</v>
      </c>
      <c r="Q77" s="40">
        <f t="shared" si="92"/>
        <v>0.06737825217</v>
      </c>
      <c r="R77" s="40">
        <f t="shared" si="92"/>
        <v>0.02678571429</v>
      </c>
      <c r="S77" s="40">
        <f t="shared" si="92"/>
        <v>0.02702702703</v>
      </c>
      <c r="T77" s="40">
        <f t="shared" si="92"/>
        <v>0.03129445235</v>
      </c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24"/>
      <c r="G78" s="19">
        <f>$G$26</f>
        <v>18</v>
      </c>
      <c r="H78" s="20">
        <v>340.0</v>
      </c>
      <c r="I78" s="20">
        <v>121.0</v>
      </c>
      <c r="J78" s="20">
        <v>0.0</v>
      </c>
      <c r="K78" s="20">
        <v>26.0</v>
      </c>
      <c r="L78" s="20">
        <v>18.0</v>
      </c>
      <c r="M78" s="63"/>
      <c r="N78" s="23"/>
      <c r="O78" s="19">
        <f>$G$26</f>
        <v>18</v>
      </c>
      <c r="P78" s="40">
        <f t="shared" ref="P78:T78" si="93">H78/H$84</f>
        <v>0.04689008413</v>
      </c>
      <c r="Q78" s="40">
        <f t="shared" si="93"/>
        <v>0.04036024016</v>
      </c>
      <c r="R78" s="40">
        <f t="shared" si="93"/>
        <v>0</v>
      </c>
      <c r="S78" s="40">
        <f t="shared" si="93"/>
        <v>0.04391891892</v>
      </c>
      <c r="T78" s="40">
        <f t="shared" si="93"/>
        <v>0.02560455192</v>
      </c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24"/>
      <c r="G79" s="19">
        <f>$G$27</f>
        <v>19</v>
      </c>
      <c r="H79" s="20">
        <v>300.0</v>
      </c>
      <c r="I79" s="20">
        <v>100.0</v>
      </c>
      <c r="J79" s="20">
        <v>1.0</v>
      </c>
      <c r="K79" s="20">
        <v>25.0</v>
      </c>
      <c r="L79" s="20">
        <v>8.0</v>
      </c>
      <c r="M79" s="63"/>
      <c r="N79" s="23"/>
      <c r="O79" s="19">
        <f>$G$27</f>
        <v>19</v>
      </c>
      <c r="P79" s="40">
        <f t="shared" ref="P79:T79" si="94">H79/H$84</f>
        <v>0.04137360364</v>
      </c>
      <c r="Q79" s="40">
        <f t="shared" si="94"/>
        <v>0.03335557038</v>
      </c>
      <c r="R79" s="40">
        <f t="shared" si="94"/>
        <v>0.008928571429</v>
      </c>
      <c r="S79" s="40">
        <f t="shared" si="94"/>
        <v>0.04222972973</v>
      </c>
      <c r="T79" s="40">
        <f t="shared" si="94"/>
        <v>0.01137980085</v>
      </c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24"/>
      <c r="G80" s="19">
        <f>$G$28</f>
        <v>20</v>
      </c>
      <c r="H80" s="20">
        <v>292.0</v>
      </c>
      <c r="I80" s="20">
        <v>78.0</v>
      </c>
      <c r="J80" s="20">
        <v>0.0</v>
      </c>
      <c r="K80" s="20">
        <v>9.0</v>
      </c>
      <c r="L80" s="20">
        <v>11.0</v>
      </c>
      <c r="M80" s="63"/>
      <c r="N80" s="23"/>
      <c r="O80" s="19">
        <f>$G$28</f>
        <v>20</v>
      </c>
      <c r="P80" s="40">
        <f t="shared" ref="P80:T80" si="95">H80/H$84</f>
        <v>0.04027030754</v>
      </c>
      <c r="Q80" s="40">
        <f t="shared" si="95"/>
        <v>0.0260173449</v>
      </c>
      <c r="R80" s="40">
        <f t="shared" si="95"/>
        <v>0</v>
      </c>
      <c r="S80" s="40">
        <f t="shared" si="95"/>
        <v>0.0152027027</v>
      </c>
      <c r="T80" s="40">
        <f t="shared" si="95"/>
        <v>0.01564722617</v>
      </c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24"/>
      <c r="G81" s="19">
        <f>$G$29</f>
        <v>21</v>
      </c>
      <c r="H81" s="20">
        <v>222.0</v>
      </c>
      <c r="I81" s="20">
        <v>48.0</v>
      </c>
      <c r="J81" s="20">
        <v>0.0</v>
      </c>
      <c r="K81" s="20">
        <v>13.0</v>
      </c>
      <c r="L81" s="20">
        <v>5.0</v>
      </c>
      <c r="M81" s="63"/>
      <c r="N81" s="23"/>
      <c r="O81" s="19">
        <f>$G$29</f>
        <v>21</v>
      </c>
      <c r="P81" s="40">
        <f t="shared" ref="P81:T81" si="96">H81/H$84</f>
        <v>0.03061646669</v>
      </c>
      <c r="Q81" s="40">
        <f t="shared" si="96"/>
        <v>0.01601067378</v>
      </c>
      <c r="R81" s="40">
        <f t="shared" si="96"/>
        <v>0</v>
      </c>
      <c r="S81" s="40">
        <f t="shared" si="96"/>
        <v>0.02195945946</v>
      </c>
      <c r="T81" s="40">
        <f t="shared" si="96"/>
        <v>0.007112375533</v>
      </c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24"/>
      <c r="G82" s="19">
        <f>$G$30</f>
        <v>22</v>
      </c>
      <c r="H82" s="20">
        <v>188.0</v>
      </c>
      <c r="I82" s="20">
        <v>44.0</v>
      </c>
      <c r="J82" s="20">
        <v>1.0</v>
      </c>
      <c r="K82" s="20">
        <v>16.0</v>
      </c>
      <c r="L82" s="20">
        <v>7.0</v>
      </c>
      <c r="M82" s="63"/>
      <c r="N82" s="23"/>
      <c r="O82" s="19">
        <f>$G$30</f>
        <v>22</v>
      </c>
      <c r="P82" s="40">
        <f t="shared" ref="P82:T82" si="97">H82/H$84</f>
        <v>0.02592745828</v>
      </c>
      <c r="Q82" s="40">
        <f t="shared" si="97"/>
        <v>0.01467645097</v>
      </c>
      <c r="R82" s="40">
        <f t="shared" si="97"/>
        <v>0.008928571429</v>
      </c>
      <c r="S82" s="40">
        <f t="shared" si="97"/>
        <v>0.02702702703</v>
      </c>
      <c r="T82" s="40">
        <f t="shared" si="97"/>
        <v>0.009957325747</v>
      </c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28"/>
      <c r="G83" s="19">
        <f>$G$31</f>
        <v>23</v>
      </c>
      <c r="H83" s="20">
        <v>98.0</v>
      </c>
      <c r="I83" s="20">
        <v>29.0</v>
      </c>
      <c r="J83" s="20">
        <v>2.0</v>
      </c>
      <c r="K83" s="20">
        <v>6.0</v>
      </c>
      <c r="L83" s="20">
        <v>8.0</v>
      </c>
      <c r="M83" s="63"/>
      <c r="N83" s="27"/>
      <c r="O83" s="19">
        <f>$G$31</f>
        <v>23</v>
      </c>
      <c r="P83" s="40">
        <f t="shared" ref="P83:T83" si="98">H83/H$84</f>
        <v>0.01351537719</v>
      </c>
      <c r="Q83" s="40">
        <f t="shared" si="98"/>
        <v>0.00967311541</v>
      </c>
      <c r="R83" s="40">
        <f t="shared" si="98"/>
        <v>0.01785714286</v>
      </c>
      <c r="S83" s="40">
        <f t="shared" si="98"/>
        <v>0.01013513514</v>
      </c>
      <c r="T83" s="40">
        <f t="shared" si="98"/>
        <v>0.01137980085</v>
      </c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86"/>
      <c r="G84" s="86"/>
      <c r="H84" s="73">
        <f t="shared" ref="H84:L84" si="99">SUM(H60:H83)</f>
        <v>7251</v>
      </c>
      <c r="I84" s="73">
        <f t="shared" si="99"/>
        <v>2998</v>
      </c>
      <c r="J84" s="73">
        <f t="shared" si="99"/>
        <v>112</v>
      </c>
      <c r="K84" s="73">
        <f t="shared" si="99"/>
        <v>592</v>
      </c>
      <c r="L84" s="73">
        <f t="shared" si="99"/>
        <v>703</v>
      </c>
      <c r="M84" s="63"/>
      <c r="N84" s="86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16"/>
      <c r="H85" s="19">
        <f>$H$7</f>
        <v>31</v>
      </c>
      <c r="I85" s="19">
        <f>$I$7</f>
        <v>32</v>
      </c>
      <c r="J85" s="19">
        <f>$J$7</f>
        <v>41</v>
      </c>
      <c r="K85" s="19">
        <f>$K$7</f>
        <v>42</v>
      </c>
      <c r="L85" s="19">
        <f>$L$7</f>
        <v>5</v>
      </c>
      <c r="M85" s="63"/>
      <c r="N85" s="63"/>
      <c r="O85" s="16"/>
      <c r="P85" s="19">
        <f>$H$7</f>
        <v>31</v>
      </c>
      <c r="Q85" s="19">
        <f>$I$7</f>
        <v>32</v>
      </c>
      <c r="R85" s="19">
        <f>$J$7</f>
        <v>41</v>
      </c>
      <c r="S85" s="19">
        <f>$K$7</f>
        <v>42</v>
      </c>
      <c r="T85" s="19">
        <f>$L$7</f>
        <v>5</v>
      </c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21">
        <v>45197.0</v>
      </c>
      <c r="G86" s="19">
        <f>$G$8</f>
        <v>0</v>
      </c>
      <c r="H86" s="20">
        <v>79.0</v>
      </c>
      <c r="I86" s="20">
        <v>24.0</v>
      </c>
      <c r="J86" s="20">
        <v>0.0</v>
      </c>
      <c r="K86" s="20">
        <v>13.0</v>
      </c>
      <c r="L86" s="20">
        <v>11.0</v>
      </c>
      <c r="M86" s="63"/>
      <c r="N86" s="18">
        <v>45197.0</v>
      </c>
      <c r="O86" s="19">
        <f>$G$8</f>
        <v>0</v>
      </c>
      <c r="P86" s="40">
        <f t="shared" ref="P86:T86" si="100">H86/H$110</f>
        <v>0.006722260041</v>
      </c>
      <c r="Q86" s="40">
        <f t="shared" si="100"/>
        <v>0.005918618989</v>
      </c>
      <c r="R86" s="40">
        <f t="shared" si="100"/>
        <v>0</v>
      </c>
      <c r="S86" s="40">
        <f t="shared" si="100"/>
        <v>0.02490421456</v>
      </c>
      <c r="T86" s="40">
        <f t="shared" si="100"/>
        <v>0.01929824561</v>
      </c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24"/>
      <c r="G87" s="19">
        <f>$G$9</f>
        <v>1</v>
      </c>
      <c r="H87" s="20">
        <v>62.0</v>
      </c>
      <c r="I87" s="20">
        <v>21.0</v>
      </c>
      <c r="J87" s="20">
        <v>0.0</v>
      </c>
      <c r="K87" s="20">
        <v>6.0</v>
      </c>
      <c r="L87" s="20">
        <v>7.0</v>
      </c>
      <c r="M87" s="63"/>
      <c r="N87" s="23"/>
      <c r="O87" s="19">
        <f>$G$9</f>
        <v>1</v>
      </c>
      <c r="P87" s="40">
        <f t="shared" ref="P87:T87" si="101">H87/H$110</f>
        <v>0.005275697754</v>
      </c>
      <c r="Q87" s="40">
        <f t="shared" si="101"/>
        <v>0.005178791615</v>
      </c>
      <c r="R87" s="40">
        <f t="shared" si="101"/>
        <v>0</v>
      </c>
      <c r="S87" s="40">
        <f t="shared" si="101"/>
        <v>0.01149425287</v>
      </c>
      <c r="T87" s="40">
        <f t="shared" si="101"/>
        <v>0.01228070175</v>
      </c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24"/>
      <c r="G88" s="19">
        <f>$G$10</f>
        <v>2</v>
      </c>
      <c r="H88" s="16">
        <v>46.0</v>
      </c>
      <c r="I88" s="16">
        <v>17.0</v>
      </c>
      <c r="J88" s="16">
        <v>0.0</v>
      </c>
      <c r="K88" s="16">
        <v>8.0</v>
      </c>
      <c r="L88" s="16">
        <v>10.0</v>
      </c>
      <c r="M88" s="63"/>
      <c r="N88" s="23"/>
      <c r="O88" s="19">
        <f>$G$10</f>
        <v>2</v>
      </c>
      <c r="P88" s="40">
        <f t="shared" ref="P88:T88" si="102">H88/H$110</f>
        <v>0.003914227366</v>
      </c>
      <c r="Q88" s="40">
        <f t="shared" si="102"/>
        <v>0.004192355117</v>
      </c>
      <c r="R88" s="40">
        <f t="shared" si="102"/>
        <v>0</v>
      </c>
      <c r="S88" s="40">
        <f t="shared" si="102"/>
        <v>0.0153256705</v>
      </c>
      <c r="T88" s="40">
        <f t="shared" si="102"/>
        <v>0.01754385965</v>
      </c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24"/>
      <c r="G89" s="19">
        <f>$G$11</f>
        <v>3</v>
      </c>
      <c r="H89" s="20">
        <v>59.0</v>
      </c>
      <c r="I89" s="20">
        <v>27.0</v>
      </c>
      <c r="J89" s="20">
        <v>0.0</v>
      </c>
      <c r="K89" s="20">
        <v>18.0</v>
      </c>
      <c r="L89" s="20">
        <v>9.0</v>
      </c>
      <c r="M89" s="63"/>
      <c r="N89" s="23"/>
      <c r="O89" s="19">
        <f>$G$11</f>
        <v>3</v>
      </c>
      <c r="P89" s="40">
        <f t="shared" ref="P89:T89" si="103">H89/H$110</f>
        <v>0.005020422056</v>
      </c>
      <c r="Q89" s="40">
        <f t="shared" si="103"/>
        <v>0.006658446363</v>
      </c>
      <c r="R89" s="40">
        <f t="shared" si="103"/>
        <v>0</v>
      </c>
      <c r="S89" s="40">
        <f t="shared" si="103"/>
        <v>0.03448275862</v>
      </c>
      <c r="T89" s="40">
        <f t="shared" si="103"/>
        <v>0.01578947368</v>
      </c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24"/>
      <c r="G90" s="19">
        <f>$G$12</f>
        <v>4</v>
      </c>
      <c r="H90" s="20">
        <v>97.0</v>
      </c>
      <c r="I90" s="20">
        <v>62.0</v>
      </c>
      <c r="J90" s="20">
        <v>1.0</v>
      </c>
      <c r="K90" s="20">
        <v>22.0</v>
      </c>
      <c r="L90" s="20">
        <v>24.0</v>
      </c>
      <c r="M90" s="63"/>
      <c r="N90" s="23"/>
      <c r="O90" s="19">
        <f>$G$12</f>
        <v>4</v>
      </c>
      <c r="P90" s="40">
        <f t="shared" ref="P90:T90" si="104">H90/H$110</f>
        <v>0.008253914227</v>
      </c>
      <c r="Q90" s="40">
        <f t="shared" si="104"/>
        <v>0.01528976572</v>
      </c>
      <c r="R90" s="40">
        <f t="shared" si="104"/>
        <v>0.007194244604</v>
      </c>
      <c r="S90" s="40">
        <f t="shared" si="104"/>
        <v>0.04214559387</v>
      </c>
      <c r="T90" s="40">
        <f t="shared" si="104"/>
        <v>0.04210526316</v>
      </c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24"/>
      <c r="G91" s="19">
        <f>$G$13</f>
        <v>5</v>
      </c>
      <c r="H91" s="20">
        <v>191.0</v>
      </c>
      <c r="I91" s="20">
        <v>103.0</v>
      </c>
      <c r="J91" s="20">
        <v>5.0</v>
      </c>
      <c r="K91" s="20">
        <v>23.0</v>
      </c>
      <c r="L91" s="20">
        <v>28.0</v>
      </c>
      <c r="M91" s="63"/>
      <c r="N91" s="23"/>
      <c r="O91" s="19">
        <f>$G$13</f>
        <v>5</v>
      </c>
      <c r="P91" s="40">
        <f t="shared" ref="P91:T91" si="105">H91/H$110</f>
        <v>0.01625255276</v>
      </c>
      <c r="Q91" s="40">
        <f t="shared" si="105"/>
        <v>0.02540073983</v>
      </c>
      <c r="R91" s="40">
        <f t="shared" si="105"/>
        <v>0.03597122302</v>
      </c>
      <c r="S91" s="40">
        <f t="shared" si="105"/>
        <v>0.04406130268</v>
      </c>
      <c r="T91" s="40">
        <f t="shared" si="105"/>
        <v>0.04912280702</v>
      </c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24"/>
      <c r="G92" s="19">
        <f>$G$14</f>
        <v>6</v>
      </c>
      <c r="H92" s="20">
        <v>385.0</v>
      </c>
      <c r="I92" s="20">
        <v>142.0</v>
      </c>
      <c r="J92" s="20">
        <v>12.0</v>
      </c>
      <c r="K92" s="20">
        <v>27.0</v>
      </c>
      <c r="L92" s="20">
        <v>31.0</v>
      </c>
      <c r="M92" s="63"/>
      <c r="N92" s="23"/>
      <c r="O92" s="19">
        <f>$G$14</f>
        <v>6</v>
      </c>
      <c r="P92" s="40">
        <f t="shared" ref="P92:T92" si="106">H92/H$110</f>
        <v>0.03276038121</v>
      </c>
      <c r="Q92" s="40">
        <f t="shared" si="106"/>
        <v>0.03501849568</v>
      </c>
      <c r="R92" s="40">
        <f t="shared" si="106"/>
        <v>0.08633093525</v>
      </c>
      <c r="S92" s="40">
        <f t="shared" si="106"/>
        <v>0.05172413793</v>
      </c>
      <c r="T92" s="40">
        <f t="shared" si="106"/>
        <v>0.05438596491</v>
      </c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24"/>
      <c r="G93" s="19">
        <f>$G$15</f>
        <v>7</v>
      </c>
      <c r="H93" s="20">
        <v>612.0</v>
      </c>
      <c r="I93" s="20">
        <v>207.0</v>
      </c>
      <c r="J93" s="20">
        <v>17.0</v>
      </c>
      <c r="K93" s="20">
        <v>39.0</v>
      </c>
      <c r="L93" s="20">
        <v>45.0</v>
      </c>
      <c r="M93" s="63"/>
      <c r="N93" s="23"/>
      <c r="O93" s="19">
        <f>$G$15</f>
        <v>7</v>
      </c>
      <c r="P93" s="40">
        <f t="shared" ref="P93:T93" si="107">H93/H$110</f>
        <v>0.05207624234</v>
      </c>
      <c r="Q93" s="40">
        <f t="shared" si="107"/>
        <v>0.05104808878</v>
      </c>
      <c r="R93" s="40">
        <f t="shared" si="107"/>
        <v>0.1223021583</v>
      </c>
      <c r="S93" s="40">
        <f t="shared" si="107"/>
        <v>0.07471264368</v>
      </c>
      <c r="T93" s="40">
        <f t="shared" si="107"/>
        <v>0.07894736842</v>
      </c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24"/>
      <c r="G94" s="19">
        <f>$G$16</f>
        <v>8</v>
      </c>
      <c r="H94" s="20">
        <v>649.0</v>
      </c>
      <c r="I94" s="20">
        <v>274.0</v>
      </c>
      <c r="J94" s="20">
        <v>16.0</v>
      </c>
      <c r="K94" s="20">
        <v>54.0</v>
      </c>
      <c r="L94" s="20">
        <v>32.0</v>
      </c>
      <c r="M94" s="63"/>
      <c r="N94" s="23"/>
      <c r="O94" s="19">
        <f>$G$16</f>
        <v>8</v>
      </c>
      <c r="P94" s="40">
        <f t="shared" ref="P94:T94" si="108">H94/H$110</f>
        <v>0.05522464261</v>
      </c>
      <c r="Q94" s="40">
        <f t="shared" si="108"/>
        <v>0.06757090012</v>
      </c>
      <c r="R94" s="40">
        <f t="shared" si="108"/>
        <v>0.1151079137</v>
      </c>
      <c r="S94" s="40">
        <f t="shared" si="108"/>
        <v>0.1034482759</v>
      </c>
      <c r="T94" s="40">
        <f t="shared" si="108"/>
        <v>0.05614035088</v>
      </c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24"/>
      <c r="G95" s="19">
        <f>$G$17</f>
        <v>9</v>
      </c>
      <c r="H95" s="20">
        <v>691.0</v>
      </c>
      <c r="I95" s="20">
        <v>309.0</v>
      </c>
      <c r="J95" s="20">
        <v>19.0</v>
      </c>
      <c r="K95" s="20">
        <v>41.0</v>
      </c>
      <c r="L95" s="20">
        <v>59.0</v>
      </c>
      <c r="M95" s="63"/>
      <c r="N95" s="23"/>
      <c r="O95" s="19">
        <f>$G$17</f>
        <v>9</v>
      </c>
      <c r="P95" s="40">
        <f t="shared" ref="P95:T95" si="109">H95/H$110</f>
        <v>0.05879850238</v>
      </c>
      <c r="Q95" s="40">
        <f t="shared" si="109"/>
        <v>0.07620221948</v>
      </c>
      <c r="R95" s="40">
        <f t="shared" si="109"/>
        <v>0.1366906475</v>
      </c>
      <c r="S95" s="40">
        <f t="shared" si="109"/>
        <v>0.0785440613</v>
      </c>
      <c r="T95" s="40">
        <f t="shared" si="109"/>
        <v>0.1035087719</v>
      </c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24"/>
      <c r="G96" s="19">
        <f>$G$18</f>
        <v>10</v>
      </c>
      <c r="H96" s="20">
        <v>628.0</v>
      </c>
      <c r="I96" s="20">
        <v>243.0</v>
      </c>
      <c r="J96" s="20">
        <v>9.0</v>
      </c>
      <c r="K96" s="20">
        <v>30.0</v>
      </c>
      <c r="L96" s="20">
        <v>46.0</v>
      </c>
      <c r="M96" s="63"/>
      <c r="N96" s="23"/>
      <c r="O96" s="19">
        <f>$G$18</f>
        <v>10</v>
      </c>
      <c r="P96" s="40">
        <f t="shared" ref="P96:T96" si="110">H96/H$110</f>
        <v>0.05343771273</v>
      </c>
      <c r="Q96" s="40">
        <f t="shared" si="110"/>
        <v>0.05992601726</v>
      </c>
      <c r="R96" s="40">
        <f t="shared" si="110"/>
        <v>0.06474820144</v>
      </c>
      <c r="S96" s="40">
        <f t="shared" si="110"/>
        <v>0.05747126437</v>
      </c>
      <c r="T96" s="40">
        <f t="shared" si="110"/>
        <v>0.08070175439</v>
      </c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24"/>
      <c r="G97" s="19">
        <f>$G$19</f>
        <v>11</v>
      </c>
      <c r="H97" s="20">
        <v>562.0</v>
      </c>
      <c r="I97" s="20">
        <v>219.0</v>
      </c>
      <c r="J97" s="20">
        <v>5.0</v>
      </c>
      <c r="K97" s="20">
        <v>31.0</v>
      </c>
      <c r="L97" s="20">
        <v>40.0</v>
      </c>
      <c r="M97" s="63"/>
      <c r="N97" s="23"/>
      <c r="O97" s="19">
        <f>$G$19</f>
        <v>11</v>
      </c>
      <c r="P97" s="40">
        <f t="shared" ref="P97:T97" si="111">H97/H$110</f>
        <v>0.04782164738</v>
      </c>
      <c r="Q97" s="40">
        <f t="shared" si="111"/>
        <v>0.05400739827</v>
      </c>
      <c r="R97" s="40">
        <f t="shared" si="111"/>
        <v>0.03597122302</v>
      </c>
      <c r="S97" s="40">
        <f t="shared" si="111"/>
        <v>0.05938697318</v>
      </c>
      <c r="T97" s="40">
        <f t="shared" si="111"/>
        <v>0.0701754386</v>
      </c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24"/>
      <c r="G98" s="19">
        <f>$G$20</f>
        <v>12</v>
      </c>
      <c r="H98" s="20">
        <v>544.0</v>
      </c>
      <c r="I98" s="20">
        <v>224.0</v>
      </c>
      <c r="J98" s="20">
        <v>9.0</v>
      </c>
      <c r="K98" s="20">
        <v>30.0</v>
      </c>
      <c r="L98" s="20">
        <v>45.0</v>
      </c>
      <c r="M98" s="63"/>
      <c r="N98" s="23"/>
      <c r="O98" s="19">
        <f>$G$20</f>
        <v>12</v>
      </c>
      <c r="P98" s="40">
        <f t="shared" ref="P98:T98" si="112">H98/H$110</f>
        <v>0.04628999319</v>
      </c>
      <c r="Q98" s="40">
        <f t="shared" si="112"/>
        <v>0.0552404439</v>
      </c>
      <c r="R98" s="40">
        <f t="shared" si="112"/>
        <v>0.06474820144</v>
      </c>
      <c r="S98" s="40">
        <f t="shared" si="112"/>
        <v>0.05747126437</v>
      </c>
      <c r="T98" s="40">
        <f t="shared" si="112"/>
        <v>0.07894736842</v>
      </c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24"/>
      <c r="G99" s="19">
        <f>$G$21</f>
        <v>13</v>
      </c>
      <c r="H99" s="20">
        <v>611.0</v>
      </c>
      <c r="I99" s="20">
        <v>178.0</v>
      </c>
      <c r="J99" s="20">
        <v>2.0</v>
      </c>
      <c r="K99" s="20">
        <v>23.0</v>
      </c>
      <c r="L99" s="20">
        <v>39.0</v>
      </c>
      <c r="M99" s="63"/>
      <c r="N99" s="23"/>
      <c r="O99" s="19">
        <f>$G$21</f>
        <v>13</v>
      </c>
      <c r="P99" s="40">
        <f t="shared" ref="P99:T99" si="113">H99/H$110</f>
        <v>0.05199115044</v>
      </c>
      <c r="Q99" s="40">
        <f t="shared" si="113"/>
        <v>0.04389642417</v>
      </c>
      <c r="R99" s="40">
        <f t="shared" si="113"/>
        <v>0.01438848921</v>
      </c>
      <c r="S99" s="40">
        <f t="shared" si="113"/>
        <v>0.04406130268</v>
      </c>
      <c r="T99" s="40">
        <f t="shared" si="113"/>
        <v>0.06842105263</v>
      </c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24"/>
      <c r="G100" s="19">
        <f>$G$22</f>
        <v>14</v>
      </c>
      <c r="H100" s="20">
        <v>660.0</v>
      </c>
      <c r="I100" s="20">
        <v>208.0</v>
      </c>
      <c r="J100" s="20">
        <v>13.0</v>
      </c>
      <c r="K100" s="20">
        <v>27.0</v>
      </c>
      <c r="L100" s="20">
        <v>33.0</v>
      </c>
      <c r="M100" s="63"/>
      <c r="N100" s="23"/>
      <c r="O100" s="19">
        <f>$G$22</f>
        <v>14</v>
      </c>
      <c r="P100" s="40">
        <f t="shared" ref="P100:T100" si="114">H100/H$110</f>
        <v>0.05616065351</v>
      </c>
      <c r="Q100" s="40">
        <f t="shared" si="114"/>
        <v>0.0512946979</v>
      </c>
      <c r="R100" s="40">
        <f t="shared" si="114"/>
        <v>0.09352517986</v>
      </c>
      <c r="S100" s="40">
        <f t="shared" si="114"/>
        <v>0.05172413793</v>
      </c>
      <c r="T100" s="40">
        <f t="shared" si="114"/>
        <v>0.05789473684</v>
      </c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24"/>
      <c r="G101" s="19">
        <f>$G$23</f>
        <v>15</v>
      </c>
      <c r="H101" s="20">
        <v>614.0</v>
      </c>
      <c r="I101" s="20">
        <v>203.0</v>
      </c>
      <c r="J101" s="20">
        <v>3.0</v>
      </c>
      <c r="K101" s="20">
        <v>18.0</v>
      </c>
      <c r="L101" s="20">
        <v>24.0</v>
      </c>
      <c r="M101" s="63"/>
      <c r="N101" s="23"/>
      <c r="O101" s="19">
        <f>$G$23</f>
        <v>15</v>
      </c>
      <c r="P101" s="40">
        <f t="shared" ref="P101:T101" si="115">H101/H$110</f>
        <v>0.05224642614</v>
      </c>
      <c r="Q101" s="40">
        <f t="shared" si="115"/>
        <v>0.05006165228</v>
      </c>
      <c r="R101" s="40">
        <f t="shared" si="115"/>
        <v>0.02158273381</v>
      </c>
      <c r="S101" s="40">
        <f t="shared" si="115"/>
        <v>0.03448275862</v>
      </c>
      <c r="T101" s="40">
        <f t="shared" si="115"/>
        <v>0.04210526316</v>
      </c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24"/>
      <c r="G102" s="19">
        <f>$G$24</f>
        <v>16</v>
      </c>
      <c r="H102" s="20">
        <v>617.0</v>
      </c>
      <c r="I102" s="20">
        <v>224.0</v>
      </c>
      <c r="J102" s="20">
        <v>7.0</v>
      </c>
      <c r="K102" s="20">
        <v>28.0</v>
      </c>
      <c r="L102" s="20">
        <v>27.0</v>
      </c>
      <c r="M102" s="63"/>
      <c r="N102" s="23"/>
      <c r="O102" s="19">
        <f>$G$24</f>
        <v>16</v>
      </c>
      <c r="P102" s="40">
        <f t="shared" ref="P102:T102" si="116">H102/H$110</f>
        <v>0.05250170184</v>
      </c>
      <c r="Q102" s="40">
        <f t="shared" si="116"/>
        <v>0.0552404439</v>
      </c>
      <c r="R102" s="40">
        <f t="shared" si="116"/>
        <v>0.05035971223</v>
      </c>
      <c r="S102" s="40">
        <f t="shared" si="116"/>
        <v>0.05363984674</v>
      </c>
      <c r="T102" s="40">
        <f t="shared" si="116"/>
        <v>0.04736842105</v>
      </c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24"/>
      <c r="G103" s="19">
        <f>$G$25</f>
        <v>17</v>
      </c>
      <c r="H103" s="20">
        <v>680.0</v>
      </c>
      <c r="I103" s="20">
        <v>251.0</v>
      </c>
      <c r="J103" s="20">
        <v>2.0</v>
      </c>
      <c r="K103" s="20">
        <v>12.0</v>
      </c>
      <c r="L103" s="20">
        <v>13.0</v>
      </c>
      <c r="M103" s="63"/>
      <c r="N103" s="23"/>
      <c r="O103" s="19">
        <f>$G$25</f>
        <v>17</v>
      </c>
      <c r="P103" s="40">
        <f t="shared" ref="P103:T103" si="117">H103/H$110</f>
        <v>0.05786249149</v>
      </c>
      <c r="Q103" s="40">
        <f t="shared" si="117"/>
        <v>0.06189889026</v>
      </c>
      <c r="R103" s="40">
        <f t="shared" si="117"/>
        <v>0.01438848921</v>
      </c>
      <c r="S103" s="40">
        <f t="shared" si="117"/>
        <v>0.02298850575</v>
      </c>
      <c r="T103" s="40">
        <f t="shared" si="117"/>
        <v>0.02280701754</v>
      </c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24"/>
      <c r="G104" s="19">
        <f>$G$26</f>
        <v>18</v>
      </c>
      <c r="H104" s="20">
        <v>620.0</v>
      </c>
      <c r="I104" s="20">
        <v>221.0</v>
      </c>
      <c r="J104" s="20">
        <v>8.0</v>
      </c>
      <c r="K104" s="20">
        <v>13.0</v>
      </c>
      <c r="L104" s="20">
        <v>9.0</v>
      </c>
      <c r="M104" s="63"/>
      <c r="N104" s="23"/>
      <c r="O104" s="19">
        <f>$G$26</f>
        <v>18</v>
      </c>
      <c r="P104" s="40">
        <f t="shared" ref="P104:T104" si="118">H104/H$110</f>
        <v>0.05275697754</v>
      </c>
      <c r="Q104" s="40">
        <f t="shared" si="118"/>
        <v>0.05450061652</v>
      </c>
      <c r="R104" s="40">
        <f t="shared" si="118"/>
        <v>0.05755395683</v>
      </c>
      <c r="S104" s="40">
        <f t="shared" si="118"/>
        <v>0.02490421456</v>
      </c>
      <c r="T104" s="40">
        <f t="shared" si="118"/>
        <v>0.01578947368</v>
      </c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24"/>
      <c r="G105" s="19">
        <f>$G$27</f>
        <v>19</v>
      </c>
      <c r="H105" s="20">
        <v>853.0</v>
      </c>
      <c r="I105" s="20">
        <v>222.0</v>
      </c>
      <c r="J105" s="20">
        <v>3.0</v>
      </c>
      <c r="K105" s="20">
        <v>25.0</v>
      </c>
      <c r="L105" s="20">
        <v>12.0</v>
      </c>
      <c r="M105" s="63"/>
      <c r="N105" s="23"/>
      <c r="O105" s="19">
        <f>$G$27</f>
        <v>19</v>
      </c>
      <c r="P105" s="40">
        <f t="shared" ref="P105:T105" si="119">H105/H$110</f>
        <v>0.07258339006</v>
      </c>
      <c r="Q105" s="40">
        <f t="shared" si="119"/>
        <v>0.05474722565</v>
      </c>
      <c r="R105" s="40">
        <f t="shared" si="119"/>
        <v>0.02158273381</v>
      </c>
      <c r="S105" s="40">
        <f t="shared" si="119"/>
        <v>0.04789272031</v>
      </c>
      <c r="T105" s="40">
        <f t="shared" si="119"/>
        <v>0.02105263158</v>
      </c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24"/>
      <c r="G106" s="19">
        <f>$G$28</f>
        <v>20</v>
      </c>
      <c r="H106" s="20">
        <v>774.0</v>
      </c>
      <c r="I106" s="20">
        <v>206.0</v>
      </c>
      <c r="J106" s="20">
        <v>4.0</v>
      </c>
      <c r="K106" s="20">
        <v>13.0</v>
      </c>
      <c r="L106" s="20">
        <v>10.0</v>
      </c>
      <c r="M106" s="63"/>
      <c r="N106" s="23"/>
      <c r="O106" s="19">
        <f>$G$28</f>
        <v>20</v>
      </c>
      <c r="P106" s="40">
        <f t="shared" ref="P106:T106" si="120">H106/H$110</f>
        <v>0.06586113002</v>
      </c>
      <c r="Q106" s="40">
        <f t="shared" si="120"/>
        <v>0.05080147965</v>
      </c>
      <c r="R106" s="40">
        <f t="shared" si="120"/>
        <v>0.02877697842</v>
      </c>
      <c r="S106" s="40">
        <f t="shared" si="120"/>
        <v>0.02490421456</v>
      </c>
      <c r="T106" s="40">
        <f t="shared" si="120"/>
        <v>0.01754385965</v>
      </c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24"/>
      <c r="G107" s="19">
        <f>$G$29</f>
        <v>21</v>
      </c>
      <c r="H107" s="20">
        <v>720.0</v>
      </c>
      <c r="I107" s="20">
        <v>180.0</v>
      </c>
      <c r="J107" s="20">
        <v>1.0</v>
      </c>
      <c r="K107" s="20">
        <v>7.0</v>
      </c>
      <c r="L107" s="20">
        <v>4.0</v>
      </c>
      <c r="M107" s="63"/>
      <c r="N107" s="23"/>
      <c r="O107" s="19">
        <f>$G$29</f>
        <v>21</v>
      </c>
      <c r="P107" s="40">
        <f t="shared" ref="P107:T107" si="121">H107/H$110</f>
        <v>0.06126616746</v>
      </c>
      <c r="Q107" s="40">
        <f t="shared" si="121"/>
        <v>0.04438964242</v>
      </c>
      <c r="R107" s="40">
        <f t="shared" si="121"/>
        <v>0.007194244604</v>
      </c>
      <c r="S107" s="40">
        <f t="shared" si="121"/>
        <v>0.01340996169</v>
      </c>
      <c r="T107" s="40">
        <f t="shared" si="121"/>
        <v>0.00701754386</v>
      </c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24"/>
      <c r="G108" s="19">
        <f>$G$30</f>
        <v>22</v>
      </c>
      <c r="H108" s="20">
        <v>590.0</v>
      </c>
      <c r="I108" s="20">
        <v>177.0</v>
      </c>
      <c r="J108" s="20">
        <v>1.0</v>
      </c>
      <c r="K108" s="20">
        <v>8.0</v>
      </c>
      <c r="L108" s="20">
        <v>3.0</v>
      </c>
      <c r="M108" s="63"/>
      <c r="N108" s="23"/>
      <c r="O108" s="19">
        <f>$G$30</f>
        <v>22</v>
      </c>
      <c r="P108" s="40">
        <f t="shared" ref="P108:T108" si="122">H108/H$110</f>
        <v>0.05020422056</v>
      </c>
      <c r="Q108" s="40">
        <f t="shared" si="122"/>
        <v>0.04364981504</v>
      </c>
      <c r="R108" s="40">
        <f t="shared" si="122"/>
        <v>0.007194244604</v>
      </c>
      <c r="S108" s="40">
        <f t="shared" si="122"/>
        <v>0.0153256705</v>
      </c>
      <c r="T108" s="40">
        <f t="shared" si="122"/>
        <v>0.005263157895</v>
      </c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28"/>
      <c r="G109" s="19">
        <f>$G$31</f>
        <v>23</v>
      </c>
      <c r="H109" s="20">
        <v>408.0</v>
      </c>
      <c r="I109" s="20">
        <v>113.0</v>
      </c>
      <c r="J109" s="20">
        <v>2.0</v>
      </c>
      <c r="K109" s="20">
        <v>6.0</v>
      </c>
      <c r="L109" s="20">
        <v>9.0</v>
      </c>
      <c r="M109" s="63"/>
      <c r="N109" s="27"/>
      <c r="O109" s="19">
        <f>$G$31</f>
        <v>23</v>
      </c>
      <c r="P109" s="40">
        <f t="shared" ref="P109:T109" si="123">H109/H$110</f>
        <v>0.03471749489</v>
      </c>
      <c r="Q109" s="40">
        <f t="shared" si="123"/>
        <v>0.02786683107</v>
      </c>
      <c r="R109" s="40">
        <f t="shared" si="123"/>
        <v>0.01438848921</v>
      </c>
      <c r="S109" s="40">
        <f t="shared" si="123"/>
        <v>0.01149425287</v>
      </c>
      <c r="T109" s="40">
        <f t="shared" si="123"/>
        <v>0.01578947368</v>
      </c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86"/>
      <c r="G110" s="86"/>
      <c r="H110" s="73">
        <f t="shared" ref="H110:L110" si="124">SUM(H86:H109)</f>
        <v>11752</v>
      </c>
      <c r="I110" s="73">
        <f t="shared" si="124"/>
        <v>4055</v>
      </c>
      <c r="J110" s="73">
        <f t="shared" si="124"/>
        <v>139</v>
      </c>
      <c r="K110" s="73">
        <f t="shared" si="124"/>
        <v>522</v>
      </c>
      <c r="L110" s="73">
        <f t="shared" si="124"/>
        <v>570</v>
      </c>
      <c r="M110" s="63"/>
      <c r="N110" s="86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16"/>
      <c r="H111" s="19">
        <f>$H$7</f>
        <v>31</v>
      </c>
      <c r="I111" s="19">
        <f>$I$7</f>
        <v>32</v>
      </c>
      <c r="J111" s="19">
        <f>$J$7</f>
        <v>41</v>
      </c>
      <c r="K111" s="19">
        <f>$K$7</f>
        <v>42</v>
      </c>
      <c r="L111" s="19">
        <f>$L$7</f>
        <v>5</v>
      </c>
      <c r="M111" s="63"/>
      <c r="N111" s="63"/>
      <c r="O111" s="16"/>
      <c r="P111" s="19">
        <f>$H$7</f>
        <v>31</v>
      </c>
      <c r="Q111" s="19">
        <f>$I$7</f>
        <v>32</v>
      </c>
      <c r="R111" s="19">
        <f>$J$7</f>
        <v>41</v>
      </c>
      <c r="S111" s="19">
        <f>$K$7</f>
        <v>42</v>
      </c>
      <c r="T111" s="19">
        <f>$L$7</f>
        <v>5</v>
      </c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56">
        <v>45198.0</v>
      </c>
      <c r="G112" s="19">
        <f>$G$8</f>
        <v>0</v>
      </c>
      <c r="H112" s="16">
        <v>442.0</v>
      </c>
      <c r="I112" s="16">
        <v>99.0</v>
      </c>
      <c r="J112" s="16">
        <v>7.0</v>
      </c>
      <c r="K112" s="16">
        <v>3.0</v>
      </c>
      <c r="L112" s="16">
        <v>9.0</v>
      </c>
      <c r="M112" s="63"/>
      <c r="N112" s="56">
        <v>45198.0</v>
      </c>
      <c r="O112" s="19">
        <f>$G$8</f>
        <v>0</v>
      </c>
      <c r="P112" s="40">
        <f t="shared" ref="P112:T112" si="125">H112/H$136</f>
        <v>0.02554617963</v>
      </c>
      <c r="Q112" s="40">
        <f t="shared" si="125"/>
        <v>0.0220735786</v>
      </c>
      <c r="R112" s="40">
        <f t="shared" si="125"/>
        <v>0.06542056075</v>
      </c>
      <c r="S112" s="40">
        <f t="shared" si="125"/>
        <v>0.01276595745</v>
      </c>
      <c r="T112" s="40">
        <f t="shared" si="125"/>
        <v>0.05732484076</v>
      </c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24"/>
      <c r="G113" s="19">
        <f>$G$9</f>
        <v>1</v>
      </c>
      <c r="H113" s="16">
        <v>279.0</v>
      </c>
      <c r="I113" s="16">
        <v>77.0</v>
      </c>
      <c r="J113" s="16">
        <v>6.0</v>
      </c>
      <c r="K113" s="16">
        <v>5.0</v>
      </c>
      <c r="L113" s="16">
        <v>7.0</v>
      </c>
      <c r="M113" s="63"/>
      <c r="N113" s="23"/>
      <c r="O113" s="19">
        <f>$G$9</f>
        <v>1</v>
      </c>
      <c r="P113" s="40">
        <f t="shared" ref="P113:T113" si="126">H113/H$136</f>
        <v>0.01612530343</v>
      </c>
      <c r="Q113" s="40">
        <f t="shared" si="126"/>
        <v>0.01716833891</v>
      </c>
      <c r="R113" s="40">
        <f t="shared" si="126"/>
        <v>0.05607476636</v>
      </c>
      <c r="S113" s="40">
        <f t="shared" si="126"/>
        <v>0.02127659574</v>
      </c>
      <c r="T113" s="40">
        <f t="shared" si="126"/>
        <v>0.04458598726</v>
      </c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24"/>
      <c r="G114" s="19">
        <f>$G$10</f>
        <v>2</v>
      </c>
      <c r="H114" s="16">
        <v>252.0</v>
      </c>
      <c r="I114" s="16">
        <v>72.0</v>
      </c>
      <c r="J114" s="16">
        <v>2.0</v>
      </c>
      <c r="K114" s="16">
        <v>5.0</v>
      </c>
      <c r="L114" s="16">
        <v>6.0</v>
      </c>
      <c r="M114" s="63"/>
      <c r="N114" s="23"/>
      <c r="O114" s="19">
        <f>$G$10</f>
        <v>2</v>
      </c>
      <c r="P114" s="40">
        <f t="shared" ref="P114:T114" si="127">H114/H$136</f>
        <v>0.0145647902</v>
      </c>
      <c r="Q114" s="40">
        <f t="shared" si="127"/>
        <v>0.01605351171</v>
      </c>
      <c r="R114" s="40">
        <f t="shared" si="127"/>
        <v>0.01869158879</v>
      </c>
      <c r="S114" s="40">
        <f t="shared" si="127"/>
        <v>0.02127659574</v>
      </c>
      <c r="T114" s="40">
        <f t="shared" si="127"/>
        <v>0.03821656051</v>
      </c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24"/>
      <c r="G115" s="19">
        <f>$G$11</f>
        <v>3</v>
      </c>
      <c r="H115" s="20">
        <v>303.0</v>
      </c>
      <c r="I115" s="20">
        <v>103.0</v>
      </c>
      <c r="J115" s="20">
        <v>4.0</v>
      </c>
      <c r="K115" s="20">
        <v>8.0</v>
      </c>
      <c r="L115" s="20">
        <v>8.0</v>
      </c>
      <c r="M115" s="63"/>
      <c r="N115" s="23"/>
      <c r="O115" s="19">
        <f>$G$11</f>
        <v>3</v>
      </c>
      <c r="P115" s="40">
        <f t="shared" ref="P115:T115" si="128">H115/H$136</f>
        <v>0.01751242631</v>
      </c>
      <c r="Q115" s="40">
        <f t="shared" si="128"/>
        <v>0.02296544036</v>
      </c>
      <c r="R115" s="40">
        <f t="shared" si="128"/>
        <v>0.03738317757</v>
      </c>
      <c r="S115" s="40">
        <f t="shared" si="128"/>
        <v>0.03404255319</v>
      </c>
      <c r="T115" s="40">
        <f t="shared" si="128"/>
        <v>0.05095541401</v>
      </c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24"/>
      <c r="G116" s="19">
        <f>$G$12</f>
        <v>4</v>
      </c>
      <c r="H116" s="20">
        <v>512.0</v>
      </c>
      <c r="I116" s="20">
        <v>139.0</v>
      </c>
      <c r="J116" s="20">
        <v>2.0</v>
      </c>
      <c r="K116" s="20">
        <v>9.0</v>
      </c>
      <c r="L116" s="20">
        <v>8.0</v>
      </c>
      <c r="M116" s="63"/>
      <c r="N116" s="23"/>
      <c r="O116" s="19">
        <f>$G$12</f>
        <v>4</v>
      </c>
      <c r="P116" s="40">
        <f t="shared" ref="P116:T116" si="129">H116/H$136</f>
        <v>0.02959195469</v>
      </c>
      <c r="Q116" s="40">
        <f t="shared" si="129"/>
        <v>0.03099219621</v>
      </c>
      <c r="R116" s="40">
        <f t="shared" si="129"/>
        <v>0.01869158879</v>
      </c>
      <c r="S116" s="40">
        <f t="shared" si="129"/>
        <v>0.03829787234</v>
      </c>
      <c r="T116" s="40">
        <f t="shared" si="129"/>
        <v>0.05095541401</v>
      </c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24"/>
      <c r="G117" s="19">
        <f>$G$13</f>
        <v>5</v>
      </c>
      <c r="H117" s="20">
        <v>782.0</v>
      </c>
      <c r="I117" s="20">
        <v>271.0</v>
      </c>
      <c r="J117" s="20">
        <v>6.0</v>
      </c>
      <c r="K117" s="20">
        <v>18.0</v>
      </c>
      <c r="L117" s="20">
        <v>15.0</v>
      </c>
      <c r="M117" s="63"/>
      <c r="N117" s="23"/>
      <c r="O117" s="19">
        <f>$G$13</f>
        <v>5</v>
      </c>
      <c r="P117" s="40">
        <f t="shared" ref="P117:T117" si="130">H117/H$136</f>
        <v>0.04519708704</v>
      </c>
      <c r="Q117" s="40">
        <f t="shared" si="130"/>
        <v>0.06042363434</v>
      </c>
      <c r="R117" s="40">
        <f t="shared" si="130"/>
        <v>0.05607476636</v>
      </c>
      <c r="S117" s="40">
        <f t="shared" si="130"/>
        <v>0.07659574468</v>
      </c>
      <c r="T117" s="40">
        <f t="shared" si="130"/>
        <v>0.09554140127</v>
      </c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24"/>
      <c r="G118" s="19">
        <f>$G$14</f>
        <v>6</v>
      </c>
      <c r="H118" s="20">
        <v>1009.0</v>
      </c>
      <c r="I118" s="20">
        <v>307.0</v>
      </c>
      <c r="J118" s="20">
        <v>11.0</v>
      </c>
      <c r="K118" s="20">
        <v>20.0</v>
      </c>
      <c r="L118" s="20">
        <v>15.0</v>
      </c>
      <c r="M118" s="63"/>
      <c r="N118" s="23"/>
      <c r="O118" s="19">
        <f>$G$14</f>
        <v>6</v>
      </c>
      <c r="P118" s="40">
        <f t="shared" ref="P118:T118" si="131">H118/H$136</f>
        <v>0.05831695758</v>
      </c>
      <c r="Q118" s="40">
        <f t="shared" si="131"/>
        <v>0.06845039019</v>
      </c>
      <c r="R118" s="40">
        <f t="shared" si="131"/>
        <v>0.1028037383</v>
      </c>
      <c r="S118" s="40">
        <f t="shared" si="131"/>
        <v>0.08510638298</v>
      </c>
      <c r="T118" s="40">
        <f t="shared" si="131"/>
        <v>0.09554140127</v>
      </c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24"/>
      <c r="G119" s="19">
        <f>$G$15</f>
        <v>7</v>
      </c>
      <c r="H119" s="20">
        <v>1228.0</v>
      </c>
      <c r="I119" s="20">
        <v>346.0</v>
      </c>
      <c r="J119" s="20">
        <v>18.0</v>
      </c>
      <c r="K119" s="20">
        <v>25.0</v>
      </c>
      <c r="L119" s="20">
        <v>7.0</v>
      </c>
      <c r="M119" s="63"/>
      <c r="N119" s="23"/>
      <c r="O119" s="19">
        <f>$G$15</f>
        <v>7</v>
      </c>
      <c r="P119" s="40">
        <f t="shared" ref="P119:T119" si="132">H119/H$136</f>
        <v>0.07097445382</v>
      </c>
      <c r="Q119" s="40">
        <f t="shared" si="132"/>
        <v>0.07714604236</v>
      </c>
      <c r="R119" s="40">
        <f t="shared" si="132"/>
        <v>0.1682242991</v>
      </c>
      <c r="S119" s="40">
        <f t="shared" si="132"/>
        <v>0.1063829787</v>
      </c>
      <c r="T119" s="40">
        <f t="shared" si="132"/>
        <v>0.04458598726</v>
      </c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24"/>
      <c r="G120" s="19">
        <f>$G$16</f>
        <v>8</v>
      </c>
      <c r="H120" s="20">
        <v>1404.0</v>
      </c>
      <c r="I120" s="20">
        <v>396.0</v>
      </c>
      <c r="J120" s="20">
        <v>8.0</v>
      </c>
      <c r="K120" s="20">
        <v>17.0</v>
      </c>
      <c r="L120" s="20">
        <v>8.0</v>
      </c>
      <c r="M120" s="63"/>
      <c r="N120" s="23"/>
      <c r="O120" s="19">
        <f>$G$16</f>
        <v>8</v>
      </c>
      <c r="P120" s="40">
        <f t="shared" ref="P120:T120" si="133">H120/H$136</f>
        <v>0.08114668824</v>
      </c>
      <c r="Q120" s="40">
        <f t="shared" si="133"/>
        <v>0.08829431438</v>
      </c>
      <c r="R120" s="40">
        <f t="shared" si="133"/>
        <v>0.07476635514</v>
      </c>
      <c r="S120" s="40">
        <f t="shared" si="133"/>
        <v>0.07234042553</v>
      </c>
      <c r="T120" s="40">
        <f t="shared" si="133"/>
        <v>0.05095541401</v>
      </c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24"/>
      <c r="G121" s="19">
        <f>$G$17</f>
        <v>9</v>
      </c>
      <c r="H121" s="20">
        <v>1245.0</v>
      </c>
      <c r="I121" s="20">
        <v>305.0</v>
      </c>
      <c r="J121" s="20">
        <v>7.0</v>
      </c>
      <c r="K121" s="20">
        <v>17.0</v>
      </c>
      <c r="L121" s="20">
        <v>12.0</v>
      </c>
      <c r="M121" s="63"/>
      <c r="N121" s="23"/>
      <c r="O121" s="19">
        <f>$G$17</f>
        <v>9</v>
      </c>
      <c r="P121" s="40">
        <f t="shared" ref="P121:T121" si="134">H121/H$136</f>
        <v>0.07195699919</v>
      </c>
      <c r="Q121" s="40">
        <f t="shared" si="134"/>
        <v>0.06800445931</v>
      </c>
      <c r="R121" s="40">
        <f t="shared" si="134"/>
        <v>0.06542056075</v>
      </c>
      <c r="S121" s="40">
        <f t="shared" si="134"/>
        <v>0.07234042553</v>
      </c>
      <c r="T121" s="40">
        <f t="shared" si="134"/>
        <v>0.07643312102</v>
      </c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24"/>
      <c r="G122" s="19">
        <f>$G$18</f>
        <v>10</v>
      </c>
      <c r="H122" s="20">
        <v>1456.0</v>
      </c>
      <c r="I122" s="20">
        <v>335.0</v>
      </c>
      <c r="J122" s="20">
        <v>3.0</v>
      </c>
      <c r="K122" s="20">
        <v>4.0</v>
      </c>
      <c r="L122" s="20">
        <v>13.0</v>
      </c>
      <c r="M122" s="63"/>
      <c r="N122" s="23"/>
      <c r="O122" s="19">
        <f>$G$18</f>
        <v>10</v>
      </c>
      <c r="P122" s="40">
        <f t="shared" ref="P122:T122" si="135">H122/H$136</f>
        <v>0.08415212114</v>
      </c>
      <c r="Q122" s="40">
        <f t="shared" si="135"/>
        <v>0.07469342252</v>
      </c>
      <c r="R122" s="40">
        <f t="shared" si="135"/>
        <v>0.02803738318</v>
      </c>
      <c r="S122" s="40">
        <f t="shared" si="135"/>
        <v>0.0170212766</v>
      </c>
      <c r="T122" s="40">
        <f t="shared" si="135"/>
        <v>0.08280254777</v>
      </c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24"/>
      <c r="G123" s="19">
        <f>$G$19</f>
        <v>11</v>
      </c>
      <c r="H123" s="20">
        <v>1262.0</v>
      </c>
      <c r="I123" s="20">
        <v>262.0</v>
      </c>
      <c r="J123" s="20">
        <v>2.0</v>
      </c>
      <c r="K123" s="20">
        <v>14.0</v>
      </c>
      <c r="L123" s="20">
        <v>0.0</v>
      </c>
      <c r="M123" s="63"/>
      <c r="N123" s="23"/>
      <c r="O123" s="19">
        <f>$G$19</f>
        <v>11</v>
      </c>
      <c r="P123" s="40">
        <f t="shared" ref="P123:T123" si="136">H123/H$136</f>
        <v>0.07293954456</v>
      </c>
      <c r="Q123" s="40">
        <f t="shared" si="136"/>
        <v>0.05841694537</v>
      </c>
      <c r="R123" s="40">
        <f t="shared" si="136"/>
        <v>0.01869158879</v>
      </c>
      <c r="S123" s="40">
        <f t="shared" si="136"/>
        <v>0.05957446809</v>
      </c>
      <c r="T123" s="40">
        <f t="shared" si="136"/>
        <v>0</v>
      </c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24"/>
      <c r="G124" s="19">
        <f>$G$20</f>
        <v>12</v>
      </c>
      <c r="H124" s="20">
        <v>1065.0</v>
      </c>
      <c r="I124" s="20">
        <v>237.0</v>
      </c>
      <c r="J124" s="20">
        <v>6.0</v>
      </c>
      <c r="K124" s="20">
        <v>12.0</v>
      </c>
      <c r="L124" s="20">
        <v>11.0</v>
      </c>
      <c r="M124" s="63"/>
      <c r="N124" s="23"/>
      <c r="O124" s="19">
        <f>$G$20</f>
        <v>12</v>
      </c>
      <c r="P124" s="40">
        <f t="shared" ref="P124:T124" si="137">H124/H$136</f>
        <v>0.06155357762</v>
      </c>
      <c r="Q124" s="40">
        <f t="shared" si="137"/>
        <v>0.05284280936</v>
      </c>
      <c r="R124" s="40">
        <f t="shared" si="137"/>
        <v>0.05607476636</v>
      </c>
      <c r="S124" s="40">
        <f t="shared" si="137"/>
        <v>0.05106382979</v>
      </c>
      <c r="T124" s="40">
        <f t="shared" si="137"/>
        <v>0.07006369427</v>
      </c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24"/>
      <c r="G125" s="19">
        <f>$G$21</f>
        <v>13</v>
      </c>
      <c r="H125" s="20">
        <v>1057.0</v>
      </c>
      <c r="I125" s="20">
        <v>243.0</v>
      </c>
      <c r="J125" s="20">
        <v>4.0</v>
      </c>
      <c r="K125" s="20">
        <v>6.0</v>
      </c>
      <c r="L125" s="20">
        <v>4.0</v>
      </c>
      <c r="M125" s="63"/>
      <c r="N125" s="23"/>
      <c r="O125" s="19">
        <f>$G$21</f>
        <v>13</v>
      </c>
      <c r="P125" s="40">
        <f t="shared" ref="P125:T125" si="138">H125/H$136</f>
        <v>0.06109120333</v>
      </c>
      <c r="Q125" s="40">
        <f t="shared" si="138"/>
        <v>0.05418060201</v>
      </c>
      <c r="R125" s="40">
        <f t="shared" si="138"/>
        <v>0.03738317757</v>
      </c>
      <c r="S125" s="40">
        <f t="shared" si="138"/>
        <v>0.02553191489</v>
      </c>
      <c r="T125" s="40">
        <f t="shared" si="138"/>
        <v>0.02547770701</v>
      </c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24"/>
      <c r="G126" s="19">
        <f>$G$22</f>
        <v>14</v>
      </c>
      <c r="H126" s="20">
        <v>901.0</v>
      </c>
      <c r="I126" s="20">
        <v>235.0</v>
      </c>
      <c r="J126" s="20">
        <v>5.0</v>
      </c>
      <c r="K126" s="20">
        <v>10.0</v>
      </c>
      <c r="L126" s="20">
        <v>8.0</v>
      </c>
      <c r="M126" s="63"/>
      <c r="N126" s="23"/>
      <c r="O126" s="19">
        <f>$G$22</f>
        <v>14</v>
      </c>
      <c r="P126" s="40">
        <f t="shared" ref="P126:T126" si="139">H126/H$136</f>
        <v>0.05207490464</v>
      </c>
      <c r="Q126" s="40">
        <f t="shared" si="139"/>
        <v>0.05239687848</v>
      </c>
      <c r="R126" s="40">
        <f t="shared" si="139"/>
        <v>0.04672897196</v>
      </c>
      <c r="S126" s="40">
        <f t="shared" si="139"/>
        <v>0.04255319149</v>
      </c>
      <c r="T126" s="40">
        <f t="shared" si="139"/>
        <v>0.05095541401</v>
      </c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24"/>
      <c r="G127" s="19">
        <f>$G$23</f>
        <v>15</v>
      </c>
      <c r="H127" s="20">
        <v>895.0</v>
      </c>
      <c r="I127" s="20">
        <v>198.0</v>
      </c>
      <c r="J127" s="20">
        <v>6.0</v>
      </c>
      <c r="K127" s="20">
        <v>8.0</v>
      </c>
      <c r="L127" s="20">
        <v>6.0</v>
      </c>
      <c r="M127" s="63"/>
      <c r="N127" s="23"/>
      <c r="O127" s="19">
        <f>$G$23</f>
        <v>15</v>
      </c>
      <c r="P127" s="40">
        <f t="shared" ref="P127:T127" si="140">H127/H$136</f>
        <v>0.05172812392</v>
      </c>
      <c r="Q127" s="40">
        <f t="shared" si="140"/>
        <v>0.04414715719</v>
      </c>
      <c r="R127" s="40">
        <f t="shared" si="140"/>
        <v>0.05607476636</v>
      </c>
      <c r="S127" s="40">
        <f t="shared" si="140"/>
        <v>0.03404255319</v>
      </c>
      <c r="T127" s="40">
        <f t="shared" si="140"/>
        <v>0.03821656051</v>
      </c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24"/>
      <c r="G128" s="19">
        <f>$G$24</f>
        <v>16</v>
      </c>
      <c r="H128" s="20">
        <v>728.0</v>
      </c>
      <c r="I128" s="20">
        <v>206.0</v>
      </c>
      <c r="J128" s="20">
        <v>3.0</v>
      </c>
      <c r="K128" s="20">
        <v>10.0</v>
      </c>
      <c r="L128" s="20">
        <v>2.0</v>
      </c>
      <c r="M128" s="63"/>
      <c r="N128" s="23"/>
      <c r="O128" s="19">
        <f>$G$24</f>
        <v>16</v>
      </c>
      <c r="P128" s="40">
        <f t="shared" ref="P128:T128" si="141">H128/H$136</f>
        <v>0.04207606057</v>
      </c>
      <c r="Q128" s="40">
        <f t="shared" si="141"/>
        <v>0.04593088071</v>
      </c>
      <c r="R128" s="40">
        <f t="shared" si="141"/>
        <v>0.02803738318</v>
      </c>
      <c r="S128" s="40">
        <f t="shared" si="141"/>
        <v>0.04255319149</v>
      </c>
      <c r="T128" s="40">
        <f t="shared" si="141"/>
        <v>0.0127388535</v>
      </c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24"/>
      <c r="G129" s="19">
        <f>$G$25</f>
        <v>17</v>
      </c>
      <c r="H129" s="20">
        <v>650.0</v>
      </c>
      <c r="I129" s="20">
        <v>195.0</v>
      </c>
      <c r="J129" s="20">
        <v>1.0</v>
      </c>
      <c r="K129" s="20">
        <v>5.0</v>
      </c>
      <c r="L129" s="20">
        <v>1.0</v>
      </c>
      <c r="M129" s="63"/>
      <c r="N129" s="23"/>
      <c r="O129" s="19">
        <f>$G$25</f>
        <v>17</v>
      </c>
      <c r="P129" s="40">
        <f t="shared" ref="P129:T129" si="142">H129/H$136</f>
        <v>0.03756791122</v>
      </c>
      <c r="Q129" s="40">
        <f t="shared" si="142"/>
        <v>0.04347826087</v>
      </c>
      <c r="R129" s="40">
        <f t="shared" si="142"/>
        <v>0.009345794393</v>
      </c>
      <c r="S129" s="40">
        <f t="shared" si="142"/>
        <v>0.02127659574</v>
      </c>
      <c r="T129" s="40">
        <f t="shared" si="142"/>
        <v>0.006369426752</v>
      </c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24"/>
      <c r="G130" s="19">
        <f>$G$26</f>
        <v>18</v>
      </c>
      <c r="H130" s="20">
        <v>493.0</v>
      </c>
      <c r="I130" s="20">
        <v>132.0</v>
      </c>
      <c r="J130" s="20">
        <v>1.0</v>
      </c>
      <c r="K130" s="20">
        <v>7.0</v>
      </c>
      <c r="L130" s="20">
        <v>2.0</v>
      </c>
      <c r="M130" s="63"/>
      <c r="N130" s="23"/>
      <c r="O130" s="19">
        <f>$G$26</f>
        <v>18</v>
      </c>
      <c r="P130" s="40">
        <f t="shared" ref="P130:T130" si="143">H130/H$136</f>
        <v>0.02849381574</v>
      </c>
      <c r="Q130" s="40">
        <f t="shared" si="143"/>
        <v>0.02943143813</v>
      </c>
      <c r="R130" s="40">
        <f t="shared" si="143"/>
        <v>0.009345794393</v>
      </c>
      <c r="S130" s="40">
        <f t="shared" si="143"/>
        <v>0.02978723404</v>
      </c>
      <c r="T130" s="40">
        <f t="shared" si="143"/>
        <v>0.0127388535</v>
      </c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24"/>
      <c r="G131" s="19">
        <f>$G$27</f>
        <v>19</v>
      </c>
      <c r="H131" s="20">
        <v>394.0</v>
      </c>
      <c r="I131" s="20">
        <v>90.0</v>
      </c>
      <c r="J131" s="20">
        <v>2.0</v>
      </c>
      <c r="K131" s="20">
        <v>13.0</v>
      </c>
      <c r="L131" s="20">
        <v>0.0</v>
      </c>
      <c r="M131" s="63"/>
      <c r="N131" s="23"/>
      <c r="O131" s="19">
        <f>$G$27</f>
        <v>19</v>
      </c>
      <c r="P131" s="40">
        <f t="shared" ref="P131:T131" si="144">H131/H$136</f>
        <v>0.02277193388</v>
      </c>
      <c r="Q131" s="40">
        <f t="shared" si="144"/>
        <v>0.02006688963</v>
      </c>
      <c r="R131" s="40">
        <f t="shared" si="144"/>
        <v>0.01869158879</v>
      </c>
      <c r="S131" s="40">
        <f t="shared" si="144"/>
        <v>0.05531914894</v>
      </c>
      <c r="T131" s="40">
        <f t="shared" si="144"/>
        <v>0</v>
      </c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24"/>
      <c r="G132" s="19">
        <f>$G$28</f>
        <v>20</v>
      </c>
      <c r="H132" s="20">
        <v>286.0</v>
      </c>
      <c r="I132" s="20">
        <v>73.0</v>
      </c>
      <c r="J132" s="20">
        <v>0.0</v>
      </c>
      <c r="K132" s="20">
        <v>5.0</v>
      </c>
      <c r="L132" s="20">
        <v>5.0</v>
      </c>
      <c r="M132" s="63"/>
      <c r="N132" s="23"/>
      <c r="O132" s="19">
        <f>$G$28</f>
        <v>20</v>
      </c>
      <c r="P132" s="40">
        <f t="shared" ref="P132:T132" si="145">H132/H$136</f>
        <v>0.01652988094</v>
      </c>
      <c r="Q132" s="40">
        <f t="shared" si="145"/>
        <v>0.01627647715</v>
      </c>
      <c r="R132" s="40">
        <f t="shared" si="145"/>
        <v>0</v>
      </c>
      <c r="S132" s="40">
        <f t="shared" si="145"/>
        <v>0.02127659574</v>
      </c>
      <c r="T132" s="40">
        <f t="shared" si="145"/>
        <v>0.03184713376</v>
      </c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24"/>
      <c r="G133" s="19">
        <f>$G$29</f>
        <v>21</v>
      </c>
      <c r="H133" s="20">
        <v>265.0</v>
      </c>
      <c r="I133" s="20">
        <v>61.0</v>
      </c>
      <c r="J133" s="20">
        <v>0.0</v>
      </c>
      <c r="K133" s="20">
        <v>3.0</v>
      </c>
      <c r="L133" s="20">
        <v>2.0</v>
      </c>
      <c r="M133" s="63"/>
      <c r="N133" s="23"/>
      <c r="O133" s="19">
        <f>$G$29</f>
        <v>21</v>
      </c>
      <c r="P133" s="40">
        <f t="shared" ref="P133:T133" si="146">H133/H$136</f>
        <v>0.01531614842</v>
      </c>
      <c r="Q133" s="40">
        <f t="shared" si="146"/>
        <v>0.01360089186</v>
      </c>
      <c r="R133" s="40">
        <f t="shared" si="146"/>
        <v>0</v>
      </c>
      <c r="S133" s="40">
        <f t="shared" si="146"/>
        <v>0.01276595745</v>
      </c>
      <c r="T133" s="40">
        <f t="shared" si="146"/>
        <v>0.0127388535</v>
      </c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24"/>
      <c r="G134" s="19">
        <f>$G$30</f>
        <v>22</v>
      </c>
      <c r="H134" s="20">
        <v>240.0</v>
      </c>
      <c r="I134" s="20">
        <v>64.0</v>
      </c>
      <c r="J134" s="20">
        <v>2.0</v>
      </c>
      <c r="K134" s="20">
        <v>6.0</v>
      </c>
      <c r="L134" s="20">
        <v>2.0</v>
      </c>
      <c r="M134" s="63"/>
      <c r="N134" s="23"/>
      <c r="O134" s="19">
        <f>$G$30</f>
        <v>22</v>
      </c>
      <c r="P134" s="40">
        <f t="shared" ref="P134:T134" si="147">H134/H$136</f>
        <v>0.01387122876</v>
      </c>
      <c r="Q134" s="40">
        <f t="shared" si="147"/>
        <v>0.01426978818</v>
      </c>
      <c r="R134" s="40">
        <f t="shared" si="147"/>
        <v>0.01869158879</v>
      </c>
      <c r="S134" s="40">
        <f t="shared" si="147"/>
        <v>0.02553191489</v>
      </c>
      <c r="T134" s="40">
        <f t="shared" si="147"/>
        <v>0.0127388535</v>
      </c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28"/>
      <c r="G135" s="19">
        <f>$G$31</f>
        <v>23</v>
      </c>
      <c r="H135" s="20">
        <v>154.0</v>
      </c>
      <c r="I135" s="20">
        <v>39.0</v>
      </c>
      <c r="J135" s="20">
        <v>1.0</v>
      </c>
      <c r="K135" s="20">
        <v>5.0</v>
      </c>
      <c r="L135" s="20">
        <v>6.0</v>
      </c>
      <c r="M135" s="63"/>
      <c r="N135" s="27"/>
      <c r="O135" s="19">
        <f>$G$31</f>
        <v>23</v>
      </c>
      <c r="P135" s="40">
        <f t="shared" ref="P135:T135" si="148">H135/H$136</f>
        <v>0.008900705121</v>
      </c>
      <c r="Q135" s="40">
        <f t="shared" si="148"/>
        <v>0.008695652174</v>
      </c>
      <c r="R135" s="40">
        <f t="shared" si="148"/>
        <v>0.009345794393</v>
      </c>
      <c r="S135" s="40">
        <f t="shared" si="148"/>
        <v>0.02127659574</v>
      </c>
      <c r="T135" s="40">
        <f t="shared" si="148"/>
        <v>0.03821656051</v>
      </c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86"/>
      <c r="G136" s="86"/>
      <c r="H136" s="73">
        <f t="shared" ref="H136:L136" si="149">SUM(H112:H135)</f>
        <v>17302</v>
      </c>
      <c r="I136" s="73">
        <f t="shared" si="149"/>
        <v>4485</v>
      </c>
      <c r="J136" s="73">
        <f t="shared" si="149"/>
        <v>107</v>
      </c>
      <c r="K136" s="73">
        <f t="shared" si="149"/>
        <v>235</v>
      </c>
      <c r="L136" s="73">
        <f t="shared" si="149"/>
        <v>157</v>
      </c>
      <c r="M136" s="63"/>
      <c r="N136" s="86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16"/>
      <c r="H137" s="19">
        <f>$H$7</f>
        <v>31</v>
      </c>
      <c r="I137" s="19">
        <f>$I$7</f>
        <v>32</v>
      </c>
      <c r="J137" s="19">
        <f>$J$7</f>
        <v>41</v>
      </c>
      <c r="K137" s="19">
        <f>$K$7</f>
        <v>42</v>
      </c>
      <c r="L137" s="19">
        <f>$L$7</f>
        <v>5</v>
      </c>
      <c r="M137" s="63"/>
      <c r="N137" s="63"/>
      <c r="O137" s="16"/>
      <c r="P137" s="19">
        <f>$H$7</f>
        <v>31</v>
      </c>
      <c r="Q137" s="19">
        <f>$I$7</f>
        <v>32</v>
      </c>
      <c r="R137" s="19">
        <f>$J$7</f>
        <v>41</v>
      </c>
      <c r="S137" s="19">
        <f>$K$7</f>
        <v>42</v>
      </c>
      <c r="T137" s="19">
        <f>$L$7</f>
        <v>5</v>
      </c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56">
        <v>45199.0</v>
      </c>
      <c r="G138" s="19">
        <f>$G$8</f>
        <v>0</v>
      </c>
      <c r="H138" s="20">
        <v>152.0</v>
      </c>
      <c r="I138" s="20">
        <v>22.0</v>
      </c>
      <c r="J138" s="20">
        <v>1.0</v>
      </c>
      <c r="K138" s="20">
        <v>3.0</v>
      </c>
      <c r="L138" s="20">
        <v>2.0</v>
      </c>
      <c r="M138" s="63"/>
      <c r="N138" s="56">
        <v>45199.0</v>
      </c>
      <c r="O138" s="19">
        <f>$G$8</f>
        <v>0</v>
      </c>
      <c r="P138" s="40">
        <f t="shared" ref="P138:T138" si="150">H138/H$162</f>
        <v>0.01303825699</v>
      </c>
      <c r="Q138" s="40">
        <f t="shared" si="150"/>
        <v>0.007236842105</v>
      </c>
      <c r="R138" s="40">
        <f t="shared" si="150"/>
        <v>0.01086956522</v>
      </c>
      <c r="S138" s="40">
        <f t="shared" si="150"/>
        <v>0.01666666667</v>
      </c>
      <c r="T138" s="40">
        <f t="shared" si="150"/>
        <v>0.02666666667</v>
      </c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24"/>
      <c r="G139" s="19">
        <f>$G$9</f>
        <v>1</v>
      </c>
      <c r="H139" s="20">
        <v>102.0</v>
      </c>
      <c r="I139" s="20">
        <v>21.0</v>
      </c>
      <c r="J139" s="20">
        <v>2.0</v>
      </c>
      <c r="K139" s="20">
        <v>6.0</v>
      </c>
      <c r="L139" s="20">
        <v>0.0</v>
      </c>
      <c r="M139" s="63"/>
      <c r="N139" s="23"/>
      <c r="O139" s="19">
        <f>$G$9</f>
        <v>1</v>
      </c>
      <c r="P139" s="40">
        <f t="shared" ref="P139:T139" si="151">H139/H$162</f>
        <v>0.008749356665</v>
      </c>
      <c r="Q139" s="40">
        <f t="shared" si="151"/>
        <v>0.006907894737</v>
      </c>
      <c r="R139" s="40">
        <f t="shared" si="151"/>
        <v>0.02173913043</v>
      </c>
      <c r="S139" s="40">
        <f t="shared" si="151"/>
        <v>0.03333333333</v>
      </c>
      <c r="T139" s="40">
        <f t="shared" si="151"/>
        <v>0</v>
      </c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24"/>
      <c r="G140" s="19">
        <f>$G$10</f>
        <v>2</v>
      </c>
      <c r="H140" s="16">
        <v>76.0</v>
      </c>
      <c r="I140" s="16">
        <v>15.0</v>
      </c>
      <c r="J140" s="16">
        <v>2.0</v>
      </c>
      <c r="K140" s="16">
        <v>2.0</v>
      </c>
      <c r="L140" s="16">
        <v>0.0</v>
      </c>
      <c r="M140" s="63"/>
      <c r="N140" s="23"/>
      <c r="O140" s="19">
        <f>$G$10</f>
        <v>2</v>
      </c>
      <c r="P140" s="40">
        <f t="shared" ref="P140:T140" si="152">H140/H$162</f>
        <v>0.006519128495</v>
      </c>
      <c r="Q140" s="40">
        <f t="shared" si="152"/>
        <v>0.004934210526</v>
      </c>
      <c r="R140" s="40">
        <f t="shared" si="152"/>
        <v>0.02173913043</v>
      </c>
      <c r="S140" s="40">
        <f t="shared" si="152"/>
        <v>0.01111111111</v>
      </c>
      <c r="T140" s="40">
        <f t="shared" si="152"/>
        <v>0</v>
      </c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24"/>
      <c r="G141" s="19">
        <f>$G$11</f>
        <v>3</v>
      </c>
      <c r="H141" s="20">
        <v>105.0</v>
      </c>
      <c r="I141" s="20">
        <v>43.0</v>
      </c>
      <c r="J141" s="20">
        <v>1.0</v>
      </c>
      <c r="K141" s="20">
        <v>1.0</v>
      </c>
      <c r="L141" s="20">
        <v>4.0</v>
      </c>
      <c r="M141" s="63"/>
      <c r="N141" s="23"/>
      <c r="O141" s="19">
        <f>$G$11</f>
        <v>3</v>
      </c>
      <c r="P141" s="40">
        <f t="shared" ref="P141:T141" si="153">H141/H$162</f>
        <v>0.009006690685</v>
      </c>
      <c r="Q141" s="40">
        <f t="shared" si="153"/>
        <v>0.01414473684</v>
      </c>
      <c r="R141" s="40">
        <f t="shared" si="153"/>
        <v>0.01086956522</v>
      </c>
      <c r="S141" s="40">
        <f t="shared" si="153"/>
        <v>0.005555555556</v>
      </c>
      <c r="T141" s="40">
        <f t="shared" si="153"/>
        <v>0.05333333333</v>
      </c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24"/>
      <c r="G142" s="19">
        <f>$G$12</f>
        <v>4</v>
      </c>
      <c r="H142" s="20">
        <v>139.0</v>
      </c>
      <c r="I142" s="20">
        <v>38.0</v>
      </c>
      <c r="J142" s="20">
        <v>4.0</v>
      </c>
      <c r="K142" s="20">
        <v>6.0</v>
      </c>
      <c r="L142" s="20">
        <v>3.0</v>
      </c>
      <c r="M142" s="63"/>
      <c r="N142" s="23"/>
      <c r="O142" s="19">
        <f>$G$12</f>
        <v>4</v>
      </c>
      <c r="P142" s="40">
        <f t="shared" ref="P142:T142" si="154">H142/H$162</f>
        <v>0.01192314291</v>
      </c>
      <c r="Q142" s="40">
        <f t="shared" si="154"/>
        <v>0.0125</v>
      </c>
      <c r="R142" s="40">
        <f t="shared" si="154"/>
        <v>0.04347826087</v>
      </c>
      <c r="S142" s="40">
        <f t="shared" si="154"/>
        <v>0.03333333333</v>
      </c>
      <c r="T142" s="40">
        <f t="shared" si="154"/>
        <v>0.04</v>
      </c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24"/>
      <c r="G143" s="19">
        <f>$G$13</f>
        <v>5</v>
      </c>
      <c r="H143" s="20">
        <v>260.0</v>
      </c>
      <c r="I143" s="20">
        <v>102.0</v>
      </c>
      <c r="J143" s="20">
        <v>6.0</v>
      </c>
      <c r="K143" s="20">
        <v>12.0</v>
      </c>
      <c r="L143" s="20">
        <v>7.0</v>
      </c>
      <c r="M143" s="63"/>
      <c r="N143" s="23"/>
      <c r="O143" s="19">
        <f>$G$13</f>
        <v>5</v>
      </c>
      <c r="P143" s="40">
        <f t="shared" ref="P143:T143" si="155">H143/H$162</f>
        <v>0.02230228169</v>
      </c>
      <c r="Q143" s="40">
        <f t="shared" si="155"/>
        <v>0.03355263158</v>
      </c>
      <c r="R143" s="40">
        <f t="shared" si="155"/>
        <v>0.0652173913</v>
      </c>
      <c r="S143" s="40">
        <f t="shared" si="155"/>
        <v>0.06666666667</v>
      </c>
      <c r="T143" s="40">
        <f t="shared" si="155"/>
        <v>0.09333333333</v>
      </c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24"/>
      <c r="G144" s="19">
        <f>$G$14</f>
        <v>6</v>
      </c>
      <c r="H144" s="20">
        <v>424.0</v>
      </c>
      <c r="I144" s="20">
        <v>131.0</v>
      </c>
      <c r="J144" s="20">
        <v>12.0</v>
      </c>
      <c r="K144" s="20">
        <v>8.0</v>
      </c>
      <c r="L144" s="20">
        <v>12.0</v>
      </c>
      <c r="M144" s="63"/>
      <c r="N144" s="23"/>
      <c r="O144" s="19">
        <f>$G$14</f>
        <v>6</v>
      </c>
      <c r="P144" s="40">
        <f t="shared" ref="P144:T144" si="156">H144/H$162</f>
        <v>0.03636987476</v>
      </c>
      <c r="Q144" s="40">
        <f t="shared" si="156"/>
        <v>0.04309210526</v>
      </c>
      <c r="R144" s="40">
        <f t="shared" si="156"/>
        <v>0.1304347826</v>
      </c>
      <c r="S144" s="40">
        <f t="shared" si="156"/>
        <v>0.04444444444</v>
      </c>
      <c r="T144" s="40">
        <f t="shared" si="156"/>
        <v>0.16</v>
      </c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24"/>
      <c r="G145" s="19">
        <f>$G$15</f>
        <v>7</v>
      </c>
      <c r="H145" s="20">
        <v>680.0</v>
      </c>
      <c r="I145" s="20">
        <v>218.0</v>
      </c>
      <c r="J145" s="20">
        <v>14.0</v>
      </c>
      <c r="K145" s="20">
        <v>18.0</v>
      </c>
      <c r="L145" s="20">
        <v>6.0</v>
      </c>
      <c r="M145" s="63"/>
      <c r="N145" s="23"/>
      <c r="O145" s="19">
        <f>$G$15</f>
        <v>7</v>
      </c>
      <c r="P145" s="40">
        <f t="shared" ref="P145:T145" si="157">H145/H$162</f>
        <v>0.05832904443</v>
      </c>
      <c r="Q145" s="40">
        <f t="shared" si="157"/>
        <v>0.07171052632</v>
      </c>
      <c r="R145" s="40">
        <f t="shared" si="157"/>
        <v>0.152173913</v>
      </c>
      <c r="S145" s="40">
        <f t="shared" si="157"/>
        <v>0.1</v>
      </c>
      <c r="T145" s="40">
        <f t="shared" si="157"/>
        <v>0.08</v>
      </c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24"/>
      <c r="G146" s="19">
        <f>$G$16</f>
        <v>8</v>
      </c>
      <c r="H146" s="20">
        <v>847.0</v>
      </c>
      <c r="I146" s="20">
        <v>247.0</v>
      </c>
      <c r="J146" s="20">
        <v>6.0</v>
      </c>
      <c r="K146" s="20">
        <v>15.0</v>
      </c>
      <c r="L146" s="20">
        <v>6.0</v>
      </c>
      <c r="M146" s="63"/>
      <c r="N146" s="23"/>
      <c r="O146" s="19">
        <f>$G$16</f>
        <v>8</v>
      </c>
      <c r="P146" s="40">
        <f t="shared" ref="P146:T146" si="158">H146/H$162</f>
        <v>0.07265397152</v>
      </c>
      <c r="Q146" s="40">
        <f t="shared" si="158"/>
        <v>0.08125</v>
      </c>
      <c r="R146" s="40">
        <f t="shared" si="158"/>
        <v>0.0652173913</v>
      </c>
      <c r="S146" s="40">
        <f t="shared" si="158"/>
        <v>0.08333333333</v>
      </c>
      <c r="T146" s="40">
        <f t="shared" si="158"/>
        <v>0.08</v>
      </c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24"/>
      <c r="G147" s="19">
        <f>$G$17</f>
        <v>9</v>
      </c>
      <c r="H147" s="20">
        <v>1121.0</v>
      </c>
      <c r="I147" s="20">
        <v>274.0</v>
      </c>
      <c r="J147" s="20">
        <v>9.0</v>
      </c>
      <c r="K147" s="20">
        <v>10.0</v>
      </c>
      <c r="L147" s="20">
        <v>3.0</v>
      </c>
      <c r="M147" s="63"/>
      <c r="N147" s="23"/>
      <c r="O147" s="19">
        <f>$G$17</f>
        <v>9</v>
      </c>
      <c r="P147" s="40">
        <f t="shared" ref="P147:T147" si="159">H147/H$162</f>
        <v>0.09615714531</v>
      </c>
      <c r="Q147" s="40">
        <f t="shared" si="159"/>
        <v>0.09013157895</v>
      </c>
      <c r="R147" s="40">
        <f t="shared" si="159"/>
        <v>0.09782608696</v>
      </c>
      <c r="S147" s="40">
        <f t="shared" si="159"/>
        <v>0.05555555556</v>
      </c>
      <c r="T147" s="40">
        <f t="shared" si="159"/>
        <v>0.04</v>
      </c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24"/>
      <c r="G148" s="19">
        <f>$G$18</f>
        <v>10</v>
      </c>
      <c r="H148" s="20">
        <v>1070.0</v>
      </c>
      <c r="I148" s="20">
        <v>288.0</v>
      </c>
      <c r="J148" s="20">
        <v>5.0</v>
      </c>
      <c r="K148" s="20">
        <v>9.0</v>
      </c>
      <c r="L148" s="20">
        <v>10.0</v>
      </c>
      <c r="M148" s="63"/>
      <c r="N148" s="23"/>
      <c r="O148" s="19">
        <f>$G$18</f>
        <v>10</v>
      </c>
      <c r="P148" s="40">
        <f t="shared" ref="P148:T148" si="160">H148/H$162</f>
        <v>0.09178246698</v>
      </c>
      <c r="Q148" s="40">
        <f t="shared" si="160"/>
        <v>0.09473684211</v>
      </c>
      <c r="R148" s="40">
        <f t="shared" si="160"/>
        <v>0.05434782609</v>
      </c>
      <c r="S148" s="40">
        <f t="shared" si="160"/>
        <v>0.05</v>
      </c>
      <c r="T148" s="40">
        <f t="shared" si="160"/>
        <v>0.1333333333</v>
      </c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24"/>
      <c r="G149" s="19">
        <f>$G$19</f>
        <v>11</v>
      </c>
      <c r="H149" s="20">
        <v>921.0</v>
      </c>
      <c r="I149" s="20">
        <v>232.0</v>
      </c>
      <c r="J149" s="20">
        <v>2.0</v>
      </c>
      <c r="K149" s="20">
        <v>8.0</v>
      </c>
      <c r="L149" s="20">
        <v>4.0</v>
      </c>
      <c r="M149" s="63"/>
      <c r="N149" s="23"/>
      <c r="O149" s="19">
        <f>$G$19</f>
        <v>11</v>
      </c>
      <c r="P149" s="40">
        <f t="shared" ref="P149:T149" si="161">H149/H$162</f>
        <v>0.079001544</v>
      </c>
      <c r="Q149" s="40">
        <f t="shared" si="161"/>
        <v>0.07631578947</v>
      </c>
      <c r="R149" s="40">
        <f t="shared" si="161"/>
        <v>0.02173913043</v>
      </c>
      <c r="S149" s="40">
        <f t="shared" si="161"/>
        <v>0.04444444444</v>
      </c>
      <c r="T149" s="40">
        <f t="shared" si="161"/>
        <v>0.05333333333</v>
      </c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24"/>
      <c r="G150" s="19">
        <f>$G$20</f>
        <v>12</v>
      </c>
      <c r="H150" s="20">
        <v>797.0</v>
      </c>
      <c r="I150" s="20">
        <v>204.0</v>
      </c>
      <c r="J150" s="20">
        <v>3.0</v>
      </c>
      <c r="K150" s="20">
        <v>12.0</v>
      </c>
      <c r="L150" s="20">
        <v>2.0</v>
      </c>
      <c r="M150" s="63"/>
      <c r="N150" s="23"/>
      <c r="O150" s="19">
        <f>$G$20</f>
        <v>12</v>
      </c>
      <c r="P150" s="40">
        <f t="shared" ref="P150:T150" si="162">H150/H$162</f>
        <v>0.0683650712</v>
      </c>
      <c r="Q150" s="40">
        <f t="shared" si="162"/>
        <v>0.06710526316</v>
      </c>
      <c r="R150" s="40">
        <f t="shared" si="162"/>
        <v>0.03260869565</v>
      </c>
      <c r="S150" s="40">
        <f t="shared" si="162"/>
        <v>0.06666666667</v>
      </c>
      <c r="T150" s="40">
        <f t="shared" si="162"/>
        <v>0.02666666667</v>
      </c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24"/>
      <c r="G151" s="19">
        <f>$G$21</f>
        <v>13</v>
      </c>
      <c r="H151" s="20">
        <v>755.0</v>
      </c>
      <c r="I151" s="20">
        <v>170.0</v>
      </c>
      <c r="J151" s="20">
        <v>3.0</v>
      </c>
      <c r="K151" s="20">
        <v>6.0</v>
      </c>
      <c r="L151" s="20">
        <v>2.0</v>
      </c>
      <c r="M151" s="63"/>
      <c r="N151" s="23"/>
      <c r="O151" s="19">
        <f>$G$21</f>
        <v>13</v>
      </c>
      <c r="P151" s="40">
        <f t="shared" ref="P151:T151" si="163">H151/H$162</f>
        <v>0.06476239492</v>
      </c>
      <c r="Q151" s="40">
        <f t="shared" si="163"/>
        <v>0.05592105263</v>
      </c>
      <c r="R151" s="40">
        <f t="shared" si="163"/>
        <v>0.03260869565</v>
      </c>
      <c r="S151" s="40">
        <f t="shared" si="163"/>
        <v>0.03333333333</v>
      </c>
      <c r="T151" s="40">
        <f t="shared" si="163"/>
        <v>0.02666666667</v>
      </c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24"/>
      <c r="G152" s="19">
        <f>$G$22</f>
        <v>14</v>
      </c>
      <c r="H152" s="20">
        <v>809.0</v>
      </c>
      <c r="I152" s="20">
        <v>180.0</v>
      </c>
      <c r="J152" s="20">
        <v>4.0</v>
      </c>
      <c r="K152" s="20">
        <v>12.0</v>
      </c>
      <c r="L152" s="20">
        <v>6.0</v>
      </c>
      <c r="M152" s="63"/>
      <c r="N152" s="23"/>
      <c r="O152" s="19">
        <f>$G$22</f>
        <v>14</v>
      </c>
      <c r="P152" s="40">
        <f t="shared" ref="P152:T152" si="164">H152/H$162</f>
        <v>0.06939440727</v>
      </c>
      <c r="Q152" s="40">
        <f t="shared" si="164"/>
        <v>0.05921052632</v>
      </c>
      <c r="R152" s="40">
        <f t="shared" si="164"/>
        <v>0.04347826087</v>
      </c>
      <c r="S152" s="40">
        <f t="shared" si="164"/>
        <v>0.06666666667</v>
      </c>
      <c r="T152" s="40">
        <f t="shared" si="164"/>
        <v>0.08</v>
      </c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24"/>
      <c r="G153" s="19">
        <f>$G$23</f>
        <v>15</v>
      </c>
      <c r="H153" s="20">
        <v>700.0</v>
      </c>
      <c r="I153" s="20">
        <v>168.0</v>
      </c>
      <c r="J153" s="20">
        <v>4.0</v>
      </c>
      <c r="K153" s="20">
        <v>8.0</v>
      </c>
      <c r="L153" s="20">
        <v>3.0</v>
      </c>
      <c r="M153" s="63"/>
      <c r="N153" s="23"/>
      <c r="O153" s="19">
        <f>$G$23</f>
        <v>15</v>
      </c>
      <c r="P153" s="40">
        <f t="shared" ref="P153:T153" si="165">H153/H$162</f>
        <v>0.06004460456</v>
      </c>
      <c r="Q153" s="40">
        <f t="shared" si="165"/>
        <v>0.05526315789</v>
      </c>
      <c r="R153" s="40">
        <f t="shared" si="165"/>
        <v>0.04347826087</v>
      </c>
      <c r="S153" s="40">
        <f t="shared" si="165"/>
        <v>0.04444444444</v>
      </c>
      <c r="T153" s="40">
        <f t="shared" si="165"/>
        <v>0.04</v>
      </c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24"/>
      <c r="G154" s="19">
        <f>$G$24</f>
        <v>16</v>
      </c>
      <c r="H154" s="20">
        <v>598.0</v>
      </c>
      <c r="I154" s="20">
        <v>148.0</v>
      </c>
      <c r="J154" s="20">
        <v>6.0</v>
      </c>
      <c r="K154" s="20">
        <v>11.0</v>
      </c>
      <c r="L154" s="20">
        <v>1.0</v>
      </c>
      <c r="M154" s="63"/>
      <c r="N154" s="23"/>
      <c r="O154" s="19">
        <f>$G$24</f>
        <v>16</v>
      </c>
      <c r="P154" s="40">
        <f t="shared" ref="P154:T154" si="166">H154/H$162</f>
        <v>0.0512952479</v>
      </c>
      <c r="Q154" s="40">
        <f t="shared" si="166"/>
        <v>0.04868421053</v>
      </c>
      <c r="R154" s="40">
        <f t="shared" si="166"/>
        <v>0.0652173913</v>
      </c>
      <c r="S154" s="40">
        <f t="shared" si="166"/>
        <v>0.06111111111</v>
      </c>
      <c r="T154" s="40">
        <f t="shared" si="166"/>
        <v>0.01333333333</v>
      </c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24"/>
      <c r="G155" s="19">
        <f>$G$25</f>
        <v>17</v>
      </c>
      <c r="H155" s="20">
        <v>530.0</v>
      </c>
      <c r="I155" s="20">
        <v>140.0</v>
      </c>
      <c r="J155" s="20">
        <v>3.0</v>
      </c>
      <c r="K155" s="20">
        <v>4.0</v>
      </c>
      <c r="L155" s="20">
        <v>1.0</v>
      </c>
      <c r="M155" s="63"/>
      <c r="N155" s="23"/>
      <c r="O155" s="19">
        <f>$G$25</f>
        <v>17</v>
      </c>
      <c r="P155" s="40">
        <f t="shared" ref="P155:T155" si="167">H155/H$162</f>
        <v>0.04546234346</v>
      </c>
      <c r="Q155" s="40">
        <f t="shared" si="167"/>
        <v>0.04605263158</v>
      </c>
      <c r="R155" s="40">
        <f t="shared" si="167"/>
        <v>0.03260869565</v>
      </c>
      <c r="S155" s="40">
        <f t="shared" si="167"/>
        <v>0.02222222222</v>
      </c>
      <c r="T155" s="40">
        <f t="shared" si="167"/>
        <v>0.01333333333</v>
      </c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24"/>
      <c r="G156" s="19">
        <f>$G$26</f>
        <v>18</v>
      </c>
      <c r="H156" s="20">
        <v>404.0</v>
      </c>
      <c r="I156" s="20">
        <v>98.0</v>
      </c>
      <c r="J156" s="20">
        <v>0.0</v>
      </c>
      <c r="K156" s="20">
        <v>2.0</v>
      </c>
      <c r="L156" s="20">
        <v>1.0</v>
      </c>
      <c r="M156" s="63"/>
      <c r="N156" s="23"/>
      <c r="O156" s="19">
        <f>$G$26</f>
        <v>18</v>
      </c>
      <c r="P156" s="40">
        <f t="shared" ref="P156:T156" si="168">H156/H$162</f>
        <v>0.03465431463</v>
      </c>
      <c r="Q156" s="40">
        <f t="shared" si="168"/>
        <v>0.03223684211</v>
      </c>
      <c r="R156" s="40">
        <f t="shared" si="168"/>
        <v>0</v>
      </c>
      <c r="S156" s="40">
        <f t="shared" si="168"/>
        <v>0.01111111111</v>
      </c>
      <c r="T156" s="40">
        <f t="shared" si="168"/>
        <v>0.01333333333</v>
      </c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24"/>
      <c r="G157" s="19">
        <f>$G$27</f>
        <v>19</v>
      </c>
      <c r="H157" s="20">
        <v>324.0</v>
      </c>
      <c r="I157" s="20">
        <v>87.0</v>
      </c>
      <c r="J157" s="20">
        <v>1.0</v>
      </c>
      <c r="K157" s="20">
        <v>17.0</v>
      </c>
      <c r="L157" s="20">
        <v>0.0</v>
      </c>
      <c r="M157" s="63"/>
      <c r="N157" s="23"/>
      <c r="O157" s="19">
        <f>$G$27</f>
        <v>19</v>
      </c>
      <c r="P157" s="40">
        <f t="shared" ref="P157:T157" si="169">H157/H$162</f>
        <v>0.02779207411</v>
      </c>
      <c r="Q157" s="40">
        <f t="shared" si="169"/>
        <v>0.02861842105</v>
      </c>
      <c r="R157" s="40">
        <f t="shared" si="169"/>
        <v>0.01086956522</v>
      </c>
      <c r="S157" s="40">
        <f t="shared" si="169"/>
        <v>0.09444444444</v>
      </c>
      <c r="T157" s="40">
        <f t="shared" si="169"/>
        <v>0</v>
      </c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24"/>
      <c r="G158" s="19">
        <f>$G$28</f>
        <v>20</v>
      </c>
      <c r="H158" s="20">
        <v>235.0</v>
      </c>
      <c r="I158" s="20">
        <v>59.0</v>
      </c>
      <c r="J158" s="20">
        <v>0.0</v>
      </c>
      <c r="K158" s="20">
        <v>4.0</v>
      </c>
      <c r="L158" s="20">
        <v>0.0</v>
      </c>
      <c r="M158" s="63"/>
      <c r="N158" s="23"/>
      <c r="O158" s="19">
        <f>$G$28</f>
        <v>20</v>
      </c>
      <c r="P158" s="40">
        <f t="shared" ref="P158:T158" si="170">H158/H$162</f>
        <v>0.02015783153</v>
      </c>
      <c r="Q158" s="40">
        <f t="shared" si="170"/>
        <v>0.01940789474</v>
      </c>
      <c r="R158" s="40">
        <f t="shared" si="170"/>
        <v>0</v>
      </c>
      <c r="S158" s="40">
        <f t="shared" si="170"/>
        <v>0.02222222222</v>
      </c>
      <c r="T158" s="40">
        <f t="shared" si="170"/>
        <v>0</v>
      </c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24"/>
      <c r="G159" s="19">
        <f>$G$29</f>
        <v>21</v>
      </c>
      <c r="H159" s="20">
        <v>264.0</v>
      </c>
      <c r="I159" s="20">
        <v>74.0</v>
      </c>
      <c r="J159" s="20">
        <v>0.0</v>
      </c>
      <c r="K159" s="20">
        <v>1.0</v>
      </c>
      <c r="L159" s="20">
        <v>0.0</v>
      </c>
      <c r="M159" s="63"/>
      <c r="N159" s="23"/>
      <c r="O159" s="19">
        <f>$G$29</f>
        <v>21</v>
      </c>
      <c r="P159" s="40">
        <f t="shared" ref="P159:T159" si="171">H159/H$162</f>
        <v>0.02264539372</v>
      </c>
      <c r="Q159" s="40">
        <f t="shared" si="171"/>
        <v>0.02434210526</v>
      </c>
      <c r="R159" s="40">
        <f t="shared" si="171"/>
        <v>0</v>
      </c>
      <c r="S159" s="40">
        <f t="shared" si="171"/>
        <v>0.005555555556</v>
      </c>
      <c r="T159" s="40">
        <f t="shared" si="171"/>
        <v>0</v>
      </c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24"/>
      <c r="G160" s="19">
        <f>$G$30</f>
        <v>22</v>
      </c>
      <c r="H160" s="20">
        <v>196.0</v>
      </c>
      <c r="I160" s="20">
        <v>51.0</v>
      </c>
      <c r="J160" s="20">
        <v>2.0</v>
      </c>
      <c r="K160" s="20">
        <v>2.0</v>
      </c>
      <c r="L160" s="20">
        <v>0.0</v>
      </c>
      <c r="M160" s="63"/>
      <c r="N160" s="23"/>
      <c r="O160" s="19">
        <f>$G$30</f>
        <v>22</v>
      </c>
      <c r="P160" s="40">
        <f t="shared" ref="P160:T160" si="172">H160/H$162</f>
        <v>0.01681248928</v>
      </c>
      <c r="Q160" s="40">
        <f t="shared" si="172"/>
        <v>0.01677631579</v>
      </c>
      <c r="R160" s="40">
        <f t="shared" si="172"/>
        <v>0.02173913043</v>
      </c>
      <c r="S160" s="40">
        <f t="shared" si="172"/>
        <v>0.01111111111</v>
      </c>
      <c r="T160" s="40">
        <f t="shared" si="172"/>
        <v>0</v>
      </c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28"/>
      <c r="G161" s="19">
        <f>$G$31</f>
        <v>23</v>
      </c>
      <c r="H161" s="20">
        <v>149.0</v>
      </c>
      <c r="I161" s="20">
        <v>30.0</v>
      </c>
      <c r="J161" s="20">
        <v>2.0</v>
      </c>
      <c r="K161" s="20">
        <v>3.0</v>
      </c>
      <c r="L161" s="20">
        <v>2.0</v>
      </c>
      <c r="M161" s="63"/>
      <c r="N161" s="27"/>
      <c r="O161" s="19">
        <f>$G$31</f>
        <v>23</v>
      </c>
      <c r="P161" s="40">
        <f t="shared" ref="P161:T161" si="173">H161/H$162</f>
        <v>0.01278092297</v>
      </c>
      <c r="Q161" s="40">
        <f t="shared" si="173"/>
        <v>0.009868421053</v>
      </c>
      <c r="R161" s="40">
        <f t="shared" si="173"/>
        <v>0.02173913043</v>
      </c>
      <c r="S161" s="40">
        <f t="shared" si="173"/>
        <v>0.01666666667</v>
      </c>
      <c r="T161" s="40">
        <f t="shared" si="173"/>
        <v>0.02666666667</v>
      </c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86"/>
      <c r="G162" s="86"/>
      <c r="H162" s="73">
        <f t="shared" ref="H162:L162" si="174">SUM(H138:H161)</f>
        <v>11658</v>
      </c>
      <c r="I162" s="73">
        <f t="shared" si="174"/>
        <v>3040</v>
      </c>
      <c r="J162" s="73">
        <f t="shared" si="174"/>
        <v>92</v>
      </c>
      <c r="K162" s="73">
        <f t="shared" si="174"/>
        <v>180</v>
      </c>
      <c r="L162" s="73">
        <f t="shared" si="174"/>
        <v>75</v>
      </c>
      <c r="M162" s="63"/>
      <c r="N162" s="86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16"/>
      <c r="H163" s="19">
        <f>$H$7</f>
        <v>31</v>
      </c>
      <c r="I163" s="19">
        <f>$I$7</f>
        <v>32</v>
      </c>
      <c r="J163" s="19">
        <f>$J$7</f>
        <v>41</v>
      </c>
      <c r="K163" s="19">
        <f>$K$7</f>
        <v>42</v>
      </c>
      <c r="L163" s="19">
        <f>$L$7</f>
        <v>5</v>
      </c>
      <c r="M163" s="63"/>
      <c r="N163" s="63"/>
      <c r="O163" s="16"/>
      <c r="P163" s="19">
        <f>$H$7</f>
        <v>31</v>
      </c>
      <c r="Q163" s="19">
        <f>$I$7</f>
        <v>32</v>
      </c>
      <c r="R163" s="19">
        <f>$J$7</f>
        <v>41</v>
      </c>
      <c r="S163" s="19">
        <f>$K$7</f>
        <v>42</v>
      </c>
      <c r="T163" s="19">
        <f>$L$7</f>
        <v>5</v>
      </c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21">
        <v>45200.0</v>
      </c>
      <c r="G164" s="19">
        <f>$G$8</f>
        <v>0</v>
      </c>
      <c r="H164" s="20">
        <v>126.0</v>
      </c>
      <c r="I164" s="20">
        <v>31.0</v>
      </c>
      <c r="J164" s="20">
        <v>2.0</v>
      </c>
      <c r="K164" s="20">
        <v>1.0</v>
      </c>
      <c r="L164" s="20">
        <v>2.0</v>
      </c>
      <c r="M164" s="63"/>
      <c r="N164" s="18">
        <v>45200.0</v>
      </c>
      <c r="O164" s="19">
        <f>$G$8</f>
        <v>0</v>
      </c>
      <c r="P164" s="40">
        <f t="shared" ref="P164:T164" si="175">H164/H$188</f>
        <v>0.01217273693</v>
      </c>
      <c r="Q164" s="40">
        <f t="shared" si="175"/>
        <v>0.01126453488</v>
      </c>
      <c r="R164" s="40">
        <f t="shared" si="175"/>
        <v>0.01086956522</v>
      </c>
      <c r="S164" s="40">
        <f t="shared" si="175"/>
        <v>0.006849315068</v>
      </c>
      <c r="T164" s="40">
        <f t="shared" si="175"/>
        <v>0.02597402597</v>
      </c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24"/>
      <c r="G165" s="19">
        <f>$G$9</f>
        <v>1</v>
      </c>
      <c r="H165" s="20">
        <v>90.0</v>
      </c>
      <c r="I165" s="20">
        <v>11.0</v>
      </c>
      <c r="J165" s="20">
        <v>4.0</v>
      </c>
      <c r="K165" s="20">
        <v>3.0</v>
      </c>
      <c r="L165" s="20">
        <v>1.0</v>
      </c>
      <c r="M165" s="63"/>
      <c r="N165" s="23"/>
      <c r="O165" s="19">
        <f>$G$9</f>
        <v>1</v>
      </c>
      <c r="P165" s="40">
        <f t="shared" ref="P165:T165" si="176">H165/H$188</f>
        <v>0.008694812095</v>
      </c>
      <c r="Q165" s="40">
        <f t="shared" si="176"/>
        <v>0.003997093023</v>
      </c>
      <c r="R165" s="40">
        <f t="shared" si="176"/>
        <v>0.02173913043</v>
      </c>
      <c r="S165" s="40">
        <f t="shared" si="176"/>
        <v>0.02054794521</v>
      </c>
      <c r="T165" s="40">
        <f t="shared" si="176"/>
        <v>0.01298701299</v>
      </c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24"/>
      <c r="G166" s="19">
        <f>$G$10</f>
        <v>2</v>
      </c>
      <c r="H166" s="16">
        <v>70.0</v>
      </c>
      <c r="I166" s="16">
        <v>11.0</v>
      </c>
      <c r="J166" s="16">
        <v>1.0</v>
      </c>
      <c r="K166" s="16">
        <v>6.0</v>
      </c>
      <c r="L166" s="16">
        <v>0.0</v>
      </c>
      <c r="M166" s="63"/>
      <c r="N166" s="23"/>
      <c r="O166" s="19">
        <f>$G$10</f>
        <v>2</v>
      </c>
      <c r="P166" s="40">
        <f t="shared" ref="P166:T166" si="177">H166/H$188</f>
        <v>0.00676263163</v>
      </c>
      <c r="Q166" s="40">
        <f t="shared" si="177"/>
        <v>0.003997093023</v>
      </c>
      <c r="R166" s="40">
        <f t="shared" si="177"/>
        <v>0.005434782609</v>
      </c>
      <c r="S166" s="40">
        <f t="shared" si="177"/>
        <v>0.04109589041</v>
      </c>
      <c r="T166" s="40">
        <f t="shared" si="177"/>
        <v>0</v>
      </c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24"/>
      <c r="G167" s="19">
        <f>$G$11</f>
        <v>3</v>
      </c>
      <c r="H167" s="20">
        <v>59.0</v>
      </c>
      <c r="I167" s="20">
        <v>18.0</v>
      </c>
      <c r="J167" s="20">
        <v>1.0</v>
      </c>
      <c r="K167" s="20">
        <v>0.0</v>
      </c>
      <c r="L167" s="20">
        <v>2.0</v>
      </c>
      <c r="M167" s="63"/>
      <c r="N167" s="23"/>
      <c r="O167" s="19">
        <f>$G$11</f>
        <v>3</v>
      </c>
      <c r="P167" s="40">
        <f t="shared" ref="P167:T167" si="178">H167/H$188</f>
        <v>0.005699932374</v>
      </c>
      <c r="Q167" s="40">
        <f t="shared" si="178"/>
        <v>0.006540697674</v>
      </c>
      <c r="R167" s="40">
        <f t="shared" si="178"/>
        <v>0.005434782609</v>
      </c>
      <c r="S167" s="40">
        <f t="shared" si="178"/>
        <v>0</v>
      </c>
      <c r="T167" s="40">
        <f t="shared" si="178"/>
        <v>0.02597402597</v>
      </c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24"/>
      <c r="G168" s="19">
        <f>$G$12</f>
        <v>4</v>
      </c>
      <c r="H168" s="20">
        <v>100.0</v>
      </c>
      <c r="I168" s="20">
        <v>24.0</v>
      </c>
      <c r="J168" s="20">
        <v>4.0</v>
      </c>
      <c r="K168" s="20">
        <v>1.0</v>
      </c>
      <c r="L168" s="20">
        <v>1.0</v>
      </c>
      <c r="M168" s="63"/>
      <c r="N168" s="23"/>
      <c r="O168" s="19">
        <f>$G$12</f>
        <v>4</v>
      </c>
      <c r="P168" s="40">
        <f t="shared" ref="P168:T168" si="179">H168/H$188</f>
        <v>0.009660902328</v>
      </c>
      <c r="Q168" s="40">
        <f t="shared" si="179"/>
        <v>0.008720930233</v>
      </c>
      <c r="R168" s="40">
        <f t="shared" si="179"/>
        <v>0.02173913043</v>
      </c>
      <c r="S168" s="40">
        <f t="shared" si="179"/>
        <v>0.006849315068</v>
      </c>
      <c r="T168" s="40">
        <f t="shared" si="179"/>
        <v>0.01298701299</v>
      </c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24"/>
      <c r="G169" s="19">
        <f>$G$13</f>
        <v>5</v>
      </c>
      <c r="H169" s="20">
        <v>156.0</v>
      </c>
      <c r="I169" s="20">
        <v>61.0</v>
      </c>
      <c r="J169" s="20">
        <v>11.0</v>
      </c>
      <c r="K169" s="20">
        <v>9.0</v>
      </c>
      <c r="L169" s="20">
        <v>4.0</v>
      </c>
      <c r="M169" s="63"/>
      <c r="N169" s="23"/>
      <c r="O169" s="19">
        <f>$G$13</f>
        <v>5</v>
      </c>
      <c r="P169" s="40">
        <f t="shared" ref="P169:T169" si="180">H169/H$188</f>
        <v>0.01507100763</v>
      </c>
      <c r="Q169" s="40">
        <f t="shared" si="180"/>
        <v>0.02216569767</v>
      </c>
      <c r="R169" s="40">
        <f t="shared" si="180"/>
        <v>0.0597826087</v>
      </c>
      <c r="S169" s="40">
        <f t="shared" si="180"/>
        <v>0.06164383562</v>
      </c>
      <c r="T169" s="40">
        <f t="shared" si="180"/>
        <v>0.05194805195</v>
      </c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24"/>
      <c r="G170" s="19">
        <f>$G$14</f>
        <v>6</v>
      </c>
      <c r="H170" s="20">
        <v>250.0</v>
      </c>
      <c r="I170" s="20">
        <v>113.0</v>
      </c>
      <c r="J170" s="20">
        <v>17.0</v>
      </c>
      <c r="K170" s="20">
        <v>7.0</v>
      </c>
      <c r="L170" s="20">
        <v>7.0</v>
      </c>
      <c r="M170" s="63"/>
      <c r="N170" s="23"/>
      <c r="O170" s="19">
        <f>$G$14</f>
        <v>6</v>
      </c>
      <c r="P170" s="40">
        <f t="shared" ref="P170:T170" si="181">H170/H$188</f>
        <v>0.02415225582</v>
      </c>
      <c r="Q170" s="40">
        <f t="shared" si="181"/>
        <v>0.04106104651</v>
      </c>
      <c r="R170" s="40">
        <f t="shared" si="181"/>
        <v>0.09239130435</v>
      </c>
      <c r="S170" s="40">
        <f t="shared" si="181"/>
        <v>0.04794520548</v>
      </c>
      <c r="T170" s="40">
        <f t="shared" si="181"/>
        <v>0.09090909091</v>
      </c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24"/>
      <c r="G171" s="19">
        <f>$G$15</f>
        <v>7</v>
      </c>
      <c r="H171" s="20">
        <v>430.0</v>
      </c>
      <c r="I171" s="20">
        <v>150.0</v>
      </c>
      <c r="J171" s="20">
        <v>41.0</v>
      </c>
      <c r="K171" s="20">
        <v>14.0</v>
      </c>
      <c r="L171" s="20">
        <v>5.0</v>
      </c>
      <c r="M171" s="63"/>
      <c r="N171" s="23"/>
      <c r="O171" s="19">
        <f>$G$15</f>
        <v>7</v>
      </c>
      <c r="P171" s="40">
        <f t="shared" ref="P171:T171" si="182">H171/H$188</f>
        <v>0.04154188001</v>
      </c>
      <c r="Q171" s="40">
        <f t="shared" si="182"/>
        <v>0.05450581395</v>
      </c>
      <c r="R171" s="40">
        <f t="shared" si="182"/>
        <v>0.222826087</v>
      </c>
      <c r="S171" s="40">
        <f t="shared" si="182"/>
        <v>0.09589041096</v>
      </c>
      <c r="T171" s="40">
        <f t="shared" si="182"/>
        <v>0.06493506494</v>
      </c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24"/>
      <c r="G172" s="19">
        <f>$G$16</f>
        <v>8</v>
      </c>
      <c r="H172" s="20">
        <v>625.0</v>
      </c>
      <c r="I172" s="20">
        <v>187.0</v>
      </c>
      <c r="J172" s="20">
        <v>14.0</v>
      </c>
      <c r="K172" s="20">
        <v>9.0</v>
      </c>
      <c r="L172" s="20">
        <v>4.0</v>
      </c>
      <c r="M172" s="63"/>
      <c r="N172" s="23"/>
      <c r="O172" s="19">
        <f>$G$16</f>
        <v>8</v>
      </c>
      <c r="P172" s="40">
        <f t="shared" ref="P172:T172" si="183">H172/H$188</f>
        <v>0.06038063955</v>
      </c>
      <c r="Q172" s="40">
        <f t="shared" si="183"/>
        <v>0.0679505814</v>
      </c>
      <c r="R172" s="40">
        <f t="shared" si="183"/>
        <v>0.07608695652</v>
      </c>
      <c r="S172" s="40">
        <f t="shared" si="183"/>
        <v>0.06164383562</v>
      </c>
      <c r="T172" s="40">
        <f t="shared" si="183"/>
        <v>0.05194805195</v>
      </c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24"/>
      <c r="G173" s="19">
        <f>$G$17</f>
        <v>9</v>
      </c>
      <c r="H173" s="20">
        <v>757.0</v>
      </c>
      <c r="I173" s="20">
        <v>195.0</v>
      </c>
      <c r="J173" s="20">
        <v>6.0</v>
      </c>
      <c r="K173" s="20">
        <v>11.0</v>
      </c>
      <c r="L173" s="20">
        <v>3.0</v>
      </c>
      <c r="M173" s="63"/>
      <c r="N173" s="23"/>
      <c r="O173" s="19">
        <f>$G$17</f>
        <v>9</v>
      </c>
      <c r="P173" s="40">
        <f t="shared" ref="P173:T173" si="184">H173/H$188</f>
        <v>0.07313303063</v>
      </c>
      <c r="Q173" s="40">
        <f t="shared" si="184"/>
        <v>0.07085755814</v>
      </c>
      <c r="R173" s="40">
        <f t="shared" si="184"/>
        <v>0.03260869565</v>
      </c>
      <c r="S173" s="40">
        <f t="shared" si="184"/>
        <v>0.07534246575</v>
      </c>
      <c r="T173" s="40">
        <f t="shared" si="184"/>
        <v>0.03896103896</v>
      </c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24"/>
      <c r="G174" s="19">
        <f>$G$18</f>
        <v>10</v>
      </c>
      <c r="H174" s="20">
        <v>857.0</v>
      </c>
      <c r="I174" s="20">
        <v>205.0</v>
      </c>
      <c r="J174" s="20">
        <v>9.0</v>
      </c>
      <c r="K174" s="20">
        <v>6.0</v>
      </c>
      <c r="L174" s="20">
        <v>1.0</v>
      </c>
      <c r="M174" s="63"/>
      <c r="N174" s="23"/>
      <c r="O174" s="19">
        <f>$G$18</f>
        <v>10</v>
      </c>
      <c r="P174" s="40">
        <f t="shared" ref="P174:T174" si="185">H174/H$188</f>
        <v>0.08279393295</v>
      </c>
      <c r="Q174" s="40">
        <f t="shared" si="185"/>
        <v>0.07449127907</v>
      </c>
      <c r="R174" s="40">
        <f t="shared" si="185"/>
        <v>0.04891304348</v>
      </c>
      <c r="S174" s="40">
        <f t="shared" si="185"/>
        <v>0.04109589041</v>
      </c>
      <c r="T174" s="40">
        <f t="shared" si="185"/>
        <v>0.01298701299</v>
      </c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24"/>
      <c r="G175" s="19">
        <f>$G$19</f>
        <v>11</v>
      </c>
      <c r="H175" s="20">
        <v>777.0</v>
      </c>
      <c r="I175" s="20">
        <v>206.0</v>
      </c>
      <c r="J175" s="20">
        <v>5.0</v>
      </c>
      <c r="K175" s="20">
        <v>6.0</v>
      </c>
      <c r="L175" s="20">
        <v>5.0</v>
      </c>
      <c r="M175" s="63"/>
      <c r="N175" s="23"/>
      <c r="O175" s="19">
        <f>$G$19</f>
        <v>11</v>
      </c>
      <c r="P175" s="40">
        <f t="shared" ref="P175:T175" si="186">H175/H$188</f>
        <v>0.07506521109</v>
      </c>
      <c r="Q175" s="40">
        <f t="shared" si="186"/>
        <v>0.07485465116</v>
      </c>
      <c r="R175" s="40">
        <f t="shared" si="186"/>
        <v>0.02717391304</v>
      </c>
      <c r="S175" s="40">
        <f t="shared" si="186"/>
        <v>0.04109589041</v>
      </c>
      <c r="T175" s="40">
        <f t="shared" si="186"/>
        <v>0.06493506494</v>
      </c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24"/>
      <c r="G176" s="19">
        <f>$G$20</f>
        <v>12</v>
      </c>
      <c r="H176" s="20">
        <v>670.0</v>
      </c>
      <c r="I176" s="20">
        <v>160.0</v>
      </c>
      <c r="J176" s="20">
        <v>4.0</v>
      </c>
      <c r="K176" s="20">
        <v>2.0</v>
      </c>
      <c r="L176" s="20">
        <v>2.0</v>
      </c>
      <c r="M176" s="63"/>
      <c r="N176" s="23"/>
      <c r="O176" s="19">
        <f>$G$20</f>
        <v>12</v>
      </c>
      <c r="P176" s="40">
        <f t="shared" ref="P176:T176" si="187">H176/H$188</f>
        <v>0.0647280456</v>
      </c>
      <c r="Q176" s="40">
        <f t="shared" si="187"/>
        <v>0.05813953488</v>
      </c>
      <c r="R176" s="40">
        <f t="shared" si="187"/>
        <v>0.02173913043</v>
      </c>
      <c r="S176" s="40">
        <f t="shared" si="187"/>
        <v>0.01369863014</v>
      </c>
      <c r="T176" s="40">
        <f t="shared" si="187"/>
        <v>0.02597402597</v>
      </c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24"/>
      <c r="G177" s="19">
        <f>$G$21</f>
        <v>13</v>
      </c>
      <c r="H177" s="20">
        <v>702.0</v>
      </c>
      <c r="I177" s="20">
        <v>178.0</v>
      </c>
      <c r="J177" s="20">
        <v>6.0</v>
      </c>
      <c r="K177" s="20">
        <v>9.0</v>
      </c>
      <c r="L177" s="20">
        <v>5.0</v>
      </c>
      <c r="M177" s="63"/>
      <c r="N177" s="23"/>
      <c r="O177" s="19">
        <f>$G$21</f>
        <v>13</v>
      </c>
      <c r="P177" s="40">
        <f t="shared" ref="P177:T177" si="188">H177/H$188</f>
        <v>0.06781953434</v>
      </c>
      <c r="Q177" s="40">
        <f t="shared" si="188"/>
        <v>0.06468023256</v>
      </c>
      <c r="R177" s="40">
        <f t="shared" si="188"/>
        <v>0.03260869565</v>
      </c>
      <c r="S177" s="40">
        <f t="shared" si="188"/>
        <v>0.06164383562</v>
      </c>
      <c r="T177" s="40">
        <f t="shared" si="188"/>
        <v>0.06493506494</v>
      </c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24"/>
      <c r="G178" s="19">
        <f>$G$22</f>
        <v>14</v>
      </c>
      <c r="H178" s="20">
        <v>782.0</v>
      </c>
      <c r="I178" s="20">
        <v>216.0</v>
      </c>
      <c r="J178" s="20">
        <v>17.0</v>
      </c>
      <c r="K178" s="20">
        <v>7.0</v>
      </c>
      <c r="L178" s="20">
        <v>2.0</v>
      </c>
      <c r="M178" s="63"/>
      <c r="N178" s="23"/>
      <c r="O178" s="19">
        <f>$G$22</f>
        <v>14</v>
      </c>
      <c r="P178" s="40">
        <f t="shared" ref="P178:T178" si="189">H178/H$188</f>
        <v>0.07554825621</v>
      </c>
      <c r="Q178" s="40">
        <f t="shared" si="189"/>
        <v>0.07848837209</v>
      </c>
      <c r="R178" s="40">
        <f t="shared" si="189"/>
        <v>0.09239130435</v>
      </c>
      <c r="S178" s="40">
        <f t="shared" si="189"/>
        <v>0.04794520548</v>
      </c>
      <c r="T178" s="40">
        <f t="shared" si="189"/>
        <v>0.02597402597</v>
      </c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24"/>
      <c r="G179" s="19">
        <f>$G$23</f>
        <v>15</v>
      </c>
      <c r="H179" s="20">
        <v>728.0</v>
      </c>
      <c r="I179" s="20">
        <v>172.0</v>
      </c>
      <c r="J179" s="20">
        <v>4.0</v>
      </c>
      <c r="K179" s="20">
        <v>6.0</v>
      </c>
      <c r="L179" s="20">
        <v>5.0</v>
      </c>
      <c r="M179" s="63"/>
      <c r="N179" s="23"/>
      <c r="O179" s="19">
        <f>$G$23</f>
        <v>15</v>
      </c>
      <c r="P179" s="40">
        <f t="shared" ref="P179:T179" si="190">H179/H$188</f>
        <v>0.07033136895</v>
      </c>
      <c r="Q179" s="40">
        <f t="shared" si="190"/>
        <v>0.0625</v>
      </c>
      <c r="R179" s="40">
        <f t="shared" si="190"/>
        <v>0.02173913043</v>
      </c>
      <c r="S179" s="40">
        <f t="shared" si="190"/>
        <v>0.04109589041</v>
      </c>
      <c r="T179" s="40">
        <f t="shared" si="190"/>
        <v>0.06493506494</v>
      </c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24"/>
      <c r="G180" s="19">
        <f>$G$24</f>
        <v>16</v>
      </c>
      <c r="H180" s="20">
        <v>628.0</v>
      </c>
      <c r="I180" s="20">
        <v>151.0</v>
      </c>
      <c r="J180" s="20">
        <v>9.0</v>
      </c>
      <c r="K180" s="20">
        <v>3.0</v>
      </c>
      <c r="L180" s="20">
        <v>2.0</v>
      </c>
      <c r="M180" s="63"/>
      <c r="N180" s="23"/>
      <c r="O180" s="19">
        <f>$G$24</f>
        <v>16</v>
      </c>
      <c r="P180" s="40">
        <f t="shared" ref="P180:T180" si="191">H180/H$188</f>
        <v>0.06067046662</v>
      </c>
      <c r="Q180" s="40">
        <f t="shared" si="191"/>
        <v>0.05486918605</v>
      </c>
      <c r="R180" s="40">
        <f t="shared" si="191"/>
        <v>0.04891304348</v>
      </c>
      <c r="S180" s="40">
        <f t="shared" si="191"/>
        <v>0.02054794521</v>
      </c>
      <c r="T180" s="40">
        <f t="shared" si="191"/>
        <v>0.02597402597</v>
      </c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24"/>
      <c r="G181" s="19">
        <f>$G$25</f>
        <v>17</v>
      </c>
      <c r="H181" s="20">
        <v>493.0</v>
      </c>
      <c r="I181" s="20">
        <v>147.0</v>
      </c>
      <c r="J181" s="20">
        <v>8.0</v>
      </c>
      <c r="K181" s="20">
        <v>13.0</v>
      </c>
      <c r="L181" s="20">
        <v>1.0</v>
      </c>
      <c r="M181" s="63"/>
      <c r="N181" s="23"/>
      <c r="O181" s="19">
        <f>$G$25</f>
        <v>17</v>
      </c>
      <c r="P181" s="40">
        <f t="shared" ref="P181:T181" si="192">H181/H$188</f>
        <v>0.04762824848</v>
      </c>
      <c r="Q181" s="40">
        <f t="shared" si="192"/>
        <v>0.05341569767</v>
      </c>
      <c r="R181" s="40">
        <f t="shared" si="192"/>
        <v>0.04347826087</v>
      </c>
      <c r="S181" s="40">
        <f t="shared" si="192"/>
        <v>0.08904109589</v>
      </c>
      <c r="T181" s="40">
        <f t="shared" si="192"/>
        <v>0.01298701299</v>
      </c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24"/>
      <c r="G182" s="19">
        <f>$G$26</f>
        <v>18</v>
      </c>
      <c r="H182" s="20">
        <v>445.0</v>
      </c>
      <c r="I182" s="20">
        <v>123.0</v>
      </c>
      <c r="J182" s="20">
        <v>2.0</v>
      </c>
      <c r="K182" s="20">
        <v>3.0</v>
      </c>
      <c r="L182" s="20">
        <v>3.0</v>
      </c>
      <c r="M182" s="63"/>
      <c r="N182" s="23"/>
      <c r="O182" s="19">
        <f>$G$26</f>
        <v>18</v>
      </c>
      <c r="P182" s="40">
        <f t="shared" ref="P182:T182" si="193">H182/H$188</f>
        <v>0.04299101536</v>
      </c>
      <c r="Q182" s="40">
        <f t="shared" si="193"/>
        <v>0.04469476744</v>
      </c>
      <c r="R182" s="40">
        <f t="shared" si="193"/>
        <v>0.01086956522</v>
      </c>
      <c r="S182" s="40">
        <f t="shared" si="193"/>
        <v>0.02054794521</v>
      </c>
      <c r="T182" s="40">
        <f t="shared" si="193"/>
        <v>0.03896103896</v>
      </c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24"/>
      <c r="G183" s="19">
        <f>$G$27</f>
        <v>19</v>
      </c>
      <c r="H183" s="20">
        <v>440.0</v>
      </c>
      <c r="I183" s="20">
        <v>105.0</v>
      </c>
      <c r="J183" s="20">
        <v>7.0</v>
      </c>
      <c r="K183" s="20">
        <v>8.0</v>
      </c>
      <c r="L183" s="20">
        <v>3.0</v>
      </c>
      <c r="M183" s="63"/>
      <c r="N183" s="23"/>
      <c r="O183" s="19">
        <f>$G$27</f>
        <v>19</v>
      </c>
      <c r="P183" s="40">
        <f t="shared" ref="P183:T183" si="194">H183/H$188</f>
        <v>0.04250797024</v>
      </c>
      <c r="Q183" s="40">
        <f t="shared" si="194"/>
        <v>0.03815406977</v>
      </c>
      <c r="R183" s="40">
        <f t="shared" si="194"/>
        <v>0.03804347826</v>
      </c>
      <c r="S183" s="40">
        <f t="shared" si="194"/>
        <v>0.05479452055</v>
      </c>
      <c r="T183" s="40">
        <f t="shared" si="194"/>
        <v>0.03896103896</v>
      </c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24"/>
      <c r="G184" s="19">
        <f>$G$28</f>
        <v>20</v>
      </c>
      <c r="H184" s="20">
        <v>426.0</v>
      </c>
      <c r="I184" s="20">
        <v>116.0</v>
      </c>
      <c r="J184" s="20">
        <v>5.0</v>
      </c>
      <c r="K184" s="20">
        <v>8.0</v>
      </c>
      <c r="L184" s="20">
        <v>3.0</v>
      </c>
      <c r="M184" s="63"/>
      <c r="N184" s="23"/>
      <c r="O184" s="19">
        <f>$G$28</f>
        <v>20</v>
      </c>
      <c r="P184" s="40">
        <f t="shared" ref="P184:T184" si="195">H184/H$188</f>
        <v>0.04115544392</v>
      </c>
      <c r="Q184" s="40">
        <f t="shared" si="195"/>
        <v>0.04215116279</v>
      </c>
      <c r="R184" s="40">
        <f t="shared" si="195"/>
        <v>0.02717391304</v>
      </c>
      <c r="S184" s="40">
        <f t="shared" si="195"/>
        <v>0.05479452055</v>
      </c>
      <c r="T184" s="40">
        <f t="shared" si="195"/>
        <v>0.03896103896</v>
      </c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24"/>
      <c r="G185" s="19">
        <f>$G$29</f>
        <v>21</v>
      </c>
      <c r="H185" s="20">
        <v>381.0</v>
      </c>
      <c r="I185" s="20">
        <v>97.0</v>
      </c>
      <c r="J185" s="20">
        <v>3.0</v>
      </c>
      <c r="K185" s="20">
        <v>5.0</v>
      </c>
      <c r="L185" s="20">
        <v>3.0</v>
      </c>
      <c r="M185" s="63"/>
      <c r="N185" s="23"/>
      <c r="O185" s="19">
        <f>$G$29</f>
        <v>21</v>
      </c>
      <c r="P185" s="40">
        <f t="shared" ref="P185:T185" si="196">H185/H$188</f>
        <v>0.03680803787</v>
      </c>
      <c r="Q185" s="40">
        <f t="shared" si="196"/>
        <v>0.03524709302</v>
      </c>
      <c r="R185" s="40">
        <f t="shared" si="196"/>
        <v>0.01630434783</v>
      </c>
      <c r="S185" s="40">
        <f t="shared" si="196"/>
        <v>0.03424657534</v>
      </c>
      <c r="T185" s="40">
        <f t="shared" si="196"/>
        <v>0.03896103896</v>
      </c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24"/>
      <c r="G186" s="19">
        <f>$G$30</f>
        <v>22</v>
      </c>
      <c r="H186" s="20">
        <v>245.0</v>
      </c>
      <c r="I186" s="20">
        <v>49.0</v>
      </c>
      <c r="J186" s="20">
        <v>2.0</v>
      </c>
      <c r="K186" s="20">
        <v>6.0</v>
      </c>
      <c r="L186" s="20">
        <v>5.0</v>
      </c>
      <c r="M186" s="63"/>
      <c r="N186" s="23"/>
      <c r="O186" s="19">
        <f>$G$30</f>
        <v>22</v>
      </c>
      <c r="P186" s="40">
        <f t="shared" ref="P186:T186" si="197">H186/H$188</f>
        <v>0.0236692107</v>
      </c>
      <c r="Q186" s="40">
        <f t="shared" si="197"/>
        <v>0.01780523256</v>
      </c>
      <c r="R186" s="40">
        <f t="shared" si="197"/>
        <v>0.01086956522</v>
      </c>
      <c r="S186" s="40">
        <f t="shared" si="197"/>
        <v>0.04109589041</v>
      </c>
      <c r="T186" s="40">
        <f t="shared" si="197"/>
        <v>0.06493506494</v>
      </c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28"/>
      <c r="G187" s="71">
        <f>$G$31</f>
        <v>23</v>
      </c>
      <c r="H187" s="20">
        <v>114.0</v>
      </c>
      <c r="I187" s="20">
        <v>26.0</v>
      </c>
      <c r="J187" s="20">
        <v>2.0</v>
      </c>
      <c r="K187" s="20">
        <v>3.0</v>
      </c>
      <c r="L187" s="20">
        <v>8.0</v>
      </c>
      <c r="M187" s="63"/>
      <c r="N187" s="27"/>
      <c r="O187" s="19">
        <f>$G$31</f>
        <v>23</v>
      </c>
      <c r="P187" s="40">
        <f t="shared" ref="P187:T187" si="198">H187/H$188</f>
        <v>0.01101342865</v>
      </c>
      <c r="Q187" s="40">
        <f t="shared" si="198"/>
        <v>0.009447674419</v>
      </c>
      <c r="R187" s="40">
        <f t="shared" si="198"/>
        <v>0.01086956522</v>
      </c>
      <c r="S187" s="40">
        <f t="shared" si="198"/>
        <v>0.02054794521</v>
      </c>
      <c r="T187" s="40">
        <f t="shared" si="198"/>
        <v>0.1038961039</v>
      </c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86"/>
      <c r="G188" s="86"/>
      <c r="H188" s="73">
        <f t="shared" ref="H188:L188" si="199">SUM(H164:H187)</f>
        <v>10351</v>
      </c>
      <c r="I188" s="73">
        <f t="shared" si="199"/>
        <v>2752</v>
      </c>
      <c r="J188" s="73">
        <f t="shared" si="199"/>
        <v>184</v>
      </c>
      <c r="K188" s="73">
        <f t="shared" si="199"/>
        <v>146</v>
      </c>
      <c r="L188" s="73">
        <f t="shared" si="199"/>
        <v>77</v>
      </c>
      <c r="M188" s="63"/>
      <c r="N188" s="86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16"/>
      <c r="H189" s="19">
        <f>$H$7</f>
        <v>31</v>
      </c>
      <c r="I189" s="19">
        <f>$I$7</f>
        <v>32</v>
      </c>
      <c r="J189" s="19">
        <f>$J$7</f>
        <v>41</v>
      </c>
      <c r="K189" s="19">
        <f>$K$7</f>
        <v>42</v>
      </c>
      <c r="L189" s="19">
        <f>$L$7</f>
        <v>5</v>
      </c>
      <c r="M189" s="63"/>
      <c r="N189" s="63"/>
      <c r="O189" s="16"/>
      <c r="P189" s="19">
        <f>$H$7</f>
        <v>31</v>
      </c>
      <c r="Q189" s="19">
        <f>$I$7</f>
        <v>32</v>
      </c>
      <c r="R189" s="19">
        <f>$J$7</f>
        <v>41</v>
      </c>
      <c r="S189" s="19">
        <f>$K$7</f>
        <v>42</v>
      </c>
      <c r="T189" s="19">
        <f>$L$7</f>
        <v>5</v>
      </c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21">
        <v>45201.0</v>
      </c>
      <c r="G190" s="19">
        <f>$G$8</f>
        <v>0</v>
      </c>
      <c r="H190" s="20">
        <v>69.0</v>
      </c>
      <c r="I190" s="20">
        <v>27.0</v>
      </c>
      <c r="J190" s="20">
        <v>0.0</v>
      </c>
      <c r="K190" s="20">
        <v>8.0</v>
      </c>
      <c r="L190" s="20">
        <v>2.0</v>
      </c>
      <c r="M190" s="63"/>
      <c r="N190" s="18">
        <v>45201.0</v>
      </c>
      <c r="O190" s="19">
        <f>$G$8</f>
        <v>0</v>
      </c>
      <c r="P190" s="40">
        <f t="shared" ref="P190:T190" si="200">H190/H$214</f>
        <v>0.008923952406</v>
      </c>
      <c r="Q190" s="40">
        <f t="shared" si="200"/>
        <v>0.009417509592</v>
      </c>
      <c r="R190" s="40">
        <f t="shared" si="200"/>
        <v>0</v>
      </c>
      <c r="S190" s="40">
        <f t="shared" si="200"/>
        <v>0.01529636711</v>
      </c>
      <c r="T190" s="40">
        <f t="shared" si="200"/>
        <v>0.003442340792</v>
      </c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24"/>
      <c r="G191" s="19">
        <f>$G$9</f>
        <v>1</v>
      </c>
      <c r="H191" s="20">
        <v>41.0</v>
      </c>
      <c r="I191" s="20">
        <v>14.0</v>
      </c>
      <c r="J191" s="20">
        <v>1.0</v>
      </c>
      <c r="K191" s="20">
        <v>7.0</v>
      </c>
      <c r="L191" s="20">
        <v>2.0</v>
      </c>
      <c r="M191" s="63"/>
      <c r="N191" s="23"/>
      <c r="O191" s="19">
        <f>$G$9</f>
        <v>1</v>
      </c>
      <c r="P191" s="40">
        <f t="shared" ref="P191:T191" si="201">H191/H$214</f>
        <v>0.005302638386</v>
      </c>
      <c r="Q191" s="40">
        <f t="shared" si="201"/>
        <v>0.004883153122</v>
      </c>
      <c r="R191" s="40">
        <f t="shared" si="201"/>
        <v>0.009523809524</v>
      </c>
      <c r="S191" s="40">
        <f t="shared" si="201"/>
        <v>0.01338432122</v>
      </c>
      <c r="T191" s="40">
        <f t="shared" si="201"/>
        <v>0.003442340792</v>
      </c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24"/>
      <c r="G192" s="19">
        <f>$G$10</f>
        <v>2</v>
      </c>
      <c r="H192" s="16">
        <v>39.0</v>
      </c>
      <c r="I192" s="16">
        <v>26.0</v>
      </c>
      <c r="J192" s="16">
        <v>0.0</v>
      </c>
      <c r="K192" s="16">
        <v>6.0</v>
      </c>
      <c r="L192" s="16">
        <v>5.0</v>
      </c>
      <c r="M192" s="63"/>
      <c r="N192" s="23"/>
      <c r="O192" s="19">
        <f>$G$10</f>
        <v>2</v>
      </c>
      <c r="P192" s="40">
        <f t="shared" ref="P192:T192" si="202">H192/H$214</f>
        <v>0.005043973099</v>
      </c>
      <c r="Q192" s="40">
        <f t="shared" si="202"/>
        <v>0.00906871294</v>
      </c>
      <c r="R192" s="40">
        <f t="shared" si="202"/>
        <v>0</v>
      </c>
      <c r="S192" s="40">
        <f t="shared" si="202"/>
        <v>0.01147227533</v>
      </c>
      <c r="T192" s="40">
        <f t="shared" si="202"/>
        <v>0.008605851979</v>
      </c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24"/>
      <c r="G193" s="19">
        <f>$G$11</f>
        <v>3</v>
      </c>
      <c r="H193" s="20">
        <v>60.0</v>
      </c>
      <c r="I193" s="20">
        <v>23.0</v>
      </c>
      <c r="J193" s="20">
        <v>3.0</v>
      </c>
      <c r="K193" s="20">
        <v>8.0</v>
      </c>
      <c r="L193" s="20">
        <v>3.0</v>
      </c>
      <c r="M193" s="63"/>
      <c r="N193" s="23"/>
      <c r="O193" s="19">
        <f>$G$11</f>
        <v>3</v>
      </c>
      <c r="P193" s="40">
        <f t="shared" ref="P193:T193" si="203">H193/H$214</f>
        <v>0.007759958614</v>
      </c>
      <c r="Q193" s="40">
        <f t="shared" si="203"/>
        <v>0.008022322986</v>
      </c>
      <c r="R193" s="40">
        <f t="shared" si="203"/>
        <v>0.02857142857</v>
      </c>
      <c r="S193" s="40">
        <f t="shared" si="203"/>
        <v>0.01529636711</v>
      </c>
      <c r="T193" s="40">
        <f t="shared" si="203"/>
        <v>0.005163511188</v>
      </c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24"/>
      <c r="G194" s="19">
        <f>$G$12</f>
        <v>4</v>
      </c>
      <c r="H194" s="20">
        <v>79.0</v>
      </c>
      <c r="I194" s="20">
        <v>43.0</v>
      </c>
      <c r="J194" s="20">
        <v>0.0</v>
      </c>
      <c r="K194" s="20">
        <v>15.0</v>
      </c>
      <c r="L194" s="20">
        <v>6.0</v>
      </c>
      <c r="M194" s="63"/>
      <c r="N194" s="23"/>
      <c r="O194" s="19">
        <f>$G$12</f>
        <v>4</v>
      </c>
      <c r="P194" s="40">
        <f t="shared" ref="P194:T194" si="204">H194/H$214</f>
        <v>0.01021727884</v>
      </c>
      <c r="Q194" s="40">
        <f t="shared" si="204"/>
        <v>0.01499825602</v>
      </c>
      <c r="R194" s="40">
        <f t="shared" si="204"/>
        <v>0</v>
      </c>
      <c r="S194" s="40">
        <f t="shared" si="204"/>
        <v>0.02868068834</v>
      </c>
      <c r="T194" s="40">
        <f t="shared" si="204"/>
        <v>0.01032702238</v>
      </c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24"/>
      <c r="G195" s="19">
        <f>$G$13</f>
        <v>5</v>
      </c>
      <c r="H195" s="20">
        <v>167.0</v>
      </c>
      <c r="I195" s="20">
        <v>67.0</v>
      </c>
      <c r="J195" s="20">
        <v>2.0</v>
      </c>
      <c r="K195" s="20">
        <v>18.0</v>
      </c>
      <c r="L195" s="20">
        <v>19.0</v>
      </c>
      <c r="M195" s="63"/>
      <c r="N195" s="23"/>
      <c r="O195" s="19">
        <f>$G$13</f>
        <v>5</v>
      </c>
      <c r="P195" s="40">
        <f t="shared" ref="P195:T195" si="205">H195/H$214</f>
        <v>0.02159855147</v>
      </c>
      <c r="Q195" s="40">
        <f t="shared" si="205"/>
        <v>0.02336937565</v>
      </c>
      <c r="R195" s="40">
        <f t="shared" si="205"/>
        <v>0.01904761905</v>
      </c>
      <c r="S195" s="40">
        <f t="shared" si="205"/>
        <v>0.034416826</v>
      </c>
      <c r="T195" s="40">
        <f t="shared" si="205"/>
        <v>0.03270223752</v>
      </c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24"/>
      <c r="G196" s="19">
        <f>$G$14</f>
        <v>6</v>
      </c>
      <c r="H196" s="20">
        <v>455.0</v>
      </c>
      <c r="I196" s="20">
        <v>167.0</v>
      </c>
      <c r="J196" s="20">
        <v>14.0</v>
      </c>
      <c r="K196" s="20">
        <v>30.0</v>
      </c>
      <c r="L196" s="20">
        <v>39.0</v>
      </c>
      <c r="M196" s="63"/>
      <c r="N196" s="23"/>
      <c r="O196" s="19">
        <f>$G$14</f>
        <v>6</v>
      </c>
      <c r="P196" s="40">
        <f t="shared" ref="P196:T196" si="206">H196/H$214</f>
        <v>0.05884635282</v>
      </c>
      <c r="Q196" s="40">
        <f t="shared" si="206"/>
        <v>0.05824904081</v>
      </c>
      <c r="R196" s="40">
        <f t="shared" si="206"/>
        <v>0.1333333333</v>
      </c>
      <c r="S196" s="40">
        <f t="shared" si="206"/>
        <v>0.05736137667</v>
      </c>
      <c r="T196" s="40">
        <f t="shared" si="206"/>
        <v>0.06712564544</v>
      </c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24"/>
      <c r="G197" s="19">
        <f>$G$15</f>
        <v>7</v>
      </c>
      <c r="H197" s="20">
        <v>628.0</v>
      </c>
      <c r="I197" s="20">
        <v>213.0</v>
      </c>
      <c r="J197" s="20">
        <v>24.0</v>
      </c>
      <c r="K197" s="20">
        <v>43.0</v>
      </c>
      <c r="L197" s="20">
        <v>39.0</v>
      </c>
      <c r="M197" s="63"/>
      <c r="N197" s="23"/>
      <c r="O197" s="19">
        <f>$G$15</f>
        <v>7</v>
      </c>
      <c r="P197" s="40">
        <f t="shared" ref="P197:T197" si="207">H197/H$214</f>
        <v>0.08122090016</v>
      </c>
      <c r="Q197" s="40">
        <f t="shared" si="207"/>
        <v>0.07429368678</v>
      </c>
      <c r="R197" s="40">
        <f t="shared" si="207"/>
        <v>0.2285714286</v>
      </c>
      <c r="S197" s="40">
        <f t="shared" si="207"/>
        <v>0.08221797323</v>
      </c>
      <c r="T197" s="40">
        <f t="shared" si="207"/>
        <v>0.06712564544</v>
      </c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24"/>
      <c r="G198" s="19">
        <f>$G$16</f>
        <v>8</v>
      </c>
      <c r="H198" s="20">
        <v>599.0</v>
      </c>
      <c r="I198" s="20">
        <v>251.0</v>
      </c>
      <c r="J198" s="20">
        <v>10.0</v>
      </c>
      <c r="K198" s="20">
        <v>52.0</v>
      </c>
      <c r="L198" s="20">
        <v>41.0</v>
      </c>
      <c r="M198" s="63"/>
      <c r="N198" s="23"/>
      <c r="O198" s="19">
        <f>$G$16</f>
        <v>8</v>
      </c>
      <c r="P198" s="40">
        <f t="shared" ref="P198:T198" si="208">H198/H$214</f>
        <v>0.07747025349</v>
      </c>
      <c r="Q198" s="40">
        <f t="shared" si="208"/>
        <v>0.08754795954</v>
      </c>
      <c r="R198" s="40">
        <f t="shared" si="208"/>
        <v>0.09523809524</v>
      </c>
      <c r="S198" s="40">
        <f t="shared" si="208"/>
        <v>0.09942638623</v>
      </c>
      <c r="T198" s="40">
        <f t="shared" si="208"/>
        <v>0.07056798623</v>
      </c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24"/>
      <c r="G199" s="19">
        <f>$G$17</f>
        <v>9</v>
      </c>
      <c r="H199" s="20">
        <v>664.0</v>
      </c>
      <c r="I199" s="20">
        <v>278.0</v>
      </c>
      <c r="J199" s="20">
        <v>12.0</v>
      </c>
      <c r="K199" s="20">
        <v>39.0</v>
      </c>
      <c r="L199" s="20">
        <v>50.0</v>
      </c>
      <c r="M199" s="63"/>
      <c r="N199" s="23"/>
      <c r="O199" s="19">
        <f>$G$17</f>
        <v>9</v>
      </c>
      <c r="P199" s="40">
        <f t="shared" ref="P199:T199" si="209">H199/H$214</f>
        <v>0.08587687532</v>
      </c>
      <c r="Q199" s="40">
        <f t="shared" si="209"/>
        <v>0.09696546913</v>
      </c>
      <c r="R199" s="40">
        <f t="shared" si="209"/>
        <v>0.1142857143</v>
      </c>
      <c r="S199" s="40">
        <f t="shared" si="209"/>
        <v>0.07456978967</v>
      </c>
      <c r="T199" s="40">
        <f t="shared" si="209"/>
        <v>0.08605851979</v>
      </c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24"/>
      <c r="G200" s="19">
        <f>$G$18</f>
        <v>10</v>
      </c>
      <c r="H200" s="20">
        <v>594.0</v>
      </c>
      <c r="I200" s="20">
        <v>252.0</v>
      </c>
      <c r="J200" s="20">
        <v>3.0</v>
      </c>
      <c r="K200" s="20">
        <v>35.0</v>
      </c>
      <c r="L200" s="20">
        <v>52.0</v>
      </c>
      <c r="M200" s="63"/>
      <c r="N200" s="23"/>
      <c r="O200" s="19">
        <f>$G$18</f>
        <v>10</v>
      </c>
      <c r="P200" s="40">
        <f t="shared" ref="P200:T200" si="210">H200/H$214</f>
        <v>0.07682359027</v>
      </c>
      <c r="Q200" s="40">
        <f t="shared" si="210"/>
        <v>0.08789675619</v>
      </c>
      <c r="R200" s="40">
        <f t="shared" si="210"/>
        <v>0.02857142857</v>
      </c>
      <c r="S200" s="40">
        <f t="shared" si="210"/>
        <v>0.06692160612</v>
      </c>
      <c r="T200" s="40">
        <f t="shared" si="210"/>
        <v>0.08950086059</v>
      </c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24"/>
      <c r="G201" s="19">
        <f>$G$19</f>
        <v>11</v>
      </c>
      <c r="H201" s="20">
        <v>532.0</v>
      </c>
      <c r="I201" s="20">
        <v>198.0</v>
      </c>
      <c r="J201" s="20">
        <v>1.0</v>
      </c>
      <c r="K201" s="20">
        <v>35.0</v>
      </c>
      <c r="L201" s="20">
        <v>48.0</v>
      </c>
      <c r="M201" s="63"/>
      <c r="N201" s="23"/>
      <c r="O201" s="19">
        <f>$G$19</f>
        <v>11</v>
      </c>
      <c r="P201" s="40">
        <f t="shared" ref="P201:T201" si="211">H201/H$214</f>
        <v>0.06880496637</v>
      </c>
      <c r="Q201" s="40">
        <f t="shared" si="211"/>
        <v>0.06906173701</v>
      </c>
      <c r="R201" s="40">
        <f t="shared" si="211"/>
        <v>0.009523809524</v>
      </c>
      <c r="S201" s="40">
        <f t="shared" si="211"/>
        <v>0.06692160612</v>
      </c>
      <c r="T201" s="40">
        <f t="shared" si="211"/>
        <v>0.082616179</v>
      </c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24"/>
      <c r="G202" s="19">
        <f>$G$20</f>
        <v>12</v>
      </c>
      <c r="H202" s="20">
        <v>441.0</v>
      </c>
      <c r="I202" s="20">
        <v>122.0</v>
      </c>
      <c r="J202" s="20">
        <v>3.0</v>
      </c>
      <c r="K202" s="20">
        <v>25.0</v>
      </c>
      <c r="L202" s="20">
        <v>49.0</v>
      </c>
      <c r="M202" s="63"/>
      <c r="N202" s="23"/>
      <c r="O202" s="19">
        <f>$G$20</f>
        <v>12</v>
      </c>
      <c r="P202" s="40">
        <f t="shared" ref="P202:T202" si="212">H202/H$214</f>
        <v>0.05703569581</v>
      </c>
      <c r="Q202" s="40">
        <f t="shared" si="212"/>
        <v>0.04255319149</v>
      </c>
      <c r="R202" s="40">
        <f t="shared" si="212"/>
        <v>0.02857142857</v>
      </c>
      <c r="S202" s="40">
        <f t="shared" si="212"/>
        <v>0.04780114723</v>
      </c>
      <c r="T202" s="40">
        <f t="shared" si="212"/>
        <v>0.0843373494</v>
      </c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24"/>
      <c r="G203" s="19">
        <f>$G$21</f>
        <v>13</v>
      </c>
      <c r="H203" s="20">
        <v>426.0</v>
      </c>
      <c r="I203" s="20">
        <v>168.0</v>
      </c>
      <c r="J203" s="20">
        <v>4.0</v>
      </c>
      <c r="K203" s="20">
        <v>25.0</v>
      </c>
      <c r="L203" s="20">
        <v>30.0</v>
      </c>
      <c r="M203" s="63"/>
      <c r="N203" s="23"/>
      <c r="O203" s="19">
        <f>$G$21</f>
        <v>13</v>
      </c>
      <c r="P203" s="40">
        <f t="shared" ref="P203:T203" si="213">H203/H$214</f>
        <v>0.05509570616</v>
      </c>
      <c r="Q203" s="40">
        <f t="shared" si="213"/>
        <v>0.05859783746</v>
      </c>
      <c r="R203" s="40">
        <f t="shared" si="213"/>
        <v>0.0380952381</v>
      </c>
      <c r="S203" s="40">
        <f t="shared" si="213"/>
        <v>0.04780114723</v>
      </c>
      <c r="T203" s="40">
        <f t="shared" si="213"/>
        <v>0.05163511188</v>
      </c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24"/>
      <c r="G204" s="19">
        <f>$G$22</f>
        <v>14</v>
      </c>
      <c r="H204" s="20">
        <v>409.0</v>
      </c>
      <c r="I204" s="20">
        <v>162.0</v>
      </c>
      <c r="J204" s="20">
        <v>7.0</v>
      </c>
      <c r="K204" s="20">
        <v>40.0</v>
      </c>
      <c r="L204" s="20">
        <v>55.0</v>
      </c>
      <c r="M204" s="63"/>
      <c r="N204" s="23"/>
      <c r="O204" s="19">
        <f>$G$22</f>
        <v>14</v>
      </c>
      <c r="P204" s="40">
        <f t="shared" ref="P204:T204" si="214">H204/H$214</f>
        <v>0.05289705122</v>
      </c>
      <c r="Q204" s="40">
        <f t="shared" si="214"/>
        <v>0.05650505755</v>
      </c>
      <c r="R204" s="40">
        <f t="shared" si="214"/>
        <v>0.06666666667</v>
      </c>
      <c r="S204" s="40">
        <f t="shared" si="214"/>
        <v>0.07648183556</v>
      </c>
      <c r="T204" s="40">
        <f t="shared" si="214"/>
        <v>0.09466437177</v>
      </c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24"/>
      <c r="G205" s="19">
        <f>$G$23</f>
        <v>15</v>
      </c>
      <c r="H205" s="20">
        <v>380.0</v>
      </c>
      <c r="I205" s="20">
        <v>142.0</v>
      </c>
      <c r="J205" s="20">
        <v>6.0</v>
      </c>
      <c r="K205" s="20">
        <v>24.0</v>
      </c>
      <c r="L205" s="20">
        <v>27.0</v>
      </c>
      <c r="M205" s="63"/>
      <c r="N205" s="23"/>
      <c r="O205" s="19">
        <f>$G$23</f>
        <v>15</v>
      </c>
      <c r="P205" s="40">
        <f t="shared" ref="P205:T205" si="215">H205/H$214</f>
        <v>0.04914640455</v>
      </c>
      <c r="Q205" s="40">
        <f t="shared" si="215"/>
        <v>0.04952912452</v>
      </c>
      <c r="R205" s="40">
        <f t="shared" si="215"/>
        <v>0.05714285714</v>
      </c>
      <c r="S205" s="40">
        <f t="shared" si="215"/>
        <v>0.04588910134</v>
      </c>
      <c r="T205" s="40">
        <f t="shared" si="215"/>
        <v>0.04647160069</v>
      </c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24"/>
      <c r="G206" s="19">
        <f>$G$24</f>
        <v>16</v>
      </c>
      <c r="H206" s="20">
        <v>417.0</v>
      </c>
      <c r="I206" s="20">
        <v>148.0</v>
      </c>
      <c r="J206" s="20">
        <v>4.0</v>
      </c>
      <c r="K206" s="20">
        <v>27.0</v>
      </c>
      <c r="L206" s="20">
        <v>27.0</v>
      </c>
      <c r="M206" s="63"/>
      <c r="N206" s="23"/>
      <c r="O206" s="19">
        <f>$G$24</f>
        <v>16</v>
      </c>
      <c r="P206" s="40">
        <f t="shared" ref="P206:T206" si="216">H206/H$214</f>
        <v>0.05393171236</v>
      </c>
      <c r="Q206" s="40">
        <f t="shared" si="216"/>
        <v>0.05162190443</v>
      </c>
      <c r="R206" s="40">
        <f t="shared" si="216"/>
        <v>0.0380952381</v>
      </c>
      <c r="S206" s="40">
        <f t="shared" si="216"/>
        <v>0.05162523901</v>
      </c>
      <c r="T206" s="40">
        <f t="shared" si="216"/>
        <v>0.04647160069</v>
      </c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24"/>
      <c r="G207" s="19">
        <f>$G$25</f>
        <v>17</v>
      </c>
      <c r="H207" s="20">
        <v>466.0</v>
      </c>
      <c r="I207" s="20">
        <v>195.0</v>
      </c>
      <c r="J207" s="20">
        <v>2.0</v>
      </c>
      <c r="K207" s="20">
        <v>19.0</v>
      </c>
      <c r="L207" s="20">
        <v>22.0</v>
      </c>
      <c r="M207" s="63"/>
      <c r="N207" s="23"/>
      <c r="O207" s="19">
        <f>$G$25</f>
        <v>17</v>
      </c>
      <c r="P207" s="40">
        <f t="shared" ref="P207:T207" si="217">H207/H$214</f>
        <v>0.0602690119</v>
      </c>
      <c r="Q207" s="40">
        <f t="shared" si="217"/>
        <v>0.06801534705</v>
      </c>
      <c r="R207" s="40">
        <f t="shared" si="217"/>
        <v>0.01904761905</v>
      </c>
      <c r="S207" s="40">
        <f t="shared" si="217"/>
        <v>0.03632887189</v>
      </c>
      <c r="T207" s="40">
        <f t="shared" si="217"/>
        <v>0.03786574871</v>
      </c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24"/>
      <c r="G208" s="19">
        <f>$G$26</f>
        <v>18</v>
      </c>
      <c r="H208" s="20">
        <v>334.0</v>
      </c>
      <c r="I208" s="20">
        <v>121.0</v>
      </c>
      <c r="J208" s="20">
        <v>1.0</v>
      </c>
      <c r="K208" s="20">
        <v>16.0</v>
      </c>
      <c r="L208" s="20">
        <v>12.0</v>
      </c>
      <c r="M208" s="63"/>
      <c r="N208" s="23"/>
      <c r="O208" s="19">
        <f>$G$26</f>
        <v>18</v>
      </c>
      <c r="P208" s="40">
        <f t="shared" ref="P208:T208" si="218">H208/H$214</f>
        <v>0.04319710295</v>
      </c>
      <c r="Q208" s="40">
        <f t="shared" si="218"/>
        <v>0.04220439484</v>
      </c>
      <c r="R208" s="40">
        <f t="shared" si="218"/>
        <v>0.009523809524</v>
      </c>
      <c r="S208" s="40">
        <f t="shared" si="218"/>
        <v>0.03059273423</v>
      </c>
      <c r="T208" s="40">
        <f t="shared" si="218"/>
        <v>0.02065404475</v>
      </c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24"/>
      <c r="G209" s="19">
        <f>$G$27</f>
        <v>19</v>
      </c>
      <c r="H209" s="20">
        <v>268.0</v>
      </c>
      <c r="I209" s="20">
        <v>79.0</v>
      </c>
      <c r="J209" s="20">
        <v>2.0</v>
      </c>
      <c r="K209" s="20">
        <v>14.0</v>
      </c>
      <c r="L209" s="20">
        <v>17.0</v>
      </c>
      <c r="M209" s="63"/>
      <c r="N209" s="23"/>
      <c r="O209" s="19">
        <f>$G$27</f>
        <v>19</v>
      </c>
      <c r="P209" s="40">
        <f t="shared" ref="P209:T209" si="219">H209/H$214</f>
        <v>0.03466114847</v>
      </c>
      <c r="Q209" s="40">
        <f t="shared" si="219"/>
        <v>0.02755493547</v>
      </c>
      <c r="R209" s="40">
        <f t="shared" si="219"/>
        <v>0.01904761905</v>
      </c>
      <c r="S209" s="40">
        <f t="shared" si="219"/>
        <v>0.02676864245</v>
      </c>
      <c r="T209" s="40">
        <f t="shared" si="219"/>
        <v>0.02925989673</v>
      </c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24"/>
      <c r="G210" s="19">
        <f>$G$28</f>
        <v>20</v>
      </c>
      <c r="H210" s="20">
        <v>224.0</v>
      </c>
      <c r="I210" s="20">
        <v>61.0</v>
      </c>
      <c r="J210" s="20">
        <v>0.0</v>
      </c>
      <c r="K210" s="20">
        <v>14.0</v>
      </c>
      <c r="L210" s="20">
        <v>9.0</v>
      </c>
      <c r="M210" s="63"/>
      <c r="N210" s="23"/>
      <c r="O210" s="19">
        <f>$G$28</f>
        <v>20</v>
      </c>
      <c r="P210" s="40">
        <f t="shared" ref="P210:T210" si="220">H210/H$214</f>
        <v>0.02897051216</v>
      </c>
      <c r="Q210" s="40">
        <f t="shared" si="220"/>
        <v>0.02127659574</v>
      </c>
      <c r="R210" s="40">
        <f t="shared" si="220"/>
        <v>0</v>
      </c>
      <c r="S210" s="40">
        <f t="shared" si="220"/>
        <v>0.02676864245</v>
      </c>
      <c r="T210" s="40">
        <f t="shared" si="220"/>
        <v>0.01549053356</v>
      </c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24"/>
      <c r="G211" s="19">
        <f>$G$29</f>
        <v>21</v>
      </c>
      <c r="H211" s="20">
        <v>209.0</v>
      </c>
      <c r="I211" s="20">
        <v>55.0</v>
      </c>
      <c r="J211" s="20">
        <v>4.0</v>
      </c>
      <c r="K211" s="20">
        <v>6.0</v>
      </c>
      <c r="L211" s="20">
        <v>10.0</v>
      </c>
      <c r="M211" s="63"/>
      <c r="N211" s="23"/>
      <c r="O211" s="19">
        <f>$G$29</f>
        <v>21</v>
      </c>
      <c r="P211" s="40">
        <f t="shared" ref="P211:T211" si="221">H211/H$214</f>
        <v>0.0270305225</v>
      </c>
      <c r="Q211" s="40">
        <f t="shared" si="221"/>
        <v>0.01918381584</v>
      </c>
      <c r="R211" s="40">
        <f t="shared" si="221"/>
        <v>0.0380952381</v>
      </c>
      <c r="S211" s="40">
        <f t="shared" si="221"/>
        <v>0.01147227533</v>
      </c>
      <c r="T211" s="40">
        <f t="shared" si="221"/>
        <v>0.01721170396</v>
      </c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24"/>
      <c r="G212" s="19">
        <f>$G$30</f>
        <v>22</v>
      </c>
      <c r="H212" s="20">
        <v>143.0</v>
      </c>
      <c r="I212" s="20">
        <v>30.0</v>
      </c>
      <c r="J212" s="20">
        <v>1.0</v>
      </c>
      <c r="K212" s="20">
        <v>11.0</v>
      </c>
      <c r="L212" s="20">
        <v>10.0</v>
      </c>
      <c r="M212" s="63"/>
      <c r="N212" s="23"/>
      <c r="O212" s="19">
        <f>$G$30</f>
        <v>22</v>
      </c>
      <c r="P212" s="40">
        <f t="shared" ref="P212:T212" si="222">H212/H$214</f>
        <v>0.01849456803</v>
      </c>
      <c r="Q212" s="40">
        <f t="shared" si="222"/>
        <v>0.01046389955</v>
      </c>
      <c r="R212" s="40">
        <f t="shared" si="222"/>
        <v>0.009523809524</v>
      </c>
      <c r="S212" s="40">
        <f t="shared" si="222"/>
        <v>0.02103250478</v>
      </c>
      <c r="T212" s="40">
        <f t="shared" si="222"/>
        <v>0.01721170396</v>
      </c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28"/>
      <c r="G213" s="71">
        <f>$G$31</f>
        <v>23</v>
      </c>
      <c r="H213" s="20">
        <v>88.0</v>
      </c>
      <c r="I213" s="20">
        <v>25.0</v>
      </c>
      <c r="J213" s="20">
        <v>1.0</v>
      </c>
      <c r="K213" s="20">
        <v>6.0</v>
      </c>
      <c r="L213" s="20">
        <v>7.0</v>
      </c>
      <c r="M213" s="63"/>
      <c r="N213" s="27"/>
      <c r="O213" s="19">
        <f>$G$31</f>
        <v>23</v>
      </c>
      <c r="P213" s="40">
        <f t="shared" ref="P213:T213" si="223">H213/H$214</f>
        <v>0.01138127263</v>
      </c>
      <c r="Q213" s="40">
        <f t="shared" si="223"/>
        <v>0.008719916289</v>
      </c>
      <c r="R213" s="40">
        <f t="shared" si="223"/>
        <v>0.009523809524</v>
      </c>
      <c r="S213" s="40">
        <f t="shared" si="223"/>
        <v>0.01147227533</v>
      </c>
      <c r="T213" s="40">
        <f t="shared" si="223"/>
        <v>0.01204819277</v>
      </c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86"/>
      <c r="G214" s="86"/>
      <c r="H214" s="73">
        <f t="shared" ref="H214:L214" si="224">SUM(H190:H213)</f>
        <v>7732</v>
      </c>
      <c r="I214" s="73">
        <f t="shared" si="224"/>
        <v>2867</v>
      </c>
      <c r="J214" s="73">
        <f t="shared" si="224"/>
        <v>105</v>
      </c>
      <c r="K214" s="73">
        <f t="shared" si="224"/>
        <v>523</v>
      </c>
      <c r="L214" s="73">
        <f t="shared" si="224"/>
        <v>581</v>
      </c>
      <c r="M214" s="63"/>
      <c r="N214" s="86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16"/>
      <c r="H215" s="19">
        <f>$H$7</f>
        <v>31</v>
      </c>
      <c r="I215" s="19">
        <f>$I$7</f>
        <v>32</v>
      </c>
      <c r="J215" s="19">
        <f>$J$7</f>
        <v>41</v>
      </c>
      <c r="K215" s="19">
        <f>$K$7</f>
        <v>42</v>
      </c>
      <c r="L215" s="19">
        <f>$L$7</f>
        <v>5</v>
      </c>
      <c r="M215" s="63"/>
      <c r="N215" s="63"/>
      <c r="O215" s="16"/>
      <c r="P215" s="19">
        <f>$H$7</f>
        <v>31</v>
      </c>
      <c r="Q215" s="19">
        <f>$I$7</f>
        <v>32</v>
      </c>
      <c r="R215" s="19">
        <f>$J$7</f>
        <v>41</v>
      </c>
      <c r="S215" s="19">
        <f>$K$7</f>
        <v>42</v>
      </c>
      <c r="T215" s="19">
        <f>$L$7</f>
        <v>5</v>
      </c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21">
        <v>45202.0</v>
      </c>
      <c r="G216" s="19">
        <f>$G$8</f>
        <v>0</v>
      </c>
      <c r="H216" s="20">
        <v>44.0</v>
      </c>
      <c r="I216" s="20">
        <v>21.0</v>
      </c>
      <c r="J216" s="20">
        <v>0.0</v>
      </c>
      <c r="K216" s="20">
        <v>13.0</v>
      </c>
      <c r="L216" s="20">
        <v>8.0</v>
      </c>
      <c r="M216" s="63"/>
      <c r="N216" s="18">
        <v>45202.0</v>
      </c>
      <c r="O216" s="19">
        <f>$G$8</f>
        <v>0</v>
      </c>
      <c r="P216" s="40">
        <f t="shared" ref="P216:T216" si="225">H216/H$240</f>
        <v>0.006812200031</v>
      </c>
      <c r="Q216" s="40">
        <f t="shared" si="225"/>
        <v>0.007625272331</v>
      </c>
      <c r="R216" s="40">
        <f t="shared" si="225"/>
        <v>0</v>
      </c>
      <c r="S216" s="40">
        <f t="shared" si="225"/>
        <v>0.02034428795</v>
      </c>
      <c r="T216" s="40">
        <f t="shared" si="225"/>
        <v>0.01446654611</v>
      </c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24"/>
      <c r="G217" s="19">
        <f>$G$9</f>
        <v>1</v>
      </c>
      <c r="H217" s="20">
        <v>33.0</v>
      </c>
      <c r="I217" s="20">
        <v>17.0</v>
      </c>
      <c r="J217" s="20">
        <v>0.0</v>
      </c>
      <c r="K217" s="20">
        <v>5.0</v>
      </c>
      <c r="L217" s="20">
        <v>7.0</v>
      </c>
      <c r="M217" s="63"/>
      <c r="N217" s="23"/>
      <c r="O217" s="19">
        <f>$G$9</f>
        <v>1</v>
      </c>
      <c r="P217" s="40">
        <f t="shared" ref="P217:T217" si="226">H217/H$240</f>
        <v>0.005109150023</v>
      </c>
      <c r="Q217" s="40">
        <f t="shared" si="226"/>
        <v>0.006172839506</v>
      </c>
      <c r="R217" s="40">
        <f t="shared" si="226"/>
        <v>0</v>
      </c>
      <c r="S217" s="40">
        <f t="shared" si="226"/>
        <v>0.007824726135</v>
      </c>
      <c r="T217" s="40">
        <f t="shared" si="226"/>
        <v>0.01265822785</v>
      </c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24"/>
      <c r="G218" s="19">
        <f>$G$10</f>
        <v>2</v>
      </c>
      <c r="H218" s="16">
        <v>33.0</v>
      </c>
      <c r="I218" s="16">
        <v>12.0</v>
      </c>
      <c r="J218" s="16">
        <v>0.0</v>
      </c>
      <c r="K218" s="16">
        <v>16.0</v>
      </c>
      <c r="L218" s="16">
        <v>7.0</v>
      </c>
      <c r="M218" s="63"/>
      <c r="N218" s="23"/>
      <c r="O218" s="19">
        <f>$G$10</f>
        <v>2</v>
      </c>
      <c r="P218" s="40">
        <f t="shared" ref="P218:T218" si="227">H218/H$240</f>
        <v>0.005109150023</v>
      </c>
      <c r="Q218" s="40">
        <f t="shared" si="227"/>
        <v>0.004357298475</v>
      </c>
      <c r="R218" s="40">
        <f t="shared" si="227"/>
        <v>0</v>
      </c>
      <c r="S218" s="40">
        <f t="shared" si="227"/>
        <v>0.02503912363</v>
      </c>
      <c r="T218" s="40">
        <f t="shared" si="227"/>
        <v>0.01265822785</v>
      </c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24"/>
      <c r="G219" s="19">
        <f>$G$11</f>
        <v>3</v>
      </c>
      <c r="H219" s="20">
        <v>36.0</v>
      </c>
      <c r="I219" s="20">
        <v>21.0</v>
      </c>
      <c r="J219" s="20">
        <v>0.0</v>
      </c>
      <c r="K219" s="20">
        <v>4.0</v>
      </c>
      <c r="L219" s="20">
        <v>11.0</v>
      </c>
      <c r="M219" s="63"/>
      <c r="N219" s="23"/>
      <c r="O219" s="19">
        <f>$G$11</f>
        <v>3</v>
      </c>
      <c r="P219" s="40">
        <f t="shared" ref="P219:T219" si="228">H219/H$240</f>
        <v>0.005573618207</v>
      </c>
      <c r="Q219" s="40">
        <f t="shared" si="228"/>
        <v>0.007625272331</v>
      </c>
      <c r="R219" s="40">
        <f t="shared" si="228"/>
        <v>0</v>
      </c>
      <c r="S219" s="40">
        <f t="shared" si="228"/>
        <v>0.006259780908</v>
      </c>
      <c r="T219" s="40">
        <f t="shared" si="228"/>
        <v>0.0198915009</v>
      </c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24"/>
      <c r="G220" s="19">
        <f>$G$12</f>
        <v>4</v>
      </c>
      <c r="H220" s="20">
        <v>64.0</v>
      </c>
      <c r="I220" s="20">
        <v>44.0</v>
      </c>
      <c r="J220" s="20">
        <v>4.0</v>
      </c>
      <c r="K220" s="20">
        <v>19.0</v>
      </c>
      <c r="L220" s="20">
        <v>20.0</v>
      </c>
      <c r="M220" s="63"/>
      <c r="N220" s="23"/>
      <c r="O220" s="19">
        <f>$G$12</f>
        <v>4</v>
      </c>
      <c r="P220" s="40">
        <f t="shared" ref="P220:T220" si="229">H220/H$240</f>
        <v>0.00990865459</v>
      </c>
      <c r="Q220" s="40">
        <f t="shared" si="229"/>
        <v>0.01597676107</v>
      </c>
      <c r="R220" s="40">
        <f t="shared" si="229"/>
        <v>0.03773584906</v>
      </c>
      <c r="S220" s="40">
        <f t="shared" si="229"/>
        <v>0.02973395931</v>
      </c>
      <c r="T220" s="40">
        <f t="shared" si="229"/>
        <v>0.03616636528</v>
      </c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24"/>
      <c r="G221" s="19">
        <f>$G$13</f>
        <v>5</v>
      </c>
      <c r="H221" s="20">
        <v>135.0</v>
      </c>
      <c r="I221" s="20">
        <v>77.0</v>
      </c>
      <c r="J221" s="20">
        <v>4.0</v>
      </c>
      <c r="K221" s="20">
        <v>32.0</v>
      </c>
      <c r="L221" s="20">
        <v>14.0</v>
      </c>
      <c r="M221" s="63"/>
      <c r="N221" s="23"/>
      <c r="O221" s="19">
        <f>$G$13</f>
        <v>5</v>
      </c>
      <c r="P221" s="40">
        <f t="shared" ref="P221:T221" si="230">H221/H$240</f>
        <v>0.02090106828</v>
      </c>
      <c r="Q221" s="40">
        <f t="shared" si="230"/>
        <v>0.02795933188</v>
      </c>
      <c r="R221" s="40">
        <f t="shared" si="230"/>
        <v>0.03773584906</v>
      </c>
      <c r="S221" s="40">
        <f t="shared" si="230"/>
        <v>0.05007824726</v>
      </c>
      <c r="T221" s="40">
        <f t="shared" si="230"/>
        <v>0.0253164557</v>
      </c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24"/>
      <c r="G222" s="19">
        <f>$G$14</f>
        <v>6</v>
      </c>
      <c r="H222" s="20">
        <v>324.0</v>
      </c>
      <c r="I222" s="20">
        <v>140.0</v>
      </c>
      <c r="J222" s="20">
        <v>13.0</v>
      </c>
      <c r="K222" s="20">
        <v>30.0</v>
      </c>
      <c r="L222" s="20">
        <v>39.0</v>
      </c>
      <c r="M222" s="63"/>
      <c r="N222" s="23"/>
      <c r="O222" s="19">
        <f>$G$14</f>
        <v>6</v>
      </c>
      <c r="P222" s="40">
        <f t="shared" ref="P222:T222" si="231">H222/H$240</f>
        <v>0.05016256386</v>
      </c>
      <c r="Q222" s="40">
        <f t="shared" si="231"/>
        <v>0.05083514887</v>
      </c>
      <c r="R222" s="40">
        <f t="shared" si="231"/>
        <v>0.1226415094</v>
      </c>
      <c r="S222" s="40">
        <f t="shared" si="231"/>
        <v>0.04694835681</v>
      </c>
      <c r="T222" s="40">
        <f t="shared" si="231"/>
        <v>0.0705244123</v>
      </c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24"/>
      <c r="G223" s="19">
        <f>$G$15</f>
        <v>7</v>
      </c>
      <c r="H223" s="20">
        <v>540.0</v>
      </c>
      <c r="I223" s="20">
        <v>187.0</v>
      </c>
      <c r="J223" s="20">
        <v>24.0</v>
      </c>
      <c r="K223" s="20">
        <v>62.0</v>
      </c>
      <c r="L223" s="20">
        <v>49.0</v>
      </c>
      <c r="M223" s="63"/>
      <c r="N223" s="23"/>
      <c r="O223" s="19">
        <f>$G$15</f>
        <v>7</v>
      </c>
      <c r="P223" s="40">
        <f t="shared" ref="P223:T223" si="232">H223/H$240</f>
        <v>0.08360427311</v>
      </c>
      <c r="Q223" s="40">
        <f t="shared" si="232"/>
        <v>0.06790123457</v>
      </c>
      <c r="R223" s="40">
        <f t="shared" si="232"/>
        <v>0.2264150943</v>
      </c>
      <c r="S223" s="40">
        <f t="shared" si="232"/>
        <v>0.09702660407</v>
      </c>
      <c r="T223" s="40">
        <f t="shared" si="232"/>
        <v>0.08860759494</v>
      </c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24"/>
      <c r="G224" s="19">
        <f>$G$16</f>
        <v>8</v>
      </c>
      <c r="H224" s="20">
        <v>445.0</v>
      </c>
      <c r="I224" s="20">
        <v>278.0</v>
      </c>
      <c r="J224" s="20">
        <v>7.0</v>
      </c>
      <c r="K224" s="20">
        <v>51.0</v>
      </c>
      <c r="L224" s="20">
        <v>36.0</v>
      </c>
      <c r="M224" s="63"/>
      <c r="N224" s="23"/>
      <c r="O224" s="19">
        <f>$G$16</f>
        <v>8</v>
      </c>
      <c r="P224" s="40">
        <f t="shared" ref="P224:T224" si="233">H224/H$240</f>
        <v>0.06889611395</v>
      </c>
      <c r="Q224" s="40">
        <f t="shared" si="233"/>
        <v>0.1009440813</v>
      </c>
      <c r="R224" s="40">
        <f t="shared" si="233"/>
        <v>0.06603773585</v>
      </c>
      <c r="S224" s="40">
        <f t="shared" si="233"/>
        <v>0.07981220657</v>
      </c>
      <c r="T224" s="40">
        <f t="shared" si="233"/>
        <v>0.0650994575</v>
      </c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24"/>
      <c r="G225" s="19">
        <f>$G$17</f>
        <v>9</v>
      </c>
      <c r="H225" s="20">
        <v>513.0</v>
      </c>
      <c r="I225" s="20">
        <v>260.0</v>
      </c>
      <c r="J225" s="20">
        <v>9.0</v>
      </c>
      <c r="K225" s="20">
        <v>58.0</v>
      </c>
      <c r="L225" s="20">
        <v>40.0</v>
      </c>
      <c r="M225" s="63"/>
      <c r="N225" s="23"/>
      <c r="O225" s="19">
        <f>$G$17</f>
        <v>9</v>
      </c>
      <c r="P225" s="40">
        <f t="shared" ref="P225:T225" si="234">H225/H$240</f>
        <v>0.07942405945</v>
      </c>
      <c r="Q225" s="40">
        <f t="shared" si="234"/>
        <v>0.09440813362</v>
      </c>
      <c r="R225" s="40">
        <f t="shared" si="234"/>
        <v>0.08490566038</v>
      </c>
      <c r="S225" s="40">
        <f t="shared" si="234"/>
        <v>0.09076682316</v>
      </c>
      <c r="T225" s="40">
        <f t="shared" si="234"/>
        <v>0.07233273056</v>
      </c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24"/>
      <c r="G226" s="19">
        <f>$G$18</f>
        <v>10</v>
      </c>
      <c r="H226" s="20">
        <v>509.0</v>
      </c>
      <c r="I226" s="20">
        <v>212.0</v>
      </c>
      <c r="J226" s="20">
        <v>1.0</v>
      </c>
      <c r="K226" s="20">
        <v>53.0</v>
      </c>
      <c r="L226" s="20">
        <v>42.0</v>
      </c>
      <c r="M226" s="63"/>
      <c r="N226" s="23"/>
      <c r="O226" s="19">
        <f>$G$18</f>
        <v>10</v>
      </c>
      <c r="P226" s="40">
        <f t="shared" ref="P226:T226" si="235">H226/H$240</f>
        <v>0.07880476854</v>
      </c>
      <c r="Q226" s="40">
        <f t="shared" si="235"/>
        <v>0.07697893972</v>
      </c>
      <c r="R226" s="40">
        <f t="shared" si="235"/>
        <v>0.009433962264</v>
      </c>
      <c r="S226" s="40">
        <f t="shared" si="235"/>
        <v>0.08294209703</v>
      </c>
      <c r="T226" s="40">
        <f t="shared" si="235"/>
        <v>0.07594936709</v>
      </c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24"/>
      <c r="G227" s="19">
        <f>$G$19</f>
        <v>11</v>
      </c>
      <c r="H227" s="20">
        <v>401.0</v>
      </c>
      <c r="I227" s="20">
        <v>157.0</v>
      </c>
      <c r="J227" s="20">
        <v>3.0</v>
      </c>
      <c r="K227" s="20">
        <v>33.0</v>
      </c>
      <c r="L227" s="20">
        <v>46.0</v>
      </c>
      <c r="M227" s="63"/>
      <c r="N227" s="23"/>
      <c r="O227" s="19">
        <f>$G$19</f>
        <v>11</v>
      </c>
      <c r="P227" s="40">
        <f t="shared" ref="P227:T227" si="236">H227/H$240</f>
        <v>0.06208391392</v>
      </c>
      <c r="Q227" s="40">
        <f t="shared" si="236"/>
        <v>0.05700798838</v>
      </c>
      <c r="R227" s="40">
        <f t="shared" si="236"/>
        <v>0.02830188679</v>
      </c>
      <c r="S227" s="40">
        <f t="shared" si="236"/>
        <v>0.05164319249</v>
      </c>
      <c r="T227" s="40">
        <f t="shared" si="236"/>
        <v>0.08318264014</v>
      </c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24"/>
      <c r="G228" s="19">
        <f>$G$20</f>
        <v>12</v>
      </c>
      <c r="H228" s="20">
        <v>360.0</v>
      </c>
      <c r="I228" s="20">
        <v>162.0</v>
      </c>
      <c r="J228" s="20">
        <v>5.0</v>
      </c>
      <c r="K228" s="20">
        <v>36.0</v>
      </c>
      <c r="L228" s="20">
        <v>40.0</v>
      </c>
      <c r="M228" s="63"/>
      <c r="N228" s="23"/>
      <c r="O228" s="19">
        <f>$G$20</f>
        <v>12</v>
      </c>
      <c r="P228" s="40">
        <f t="shared" ref="P228:T228" si="237">H228/H$240</f>
        <v>0.05573618207</v>
      </c>
      <c r="Q228" s="40">
        <f t="shared" si="237"/>
        <v>0.05882352941</v>
      </c>
      <c r="R228" s="40">
        <f t="shared" si="237"/>
        <v>0.04716981132</v>
      </c>
      <c r="S228" s="40">
        <f t="shared" si="237"/>
        <v>0.05633802817</v>
      </c>
      <c r="T228" s="40">
        <f t="shared" si="237"/>
        <v>0.07233273056</v>
      </c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24"/>
      <c r="G229" s="19">
        <f>$G$21</f>
        <v>13</v>
      </c>
      <c r="H229" s="20">
        <v>351.0</v>
      </c>
      <c r="I229" s="20">
        <v>131.0</v>
      </c>
      <c r="J229" s="20">
        <v>5.0</v>
      </c>
      <c r="K229" s="20">
        <v>28.0</v>
      </c>
      <c r="L229" s="20">
        <v>31.0</v>
      </c>
      <c r="M229" s="63"/>
      <c r="N229" s="23"/>
      <c r="O229" s="19">
        <f>$G$21</f>
        <v>13</v>
      </c>
      <c r="P229" s="40">
        <f t="shared" ref="P229:T229" si="238">H229/H$240</f>
        <v>0.05434277752</v>
      </c>
      <c r="Q229" s="40">
        <f t="shared" si="238"/>
        <v>0.04756717502</v>
      </c>
      <c r="R229" s="40">
        <f t="shared" si="238"/>
        <v>0.04716981132</v>
      </c>
      <c r="S229" s="40">
        <f t="shared" si="238"/>
        <v>0.04381846635</v>
      </c>
      <c r="T229" s="40">
        <f t="shared" si="238"/>
        <v>0.05605786618</v>
      </c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24"/>
      <c r="G230" s="19">
        <f>$G$22</f>
        <v>14</v>
      </c>
      <c r="H230" s="20">
        <v>371.0</v>
      </c>
      <c r="I230" s="20">
        <v>154.0</v>
      </c>
      <c r="J230" s="20">
        <v>15.0</v>
      </c>
      <c r="K230" s="20">
        <v>35.0</v>
      </c>
      <c r="L230" s="20">
        <v>33.0</v>
      </c>
      <c r="M230" s="63"/>
      <c r="N230" s="23"/>
      <c r="O230" s="19">
        <f>$G$22</f>
        <v>14</v>
      </c>
      <c r="P230" s="40">
        <f t="shared" ref="P230:T230" si="239">H230/H$240</f>
        <v>0.05743923208</v>
      </c>
      <c r="Q230" s="40">
        <f t="shared" si="239"/>
        <v>0.05591866376</v>
      </c>
      <c r="R230" s="40">
        <f t="shared" si="239"/>
        <v>0.141509434</v>
      </c>
      <c r="S230" s="40">
        <f t="shared" si="239"/>
        <v>0.05477308294</v>
      </c>
      <c r="T230" s="40">
        <f t="shared" si="239"/>
        <v>0.05967450271</v>
      </c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24"/>
      <c r="G231" s="19">
        <f>$G$23</f>
        <v>15</v>
      </c>
      <c r="H231" s="20">
        <v>369.0</v>
      </c>
      <c r="I231" s="20">
        <v>158.0</v>
      </c>
      <c r="J231" s="20">
        <v>7.0</v>
      </c>
      <c r="K231" s="20">
        <v>33.0</v>
      </c>
      <c r="L231" s="20">
        <v>40.0</v>
      </c>
      <c r="M231" s="63"/>
      <c r="N231" s="23"/>
      <c r="O231" s="19">
        <f>$G$23</f>
        <v>15</v>
      </c>
      <c r="P231" s="40">
        <f t="shared" ref="P231:T231" si="240">H231/H$240</f>
        <v>0.05712958662</v>
      </c>
      <c r="Q231" s="40">
        <f t="shared" si="240"/>
        <v>0.05737109659</v>
      </c>
      <c r="R231" s="40">
        <f t="shared" si="240"/>
        <v>0.06603773585</v>
      </c>
      <c r="S231" s="40">
        <f t="shared" si="240"/>
        <v>0.05164319249</v>
      </c>
      <c r="T231" s="40">
        <f t="shared" si="240"/>
        <v>0.07233273056</v>
      </c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24"/>
      <c r="G232" s="19">
        <f>$G$24</f>
        <v>16</v>
      </c>
      <c r="H232" s="20">
        <v>347.0</v>
      </c>
      <c r="I232" s="20">
        <v>170.0</v>
      </c>
      <c r="J232" s="20">
        <v>4.0</v>
      </c>
      <c r="K232" s="20">
        <v>23.0</v>
      </c>
      <c r="L232" s="20">
        <v>15.0</v>
      </c>
      <c r="M232" s="63"/>
      <c r="N232" s="23"/>
      <c r="O232" s="19">
        <f>$G$24</f>
        <v>16</v>
      </c>
      <c r="P232" s="40">
        <f t="shared" ref="P232:T232" si="241">H232/H$240</f>
        <v>0.05372348661</v>
      </c>
      <c r="Q232" s="40">
        <f t="shared" si="241"/>
        <v>0.06172839506</v>
      </c>
      <c r="R232" s="40">
        <f t="shared" si="241"/>
        <v>0.03773584906</v>
      </c>
      <c r="S232" s="40">
        <f t="shared" si="241"/>
        <v>0.03599374022</v>
      </c>
      <c r="T232" s="40">
        <f t="shared" si="241"/>
        <v>0.02712477396</v>
      </c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24"/>
      <c r="G233" s="19">
        <f>$G$25</f>
        <v>17</v>
      </c>
      <c r="H233" s="20">
        <v>427.0</v>
      </c>
      <c r="I233" s="20">
        <v>217.0</v>
      </c>
      <c r="J233" s="20">
        <v>0.0</v>
      </c>
      <c r="K233" s="20">
        <v>31.0</v>
      </c>
      <c r="L233" s="20">
        <v>17.0</v>
      </c>
      <c r="M233" s="63"/>
      <c r="N233" s="23"/>
      <c r="O233" s="19">
        <f>$G$25</f>
        <v>17</v>
      </c>
      <c r="P233" s="40">
        <f t="shared" ref="P233:T233" si="242">H233/H$240</f>
        <v>0.06610930485</v>
      </c>
      <c r="Q233" s="40">
        <f t="shared" si="242"/>
        <v>0.07879448076</v>
      </c>
      <c r="R233" s="40">
        <f t="shared" si="242"/>
        <v>0</v>
      </c>
      <c r="S233" s="40">
        <f t="shared" si="242"/>
        <v>0.04851330203</v>
      </c>
      <c r="T233" s="40">
        <f t="shared" si="242"/>
        <v>0.03074141049</v>
      </c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24"/>
      <c r="G234" s="19">
        <f>$G$26</f>
        <v>18</v>
      </c>
      <c r="H234" s="20">
        <v>300.0</v>
      </c>
      <c r="I234" s="20">
        <v>100.0</v>
      </c>
      <c r="J234" s="20">
        <v>0.0</v>
      </c>
      <c r="K234" s="20">
        <v>12.0</v>
      </c>
      <c r="L234" s="20">
        <v>12.0</v>
      </c>
      <c r="M234" s="63"/>
      <c r="N234" s="23"/>
      <c r="O234" s="19">
        <f>$G$26</f>
        <v>18</v>
      </c>
      <c r="P234" s="40">
        <f t="shared" ref="P234:T234" si="243">H234/H$240</f>
        <v>0.04644681839</v>
      </c>
      <c r="Q234" s="40">
        <f t="shared" si="243"/>
        <v>0.03631082062</v>
      </c>
      <c r="R234" s="40">
        <f t="shared" si="243"/>
        <v>0</v>
      </c>
      <c r="S234" s="40">
        <f t="shared" si="243"/>
        <v>0.01877934272</v>
      </c>
      <c r="T234" s="40">
        <f t="shared" si="243"/>
        <v>0.02169981917</v>
      </c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24"/>
      <c r="G235" s="19">
        <f>$G$27</f>
        <v>19</v>
      </c>
      <c r="H235" s="20">
        <v>247.0</v>
      </c>
      <c r="I235" s="20">
        <v>72.0</v>
      </c>
      <c r="J235" s="20">
        <v>2.0</v>
      </c>
      <c r="K235" s="20">
        <v>26.0</v>
      </c>
      <c r="L235" s="20">
        <v>15.0</v>
      </c>
      <c r="M235" s="63"/>
      <c r="N235" s="23"/>
      <c r="O235" s="19">
        <f>$G$27</f>
        <v>19</v>
      </c>
      <c r="P235" s="40">
        <f t="shared" ref="P235:T235" si="244">H235/H$240</f>
        <v>0.03824121381</v>
      </c>
      <c r="Q235" s="40">
        <f t="shared" si="244"/>
        <v>0.02614379085</v>
      </c>
      <c r="R235" s="40">
        <f t="shared" si="244"/>
        <v>0.01886792453</v>
      </c>
      <c r="S235" s="40">
        <f t="shared" si="244"/>
        <v>0.0406885759</v>
      </c>
      <c r="T235" s="40">
        <f t="shared" si="244"/>
        <v>0.02712477396</v>
      </c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24"/>
      <c r="G236" s="19">
        <f>$G$28</f>
        <v>20</v>
      </c>
      <c r="H236" s="20">
        <v>203.0</v>
      </c>
      <c r="I236" s="20">
        <v>55.0</v>
      </c>
      <c r="J236" s="20">
        <v>1.0</v>
      </c>
      <c r="K236" s="20">
        <v>16.0</v>
      </c>
      <c r="L236" s="20">
        <v>5.0</v>
      </c>
      <c r="M236" s="63"/>
      <c r="N236" s="23"/>
      <c r="O236" s="19">
        <f>$G$28</f>
        <v>20</v>
      </c>
      <c r="P236" s="40">
        <f t="shared" ref="P236:T236" si="245">H236/H$240</f>
        <v>0.03142901378</v>
      </c>
      <c r="Q236" s="40">
        <f t="shared" si="245"/>
        <v>0.01997095134</v>
      </c>
      <c r="R236" s="40">
        <f t="shared" si="245"/>
        <v>0.009433962264</v>
      </c>
      <c r="S236" s="40">
        <f t="shared" si="245"/>
        <v>0.02503912363</v>
      </c>
      <c r="T236" s="40">
        <f t="shared" si="245"/>
        <v>0.00904159132</v>
      </c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24"/>
      <c r="G237" s="19">
        <f>$G$29</f>
        <v>21</v>
      </c>
      <c r="H237" s="20">
        <v>196.0</v>
      </c>
      <c r="I237" s="20">
        <v>47.0</v>
      </c>
      <c r="J237" s="20">
        <v>0.0</v>
      </c>
      <c r="K237" s="20">
        <v>10.0</v>
      </c>
      <c r="L237" s="20">
        <v>5.0</v>
      </c>
      <c r="M237" s="63"/>
      <c r="N237" s="23"/>
      <c r="O237" s="19">
        <f>$G$29</f>
        <v>21</v>
      </c>
      <c r="P237" s="40">
        <f t="shared" ref="P237:T237" si="246">H237/H$240</f>
        <v>0.03034525468</v>
      </c>
      <c r="Q237" s="40">
        <f t="shared" si="246"/>
        <v>0.01706608569</v>
      </c>
      <c r="R237" s="40">
        <f t="shared" si="246"/>
        <v>0</v>
      </c>
      <c r="S237" s="40">
        <f t="shared" si="246"/>
        <v>0.01564945227</v>
      </c>
      <c r="T237" s="40">
        <f t="shared" si="246"/>
        <v>0.00904159132</v>
      </c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24"/>
      <c r="G238" s="19">
        <f>$G$30</f>
        <v>22</v>
      </c>
      <c r="H238" s="20">
        <v>134.0</v>
      </c>
      <c r="I238" s="20">
        <v>36.0</v>
      </c>
      <c r="J238" s="20">
        <v>1.0</v>
      </c>
      <c r="K238" s="20">
        <v>6.0</v>
      </c>
      <c r="L238" s="20">
        <v>10.0</v>
      </c>
      <c r="M238" s="63"/>
      <c r="N238" s="23"/>
      <c r="O238" s="19">
        <f>$G$30</f>
        <v>22</v>
      </c>
      <c r="P238" s="40">
        <f t="shared" ref="P238:T238" si="247">H238/H$240</f>
        <v>0.02074624555</v>
      </c>
      <c r="Q238" s="40">
        <f t="shared" si="247"/>
        <v>0.01307189542</v>
      </c>
      <c r="R238" s="40">
        <f t="shared" si="247"/>
        <v>0.009433962264</v>
      </c>
      <c r="S238" s="40">
        <f t="shared" si="247"/>
        <v>0.009389671362</v>
      </c>
      <c r="T238" s="40">
        <f t="shared" si="247"/>
        <v>0.01808318264</v>
      </c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28"/>
      <c r="G239" s="71">
        <f>$G$31</f>
        <v>23</v>
      </c>
      <c r="H239" s="20">
        <v>77.0</v>
      </c>
      <c r="I239" s="20">
        <v>26.0</v>
      </c>
      <c r="J239" s="20">
        <v>1.0</v>
      </c>
      <c r="K239" s="20">
        <v>7.0</v>
      </c>
      <c r="L239" s="20">
        <v>11.0</v>
      </c>
      <c r="M239" s="63"/>
      <c r="N239" s="27"/>
      <c r="O239" s="19">
        <f>$G$31</f>
        <v>23</v>
      </c>
      <c r="P239" s="40">
        <f t="shared" ref="P239:T239" si="248">H239/H$240</f>
        <v>0.01192135005</v>
      </c>
      <c r="Q239" s="40">
        <f t="shared" si="248"/>
        <v>0.009440813362</v>
      </c>
      <c r="R239" s="40">
        <f t="shared" si="248"/>
        <v>0.009433962264</v>
      </c>
      <c r="S239" s="40">
        <f t="shared" si="248"/>
        <v>0.01095461659</v>
      </c>
      <c r="T239" s="40">
        <f t="shared" si="248"/>
        <v>0.0198915009</v>
      </c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86"/>
      <c r="G240" s="86"/>
      <c r="H240" s="73">
        <f t="shared" ref="H240:L240" si="249">SUM(H216:H239)</f>
        <v>6459</v>
      </c>
      <c r="I240" s="73">
        <f t="shared" si="249"/>
        <v>2754</v>
      </c>
      <c r="J240" s="73">
        <f t="shared" si="249"/>
        <v>106</v>
      </c>
      <c r="K240" s="73">
        <f t="shared" si="249"/>
        <v>639</v>
      </c>
      <c r="L240" s="73">
        <f t="shared" si="249"/>
        <v>553</v>
      </c>
      <c r="M240" s="63"/>
      <c r="N240" s="86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16"/>
      <c r="H241" s="19">
        <f>$H$7</f>
        <v>31</v>
      </c>
      <c r="I241" s="19">
        <f>$I$7</f>
        <v>32</v>
      </c>
      <c r="J241" s="19">
        <f>$J$7</f>
        <v>41</v>
      </c>
      <c r="K241" s="19">
        <f>$K$7</f>
        <v>42</v>
      </c>
      <c r="L241" s="19">
        <f>$L$7</f>
        <v>5</v>
      </c>
      <c r="M241" s="63"/>
      <c r="N241" s="63"/>
      <c r="O241" s="16"/>
      <c r="P241" s="19">
        <f>$H$7</f>
        <v>31</v>
      </c>
      <c r="Q241" s="19">
        <f>$I$7</f>
        <v>32</v>
      </c>
      <c r="R241" s="19">
        <f>$J$7</f>
        <v>41</v>
      </c>
      <c r="S241" s="19">
        <f>$K$7</f>
        <v>42</v>
      </c>
      <c r="T241" s="19">
        <f>$L$7</f>
        <v>5</v>
      </c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56">
        <v>45203.0</v>
      </c>
      <c r="G242" s="19">
        <f>$G$8</f>
        <v>0</v>
      </c>
      <c r="H242" s="20">
        <v>52.0</v>
      </c>
      <c r="I242" s="20">
        <v>19.0</v>
      </c>
      <c r="J242" s="20">
        <v>0.0</v>
      </c>
      <c r="K242" s="20">
        <v>11.0</v>
      </c>
      <c r="L242" s="20">
        <v>11.0</v>
      </c>
      <c r="M242" s="63"/>
      <c r="N242" s="56">
        <v>45203.0</v>
      </c>
      <c r="O242" s="19">
        <f>$G$8</f>
        <v>0</v>
      </c>
      <c r="P242" s="40">
        <f t="shared" ref="P242:T242" si="250">H242/H$266</f>
        <v>0.01064265248</v>
      </c>
      <c r="Q242" s="40">
        <f t="shared" si="250"/>
        <v>0.008539325843</v>
      </c>
      <c r="R242" s="40">
        <f t="shared" si="250"/>
        <v>0</v>
      </c>
      <c r="S242" s="40">
        <f t="shared" si="250"/>
        <v>0.02254098361</v>
      </c>
      <c r="T242" s="40">
        <f t="shared" si="250"/>
        <v>0.02325581395</v>
      </c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24"/>
      <c r="G243" s="19">
        <f>$G$9</f>
        <v>1</v>
      </c>
      <c r="H243" s="20">
        <v>29.0</v>
      </c>
      <c r="I243" s="20">
        <v>9.0</v>
      </c>
      <c r="J243" s="20">
        <v>0.0</v>
      </c>
      <c r="K243" s="20">
        <v>9.0</v>
      </c>
      <c r="L243" s="20">
        <v>3.0</v>
      </c>
      <c r="M243" s="63"/>
      <c r="N243" s="23"/>
      <c r="O243" s="19">
        <f>$G$9</f>
        <v>1</v>
      </c>
      <c r="P243" s="40">
        <f t="shared" ref="P243:T243" si="251">H243/H$266</f>
        <v>0.00593532542</v>
      </c>
      <c r="Q243" s="40">
        <f t="shared" si="251"/>
        <v>0.00404494382</v>
      </c>
      <c r="R243" s="40">
        <f t="shared" si="251"/>
        <v>0</v>
      </c>
      <c r="S243" s="40">
        <f t="shared" si="251"/>
        <v>0.01844262295</v>
      </c>
      <c r="T243" s="40">
        <f t="shared" si="251"/>
        <v>0.006342494715</v>
      </c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24"/>
      <c r="G244" s="19">
        <f>$G$10</f>
        <v>2</v>
      </c>
      <c r="H244" s="16">
        <v>19.0</v>
      </c>
      <c r="I244" s="16">
        <v>11.0</v>
      </c>
      <c r="J244" s="16">
        <v>1.0</v>
      </c>
      <c r="K244" s="16">
        <v>9.0</v>
      </c>
      <c r="L244" s="16">
        <v>18.0</v>
      </c>
      <c r="M244" s="63"/>
      <c r="N244" s="23"/>
      <c r="O244" s="19">
        <f>$G$10</f>
        <v>2</v>
      </c>
      <c r="P244" s="40">
        <f t="shared" ref="P244:T244" si="252">H244/H$266</f>
        <v>0.003888661482</v>
      </c>
      <c r="Q244" s="40">
        <f t="shared" si="252"/>
        <v>0.004943820225</v>
      </c>
      <c r="R244" s="40">
        <f t="shared" si="252"/>
        <v>0.01587301587</v>
      </c>
      <c r="S244" s="40">
        <f t="shared" si="252"/>
        <v>0.01844262295</v>
      </c>
      <c r="T244" s="40">
        <f t="shared" si="252"/>
        <v>0.03805496829</v>
      </c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24"/>
      <c r="G245" s="19">
        <f>$G$11</f>
        <v>3</v>
      </c>
      <c r="H245" s="20">
        <v>24.0</v>
      </c>
      <c r="I245" s="20">
        <v>13.0</v>
      </c>
      <c r="J245" s="20">
        <v>0.0</v>
      </c>
      <c r="K245" s="20">
        <v>16.0</v>
      </c>
      <c r="L245" s="20">
        <v>11.0</v>
      </c>
      <c r="M245" s="63"/>
      <c r="N245" s="23"/>
      <c r="O245" s="19">
        <f>$G$11</f>
        <v>3</v>
      </c>
      <c r="P245" s="40">
        <f t="shared" ref="P245:T245" si="253">H245/H$266</f>
        <v>0.004911993451</v>
      </c>
      <c r="Q245" s="40">
        <f t="shared" si="253"/>
        <v>0.005842696629</v>
      </c>
      <c r="R245" s="40">
        <f t="shared" si="253"/>
        <v>0</v>
      </c>
      <c r="S245" s="40">
        <f t="shared" si="253"/>
        <v>0.03278688525</v>
      </c>
      <c r="T245" s="40">
        <f t="shared" si="253"/>
        <v>0.02325581395</v>
      </c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24"/>
      <c r="G246" s="19">
        <f>$G$12</f>
        <v>4</v>
      </c>
      <c r="H246" s="20">
        <v>39.0</v>
      </c>
      <c r="I246" s="20">
        <v>33.0</v>
      </c>
      <c r="J246" s="20">
        <v>0.0</v>
      </c>
      <c r="K246" s="20">
        <v>16.0</v>
      </c>
      <c r="L246" s="20">
        <v>15.0</v>
      </c>
      <c r="M246" s="63"/>
      <c r="N246" s="23"/>
      <c r="O246" s="19">
        <f>$G$12</f>
        <v>4</v>
      </c>
      <c r="P246" s="40">
        <f t="shared" ref="P246:T246" si="254">H246/H$266</f>
        <v>0.007981989357</v>
      </c>
      <c r="Q246" s="40">
        <f t="shared" si="254"/>
        <v>0.01483146067</v>
      </c>
      <c r="R246" s="40">
        <f t="shared" si="254"/>
        <v>0</v>
      </c>
      <c r="S246" s="40">
        <f t="shared" si="254"/>
        <v>0.03278688525</v>
      </c>
      <c r="T246" s="40">
        <f t="shared" si="254"/>
        <v>0.03171247357</v>
      </c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24"/>
      <c r="G247" s="19">
        <f>$G$13</f>
        <v>5</v>
      </c>
      <c r="H247" s="20">
        <v>104.0</v>
      </c>
      <c r="I247" s="20">
        <v>61.0</v>
      </c>
      <c r="J247" s="20">
        <v>1.0</v>
      </c>
      <c r="K247" s="20">
        <v>19.0</v>
      </c>
      <c r="L247" s="20">
        <v>18.0</v>
      </c>
      <c r="M247" s="63"/>
      <c r="N247" s="23"/>
      <c r="O247" s="19">
        <f>$G$13</f>
        <v>5</v>
      </c>
      <c r="P247" s="40">
        <f t="shared" ref="P247:T247" si="255">H247/H$266</f>
        <v>0.02128530495</v>
      </c>
      <c r="Q247" s="40">
        <f t="shared" si="255"/>
        <v>0.02741573034</v>
      </c>
      <c r="R247" s="40">
        <f t="shared" si="255"/>
        <v>0.01587301587</v>
      </c>
      <c r="S247" s="40">
        <f t="shared" si="255"/>
        <v>0.03893442623</v>
      </c>
      <c r="T247" s="40">
        <f t="shared" si="255"/>
        <v>0.03805496829</v>
      </c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24"/>
      <c r="G248" s="19">
        <f>$G$14</f>
        <v>6</v>
      </c>
      <c r="H248" s="20">
        <v>229.0</v>
      </c>
      <c r="I248" s="20">
        <v>89.0</v>
      </c>
      <c r="J248" s="20">
        <v>10.0</v>
      </c>
      <c r="K248" s="20">
        <v>22.0</v>
      </c>
      <c r="L248" s="20">
        <v>32.0</v>
      </c>
      <c r="M248" s="63"/>
      <c r="N248" s="23"/>
      <c r="O248" s="19">
        <f>$G$14</f>
        <v>6</v>
      </c>
      <c r="P248" s="40">
        <f t="shared" ref="P248:T248" si="256">H248/H$266</f>
        <v>0.04686860418</v>
      </c>
      <c r="Q248" s="40">
        <f t="shared" si="256"/>
        <v>0.04</v>
      </c>
      <c r="R248" s="40">
        <f t="shared" si="256"/>
        <v>0.1587301587</v>
      </c>
      <c r="S248" s="40">
        <f t="shared" si="256"/>
        <v>0.04508196721</v>
      </c>
      <c r="T248" s="40">
        <f t="shared" si="256"/>
        <v>0.06765327696</v>
      </c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24"/>
      <c r="G249" s="19">
        <f>$G$15</f>
        <v>7</v>
      </c>
      <c r="H249" s="20">
        <v>510.0</v>
      </c>
      <c r="I249" s="20">
        <v>187.0</v>
      </c>
      <c r="J249" s="20">
        <v>9.0</v>
      </c>
      <c r="K249" s="20">
        <v>54.0</v>
      </c>
      <c r="L249" s="20">
        <v>50.0</v>
      </c>
      <c r="M249" s="63"/>
      <c r="N249" s="23"/>
      <c r="O249" s="19">
        <f>$G$15</f>
        <v>7</v>
      </c>
      <c r="P249" s="40">
        <f t="shared" ref="P249:T249" si="257">H249/H$266</f>
        <v>0.1043798608</v>
      </c>
      <c r="Q249" s="40">
        <f t="shared" si="257"/>
        <v>0.08404494382</v>
      </c>
      <c r="R249" s="40">
        <f t="shared" si="257"/>
        <v>0.1428571429</v>
      </c>
      <c r="S249" s="40">
        <f t="shared" si="257"/>
        <v>0.1106557377</v>
      </c>
      <c r="T249" s="40">
        <f t="shared" si="257"/>
        <v>0.1057082452</v>
      </c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24"/>
      <c r="G250" s="19">
        <f>$G$16</f>
        <v>8</v>
      </c>
      <c r="H250" s="20">
        <v>391.0</v>
      </c>
      <c r="I250" s="20">
        <v>232.0</v>
      </c>
      <c r="J250" s="20">
        <v>8.0</v>
      </c>
      <c r="K250" s="20">
        <v>44.0</v>
      </c>
      <c r="L250" s="20">
        <v>27.0</v>
      </c>
      <c r="M250" s="63"/>
      <c r="N250" s="23"/>
      <c r="O250" s="19">
        <f>$G$16</f>
        <v>8</v>
      </c>
      <c r="P250" s="40">
        <f t="shared" ref="P250:T250" si="258">H250/H$266</f>
        <v>0.08002455997</v>
      </c>
      <c r="Q250" s="40">
        <f t="shared" si="258"/>
        <v>0.1042696629</v>
      </c>
      <c r="R250" s="40">
        <f t="shared" si="258"/>
        <v>0.126984127</v>
      </c>
      <c r="S250" s="40">
        <f t="shared" si="258"/>
        <v>0.09016393443</v>
      </c>
      <c r="T250" s="40">
        <f t="shared" si="258"/>
        <v>0.05708245243</v>
      </c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24"/>
      <c r="G251" s="19">
        <f>$G$17</f>
        <v>9</v>
      </c>
      <c r="H251" s="20">
        <v>319.0</v>
      </c>
      <c r="I251" s="20">
        <v>204.0</v>
      </c>
      <c r="J251" s="20">
        <v>7.0</v>
      </c>
      <c r="K251" s="20">
        <v>43.0</v>
      </c>
      <c r="L251" s="20">
        <v>32.0</v>
      </c>
      <c r="M251" s="63"/>
      <c r="N251" s="23"/>
      <c r="O251" s="19">
        <f>$G$17</f>
        <v>9</v>
      </c>
      <c r="P251" s="40">
        <f t="shared" ref="P251:T251" si="259">H251/H$266</f>
        <v>0.06528857962</v>
      </c>
      <c r="Q251" s="40">
        <f t="shared" si="259"/>
        <v>0.09168539326</v>
      </c>
      <c r="R251" s="40">
        <f t="shared" si="259"/>
        <v>0.1111111111</v>
      </c>
      <c r="S251" s="40">
        <f t="shared" si="259"/>
        <v>0.0881147541</v>
      </c>
      <c r="T251" s="40">
        <f t="shared" si="259"/>
        <v>0.06765327696</v>
      </c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24"/>
      <c r="G252" s="19">
        <f>$G$18</f>
        <v>10</v>
      </c>
      <c r="H252" s="20">
        <v>300.0</v>
      </c>
      <c r="I252" s="20">
        <v>159.0</v>
      </c>
      <c r="J252" s="20">
        <v>4.0</v>
      </c>
      <c r="K252" s="20">
        <v>34.0</v>
      </c>
      <c r="L252" s="20">
        <v>41.0</v>
      </c>
      <c r="M252" s="63"/>
      <c r="N252" s="23"/>
      <c r="O252" s="19">
        <f>$G$18</f>
        <v>10</v>
      </c>
      <c r="P252" s="40">
        <f t="shared" ref="P252:T252" si="260">H252/H$266</f>
        <v>0.06139991813</v>
      </c>
      <c r="Q252" s="40">
        <f t="shared" si="260"/>
        <v>0.07146067416</v>
      </c>
      <c r="R252" s="40">
        <f t="shared" si="260"/>
        <v>0.06349206349</v>
      </c>
      <c r="S252" s="40">
        <f t="shared" si="260"/>
        <v>0.06967213115</v>
      </c>
      <c r="T252" s="40">
        <f t="shared" si="260"/>
        <v>0.0866807611</v>
      </c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24"/>
      <c r="G253" s="19">
        <f>$G$19</f>
        <v>11</v>
      </c>
      <c r="H253" s="20">
        <v>268.0</v>
      </c>
      <c r="I253" s="20">
        <v>144.0</v>
      </c>
      <c r="J253" s="20">
        <v>0.0</v>
      </c>
      <c r="K253" s="20">
        <v>30.0</v>
      </c>
      <c r="L253" s="20">
        <v>40.0</v>
      </c>
      <c r="M253" s="63"/>
      <c r="N253" s="23"/>
      <c r="O253" s="19">
        <f>$G$19</f>
        <v>11</v>
      </c>
      <c r="P253" s="40">
        <f t="shared" ref="P253:T253" si="261">H253/H$266</f>
        <v>0.05485059353</v>
      </c>
      <c r="Q253" s="40">
        <f t="shared" si="261"/>
        <v>0.06471910112</v>
      </c>
      <c r="R253" s="40">
        <f t="shared" si="261"/>
        <v>0</v>
      </c>
      <c r="S253" s="40">
        <f t="shared" si="261"/>
        <v>0.06147540984</v>
      </c>
      <c r="T253" s="40">
        <f t="shared" si="261"/>
        <v>0.08456659619</v>
      </c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24"/>
      <c r="G254" s="19">
        <f>$G$20</f>
        <v>12</v>
      </c>
      <c r="H254" s="20">
        <v>303.0</v>
      </c>
      <c r="I254" s="20">
        <v>132.0</v>
      </c>
      <c r="J254" s="20">
        <v>1.0</v>
      </c>
      <c r="K254" s="20">
        <v>23.0</v>
      </c>
      <c r="L254" s="20">
        <v>40.0</v>
      </c>
      <c r="M254" s="63"/>
      <c r="N254" s="23"/>
      <c r="O254" s="19">
        <f>$G$20</f>
        <v>12</v>
      </c>
      <c r="P254" s="40">
        <f t="shared" ref="P254:T254" si="262">H254/H$266</f>
        <v>0.06201391731</v>
      </c>
      <c r="Q254" s="40">
        <f t="shared" si="262"/>
        <v>0.0593258427</v>
      </c>
      <c r="R254" s="40">
        <f t="shared" si="262"/>
        <v>0.01587301587</v>
      </c>
      <c r="S254" s="40">
        <f t="shared" si="262"/>
        <v>0.04713114754</v>
      </c>
      <c r="T254" s="40">
        <f t="shared" si="262"/>
        <v>0.08456659619</v>
      </c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24"/>
      <c r="G255" s="19">
        <f>$G$21</f>
        <v>13</v>
      </c>
      <c r="H255" s="20">
        <v>255.0</v>
      </c>
      <c r="I255" s="20">
        <v>132.0</v>
      </c>
      <c r="J255" s="20">
        <v>2.0</v>
      </c>
      <c r="K255" s="20">
        <v>22.0</v>
      </c>
      <c r="L255" s="20">
        <v>25.0</v>
      </c>
      <c r="M255" s="63"/>
      <c r="N255" s="23"/>
      <c r="O255" s="19">
        <f>$G$21</f>
        <v>13</v>
      </c>
      <c r="P255" s="40">
        <f t="shared" ref="P255:T255" si="263">H255/H$266</f>
        <v>0.05218993041</v>
      </c>
      <c r="Q255" s="40">
        <f t="shared" si="263"/>
        <v>0.0593258427</v>
      </c>
      <c r="R255" s="40">
        <f t="shared" si="263"/>
        <v>0.03174603175</v>
      </c>
      <c r="S255" s="40">
        <f t="shared" si="263"/>
        <v>0.04508196721</v>
      </c>
      <c r="T255" s="40">
        <f t="shared" si="263"/>
        <v>0.05285412262</v>
      </c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24"/>
      <c r="G256" s="19">
        <f>$G$22</f>
        <v>14</v>
      </c>
      <c r="H256" s="20">
        <v>247.0</v>
      </c>
      <c r="I256" s="20">
        <v>116.0</v>
      </c>
      <c r="J256" s="20">
        <v>7.0</v>
      </c>
      <c r="K256" s="20">
        <v>37.0</v>
      </c>
      <c r="L256" s="20">
        <v>29.0</v>
      </c>
      <c r="M256" s="63"/>
      <c r="N256" s="23"/>
      <c r="O256" s="19">
        <f>$G$22</f>
        <v>14</v>
      </c>
      <c r="P256" s="40">
        <f t="shared" ref="P256:T256" si="264">H256/H$266</f>
        <v>0.05055259926</v>
      </c>
      <c r="Q256" s="40">
        <f t="shared" si="264"/>
        <v>0.05213483146</v>
      </c>
      <c r="R256" s="40">
        <f t="shared" si="264"/>
        <v>0.1111111111</v>
      </c>
      <c r="S256" s="40">
        <f t="shared" si="264"/>
        <v>0.07581967213</v>
      </c>
      <c r="T256" s="40">
        <f t="shared" si="264"/>
        <v>0.06131078224</v>
      </c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24"/>
      <c r="G257" s="19">
        <f>$G$23</f>
        <v>15</v>
      </c>
      <c r="H257" s="20">
        <v>228.0</v>
      </c>
      <c r="I257" s="20">
        <v>117.0</v>
      </c>
      <c r="J257" s="20">
        <v>2.0</v>
      </c>
      <c r="K257" s="20">
        <v>27.0</v>
      </c>
      <c r="L257" s="20">
        <v>27.0</v>
      </c>
      <c r="M257" s="63"/>
      <c r="N257" s="23"/>
      <c r="O257" s="19">
        <f>$G$23</f>
        <v>15</v>
      </c>
      <c r="P257" s="40">
        <f t="shared" ref="P257:T257" si="265">H257/H$266</f>
        <v>0.04666393778</v>
      </c>
      <c r="Q257" s="40">
        <f t="shared" si="265"/>
        <v>0.05258426966</v>
      </c>
      <c r="R257" s="40">
        <f t="shared" si="265"/>
        <v>0.03174603175</v>
      </c>
      <c r="S257" s="40">
        <f t="shared" si="265"/>
        <v>0.05532786885</v>
      </c>
      <c r="T257" s="40">
        <f t="shared" si="265"/>
        <v>0.05708245243</v>
      </c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24"/>
      <c r="G258" s="19">
        <f>$G$24</f>
        <v>16</v>
      </c>
      <c r="H258" s="20">
        <v>290.0</v>
      </c>
      <c r="I258" s="20">
        <v>142.0</v>
      </c>
      <c r="J258" s="20">
        <v>1.0</v>
      </c>
      <c r="K258" s="20">
        <v>15.0</v>
      </c>
      <c r="L258" s="20">
        <v>19.0</v>
      </c>
      <c r="M258" s="63"/>
      <c r="N258" s="23"/>
      <c r="O258" s="19">
        <f>$G$24</f>
        <v>16</v>
      </c>
      <c r="P258" s="40">
        <f t="shared" ref="P258:T258" si="266">H258/H$266</f>
        <v>0.0593532542</v>
      </c>
      <c r="Q258" s="40">
        <f t="shared" si="266"/>
        <v>0.06382022472</v>
      </c>
      <c r="R258" s="40">
        <f t="shared" si="266"/>
        <v>0.01587301587</v>
      </c>
      <c r="S258" s="40">
        <f t="shared" si="266"/>
        <v>0.03073770492</v>
      </c>
      <c r="T258" s="40">
        <f t="shared" si="266"/>
        <v>0.04016913319</v>
      </c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24"/>
      <c r="G259" s="19">
        <f>$G$25</f>
        <v>17</v>
      </c>
      <c r="H259" s="20">
        <v>358.0</v>
      </c>
      <c r="I259" s="20">
        <v>148.0</v>
      </c>
      <c r="J259" s="20">
        <v>2.0</v>
      </c>
      <c r="K259" s="20">
        <v>16.0</v>
      </c>
      <c r="L259" s="20">
        <v>11.0</v>
      </c>
      <c r="M259" s="63"/>
      <c r="N259" s="23"/>
      <c r="O259" s="19">
        <f>$G$25</f>
        <v>17</v>
      </c>
      <c r="P259" s="40">
        <f t="shared" ref="P259:T259" si="267">H259/H$266</f>
        <v>0.07327056897</v>
      </c>
      <c r="Q259" s="40">
        <f t="shared" si="267"/>
        <v>0.06651685393</v>
      </c>
      <c r="R259" s="40">
        <f t="shared" si="267"/>
        <v>0.03174603175</v>
      </c>
      <c r="S259" s="40">
        <f t="shared" si="267"/>
        <v>0.03278688525</v>
      </c>
      <c r="T259" s="40">
        <f t="shared" si="267"/>
        <v>0.02325581395</v>
      </c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24"/>
      <c r="G260" s="19">
        <f>$G$26</f>
        <v>18</v>
      </c>
      <c r="H260" s="20">
        <v>282.0</v>
      </c>
      <c r="I260" s="20">
        <v>107.0</v>
      </c>
      <c r="J260" s="20">
        <v>2.0</v>
      </c>
      <c r="K260" s="20">
        <v>10.0</v>
      </c>
      <c r="L260" s="20">
        <v>3.0</v>
      </c>
      <c r="M260" s="63"/>
      <c r="N260" s="23"/>
      <c r="O260" s="19">
        <f>$G$26</f>
        <v>18</v>
      </c>
      <c r="P260" s="40">
        <f t="shared" ref="P260:T260" si="268">H260/H$266</f>
        <v>0.05771592305</v>
      </c>
      <c r="Q260" s="40">
        <f t="shared" si="268"/>
        <v>0.04808988764</v>
      </c>
      <c r="R260" s="40">
        <f t="shared" si="268"/>
        <v>0.03174603175</v>
      </c>
      <c r="S260" s="40">
        <f t="shared" si="268"/>
        <v>0.02049180328</v>
      </c>
      <c r="T260" s="40">
        <f t="shared" si="268"/>
        <v>0.006342494715</v>
      </c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24"/>
      <c r="G261" s="19">
        <f>$G$27</f>
        <v>19</v>
      </c>
      <c r="H261" s="20">
        <v>223.0</v>
      </c>
      <c r="I261" s="20">
        <v>62.0</v>
      </c>
      <c r="J261" s="20">
        <v>3.0</v>
      </c>
      <c r="K261" s="20">
        <v>15.0</v>
      </c>
      <c r="L261" s="20">
        <v>9.0</v>
      </c>
      <c r="M261" s="63"/>
      <c r="N261" s="23"/>
      <c r="O261" s="19">
        <f>$G$27</f>
        <v>19</v>
      </c>
      <c r="P261" s="40">
        <f t="shared" ref="P261:T261" si="269">H261/H$266</f>
        <v>0.04564060581</v>
      </c>
      <c r="Q261" s="40">
        <f t="shared" si="269"/>
        <v>0.02786516854</v>
      </c>
      <c r="R261" s="40">
        <f t="shared" si="269"/>
        <v>0.04761904762</v>
      </c>
      <c r="S261" s="40">
        <f t="shared" si="269"/>
        <v>0.03073770492</v>
      </c>
      <c r="T261" s="40">
        <f t="shared" si="269"/>
        <v>0.01902748414</v>
      </c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24"/>
      <c r="G262" s="19">
        <f>$G$28</f>
        <v>20</v>
      </c>
      <c r="H262" s="20">
        <v>149.0</v>
      </c>
      <c r="I262" s="20">
        <v>45.0</v>
      </c>
      <c r="J262" s="20">
        <v>1.0</v>
      </c>
      <c r="K262" s="20">
        <v>6.0</v>
      </c>
      <c r="L262" s="20">
        <v>1.0</v>
      </c>
      <c r="M262" s="63"/>
      <c r="N262" s="23"/>
      <c r="O262" s="19">
        <f>$G$28</f>
        <v>20</v>
      </c>
      <c r="P262" s="40">
        <f t="shared" ref="P262:T262" si="270">H262/H$266</f>
        <v>0.03049529267</v>
      </c>
      <c r="Q262" s="40">
        <f t="shared" si="270"/>
        <v>0.0202247191</v>
      </c>
      <c r="R262" s="40">
        <f t="shared" si="270"/>
        <v>0.01587301587</v>
      </c>
      <c r="S262" s="40">
        <f t="shared" si="270"/>
        <v>0.01229508197</v>
      </c>
      <c r="T262" s="40">
        <f t="shared" si="270"/>
        <v>0.002114164905</v>
      </c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24"/>
      <c r="G263" s="19">
        <f>$G$29</f>
        <v>21</v>
      </c>
      <c r="H263" s="20">
        <v>125.0</v>
      </c>
      <c r="I263" s="20">
        <v>26.0</v>
      </c>
      <c r="J263" s="20">
        <v>1.0</v>
      </c>
      <c r="K263" s="20">
        <v>8.0</v>
      </c>
      <c r="L263" s="20">
        <v>1.0</v>
      </c>
      <c r="M263" s="63"/>
      <c r="N263" s="23"/>
      <c r="O263" s="19">
        <f>$G$29</f>
        <v>21</v>
      </c>
      <c r="P263" s="40">
        <f t="shared" ref="P263:T263" si="271">H263/H$266</f>
        <v>0.02558329922</v>
      </c>
      <c r="Q263" s="40">
        <f t="shared" si="271"/>
        <v>0.01168539326</v>
      </c>
      <c r="R263" s="40">
        <f t="shared" si="271"/>
        <v>0.01587301587</v>
      </c>
      <c r="S263" s="40">
        <f t="shared" si="271"/>
        <v>0.01639344262</v>
      </c>
      <c r="T263" s="40">
        <f t="shared" si="271"/>
        <v>0.002114164905</v>
      </c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24"/>
      <c r="G264" s="19">
        <f>$G$30</f>
        <v>22</v>
      </c>
      <c r="H264" s="20">
        <v>89.0</v>
      </c>
      <c r="I264" s="20">
        <v>16.0</v>
      </c>
      <c r="J264" s="20">
        <v>0.0</v>
      </c>
      <c r="K264" s="20">
        <v>1.0</v>
      </c>
      <c r="L264" s="20">
        <v>5.0</v>
      </c>
      <c r="M264" s="63"/>
      <c r="N264" s="23"/>
      <c r="O264" s="19">
        <f>$G$30</f>
        <v>22</v>
      </c>
      <c r="P264" s="40">
        <f t="shared" ref="P264:T264" si="272">H264/H$266</f>
        <v>0.01821530905</v>
      </c>
      <c r="Q264" s="40">
        <f t="shared" si="272"/>
        <v>0.007191011236</v>
      </c>
      <c r="R264" s="40">
        <f t="shared" si="272"/>
        <v>0</v>
      </c>
      <c r="S264" s="40">
        <f t="shared" si="272"/>
        <v>0.002049180328</v>
      </c>
      <c r="T264" s="40">
        <f t="shared" si="272"/>
        <v>0.01057082452</v>
      </c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28"/>
      <c r="G265" s="71">
        <f>$G$31</f>
        <v>23</v>
      </c>
      <c r="H265" s="20">
        <v>53.0</v>
      </c>
      <c r="I265" s="20">
        <v>21.0</v>
      </c>
      <c r="J265" s="20">
        <v>1.0</v>
      </c>
      <c r="K265" s="20">
        <v>1.0</v>
      </c>
      <c r="L265" s="20">
        <v>5.0</v>
      </c>
      <c r="M265" s="63"/>
      <c r="N265" s="27"/>
      <c r="O265" s="19">
        <f>$G$31</f>
        <v>23</v>
      </c>
      <c r="P265" s="40">
        <f t="shared" ref="P265:T265" si="273">H265/H$266</f>
        <v>0.01084731887</v>
      </c>
      <c r="Q265" s="40">
        <f t="shared" si="273"/>
        <v>0.009438202247</v>
      </c>
      <c r="R265" s="40">
        <f t="shared" si="273"/>
        <v>0.01587301587</v>
      </c>
      <c r="S265" s="40">
        <f t="shared" si="273"/>
        <v>0.002049180328</v>
      </c>
      <c r="T265" s="40">
        <f t="shared" si="273"/>
        <v>0.01057082452</v>
      </c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86"/>
      <c r="G266" s="86"/>
      <c r="H266" s="73">
        <f t="shared" ref="H266:L266" si="274">SUM(H242:H265)</f>
        <v>4886</v>
      </c>
      <c r="I266" s="73">
        <f t="shared" si="274"/>
        <v>2225</v>
      </c>
      <c r="J266" s="73">
        <f t="shared" si="274"/>
        <v>63</v>
      </c>
      <c r="K266" s="73">
        <f t="shared" si="274"/>
        <v>488</v>
      </c>
      <c r="L266" s="73">
        <f t="shared" si="274"/>
        <v>473</v>
      </c>
      <c r="M266" s="63"/>
      <c r="N266" s="86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16"/>
      <c r="H267" s="19">
        <f>$H$7</f>
        <v>31</v>
      </c>
      <c r="I267" s="19">
        <f>$I$7</f>
        <v>32</v>
      </c>
      <c r="J267" s="19">
        <f>$J$7</f>
        <v>41</v>
      </c>
      <c r="K267" s="19">
        <f>$K$7</f>
        <v>42</v>
      </c>
      <c r="L267" s="19">
        <f>$L$7</f>
        <v>5</v>
      </c>
      <c r="M267" s="63"/>
      <c r="N267" s="63"/>
      <c r="O267" s="16"/>
      <c r="P267" s="19">
        <f>$H$7</f>
        <v>31</v>
      </c>
      <c r="Q267" s="19">
        <f>$I$7</f>
        <v>32</v>
      </c>
      <c r="R267" s="19">
        <f>$J$7</f>
        <v>41</v>
      </c>
      <c r="S267" s="19">
        <f>$K$7</f>
        <v>42</v>
      </c>
      <c r="T267" s="19">
        <f>$L$7</f>
        <v>5</v>
      </c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56">
        <v>45204.0</v>
      </c>
      <c r="G268" s="19">
        <f>$G$8</f>
        <v>0</v>
      </c>
      <c r="H268" s="20">
        <v>49.0</v>
      </c>
      <c r="I268" s="20">
        <v>15.0</v>
      </c>
      <c r="J268" s="20">
        <v>0.0</v>
      </c>
      <c r="K268" s="20">
        <v>6.0</v>
      </c>
      <c r="L268" s="20">
        <v>5.0</v>
      </c>
      <c r="M268" s="63"/>
      <c r="N268" s="56">
        <v>45204.0</v>
      </c>
      <c r="O268" s="19">
        <f>$G$8</f>
        <v>0</v>
      </c>
      <c r="P268" s="40">
        <f t="shared" ref="P268:T268" si="275">H268/H$292</f>
        <v>0.02027306578</v>
      </c>
      <c r="Q268" s="40">
        <f t="shared" si="275"/>
        <v>0.01779359431</v>
      </c>
      <c r="R268" s="40">
        <f t="shared" si="275"/>
        <v>0</v>
      </c>
      <c r="S268" s="40">
        <f t="shared" si="275"/>
        <v>0.02816901408</v>
      </c>
      <c r="T268" s="40">
        <f t="shared" si="275"/>
        <v>0.03623188406</v>
      </c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24"/>
      <c r="G269" s="19">
        <f>$G$9</f>
        <v>1</v>
      </c>
      <c r="H269" s="20">
        <v>23.0</v>
      </c>
      <c r="I269" s="20">
        <v>5.0</v>
      </c>
      <c r="J269" s="20">
        <v>0.0</v>
      </c>
      <c r="K269" s="20">
        <v>6.0</v>
      </c>
      <c r="L269" s="20">
        <v>3.0</v>
      </c>
      <c r="M269" s="63"/>
      <c r="N269" s="23"/>
      <c r="O269" s="19">
        <f>$G$9</f>
        <v>1</v>
      </c>
      <c r="P269" s="40">
        <f t="shared" ref="P269:T269" si="276">H269/H$292</f>
        <v>0.009515928837</v>
      </c>
      <c r="Q269" s="40">
        <f t="shared" si="276"/>
        <v>0.005931198102</v>
      </c>
      <c r="R269" s="40">
        <f t="shared" si="276"/>
        <v>0</v>
      </c>
      <c r="S269" s="40">
        <f t="shared" si="276"/>
        <v>0.02816901408</v>
      </c>
      <c r="T269" s="40">
        <f t="shared" si="276"/>
        <v>0.02173913043</v>
      </c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24"/>
      <c r="G270" s="19">
        <f>$G$10</f>
        <v>2</v>
      </c>
      <c r="H270" s="16">
        <v>15.0</v>
      </c>
      <c r="I270" s="16">
        <v>4.0</v>
      </c>
      <c r="J270" s="16">
        <v>0.0</v>
      </c>
      <c r="K270" s="16">
        <v>4.0</v>
      </c>
      <c r="L270" s="16">
        <v>3.0</v>
      </c>
      <c r="M270" s="63"/>
      <c r="N270" s="23"/>
      <c r="O270" s="19">
        <f>$G$10</f>
        <v>2</v>
      </c>
      <c r="P270" s="40">
        <f t="shared" ref="P270:T270" si="277">H270/H$292</f>
        <v>0.006206040546</v>
      </c>
      <c r="Q270" s="40">
        <f t="shared" si="277"/>
        <v>0.004744958482</v>
      </c>
      <c r="R270" s="40">
        <f t="shared" si="277"/>
        <v>0</v>
      </c>
      <c r="S270" s="40">
        <f t="shared" si="277"/>
        <v>0.01877934272</v>
      </c>
      <c r="T270" s="40">
        <f t="shared" si="277"/>
        <v>0.02173913043</v>
      </c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24"/>
      <c r="G271" s="19">
        <f>$G$11</f>
        <v>3</v>
      </c>
      <c r="H271" s="20">
        <v>12.0</v>
      </c>
      <c r="I271" s="20">
        <v>5.0</v>
      </c>
      <c r="J271" s="20">
        <v>0.0</v>
      </c>
      <c r="K271" s="20">
        <v>2.0</v>
      </c>
      <c r="L271" s="20">
        <v>8.0</v>
      </c>
      <c r="M271" s="63"/>
      <c r="N271" s="23"/>
      <c r="O271" s="19">
        <f>$G$11</f>
        <v>3</v>
      </c>
      <c r="P271" s="40">
        <f t="shared" ref="P271:T271" si="278">H271/H$292</f>
        <v>0.004964832437</v>
      </c>
      <c r="Q271" s="40">
        <f t="shared" si="278"/>
        <v>0.005931198102</v>
      </c>
      <c r="R271" s="40">
        <f t="shared" si="278"/>
        <v>0</v>
      </c>
      <c r="S271" s="40">
        <f t="shared" si="278"/>
        <v>0.009389671362</v>
      </c>
      <c r="T271" s="40">
        <f t="shared" si="278"/>
        <v>0.05797101449</v>
      </c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24"/>
      <c r="G272" s="19">
        <f>$G$12</f>
        <v>4</v>
      </c>
      <c r="H272" s="20">
        <v>28.0</v>
      </c>
      <c r="I272" s="20">
        <v>7.0</v>
      </c>
      <c r="J272" s="20">
        <v>0.0</v>
      </c>
      <c r="K272" s="20">
        <v>9.0</v>
      </c>
      <c r="L272" s="20">
        <v>3.0</v>
      </c>
      <c r="M272" s="63"/>
      <c r="N272" s="23"/>
      <c r="O272" s="19">
        <f>$G$12</f>
        <v>4</v>
      </c>
      <c r="P272" s="40">
        <f t="shared" ref="P272:T272" si="279">H272/H$292</f>
        <v>0.01158460902</v>
      </c>
      <c r="Q272" s="40">
        <f t="shared" si="279"/>
        <v>0.008303677343</v>
      </c>
      <c r="R272" s="40">
        <f t="shared" si="279"/>
        <v>0</v>
      </c>
      <c r="S272" s="40">
        <f t="shared" si="279"/>
        <v>0.04225352113</v>
      </c>
      <c r="T272" s="40">
        <f t="shared" si="279"/>
        <v>0.02173913043</v>
      </c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24"/>
      <c r="G273" s="19">
        <f>$G$13</f>
        <v>5</v>
      </c>
      <c r="H273" s="20">
        <v>41.0</v>
      </c>
      <c r="I273" s="20">
        <v>11.0</v>
      </c>
      <c r="J273" s="20">
        <v>0.0</v>
      </c>
      <c r="K273" s="20">
        <v>3.0</v>
      </c>
      <c r="L273" s="20">
        <v>8.0</v>
      </c>
      <c r="M273" s="63"/>
      <c r="N273" s="23"/>
      <c r="O273" s="19">
        <f>$G$13</f>
        <v>5</v>
      </c>
      <c r="P273" s="40">
        <f t="shared" ref="P273:T273" si="280">H273/H$292</f>
        <v>0.01696317749</v>
      </c>
      <c r="Q273" s="40">
        <f t="shared" si="280"/>
        <v>0.01304863582</v>
      </c>
      <c r="R273" s="40">
        <f t="shared" si="280"/>
        <v>0</v>
      </c>
      <c r="S273" s="40">
        <f t="shared" si="280"/>
        <v>0.01408450704</v>
      </c>
      <c r="T273" s="40">
        <f t="shared" si="280"/>
        <v>0.05797101449</v>
      </c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24"/>
      <c r="G274" s="19">
        <f>$G$14</f>
        <v>6</v>
      </c>
      <c r="H274" s="20">
        <v>68.0</v>
      </c>
      <c r="I274" s="20">
        <v>18.0</v>
      </c>
      <c r="J274" s="20">
        <v>0.0</v>
      </c>
      <c r="K274" s="20">
        <v>8.0</v>
      </c>
      <c r="L274" s="20">
        <v>5.0</v>
      </c>
      <c r="M274" s="63"/>
      <c r="N274" s="23"/>
      <c r="O274" s="19">
        <f>$G$14</f>
        <v>6</v>
      </c>
      <c r="P274" s="40">
        <f t="shared" ref="P274:T274" si="281">H274/H$292</f>
        <v>0.02813405048</v>
      </c>
      <c r="Q274" s="40">
        <f t="shared" si="281"/>
        <v>0.02135231317</v>
      </c>
      <c r="R274" s="40">
        <f t="shared" si="281"/>
        <v>0</v>
      </c>
      <c r="S274" s="40">
        <f t="shared" si="281"/>
        <v>0.03755868545</v>
      </c>
      <c r="T274" s="40">
        <f t="shared" si="281"/>
        <v>0.03623188406</v>
      </c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24"/>
      <c r="G275" s="19">
        <f>$G$15</f>
        <v>7</v>
      </c>
      <c r="H275" s="20">
        <v>83.0</v>
      </c>
      <c r="I275" s="20">
        <v>32.0</v>
      </c>
      <c r="J275" s="20">
        <v>3.0</v>
      </c>
      <c r="K275" s="20">
        <v>14.0</v>
      </c>
      <c r="L275" s="20">
        <v>5.0</v>
      </c>
      <c r="M275" s="63"/>
      <c r="N275" s="23"/>
      <c r="O275" s="19">
        <f>$G$15</f>
        <v>7</v>
      </c>
      <c r="P275" s="40">
        <f t="shared" ref="P275:T275" si="282">H275/H$292</f>
        <v>0.03434009102</v>
      </c>
      <c r="Q275" s="40">
        <f t="shared" si="282"/>
        <v>0.03795966785</v>
      </c>
      <c r="R275" s="40">
        <f t="shared" si="282"/>
        <v>0.2</v>
      </c>
      <c r="S275" s="40">
        <f t="shared" si="282"/>
        <v>0.06572769953</v>
      </c>
      <c r="T275" s="40">
        <f t="shared" si="282"/>
        <v>0.03623188406</v>
      </c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24"/>
      <c r="G276" s="19">
        <f>$G$16</f>
        <v>8</v>
      </c>
      <c r="H276" s="20">
        <v>73.0</v>
      </c>
      <c r="I276" s="20">
        <v>52.0</v>
      </c>
      <c r="J276" s="20">
        <v>0.0</v>
      </c>
      <c r="K276" s="20">
        <v>21.0</v>
      </c>
      <c r="L276" s="20">
        <v>7.0</v>
      </c>
      <c r="M276" s="63"/>
      <c r="N276" s="23"/>
      <c r="O276" s="19">
        <f>$G$16</f>
        <v>8</v>
      </c>
      <c r="P276" s="40">
        <f t="shared" ref="P276:T276" si="283">H276/H$292</f>
        <v>0.03020273066</v>
      </c>
      <c r="Q276" s="40">
        <f t="shared" si="283"/>
        <v>0.06168446026</v>
      </c>
      <c r="R276" s="40">
        <f t="shared" si="283"/>
        <v>0</v>
      </c>
      <c r="S276" s="40">
        <f t="shared" si="283"/>
        <v>0.0985915493</v>
      </c>
      <c r="T276" s="40">
        <f t="shared" si="283"/>
        <v>0.05072463768</v>
      </c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24"/>
      <c r="G277" s="19">
        <f>$G$17</f>
        <v>9</v>
      </c>
      <c r="H277" s="20">
        <v>99.0</v>
      </c>
      <c r="I277" s="20">
        <v>62.0</v>
      </c>
      <c r="J277" s="20">
        <v>0.0</v>
      </c>
      <c r="K277" s="20">
        <v>18.0</v>
      </c>
      <c r="L277" s="20">
        <v>6.0</v>
      </c>
      <c r="M277" s="63"/>
      <c r="N277" s="23"/>
      <c r="O277" s="19">
        <f>$G$17</f>
        <v>9</v>
      </c>
      <c r="P277" s="40">
        <f t="shared" ref="P277:T277" si="284">H277/H$292</f>
        <v>0.0409598676</v>
      </c>
      <c r="Q277" s="40">
        <f t="shared" si="284"/>
        <v>0.07354685647</v>
      </c>
      <c r="R277" s="40">
        <f t="shared" si="284"/>
        <v>0</v>
      </c>
      <c r="S277" s="40">
        <f t="shared" si="284"/>
        <v>0.08450704225</v>
      </c>
      <c r="T277" s="40">
        <f t="shared" si="284"/>
        <v>0.04347826087</v>
      </c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24"/>
      <c r="G278" s="19">
        <f>$G$18</f>
        <v>10</v>
      </c>
      <c r="H278" s="20">
        <v>125.0</v>
      </c>
      <c r="I278" s="20">
        <v>60.0</v>
      </c>
      <c r="J278" s="20">
        <v>2.0</v>
      </c>
      <c r="K278" s="20">
        <v>15.0</v>
      </c>
      <c r="L278" s="20">
        <v>7.0</v>
      </c>
      <c r="M278" s="63"/>
      <c r="N278" s="23"/>
      <c r="O278" s="19">
        <f>$G$18</f>
        <v>10</v>
      </c>
      <c r="P278" s="40">
        <f t="shared" ref="P278:T278" si="285">H278/H$292</f>
        <v>0.05171700455</v>
      </c>
      <c r="Q278" s="40">
        <f t="shared" si="285"/>
        <v>0.07117437722</v>
      </c>
      <c r="R278" s="40">
        <f t="shared" si="285"/>
        <v>0.1333333333</v>
      </c>
      <c r="S278" s="40">
        <f t="shared" si="285"/>
        <v>0.07042253521</v>
      </c>
      <c r="T278" s="40">
        <f t="shared" si="285"/>
        <v>0.05072463768</v>
      </c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24"/>
      <c r="G279" s="19">
        <f>$G$19</f>
        <v>11</v>
      </c>
      <c r="H279" s="20">
        <v>166.0</v>
      </c>
      <c r="I279" s="20">
        <v>52.0</v>
      </c>
      <c r="J279" s="20">
        <v>1.0</v>
      </c>
      <c r="K279" s="20">
        <v>3.0</v>
      </c>
      <c r="L279" s="20">
        <v>8.0</v>
      </c>
      <c r="M279" s="63"/>
      <c r="N279" s="23"/>
      <c r="O279" s="19">
        <f>$G$19</f>
        <v>11</v>
      </c>
      <c r="P279" s="40">
        <f t="shared" ref="P279:T279" si="286">H279/H$292</f>
        <v>0.06868018204</v>
      </c>
      <c r="Q279" s="40">
        <f t="shared" si="286"/>
        <v>0.06168446026</v>
      </c>
      <c r="R279" s="40">
        <f t="shared" si="286"/>
        <v>0.06666666667</v>
      </c>
      <c r="S279" s="40">
        <f t="shared" si="286"/>
        <v>0.01408450704</v>
      </c>
      <c r="T279" s="40">
        <f t="shared" si="286"/>
        <v>0.05797101449</v>
      </c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24"/>
      <c r="G280" s="19">
        <f>$G$20</f>
        <v>12</v>
      </c>
      <c r="H280" s="20">
        <v>169.0</v>
      </c>
      <c r="I280" s="20">
        <v>56.0</v>
      </c>
      <c r="J280" s="20">
        <v>1.0</v>
      </c>
      <c r="K280" s="20">
        <v>6.0</v>
      </c>
      <c r="L280" s="20">
        <v>7.0</v>
      </c>
      <c r="M280" s="63"/>
      <c r="N280" s="23"/>
      <c r="O280" s="19">
        <f>$G$20</f>
        <v>12</v>
      </c>
      <c r="P280" s="40">
        <f t="shared" ref="P280:T280" si="287">H280/H$292</f>
        <v>0.06992139015</v>
      </c>
      <c r="Q280" s="40">
        <f t="shared" si="287"/>
        <v>0.06642941874</v>
      </c>
      <c r="R280" s="40">
        <f t="shared" si="287"/>
        <v>0.06666666667</v>
      </c>
      <c r="S280" s="40">
        <f t="shared" si="287"/>
        <v>0.02816901408</v>
      </c>
      <c r="T280" s="40">
        <f t="shared" si="287"/>
        <v>0.05072463768</v>
      </c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24"/>
      <c r="G281" s="19">
        <f>$G$21</f>
        <v>13</v>
      </c>
      <c r="H281" s="20">
        <v>164.0</v>
      </c>
      <c r="I281" s="20">
        <v>52.0</v>
      </c>
      <c r="J281" s="20">
        <v>1.0</v>
      </c>
      <c r="K281" s="20">
        <v>3.0</v>
      </c>
      <c r="L281" s="20">
        <v>3.0</v>
      </c>
      <c r="M281" s="63"/>
      <c r="N281" s="23"/>
      <c r="O281" s="19">
        <f>$G$21</f>
        <v>13</v>
      </c>
      <c r="P281" s="40">
        <f t="shared" ref="P281:T281" si="288">H281/H$292</f>
        <v>0.06785270997</v>
      </c>
      <c r="Q281" s="40">
        <f t="shared" si="288"/>
        <v>0.06168446026</v>
      </c>
      <c r="R281" s="40">
        <f t="shared" si="288"/>
        <v>0.06666666667</v>
      </c>
      <c r="S281" s="40">
        <f t="shared" si="288"/>
        <v>0.01408450704</v>
      </c>
      <c r="T281" s="40">
        <f t="shared" si="288"/>
        <v>0.02173913043</v>
      </c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24"/>
      <c r="G282" s="19">
        <f>$G$22</f>
        <v>14</v>
      </c>
      <c r="H282" s="20">
        <v>192.0</v>
      </c>
      <c r="I282" s="20">
        <v>61.0</v>
      </c>
      <c r="J282" s="20">
        <v>3.0</v>
      </c>
      <c r="K282" s="20">
        <v>8.0</v>
      </c>
      <c r="L282" s="20">
        <v>12.0</v>
      </c>
      <c r="M282" s="63"/>
      <c r="N282" s="23"/>
      <c r="O282" s="19">
        <f>$G$22</f>
        <v>14</v>
      </c>
      <c r="P282" s="40">
        <f t="shared" ref="P282:T282" si="289">H282/H$292</f>
        <v>0.07943731899</v>
      </c>
      <c r="Q282" s="40">
        <f t="shared" si="289"/>
        <v>0.07236061684</v>
      </c>
      <c r="R282" s="40">
        <f t="shared" si="289"/>
        <v>0.2</v>
      </c>
      <c r="S282" s="40">
        <f t="shared" si="289"/>
        <v>0.03755868545</v>
      </c>
      <c r="T282" s="40">
        <f t="shared" si="289"/>
        <v>0.08695652174</v>
      </c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24"/>
      <c r="G283" s="19">
        <f>$G$23</f>
        <v>15</v>
      </c>
      <c r="H283" s="20">
        <v>198.0</v>
      </c>
      <c r="I283" s="20">
        <v>79.0</v>
      </c>
      <c r="J283" s="20">
        <v>1.0</v>
      </c>
      <c r="K283" s="20">
        <v>13.0</v>
      </c>
      <c r="L283" s="20">
        <v>5.0</v>
      </c>
      <c r="M283" s="63"/>
      <c r="N283" s="23"/>
      <c r="O283" s="19">
        <f>$G$23</f>
        <v>15</v>
      </c>
      <c r="P283" s="40">
        <f t="shared" ref="P283:T283" si="290">H283/H$292</f>
        <v>0.08191973521</v>
      </c>
      <c r="Q283" s="40">
        <f t="shared" si="290"/>
        <v>0.09371293001</v>
      </c>
      <c r="R283" s="40">
        <f t="shared" si="290"/>
        <v>0.06666666667</v>
      </c>
      <c r="S283" s="40">
        <f t="shared" si="290"/>
        <v>0.06103286385</v>
      </c>
      <c r="T283" s="40">
        <f t="shared" si="290"/>
        <v>0.03623188406</v>
      </c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24"/>
      <c r="G284" s="19">
        <f>$G$24</f>
        <v>16</v>
      </c>
      <c r="H284" s="20">
        <v>169.0</v>
      </c>
      <c r="I284" s="20">
        <v>54.0</v>
      </c>
      <c r="J284" s="20">
        <v>0.0</v>
      </c>
      <c r="K284" s="20">
        <v>12.0</v>
      </c>
      <c r="L284" s="20">
        <v>8.0</v>
      </c>
      <c r="M284" s="63"/>
      <c r="N284" s="23"/>
      <c r="O284" s="19">
        <f>$G$24</f>
        <v>16</v>
      </c>
      <c r="P284" s="40">
        <f t="shared" ref="P284:T284" si="291">H284/H$292</f>
        <v>0.06992139015</v>
      </c>
      <c r="Q284" s="40">
        <f t="shared" si="291"/>
        <v>0.0640569395</v>
      </c>
      <c r="R284" s="40">
        <f t="shared" si="291"/>
        <v>0</v>
      </c>
      <c r="S284" s="40">
        <f t="shared" si="291"/>
        <v>0.05633802817</v>
      </c>
      <c r="T284" s="40">
        <f t="shared" si="291"/>
        <v>0.05797101449</v>
      </c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24"/>
      <c r="G285" s="19">
        <f>$G$25</f>
        <v>17</v>
      </c>
      <c r="H285" s="20">
        <v>140.0</v>
      </c>
      <c r="I285" s="20">
        <v>42.0</v>
      </c>
      <c r="J285" s="20">
        <v>0.0</v>
      </c>
      <c r="K285" s="20">
        <v>11.0</v>
      </c>
      <c r="L285" s="20">
        <v>6.0</v>
      </c>
      <c r="M285" s="63"/>
      <c r="N285" s="23"/>
      <c r="O285" s="19">
        <f>$G$25</f>
        <v>17</v>
      </c>
      <c r="P285" s="40">
        <f t="shared" ref="P285:T285" si="292">H285/H$292</f>
        <v>0.0579230451</v>
      </c>
      <c r="Q285" s="40">
        <f t="shared" si="292"/>
        <v>0.04982206406</v>
      </c>
      <c r="R285" s="40">
        <f t="shared" si="292"/>
        <v>0</v>
      </c>
      <c r="S285" s="40">
        <f t="shared" si="292"/>
        <v>0.05164319249</v>
      </c>
      <c r="T285" s="40">
        <f t="shared" si="292"/>
        <v>0.04347826087</v>
      </c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24"/>
      <c r="G286" s="19">
        <f>$G$26</f>
        <v>18</v>
      </c>
      <c r="H286" s="20">
        <v>127.0</v>
      </c>
      <c r="I286" s="20">
        <v>36.0</v>
      </c>
      <c r="J286" s="20">
        <v>0.0</v>
      </c>
      <c r="K286" s="20">
        <v>10.0</v>
      </c>
      <c r="L286" s="20">
        <v>9.0</v>
      </c>
      <c r="M286" s="63"/>
      <c r="N286" s="23"/>
      <c r="O286" s="19">
        <f>$G$26</f>
        <v>18</v>
      </c>
      <c r="P286" s="40">
        <f t="shared" ref="P286:T286" si="293">H286/H$292</f>
        <v>0.05254447662</v>
      </c>
      <c r="Q286" s="40">
        <f t="shared" si="293"/>
        <v>0.04270462633</v>
      </c>
      <c r="R286" s="40">
        <f t="shared" si="293"/>
        <v>0</v>
      </c>
      <c r="S286" s="40">
        <f t="shared" si="293"/>
        <v>0.04694835681</v>
      </c>
      <c r="T286" s="40">
        <f t="shared" si="293"/>
        <v>0.0652173913</v>
      </c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24"/>
      <c r="G287" s="19">
        <f>$G$27</f>
        <v>19</v>
      </c>
      <c r="H287" s="20">
        <v>109.0</v>
      </c>
      <c r="I287" s="20">
        <v>43.0</v>
      </c>
      <c r="J287" s="20">
        <v>1.0</v>
      </c>
      <c r="K287" s="20">
        <v>10.0</v>
      </c>
      <c r="L287" s="20">
        <v>7.0</v>
      </c>
      <c r="M287" s="63"/>
      <c r="N287" s="23"/>
      <c r="O287" s="19">
        <f>$G$27</f>
        <v>19</v>
      </c>
      <c r="P287" s="40">
        <f t="shared" ref="P287:T287" si="294">H287/H$292</f>
        <v>0.04509722797</v>
      </c>
      <c r="Q287" s="40">
        <f t="shared" si="294"/>
        <v>0.05100830368</v>
      </c>
      <c r="R287" s="40">
        <f t="shared" si="294"/>
        <v>0.06666666667</v>
      </c>
      <c r="S287" s="40">
        <f t="shared" si="294"/>
        <v>0.04694835681</v>
      </c>
      <c r="T287" s="40">
        <f t="shared" si="294"/>
        <v>0.05072463768</v>
      </c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24"/>
      <c r="G288" s="19">
        <f>$G$28</f>
        <v>20</v>
      </c>
      <c r="H288" s="20">
        <v>123.0</v>
      </c>
      <c r="I288" s="20">
        <v>21.0</v>
      </c>
      <c r="J288" s="20">
        <v>1.0</v>
      </c>
      <c r="K288" s="20">
        <v>15.0</v>
      </c>
      <c r="L288" s="20">
        <v>2.0</v>
      </c>
      <c r="M288" s="63"/>
      <c r="N288" s="23"/>
      <c r="O288" s="19">
        <f>$G$28</f>
        <v>20</v>
      </c>
      <c r="P288" s="40">
        <f t="shared" ref="P288:T288" si="295">H288/H$292</f>
        <v>0.05088953248</v>
      </c>
      <c r="Q288" s="40">
        <f t="shared" si="295"/>
        <v>0.02491103203</v>
      </c>
      <c r="R288" s="40">
        <f t="shared" si="295"/>
        <v>0.06666666667</v>
      </c>
      <c r="S288" s="40">
        <f t="shared" si="295"/>
        <v>0.07042253521</v>
      </c>
      <c r="T288" s="40">
        <f t="shared" si="295"/>
        <v>0.01449275362</v>
      </c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24"/>
      <c r="G289" s="19">
        <f>$G$29</f>
        <v>21</v>
      </c>
      <c r="H289" s="20">
        <v>79.0</v>
      </c>
      <c r="I289" s="20">
        <v>37.0</v>
      </c>
      <c r="J289" s="20">
        <v>0.0</v>
      </c>
      <c r="K289" s="20">
        <v>5.0</v>
      </c>
      <c r="L289" s="20">
        <v>3.0</v>
      </c>
      <c r="M289" s="63"/>
      <c r="N289" s="23"/>
      <c r="O289" s="19">
        <f>$G$29</f>
        <v>21</v>
      </c>
      <c r="P289" s="40">
        <f t="shared" ref="P289:T289" si="296">H289/H$292</f>
        <v>0.03268514688</v>
      </c>
      <c r="Q289" s="40">
        <f t="shared" si="296"/>
        <v>0.04389086595</v>
      </c>
      <c r="R289" s="40">
        <f t="shared" si="296"/>
        <v>0</v>
      </c>
      <c r="S289" s="40">
        <f t="shared" si="296"/>
        <v>0.0234741784</v>
      </c>
      <c r="T289" s="40">
        <f t="shared" si="296"/>
        <v>0.02173913043</v>
      </c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24"/>
      <c r="G290" s="19">
        <f>$G$30</f>
        <v>22</v>
      </c>
      <c r="H290" s="20">
        <v>100.0</v>
      </c>
      <c r="I290" s="20">
        <v>25.0</v>
      </c>
      <c r="J290" s="20">
        <v>0.0</v>
      </c>
      <c r="K290" s="20">
        <v>3.0</v>
      </c>
      <c r="L290" s="20">
        <v>5.0</v>
      </c>
      <c r="M290" s="63"/>
      <c r="N290" s="23"/>
      <c r="O290" s="19">
        <f>$G$30</f>
        <v>22</v>
      </c>
      <c r="P290" s="40">
        <f t="shared" ref="P290:T290" si="297">H290/H$292</f>
        <v>0.04137360364</v>
      </c>
      <c r="Q290" s="40">
        <f t="shared" si="297"/>
        <v>0.02965599051</v>
      </c>
      <c r="R290" s="40">
        <f t="shared" si="297"/>
        <v>0</v>
      </c>
      <c r="S290" s="40">
        <f t="shared" si="297"/>
        <v>0.01408450704</v>
      </c>
      <c r="T290" s="40">
        <f t="shared" si="297"/>
        <v>0.03623188406</v>
      </c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28"/>
      <c r="G291" s="71">
        <f>$G$31</f>
        <v>23</v>
      </c>
      <c r="H291" s="20">
        <v>65.0</v>
      </c>
      <c r="I291" s="20">
        <v>14.0</v>
      </c>
      <c r="J291" s="20">
        <v>1.0</v>
      </c>
      <c r="K291" s="20">
        <v>8.0</v>
      </c>
      <c r="L291" s="20">
        <v>3.0</v>
      </c>
      <c r="M291" s="63"/>
      <c r="N291" s="27"/>
      <c r="O291" s="19">
        <f>$G$31</f>
        <v>23</v>
      </c>
      <c r="P291" s="40">
        <f t="shared" ref="P291:T291" si="298">H291/H$292</f>
        <v>0.02689284237</v>
      </c>
      <c r="Q291" s="40">
        <f t="shared" si="298"/>
        <v>0.01660735469</v>
      </c>
      <c r="R291" s="40">
        <f t="shared" si="298"/>
        <v>0.06666666667</v>
      </c>
      <c r="S291" s="40">
        <f t="shared" si="298"/>
        <v>0.03755868545</v>
      </c>
      <c r="T291" s="40">
        <f t="shared" si="298"/>
        <v>0.02173913043</v>
      </c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86"/>
      <c r="G292" s="86"/>
      <c r="H292" s="73">
        <f t="shared" ref="H292:L292" si="299">SUM(H268:H291)</f>
        <v>2417</v>
      </c>
      <c r="I292" s="73">
        <f t="shared" si="299"/>
        <v>843</v>
      </c>
      <c r="J292" s="73">
        <f t="shared" si="299"/>
        <v>15</v>
      </c>
      <c r="K292" s="73">
        <f t="shared" si="299"/>
        <v>213</v>
      </c>
      <c r="L292" s="73">
        <f t="shared" si="299"/>
        <v>138</v>
      </c>
      <c r="M292" s="63"/>
      <c r="N292" s="86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16"/>
      <c r="H293" s="19">
        <f>$H$7</f>
        <v>31</v>
      </c>
      <c r="I293" s="19">
        <f>$I$7</f>
        <v>32</v>
      </c>
      <c r="J293" s="19">
        <f>$J$7</f>
        <v>41</v>
      </c>
      <c r="K293" s="19">
        <f>$K$7</f>
        <v>42</v>
      </c>
      <c r="L293" s="19">
        <f>$L$7</f>
        <v>5</v>
      </c>
      <c r="M293" s="63"/>
      <c r="N293" s="63"/>
      <c r="O293" s="16"/>
      <c r="P293" s="19">
        <f>$H$7</f>
        <v>31</v>
      </c>
      <c r="Q293" s="19">
        <f>$I$7</f>
        <v>32</v>
      </c>
      <c r="R293" s="19">
        <f>$J$7</f>
        <v>41</v>
      </c>
      <c r="S293" s="19">
        <f>$K$7</f>
        <v>42</v>
      </c>
      <c r="T293" s="19">
        <f>$L$7</f>
        <v>5</v>
      </c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56">
        <v>45205.0</v>
      </c>
      <c r="G294" s="19">
        <f>$G$8</f>
        <v>0</v>
      </c>
      <c r="H294" s="19">
        <v>44.0</v>
      </c>
      <c r="I294" s="19">
        <v>12.0</v>
      </c>
      <c r="J294" s="19">
        <v>0.0</v>
      </c>
      <c r="K294" s="19">
        <v>5.0</v>
      </c>
      <c r="L294" s="19">
        <v>5.0</v>
      </c>
      <c r="M294" s="63"/>
      <c r="N294" s="56">
        <v>45205.0</v>
      </c>
      <c r="O294" s="19">
        <f>$G$8</f>
        <v>0</v>
      </c>
      <c r="P294" s="44">
        <f t="shared" ref="P294:T294" si="300">H294/H$318</f>
        <v>0.00483941927</v>
      </c>
      <c r="Q294" s="44">
        <f t="shared" si="300"/>
        <v>0.003523194363</v>
      </c>
      <c r="R294" s="44">
        <f t="shared" si="300"/>
        <v>0</v>
      </c>
      <c r="S294" s="44">
        <f t="shared" si="300"/>
        <v>0.01041666667</v>
      </c>
      <c r="T294" s="44">
        <f t="shared" si="300"/>
        <v>0.01070663812</v>
      </c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24"/>
      <c r="G295" s="19">
        <f>$G$9</f>
        <v>1</v>
      </c>
      <c r="H295" s="45">
        <v>29.0</v>
      </c>
      <c r="I295" s="45">
        <v>10.0</v>
      </c>
      <c r="J295" s="45">
        <v>1.0</v>
      </c>
      <c r="K295" s="45">
        <v>5.0</v>
      </c>
      <c r="L295" s="45">
        <v>3.0</v>
      </c>
      <c r="M295" s="63"/>
      <c r="N295" s="23"/>
      <c r="O295" s="19">
        <f>$G$9</f>
        <v>1</v>
      </c>
      <c r="P295" s="44">
        <f t="shared" ref="P295:T295" si="301">H295/H$318</f>
        <v>0.003189617246</v>
      </c>
      <c r="Q295" s="44">
        <f t="shared" si="301"/>
        <v>0.002935995302</v>
      </c>
      <c r="R295" s="44">
        <f t="shared" si="301"/>
        <v>0.006578947368</v>
      </c>
      <c r="S295" s="44">
        <f t="shared" si="301"/>
        <v>0.01041666667</v>
      </c>
      <c r="T295" s="44">
        <f t="shared" si="301"/>
        <v>0.006423982869</v>
      </c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24"/>
      <c r="G296" s="19">
        <f>$G$10</f>
        <v>2</v>
      </c>
      <c r="H296" s="45">
        <v>25.0</v>
      </c>
      <c r="I296" s="45">
        <v>10.0</v>
      </c>
      <c r="J296" s="45">
        <v>0.0</v>
      </c>
      <c r="K296" s="45">
        <v>6.0</v>
      </c>
      <c r="L296" s="45">
        <v>3.0</v>
      </c>
      <c r="M296" s="63"/>
      <c r="N296" s="23"/>
      <c r="O296" s="19">
        <f>$G$10</f>
        <v>2</v>
      </c>
      <c r="P296" s="44">
        <f t="shared" ref="P296:T296" si="302">H296/H$318</f>
        <v>0.00274967004</v>
      </c>
      <c r="Q296" s="44">
        <f t="shared" si="302"/>
        <v>0.002935995302</v>
      </c>
      <c r="R296" s="44">
        <f t="shared" si="302"/>
        <v>0</v>
      </c>
      <c r="S296" s="44">
        <f t="shared" si="302"/>
        <v>0.0125</v>
      </c>
      <c r="T296" s="44">
        <f t="shared" si="302"/>
        <v>0.006423982869</v>
      </c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24"/>
      <c r="G297" s="19">
        <f>$G$11</f>
        <v>3</v>
      </c>
      <c r="H297" s="45">
        <v>35.0</v>
      </c>
      <c r="I297" s="45">
        <v>10.0</v>
      </c>
      <c r="J297" s="45">
        <v>0.0</v>
      </c>
      <c r="K297" s="45">
        <v>7.0</v>
      </c>
      <c r="L297" s="45">
        <v>4.0</v>
      </c>
      <c r="M297" s="63"/>
      <c r="N297" s="23"/>
      <c r="O297" s="19">
        <f>$G$11</f>
        <v>3</v>
      </c>
      <c r="P297" s="44">
        <f t="shared" ref="P297:T297" si="303">H297/H$318</f>
        <v>0.003849538055</v>
      </c>
      <c r="Q297" s="44">
        <f t="shared" si="303"/>
        <v>0.002935995302</v>
      </c>
      <c r="R297" s="44">
        <f t="shared" si="303"/>
        <v>0</v>
      </c>
      <c r="S297" s="44">
        <f t="shared" si="303"/>
        <v>0.01458333333</v>
      </c>
      <c r="T297" s="44">
        <f t="shared" si="303"/>
        <v>0.008565310493</v>
      </c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24"/>
      <c r="G298" s="19">
        <f>$G$12</f>
        <v>4</v>
      </c>
      <c r="H298" s="45">
        <v>51.0</v>
      </c>
      <c r="I298" s="45">
        <v>40.0</v>
      </c>
      <c r="J298" s="45">
        <v>2.0</v>
      </c>
      <c r="K298" s="45">
        <v>16.0</v>
      </c>
      <c r="L298" s="45">
        <v>7.0</v>
      </c>
      <c r="M298" s="63"/>
      <c r="N298" s="23"/>
      <c r="O298" s="19">
        <f>$G$12</f>
        <v>4</v>
      </c>
      <c r="P298" s="44">
        <f t="shared" ref="P298:T298" si="304">H298/H$318</f>
        <v>0.005609326881</v>
      </c>
      <c r="Q298" s="44">
        <f t="shared" si="304"/>
        <v>0.01174398121</v>
      </c>
      <c r="R298" s="44">
        <f t="shared" si="304"/>
        <v>0.01315789474</v>
      </c>
      <c r="S298" s="44">
        <f t="shared" si="304"/>
        <v>0.03333333333</v>
      </c>
      <c r="T298" s="44">
        <f t="shared" si="304"/>
        <v>0.01498929336</v>
      </c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24"/>
      <c r="G299" s="19">
        <f>$G$13</f>
        <v>5</v>
      </c>
      <c r="H299" s="45">
        <v>125.0</v>
      </c>
      <c r="I299" s="45">
        <v>57.0</v>
      </c>
      <c r="J299" s="45">
        <v>3.0</v>
      </c>
      <c r="K299" s="45">
        <v>25.0</v>
      </c>
      <c r="L299" s="45">
        <v>28.0</v>
      </c>
      <c r="M299" s="63"/>
      <c r="N299" s="23"/>
      <c r="O299" s="19">
        <f>$G$13</f>
        <v>5</v>
      </c>
      <c r="P299" s="44">
        <f t="shared" ref="P299:T299" si="305">H299/H$318</f>
        <v>0.0137483502</v>
      </c>
      <c r="Q299" s="44">
        <f t="shared" si="305"/>
        <v>0.01673517322</v>
      </c>
      <c r="R299" s="44">
        <f t="shared" si="305"/>
        <v>0.01973684211</v>
      </c>
      <c r="S299" s="44">
        <f t="shared" si="305"/>
        <v>0.05208333333</v>
      </c>
      <c r="T299" s="44">
        <f t="shared" si="305"/>
        <v>0.05995717345</v>
      </c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24"/>
      <c r="G300" s="19">
        <f>$G$14</f>
        <v>6</v>
      </c>
      <c r="H300" s="45">
        <v>351.0</v>
      </c>
      <c r="I300" s="45">
        <v>114.0</v>
      </c>
      <c r="J300" s="45">
        <v>19.0</v>
      </c>
      <c r="K300" s="45">
        <v>13.0</v>
      </c>
      <c r="L300" s="45">
        <v>17.0</v>
      </c>
      <c r="M300" s="63"/>
      <c r="N300" s="23"/>
      <c r="O300" s="19">
        <f>$G$14</f>
        <v>6</v>
      </c>
      <c r="P300" s="44">
        <f t="shared" ref="P300:T300" si="306">H300/H$318</f>
        <v>0.03860536736</v>
      </c>
      <c r="Q300" s="44">
        <f t="shared" si="306"/>
        <v>0.03347034645</v>
      </c>
      <c r="R300" s="44">
        <f t="shared" si="306"/>
        <v>0.125</v>
      </c>
      <c r="S300" s="44">
        <f t="shared" si="306"/>
        <v>0.02708333333</v>
      </c>
      <c r="T300" s="44">
        <f t="shared" si="306"/>
        <v>0.03640256959</v>
      </c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24"/>
      <c r="G301" s="19">
        <f>$G$15</f>
        <v>7</v>
      </c>
      <c r="H301" s="45">
        <v>566.0</v>
      </c>
      <c r="I301" s="45">
        <v>189.0</v>
      </c>
      <c r="J301" s="45">
        <v>15.0</v>
      </c>
      <c r="K301" s="45">
        <v>45.0</v>
      </c>
      <c r="L301" s="45">
        <v>27.0</v>
      </c>
      <c r="M301" s="63"/>
      <c r="N301" s="23"/>
      <c r="O301" s="19">
        <f>$G$15</f>
        <v>7</v>
      </c>
      <c r="P301" s="44">
        <f t="shared" ref="P301:T301" si="307">H301/H$318</f>
        <v>0.0622525297</v>
      </c>
      <c r="Q301" s="44">
        <f t="shared" si="307"/>
        <v>0.05549031122</v>
      </c>
      <c r="R301" s="44">
        <f t="shared" si="307"/>
        <v>0.09868421053</v>
      </c>
      <c r="S301" s="44">
        <f t="shared" si="307"/>
        <v>0.09375</v>
      </c>
      <c r="T301" s="44">
        <f t="shared" si="307"/>
        <v>0.05781584582</v>
      </c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24"/>
      <c r="G302" s="19">
        <f>$G$16</f>
        <v>8</v>
      </c>
      <c r="H302" s="45">
        <v>519.0</v>
      </c>
      <c r="I302" s="45">
        <v>237.0</v>
      </c>
      <c r="J302" s="45">
        <v>17.0</v>
      </c>
      <c r="K302" s="45">
        <v>43.0</v>
      </c>
      <c r="L302" s="45">
        <v>43.0</v>
      </c>
      <c r="M302" s="63"/>
      <c r="N302" s="23"/>
      <c r="O302" s="19">
        <f>$G$16</f>
        <v>8</v>
      </c>
      <c r="P302" s="44">
        <f t="shared" ref="P302:T302" si="308">H302/H$318</f>
        <v>0.05708315002</v>
      </c>
      <c r="Q302" s="44">
        <f t="shared" si="308"/>
        <v>0.06958308867</v>
      </c>
      <c r="R302" s="44">
        <f t="shared" si="308"/>
        <v>0.1118421053</v>
      </c>
      <c r="S302" s="44">
        <f t="shared" si="308"/>
        <v>0.08958333333</v>
      </c>
      <c r="T302" s="44">
        <f t="shared" si="308"/>
        <v>0.09207708779</v>
      </c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24"/>
      <c r="G303" s="19">
        <f>$G$17</f>
        <v>9</v>
      </c>
      <c r="H303" s="45">
        <v>512.0</v>
      </c>
      <c r="I303" s="45">
        <v>295.0</v>
      </c>
      <c r="J303" s="45">
        <v>11.0</v>
      </c>
      <c r="K303" s="45">
        <v>43.0</v>
      </c>
      <c r="L303" s="45">
        <v>48.0</v>
      </c>
      <c r="M303" s="63"/>
      <c r="N303" s="23"/>
      <c r="O303" s="19">
        <f>$G$17</f>
        <v>9</v>
      </c>
      <c r="P303" s="44">
        <f t="shared" ref="P303:T303" si="309">H303/H$318</f>
        <v>0.05631324241</v>
      </c>
      <c r="Q303" s="44">
        <f t="shared" si="309"/>
        <v>0.08661186142</v>
      </c>
      <c r="R303" s="44">
        <f t="shared" si="309"/>
        <v>0.07236842105</v>
      </c>
      <c r="S303" s="44">
        <f t="shared" si="309"/>
        <v>0.08958333333</v>
      </c>
      <c r="T303" s="44">
        <f t="shared" si="309"/>
        <v>0.1027837259</v>
      </c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24"/>
      <c r="G304" s="19">
        <f>$G$18</f>
        <v>10</v>
      </c>
      <c r="H304" s="45">
        <v>521.0</v>
      </c>
      <c r="I304" s="45">
        <v>246.0</v>
      </c>
      <c r="J304" s="45">
        <v>7.0</v>
      </c>
      <c r="K304" s="45">
        <v>36.0</v>
      </c>
      <c r="L304" s="45">
        <v>53.0</v>
      </c>
      <c r="M304" s="63"/>
      <c r="N304" s="23"/>
      <c r="O304" s="19">
        <f>$G$18</f>
        <v>10</v>
      </c>
      <c r="P304" s="44">
        <f t="shared" ref="P304:T304" si="310">H304/H$318</f>
        <v>0.05730312363</v>
      </c>
      <c r="Q304" s="44">
        <f t="shared" si="310"/>
        <v>0.07222548444</v>
      </c>
      <c r="R304" s="44">
        <f t="shared" si="310"/>
        <v>0.04605263158</v>
      </c>
      <c r="S304" s="44">
        <f t="shared" si="310"/>
        <v>0.075</v>
      </c>
      <c r="T304" s="44">
        <f t="shared" si="310"/>
        <v>0.113490364</v>
      </c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24"/>
      <c r="G305" s="19">
        <f>$G$19</f>
        <v>11</v>
      </c>
      <c r="H305" s="45">
        <v>426.0</v>
      </c>
      <c r="I305" s="45">
        <v>204.0</v>
      </c>
      <c r="J305" s="45">
        <v>11.0</v>
      </c>
      <c r="K305" s="45">
        <v>28.0</v>
      </c>
      <c r="L305" s="45">
        <v>44.0</v>
      </c>
      <c r="M305" s="63"/>
      <c r="N305" s="23"/>
      <c r="O305" s="19">
        <f>$G$19</f>
        <v>11</v>
      </c>
      <c r="P305" s="44">
        <f t="shared" ref="P305:T305" si="311">H305/H$318</f>
        <v>0.04685437747</v>
      </c>
      <c r="Q305" s="44">
        <f t="shared" si="311"/>
        <v>0.05989430417</v>
      </c>
      <c r="R305" s="44">
        <f t="shared" si="311"/>
        <v>0.07236842105</v>
      </c>
      <c r="S305" s="44">
        <f t="shared" si="311"/>
        <v>0.05833333333</v>
      </c>
      <c r="T305" s="44">
        <f t="shared" si="311"/>
        <v>0.09421841542</v>
      </c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24"/>
      <c r="G306" s="19">
        <f>$G$20</f>
        <v>12</v>
      </c>
      <c r="H306" s="45">
        <v>470.0</v>
      </c>
      <c r="I306" s="45">
        <v>182.0</v>
      </c>
      <c r="J306" s="45">
        <v>20.0</v>
      </c>
      <c r="K306" s="45">
        <v>19.0</v>
      </c>
      <c r="L306" s="45">
        <v>40.0</v>
      </c>
      <c r="M306" s="63"/>
      <c r="N306" s="23"/>
      <c r="O306" s="19">
        <f>$G$20</f>
        <v>12</v>
      </c>
      <c r="P306" s="44">
        <f t="shared" ref="P306:T306" si="312">H306/H$318</f>
        <v>0.05169379674</v>
      </c>
      <c r="Q306" s="44">
        <f t="shared" si="312"/>
        <v>0.0534351145</v>
      </c>
      <c r="R306" s="44">
        <f t="shared" si="312"/>
        <v>0.1315789474</v>
      </c>
      <c r="S306" s="44">
        <f t="shared" si="312"/>
        <v>0.03958333333</v>
      </c>
      <c r="T306" s="44">
        <f t="shared" si="312"/>
        <v>0.08565310493</v>
      </c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24"/>
      <c r="G307" s="19">
        <f>$G$21</f>
        <v>13</v>
      </c>
      <c r="H307" s="45">
        <v>526.0</v>
      </c>
      <c r="I307" s="45">
        <v>203.0</v>
      </c>
      <c r="J307" s="45">
        <v>17.0</v>
      </c>
      <c r="K307" s="45">
        <v>27.0</v>
      </c>
      <c r="L307" s="45">
        <v>20.0</v>
      </c>
      <c r="M307" s="63"/>
      <c r="N307" s="23"/>
      <c r="O307" s="19">
        <f>$G$21</f>
        <v>13</v>
      </c>
      <c r="P307" s="44">
        <f t="shared" ref="P307:T307" si="313">H307/H$318</f>
        <v>0.05785305763</v>
      </c>
      <c r="Q307" s="44">
        <f t="shared" si="313"/>
        <v>0.05960070464</v>
      </c>
      <c r="R307" s="44">
        <f t="shared" si="313"/>
        <v>0.1118421053</v>
      </c>
      <c r="S307" s="44">
        <f t="shared" si="313"/>
        <v>0.05625</v>
      </c>
      <c r="T307" s="44">
        <f t="shared" si="313"/>
        <v>0.04282655246</v>
      </c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24"/>
      <c r="G308" s="19">
        <f>$G$22</f>
        <v>14</v>
      </c>
      <c r="H308" s="45">
        <v>513.0</v>
      </c>
      <c r="I308" s="45">
        <v>189.0</v>
      </c>
      <c r="J308" s="45">
        <v>3.0</v>
      </c>
      <c r="K308" s="45">
        <v>35.0</v>
      </c>
      <c r="L308" s="45">
        <v>24.0</v>
      </c>
      <c r="M308" s="63"/>
      <c r="N308" s="23"/>
      <c r="O308" s="19">
        <f>$G$22</f>
        <v>14</v>
      </c>
      <c r="P308" s="44">
        <f t="shared" ref="P308:T308" si="314">H308/H$318</f>
        <v>0.05642322921</v>
      </c>
      <c r="Q308" s="44">
        <f t="shared" si="314"/>
        <v>0.05549031122</v>
      </c>
      <c r="R308" s="44">
        <f t="shared" si="314"/>
        <v>0.01973684211</v>
      </c>
      <c r="S308" s="44">
        <f t="shared" si="314"/>
        <v>0.07291666667</v>
      </c>
      <c r="T308" s="44">
        <f t="shared" si="314"/>
        <v>0.05139186296</v>
      </c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24"/>
      <c r="G309" s="19">
        <f>$G$23</f>
        <v>15</v>
      </c>
      <c r="H309" s="45">
        <v>509.0</v>
      </c>
      <c r="I309" s="45">
        <v>163.0</v>
      </c>
      <c r="J309" s="45">
        <v>4.0</v>
      </c>
      <c r="K309" s="45">
        <v>25.0</v>
      </c>
      <c r="L309" s="45">
        <v>26.0</v>
      </c>
      <c r="M309" s="63"/>
      <c r="N309" s="23"/>
      <c r="O309" s="19">
        <f>$G$23</f>
        <v>15</v>
      </c>
      <c r="P309" s="44">
        <f t="shared" ref="P309:T309" si="315">H309/H$318</f>
        <v>0.05598328201</v>
      </c>
      <c r="Q309" s="44">
        <f t="shared" si="315"/>
        <v>0.04785672343</v>
      </c>
      <c r="R309" s="44">
        <f t="shared" si="315"/>
        <v>0.02631578947</v>
      </c>
      <c r="S309" s="44">
        <f t="shared" si="315"/>
        <v>0.05208333333</v>
      </c>
      <c r="T309" s="44">
        <f t="shared" si="315"/>
        <v>0.0556745182</v>
      </c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24"/>
      <c r="G310" s="19">
        <f>$G$24</f>
        <v>16</v>
      </c>
      <c r="H310" s="45">
        <v>487.0</v>
      </c>
      <c r="I310" s="45">
        <v>184.0</v>
      </c>
      <c r="J310" s="45">
        <v>4.0</v>
      </c>
      <c r="K310" s="45">
        <v>25.0</v>
      </c>
      <c r="L310" s="45">
        <v>19.0</v>
      </c>
      <c r="M310" s="63"/>
      <c r="N310" s="23"/>
      <c r="O310" s="19">
        <f>$G$24</f>
        <v>16</v>
      </c>
      <c r="P310" s="44">
        <f t="shared" ref="P310:T310" si="316">H310/H$318</f>
        <v>0.05356357237</v>
      </c>
      <c r="Q310" s="44">
        <f t="shared" si="316"/>
        <v>0.05402231356</v>
      </c>
      <c r="R310" s="44">
        <f t="shared" si="316"/>
        <v>0.02631578947</v>
      </c>
      <c r="S310" s="44">
        <f t="shared" si="316"/>
        <v>0.05208333333</v>
      </c>
      <c r="T310" s="44">
        <f t="shared" si="316"/>
        <v>0.04068522484</v>
      </c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24"/>
      <c r="G311" s="19">
        <f>$G$25</f>
        <v>17</v>
      </c>
      <c r="H311" s="45">
        <v>557.0</v>
      </c>
      <c r="I311" s="45">
        <v>210.0</v>
      </c>
      <c r="J311" s="45">
        <v>3.0</v>
      </c>
      <c r="K311" s="45">
        <v>18.0</v>
      </c>
      <c r="L311" s="45">
        <v>10.0</v>
      </c>
      <c r="M311" s="63"/>
      <c r="N311" s="23"/>
      <c r="O311" s="19">
        <f>$G$25</f>
        <v>17</v>
      </c>
      <c r="P311" s="44">
        <f t="shared" ref="P311:T311" si="317">H311/H$318</f>
        <v>0.06126264848</v>
      </c>
      <c r="Q311" s="44">
        <f t="shared" si="317"/>
        <v>0.06165590135</v>
      </c>
      <c r="R311" s="44">
        <f t="shared" si="317"/>
        <v>0.01973684211</v>
      </c>
      <c r="S311" s="44">
        <f t="shared" si="317"/>
        <v>0.0375</v>
      </c>
      <c r="T311" s="44">
        <f t="shared" si="317"/>
        <v>0.02141327623</v>
      </c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24"/>
      <c r="G312" s="19">
        <f>$G$26</f>
        <v>18</v>
      </c>
      <c r="H312" s="45">
        <v>534.0</v>
      </c>
      <c r="I312" s="45">
        <v>179.0</v>
      </c>
      <c r="J312" s="45">
        <v>2.0</v>
      </c>
      <c r="K312" s="45">
        <v>16.0</v>
      </c>
      <c r="L312" s="45">
        <v>11.0</v>
      </c>
      <c r="M312" s="63"/>
      <c r="N312" s="23"/>
      <c r="O312" s="19">
        <f>$G$26</f>
        <v>18</v>
      </c>
      <c r="P312" s="44">
        <f t="shared" ref="P312:T312" si="318">H312/H$318</f>
        <v>0.05873295205</v>
      </c>
      <c r="Q312" s="44">
        <f t="shared" si="318"/>
        <v>0.05255431591</v>
      </c>
      <c r="R312" s="44">
        <f t="shared" si="318"/>
        <v>0.01315789474</v>
      </c>
      <c r="S312" s="44">
        <f t="shared" si="318"/>
        <v>0.03333333333</v>
      </c>
      <c r="T312" s="44">
        <f t="shared" si="318"/>
        <v>0.02355460385</v>
      </c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24"/>
      <c r="G313" s="19">
        <f>$G$27</f>
        <v>19</v>
      </c>
      <c r="H313" s="45">
        <v>604.0</v>
      </c>
      <c r="I313" s="45">
        <v>172.0</v>
      </c>
      <c r="J313" s="45">
        <v>6.0</v>
      </c>
      <c r="K313" s="45">
        <v>19.0</v>
      </c>
      <c r="L313" s="45">
        <v>7.0</v>
      </c>
      <c r="M313" s="63"/>
      <c r="N313" s="23"/>
      <c r="O313" s="19">
        <f>$G$27</f>
        <v>19</v>
      </c>
      <c r="P313" s="44">
        <f t="shared" ref="P313:T313" si="319">H313/H$318</f>
        <v>0.06643202816</v>
      </c>
      <c r="Q313" s="44">
        <f t="shared" si="319"/>
        <v>0.0504991192</v>
      </c>
      <c r="R313" s="44">
        <f t="shared" si="319"/>
        <v>0.03947368421</v>
      </c>
      <c r="S313" s="44">
        <f t="shared" si="319"/>
        <v>0.03958333333</v>
      </c>
      <c r="T313" s="44">
        <f t="shared" si="319"/>
        <v>0.01498929336</v>
      </c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24"/>
      <c r="G314" s="19">
        <f>$G$28</f>
        <v>20</v>
      </c>
      <c r="H314" s="45">
        <v>600.0</v>
      </c>
      <c r="I314" s="45">
        <v>147.0</v>
      </c>
      <c r="J314" s="45">
        <v>3.0</v>
      </c>
      <c r="K314" s="45">
        <v>6.0</v>
      </c>
      <c r="L314" s="45">
        <v>11.0</v>
      </c>
      <c r="M314" s="63"/>
      <c r="N314" s="23"/>
      <c r="O314" s="19">
        <f>$G$28</f>
        <v>20</v>
      </c>
      <c r="P314" s="44">
        <f t="shared" ref="P314:T314" si="320">H314/H$318</f>
        <v>0.06599208095</v>
      </c>
      <c r="Q314" s="44">
        <f t="shared" si="320"/>
        <v>0.04315913095</v>
      </c>
      <c r="R314" s="44">
        <f t="shared" si="320"/>
        <v>0.01973684211</v>
      </c>
      <c r="S314" s="44">
        <f t="shared" si="320"/>
        <v>0.0125</v>
      </c>
      <c r="T314" s="44">
        <f t="shared" si="320"/>
        <v>0.02355460385</v>
      </c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24"/>
      <c r="G315" s="19">
        <f>$G$29</f>
        <v>21</v>
      </c>
      <c r="H315" s="45">
        <v>473.0</v>
      </c>
      <c r="I315" s="45">
        <v>153.0</v>
      </c>
      <c r="J315" s="45">
        <v>1.0</v>
      </c>
      <c r="K315" s="45">
        <v>5.0</v>
      </c>
      <c r="L315" s="45">
        <v>9.0</v>
      </c>
      <c r="M315" s="63"/>
      <c r="N315" s="23"/>
      <c r="O315" s="19">
        <f>$G$29</f>
        <v>21</v>
      </c>
      <c r="P315" s="44">
        <f t="shared" ref="P315:T315" si="321">H315/H$318</f>
        <v>0.05202375715</v>
      </c>
      <c r="Q315" s="44">
        <f t="shared" si="321"/>
        <v>0.04492072813</v>
      </c>
      <c r="R315" s="44">
        <f t="shared" si="321"/>
        <v>0.006578947368</v>
      </c>
      <c r="S315" s="44">
        <f t="shared" si="321"/>
        <v>0.01041666667</v>
      </c>
      <c r="T315" s="44">
        <f t="shared" si="321"/>
        <v>0.01927194861</v>
      </c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24"/>
      <c r="G316" s="19">
        <f>$G$30</f>
        <v>22</v>
      </c>
      <c r="H316" s="45">
        <v>367.0</v>
      </c>
      <c r="I316" s="45">
        <v>120.0</v>
      </c>
      <c r="J316" s="45">
        <v>1.0</v>
      </c>
      <c r="K316" s="45">
        <v>5.0</v>
      </c>
      <c r="L316" s="45">
        <v>3.0</v>
      </c>
      <c r="M316" s="63"/>
      <c r="N316" s="23"/>
      <c r="O316" s="19">
        <f>$G$30</f>
        <v>22</v>
      </c>
      <c r="P316" s="44">
        <f t="shared" ref="P316:T316" si="322">H316/H$318</f>
        <v>0.04036515618</v>
      </c>
      <c r="Q316" s="44">
        <f t="shared" si="322"/>
        <v>0.03523194363</v>
      </c>
      <c r="R316" s="44">
        <f t="shared" si="322"/>
        <v>0.006578947368</v>
      </c>
      <c r="S316" s="44">
        <f t="shared" si="322"/>
        <v>0.01041666667</v>
      </c>
      <c r="T316" s="44">
        <f t="shared" si="322"/>
        <v>0.006423982869</v>
      </c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28"/>
      <c r="G317" s="71">
        <f>$G$31</f>
        <v>23</v>
      </c>
      <c r="H317" s="87">
        <v>248.0</v>
      </c>
      <c r="I317" s="87">
        <v>80.0</v>
      </c>
      <c r="J317" s="87">
        <v>2.0</v>
      </c>
      <c r="K317" s="87">
        <v>8.0</v>
      </c>
      <c r="L317" s="87">
        <v>5.0</v>
      </c>
      <c r="M317" s="63"/>
      <c r="N317" s="27"/>
      <c r="O317" s="19">
        <f>$G$31</f>
        <v>23</v>
      </c>
      <c r="P317" s="44">
        <f t="shared" ref="P317:T317" si="323">H317/H$318</f>
        <v>0.02727672679</v>
      </c>
      <c r="Q317" s="44">
        <f t="shared" si="323"/>
        <v>0.02348796242</v>
      </c>
      <c r="R317" s="44">
        <f t="shared" si="323"/>
        <v>0.01315789474</v>
      </c>
      <c r="S317" s="44">
        <f t="shared" si="323"/>
        <v>0.01666666667</v>
      </c>
      <c r="T317" s="44">
        <f t="shared" si="323"/>
        <v>0.01070663812</v>
      </c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86"/>
      <c r="G318" s="86"/>
      <c r="H318" s="73">
        <f t="shared" ref="H318:L318" si="324">SUM(H294:H317)</f>
        <v>9092</v>
      </c>
      <c r="I318" s="73">
        <f t="shared" si="324"/>
        <v>3406</v>
      </c>
      <c r="J318" s="73">
        <f t="shared" si="324"/>
        <v>152</v>
      </c>
      <c r="K318" s="73">
        <f t="shared" si="324"/>
        <v>480</v>
      </c>
      <c r="L318" s="73">
        <f t="shared" si="324"/>
        <v>467</v>
      </c>
      <c r="M318" s="63"/>
      <c r="N318" s="86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16"/>
      <c r="H319" s="19">
        <f>$H$7</f>
        <v>31</v>
      </c>
      <c r="I319" s="19">
        <f>$I$7</f>
        <v>32</v>
      </c>
      <c r="J319" s="19">
        <f>$J$7</f>
        <v>41</v>
      </c>
      <c r="K319" s="19">
        <f>$K$7</f>
        <v>42</v>
      </c>
      <c r="L319" s="19">
        <f>$L$7</f>
        <v>5</v>
      </c>
      <c r="M319" s="63"/>
      <c r="N319" s="63"/>
      <c r="O319" s="16"/>
      <c r="P319" s="19">
        <f>$H$7</f>
        <v>31</v>
      </c>
      <c r="Q319" s="19">
        <f>$I$7</f>
        <v>32</v>
      </c>
      <c r="R319" s="19">
        <f>$J$7</f>
        <v>41</v>
      </c>
      <c r="S319" s="19">
        <f>$K$7</f>
        <v>42</v>
      </c>
      <c r="T319" s="19">
        <f>$L$7</f>
        <v>5</v>
      </c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56">
        <v>45206.0</v>
      </c>
      <c r="G320" s="19">
        <f>$G$8</f>
        <v>0</v>
      </c>
      <c r="H320" s="20">
        <v>341.0</v>
      </c>
      <c r="I320" s="20">
        <v>81.0</v>
      </c>
      <c r="J320" s="20">
        <v>8.0</v>
      </c>
      <c r="K320" s="20">
        <v>6.0</v>
      </c>
      <c r="L320" s="20">
        <v>8.0</v>
      </c>
      <c r="M320" s="63"/>
      <c r="N320" s="56">
        <v>45206.0</v>
      </c>
      <c r="O320" s="19">
        <f>$G$8</f>
        <v>0</v>
      </c>
      <c r="P320" s="40">
        <f t="shared" ref="P320:T320" si="325">H320/H$344</f>
        <v>0.01978761678</v>
      </c>
      <c r="Q320" s="40">
        <f t="shared" si="325"/>
        <v>0.01697757284</v>
      </c>
      <c r="R320" s="40">
        <f t="shared" si="325"/>
        <v>0.02867383513</v>
      </c>
      <c r="S320" s="40">
        <f t="shared" si="325"/>
        <v>0.02120141343</v>
      </c>
      <c r="T320" s="40">
        <f t="shared" si="325"/>
        <v>0.03018867925</v>
      </c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24"/>
      <c r="G321" s="19">
        <f>$G$9</f>
        <v>1</v>
      </c>
      <c r="H321" s="20">
        <v>203.0</v>
      </c>
      <c r="I321" s="20">
        <v>64.0</v>
      </c>
      <c r="J321" s="20">
        <v>5.0</v>
      </c>
      <c r="K321" s="20">
        <v>5.0</v>
      </c>
      <c r="L321" s="20">
        <v>7.0</v>
      </c>
      <c r="M321" s="63"/>
      <c r="N321" s="23"/>
      <c r="O321" s="19">
        <f>$G$9</f>
        <v>1</v>
      </c>
      <c r="P321" s="40">
        <f t="shared" ref="P321:T321" si="326">H321/H$344</f>
        <v>0.01177972495</v>
      </c>
      <c r="Q321" s="40">
        <f t="shared" si="326"/>
        <v>0.01341437854</v>
      </c>
      <c r="R321" s="40">
        <f t="shared" si="326"/>
        <v>0.01792114695</v>
      </c>
      <c r="S321" s="40">
        <f t="shared" si="326"/>
        <v>0.01766784452</v>
      </c>
      <c r="T321" s="40">
        <f t="shared" si="326"/>
        <v>0.02641509434</v>
      </c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24"/>
      <c r="G322" s="19">
        <f>$G$10</f>
        <v>2</v>
      </c>
      <c r="H322" s="16">
        <v>225.0</v>
      </c>
      <c r="I322" s="16">
        <v>61.0</v>
      </c>
      <c r="J322" s="16">
        <v>4.0</v>
      </c>
      <c r="K322" s="16">
        <v>2.0</v>
      </c>
      <c r="L322" s="16">
        <v>10.0</v>
      </c>
      <c r="M322" s="63"/>
      <c r="N322" s="23"/>
      <c r="O322" s="19">
        <f>$G$10</f>
        <v>2</v>
      </c>
      <c r="P322" s="40">
        <f t="shared" ref="P322:T322" si="327">H322/H$344</f>
        <v>0.01305634538</v>
      </c>
      <c r="Q322" s="40">
        <f t="shared" si="327"/>
        <v>0.01278557954</v>
      </c>
      <c r="R322" s="40">
        <f t="shared" si="327"/>
        <v>0.01433691756</v>
      </c>
      <c r="S322" s="40">
        <f t="shared" si="327"/>
        <v>0.007067137809</v>
      </c>
      <c r="T322" s="40">
        <f t="shared" si="327"/>
        <v>0.03773584906</v>
      </c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24"/>
      <c r="G323" s="19">
        <f>$G$11</f>
        <v>3</v>
      </c>
      <c r="H323" s="20">
        <v>333.0</v>
      </c>
      <c r="I323" s="20">
        <v>91.0</v>
      </c>
      <c r="J323" s="20">
        <v>7.0</v>
      </c>
      <c r="K323" s="20">
        <v>6.0</v>
      </c>
      <c r="L323" s="20">
        <v>9.0</v>
      </c>
      <c r="M323" s="63"/>
      <c r="N323" s="23"/>
      <c r="O323" s="19">
        <f>$G$11</f>
        <v>3</v>
      </c>
      <c r="P323" s="40">
        <f t="shared" ref="P323:T323" si="328">H323/H$344</f>
        <v>0.01932339117</v>
      </c>
      <c r="Q323" s="40">
        <f t="shared" si="328"/>
        <v>0.01907356948</v>
      </c>
      <c r="R323" s="40">
        <f t="shared" si="328"/>
        <v>0.02508960573</v>
      </c>
      <c r="S323" s="40">
        <f t="shared" si="328"/>
        <v>0.02120141343</v>
      </c>
      <c r="T323" s="40">
        <f t="shared" si="328"/>
        <v>0.03396226415</v>
      </c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24"/>
      <c r="G324" s="19">
        <f>$G$12</f>
        <v>4</v>
      </c>
      <c r="H324" s="20">
        <v>583.0</v>
      </c>
      <c r="I324" s="20">
        <v>161.0</v>
      </c>
      <c r="J324" s="20">
        <v>16.0</v>
      </c>
      <c r="K324" s="20">
        <v>9.0</v>
      </c>
      <c r="L324" s="20">
        <v>7.0</v>
      </c>
      <c r="M324" s="63"/>
      <c r="N324" s="23"/>
      <c r="O324" s="19">
        <f>$G$12</f>
        <v>4</v>
      </c>
      <c r="P324" s="40">
        <f t="shared" ref="P324:T324" si="329">H324/H$344</f>
        <v>0.03383044159</v>
      </c>
      <c r="Q324" s="40">
        <f t="shared" si="329"/>
        <v>0.03374554601</v>
      </c>
      <c r="R324" s="40">
        <f t="shared" si="329"/>
        <v>0.05734767025</v>
      </c>
      <c r="S324" s="40">
        <f t="shared" si="329"/>
        <v>0.03180212014</v>
      </c>
      <c r="T324" s="40">
        <f t="shared" si="329"/>
        <v>0.02641509434</v>
      </c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24"/>
      <c r="G325" s="19">
        <f>$G$13</f>
        <v>5</v>
      </c>
      <c r="H325" s="20">
        <v>874.0</v>
      </c>
      <c r="I325" s="20">
        <v>278.0</v>
      </c>
      <c r="J325" s="20">
        <v>15.0</v>
      </c>
      <c r="K325" s="20">
        <v>21.0</v>
      </c>
      <c r="L325" s="20">
        <v>15.0</v>
      </c>
      <c r="M325" s="63"/>
      <c r="N325" s="23"/>
      <c r="O325" s="19">
        <f>$G$13</f>
        <v>5</v>
      </c>
      <c r="P325" s="40">
        <f t="shared" ref="P325:T325" si="330">H325/H$344</f>
        <v>0.05071664829</v>
      </c>
      <c r="Q325" s="40">
        <f t="shared" si="330"/>
        <v>0.05826870677</v>
      </c>
      <c r="R325" s="40">
        <f t="shared" si="330"/>
        <v>0.05376344086</v>
      </c>
      <c r="S325" s="40">
        <f t="shared" si="330"/>
        <v>0.074204947</v>
      </c>
      <c r="T325" s="40">
        <f t="shared" si="330"/>
        <v>0.05660377358</v>
      </c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24"/>
      <c r="G326" s="19">
        <f>$G$14</f>
        <v>6</v>
      </c>
      <c r="H326" s="20">
        <v>1036.0</v>
      </c>
      <c r="I326" s="20">
        <v>306.0</v>
      </c>
      <c r="J326" s="20">
        <v>31.0</v>
      </c>
      <c r="K326" s="20">
        <v>16.0</v>
      </c>
      <c r="L326" s="20">
        <v>16.0</v>
      </c>
      <c r="M326" s="63"/>
      <c r="N326" s="23"/>
      <c r="O326" s="19">
        <f>$G$14</f>
        <v>6</v>
      </c>
      <c r="P326" s="40">
        <f t="shared" ref="P326:T326" si="331">H326/H$344</f>
        <v>0.06011721697</v>
      </c>
      <c r="Q326" s="40">
        <f t="shared" si="331"/>
        <v>0.06413749738</v>
      </c>
      <c r="R326" s="40">
        <f t="shared" si="331"/>
        <v>0.1111111111</v>
      </c>
      <c r="S326" s="40">
        <f t="shared" si="331"/>
        <v>0.05653710247</v>
      </c>
      <c r="T326" s="40">
        <f t="shared" si="331"/>
        <v>0.06037735849</v>
      </c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24"/>
      <c r="G327" s="19">
        <f>$G$15</f>
        <v>7</v>
      </c>
      <c r="H327" s="20">
        <v>1267.0</v>
      </c>
      <c r="I327" s="20">
        <v>392.0</v>
      </c>
      <c r="J327" s="20">
        <v>68.0</v>
      </c>
      <c r="K327" s="20">
        <v>26.0</v>
      </c>
      <c r="L327" s="20">
        <v>25.0</v>
      </c>
      <c r="M327" s="63"/>
      <c r="N327" s="23"/>
      <c r="O327" s="19">
        <f>$G$15</f>
        <v>7</v>
      </c>
      <c r="P327" s="40">
        <f t="shared" ref="P327:T327" si="332">H327/H$344</f>
        <v>0.07352173156</v>
      </c>
      <c r="Q327" s="40">
        <f t="shared" si="332"/>
        <v>0.08216306854</v>
      </c>
      <c r="R327" s="40">
        <f t="shared" si="332"/>
        <v>0.2437275986</v>
      </c>
      <c r="S327" s="40">
        <f t="shared" si="332"/>
        <v>0.09187279152</v>
      </c>
      <c r="T327" s="40">
        <f t="shared" si="332"/>
        <v>0.09433962264</v>
      </c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24"/>
      <c r="G328" s="19">
        <f>$G$16</f>
        <v>8</v>
      </c>
      <c r="H328" s="20">
        <v>1296.0</v>
      </c>
      <c r="I328" s="20">
        <v>365.0</v>
      </c>
      <c r="J328" s="20">
        <v>31.0</v>
      </c>
      <c r="K328" s="20">
        <v>25.0</v>
      </c>
      <c r="L328" s="20">
        <v>9.0</v>
      </c>
      <c r="M328" s="63"/>
      <c r="N328" s="23"/>
      <c r="O328" s="19">
        <f>$G$16</f>
        <v>8</v>
      </c>
      <c r="P328" s="40">
        <f t="shared" ref="P328:T328" si="333">H328/H$344</f>
        <v>0.07520454941</v>
      </c>
      <c r="Q328" s="40">
        <f t="shared" si="333"/>
        <v>0.07650387759</v>
      </c>
      <c r="R328" s="40">
        <f t="shared" si="333"/>
        <v>0.1111111111</v>
      </c>
      <c r="S328" s="40">
        <f t="shared" si="333"/>
        <v>0.08833922261</v>
      </c>
      <c r="T328" s="40">
        <f t="shared" si="333"/>
        <v>0.03396226415</v>
      </c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24"/>
      <c r="G329" s="19">
        <f>$G$17</f>
        <v>9</v>
      </c>
      <c r="H329" s="20">
        <v>1278.0</v>
      </c>
      <c r="I329" s="20">
        <v>336.0</v>
      </c>
      <c r="J329" s="20">
        <v>14.0</v>
      </c>
      <c r="K329" s="20">
        <v>20.0</v>
      </c>
      <c r="L329" s="20">
        <v>17.0</v>
      </c>
      <c r="M329" s="63"/>
      <c r="N329" s="23"/>
      <c r="O329" s="19">
        <f>$G$17</f>
        <v>9</v>
      </c>
      <c r="P329" s="40">
        <f t="shared" ref="P329:T329" si="334">H329/H$344</f>
        <v>0.07416004178</v>
      </c>
      <c r="Q329" s="40">
        <f t="shared" si="334"/>
        <v>0.07042548732</v>
      </c>
      <c r="R329" s="40">
        <f t="shared" si="334"/>
        <v>0.05017921147</v>
      </c>
      <c r="S329" s="40">
        <f t="shared" si="334"/>
        <v>0.07067137809</v>
      </c>
      <c r="T329" s="40">
        <f t="shared" si="334"/>
        <v>0.0641509434</v>
      </c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24"/>
      <c r="G330" s="19">
        <f>$G$18</f>
        <v>10</v>
      </c>
      <c r="H330" s="20">
        <v>1307.0</v>
      </c>
      <c r="I330" s="20">
        <v>327.0</v>
      </c>
      <c r="J330" s="20">
        <v>8.0</v>
      </c>
      <c r="K330" s="20">
        <v>15.0</v>
      </c>
      <c r="L330" s="20">
        <v>30.0</v>
      </c>
      <c r="M330" s="63"/>
      <c r="N330" s="23"/>
      <c r="O330" s="19">
        <f>$G$18</f>
        <v>10</v>
      </c>
      <c r="P330" s="40">
        <f t="shared" ref="P330:T330" si="335">H330/H$344</f>
        <v>0.07584285963</v>
      </c>
      <c r="Q330" s="40">
        <f t="shared" si="335"/>
        <v>0.06853909034</v>
      </c>
      <c r="R330" s="40">
        <f t="shared" si="335"/>
        <v>0.02867383513</v>
      </c>
      <c r="S330" s="40">
        <f t="shared" si="335"/>
        <v>0.05300353357</v>
      </c>
      <c r="T330" s="40">
        <f t="shared" si="335"/>
        <v>0.1132075472</v>
      </c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24"/>
      <c r="G331" s="19">
        <f>$G$19</f>
        <v>11</v>
      </c>
      <c r="H331" s="20">
        <v>1194.0</v>
      </c>
      <c r="I331" s="20">
        <v>315.0</v>
      </c>
      <c r="J331" s="20">
        <v>12.0</v>
      </c>
      <c r="K331" s="20">
        <v>12.0</v>
      </c>
      <c r="L331" s="20">
        <v>21.0</v>
      </c>
      <c r="M331" s="63"/>
      <c r="N331" s="23"/>
      <c r="O331" s="19">
        <f>$G$19</f>
        <v>11</v>
      </c>
      <c r="P331" s="40">
        <f t="shared" ref="P331:T331" si="336">H331/H$344</f>
        <v>0.06928567284</v>
      </c>
      <c r="Q331" s="40">
        <f t="shared" si="336"/>
        <v>0.06602389436</v>
      </c>
      <c r="R331" s="40">
        <f t="shared" si="336"/>
        <v>0.04301075269</v>
      </c>
      <c r="S331" s="40">
        <f t="shared" si="336"/>
        <v>0.04240282686</v>
      </c>
      <c r="T331" s="40">
        <f t="shared" si="336"/>
        <v>0.07924528302</v>
      </c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24"/>
      <c r="G332" s="19">
        <f>$G$20</f>
        <v>12</v>
      </c>
      <c r="H332" s="20">
        <v>1040.0</v>
      </c>
      <c r="I332" s="20">
        <v>247.0</v>
      </c>
      <c r="J332" s="20">
        <v>10.0</v>
      </c>
      <c r="K332" s="20">
        <v>10.0</v>
      </c>
      <c r="L332" s="20">
        <v>11.0</v>
      </c>
      <c r="M332" s="63"/>
      <c r="N332" s="23"/>
      <c r="O332" s="19">
        <f>$G$20</f>
        <v>12</v>
      </c>
      <c r="P332" s="40">
        <f t="shared" ref="P332:T332" si="337">H332/H$344</f>
        <v>0.06034932977</v>
      </c>
      <c r="Q332" s="40">
        <f t="shared" si="337"/>
        <v>0.05177111717</v>
      </c>
      <c r="R332" s="40">
        <f t="shared" si="337"/>
        <v>0.03584229391</v>
      </c>
      <c r="S332" s="40">
        <f t="shared" si="337"/>
        <v>0.03533568905</v>
      </c>
      <c r="T332" s="40">
        <f t="shared" si="337"/>
        <v>0.04150943396</v>
      </c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24"/>
      <c r="G333" s="19">
        <f>$G$21</f>
        <v>13</v>
      </c>
      <c r="H333" s="20">
        <v>1118.0</v>
      </c>
      <c r="I333" s="20">
        <v>227.0</v>
      </c>
      <c r="J333" s="20">
        <v>6.0</v>
      </c>
      <c r="K333" s="20">
        <v>14.0</v>
      </c>
      <c r="L333" s="20">
        <v>11.0</v>
      </c>
      <c r="M333" s="63"/>
      <c r="N333" s="23"/>
      <c r="O333" s="19">
        <f>$G$21</f>
        <v>13</v>
      </c>
      <c r="P333" s="40">
        <f t="shared" ref="P333:T333" si="338">H333/H$344</f>
        <v>0.06487552951</v>
      </c>
      <c r="Q333" s="40">
        <f t="shared" si="338"/>
        <v>0.04757912387</v>
      </c>
      <c r="R333" s="40">
        <f t="shared" si="338"/>
        <v>0.02150537634</v>
      </c>
      <c r="S333" s="40">
        <f t="shared" si="338"/>
        <v>0.04946996466</v>
      </c>
      <c r="T333" s="40">
        <f t="shared" si="338"/>
        <v>0.04150943396</v>
      </c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24"/>
      <c r="G334" s="19">
        <f>$G$22</f>
        <v>14</v>
      </c>
      <c r="H334" s="20">
        <v>992.0</v>
      </c>
      <c r="I334" s="20">
        <v>259.0</v>
      </c>
      <c r="J334" s="20">
        <v>20.0</v>
      </c>
      <c r="K334" s="20">
        <v>12.0</v>
      </c>
      <c r="L334" s="20">
        <v>23.0</v>
      </c>
      <c r="M334" s="63"/>
      <c r="N334" s="23"/>
      <c r="O334" s="19">
        <f>$G$22</f>
        <v>14</v>
      </c>
      <c r="P334" s="40">
        <f t="shared" ref="P334:T334" si="339">H334/H$344</f>
        <v>0.05756397609</v>
      </c>
      <c r="Q334" s="40">
        <f t="shared" si="339"/>
        <v>0.05428631314</v>
      </c>
      <c r="R334" s="40">
        <f t="shared" si="339"/>
        <v>0.07168458781</v>
      </c>
      <c r="S334" s="40">
        <f t="shared" si="339"/>
        <v>0.04240282686</v>
      </c>
      <c r="T334" s="40">
        <f t="shared" si="339"/>
        <v>0.08679245283</v>
      </c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24"/>
      <c r="G335" s="19">
        <f>$G$23</f>
        <v>15</v>
      </c>
      <c r="H335" s="20">
        <v>839.0</v>
      </c>
      <c r="I335" s="20">
        <v>247.0</v>
      </c>
      <c r="J335" s="20">
        <v>7.0</v>
      </c>
      <c r="K335" s="20">
        <v>12.0</v>
      </c>
      <c r="L335" s="20">
        <v>13.0</v>
      </c>
      <c r="M335" s="63"/>
      <c r="N335" s="23"/>
      <c r="O335" s="19">
        <f>$G$23</f>
        <v>15</v>
      </c>
      <c r="P335" s="40">
        <f t="shared" ref="P335:T335" si="340">H335/H$344</f>
        <v>0.04868566123</v>
      </c>
      <c r="Q335" s="40">
        <f t="shared" si="340"/>
        <v>0.05177111717</v>
      </c>
      <c r="R335" s="40">
        <f t="shared" si="340"/>
        <v>0.02508960573</v>
      </c>
      <c r="S335" s="40">
        <f t="shared" si="340"/>
        <v>0.04240282686</v>
      </c>
      <c r="T335" s="40">
        <f t="shared" si="340"/>
        <v>0.04905660377</v>
      </c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24"/>
      <c r="G336" s="19">
        <f>$G$24</f>
        <v>16</v>
      </c>
      <c r="H336" s="20">
        <v>707.0</v>
      </c>
      <c r="I336" s="20">
        <v>236.0</v>
      </c>
      <c r="J336" s="20">
        <v>4.0</v>
      </c>
      <c r="K336" s="20">
        <v>18.0</v>
      </c>
      <c r="L336" s="20">
        <v>11.0</v>
      </c>
      <c r="M336" s="63"/>
      <c r="N336" s="23"/>
      <c r="O336" s="19">
        <f>$G$24</f>
        <v>16</v>
      </c>
      <c r="P336" s="40">
        <f t="shared" ref="P336:T336" si="341">H336/H$344</f>
        <v>0.04102593861</v>
      </c>
      <c r="Q336" s="40">
        <f t="shared" si="341"/>
        <v>0.04946552086</v>
      </c>
      <c r="R336" s="40">
        <f t="shared" si="341"/>
        <v>0.01433691756</v>
      </c>
      <c r="S336" s="40">
        <f t="shared" si="341"/>
        <v>0.06360424028</v>
      </c>
      <c r="T336" s="40">
        <f t="shared" si="341"/>
        <v>0.04150943396</v>
      </c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24"/>
      <c r="G337" s="19">
        <f>$G$25</f>
        <v>17</v>
      </c>
      <c r="H337" s="20">
        <v>591.0</v>
      </c>
      <c r="I337" s="20">
        <v>219.0</v>
      </c>
      <c r="J337" s="20">
        <v>2.0</v>
      </c>
      <c r="K337" s="20">
        <v>6.0</v>
      </c>
      <c r="L337" s="20">
        <v>3.0</v>
      </c>
      <c r="M337" s="63"/>
      <c r="N337" s="23"/>
      <c r="O337" s="19">
        <f>$G$25</f>
        <v>17</v>
      </c>
      <c r="P337" s="40">
        <f t="shared" ref="P337:T337" si="342">H337/H$344</f>
        <v>0.03429466721</v>
      </c>
      <c r="Q337" s="40">
        <f t="shared" si="342"/>
        <v>0.04590232656</v>
      </c>
      <c r="R337" s="40">
        <f t="shared" si="342"/>
        <v>0.007168458781</v>
      </c>
      <c r="S337" s="40">
        <f t="shared" si="342"/>
        <v>0.02120141343</v>
      </c>
      <c r="T337" s="40">
        <f t="shared" si="342"/>
        <v>0.01132075472</v>
      </c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24"/>
      <c r="G338" s="19">
        <f>$G$26</f>
        <v>18</v>
      </c>
      <c r="H338" s="20">
        <v>474.0</v>
      </c>
      <c r="I338" s="20">
        <v>144.0</v>
      </c>
      <c r="J338" s="20">
        <v>1.0</v>
      </c>
      <c r="K338" s="20">
        <v>14.0</v>
      </c>
      <c r="L338" s="20">
        <v>6.0</v>
      </c>
      <c r="M338" s="63"/>
      <c r="N338" s="23"/>
      <c r="O338" s="19">
        <f>$G$26</f>
        <v>18</v>
      </c>
      <c r="P338" s="40">
        <f t="shared" ref="P338:T338" si="343">H338/H$344</f>
        <v>0.02750536761</v>
      </c>
      <c r="Q338" s="40">
        <f t="shared" si="343"/>
        <v>0.03018235171</v>
      </c>
      <c r="R338" s="40">
        <f t="shared" si="343"/>
        <v>0.003584229391</v>
      </c>
      <c r="S338" s="40">
        <f t="shared" si="343"/>
        <v>0.04946996466</v>
      </c>
      <c r="T338" s="40">
        <f t="shared" si="343"/>
        <v>0.02264150943</v>
      </c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24"/>
      <c r="G339" s="19">
        <f>$G$27</f>
        <v>19</v>
      </c>
      <c r="H339" s="20">
        <v>408.0</v>
      </c>
      <c r="I339" s="20">
        <v>119.0</v>
      </c>
      <c r="J339" s="20">
        <v>3.0</v>
      </c>
      <c r="K339" s="20">
        <v>12.0</v>
      </c>
      <c r="L339" s="20">
        <v>5.0</v>
      </c>
      <c r="M339" s="63"/>
      <c r="N339" s="23"/>
      <c r="O339" s="19">
        <f>$G$27</f>
        <v>19</v>
      </c>
      <c r="P339" s="40">
        <f t="shared" ref="P339:T339" si="344">H339/H$344</f>
        <v>0.0236755063</v>
      </c>
      <c r="Q339" s="40">
        <f t="shared" si="344"/>
        <v>0.02494236009</v>
      </c>
      <c r="R339" s="40">
        <f t="shared" si="344"/>
        <v>0.01075268817</v>
      </c>
      <c r="S339" s="40">
        <f t="shared" si="344"/>
        <v>0.04240282686</v>
      </c>
      <c r="T339" s="40">
        <f t="shared" si="344"/>
        <v>0.01886792453</v>
      </c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24"/>
      <c r="G340" s="19">
        <f>$G$28</f>
        <v>20</v>
      </c>
      <c r="H340" s="20">
        <v>357.0</v>
      </c>
      <c r="I340" s="20">
        <v>93.0</v>
      </c>
      <c r="J340" s="20">
        <v>1.0</v>
      </c>
      <c r="K340" s="20">
        <v>9.0</v>
      </c>
      <c r="L340" s="20">
        <v>2.0</v>
      </c>
      <c r="M340" s="63"/>
      <c r="N340" s="23"/>
      <c r="O340" s="19">
        <f>$G$28</f>
        <v>20</v>
      </c>
      <c r="P340" s="40">
        <f t="shared" ref="P340:T340" si="345">H340/H$344</f>
        <v>0.02071606801</v>
      </c>
      <c r="Q340" s="40">
        <f t="shared" si="345"/>
        <v>0.01949276881</v>
      </c>
      <c r="R340" s="40">
        <f t="shared" si="345"/>
        <v>0.003584229391</v>
      </c>
      <c r="S340" s="40">
        <f t="shared" si="345"/>
        <v>0.03180212014</v>
      </c>
      <c r="T340" s="40">
        <f t="shared" si="345"/>
        <v>0.007547169811</v>
      </c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24"/>
      <c r="G341" s="19">
        <f>$G$29</f>
        <v>21</v>
      </c>
      <c r="H341" s="20">
        <v>324.0</v>
      </c>
      <c r="I341" s="20">
        <v>84.0</v>
      </c>
      <c r="J341" s="20">
        <v>3.0</v>
      </c>
      <c r="K341" s="20">
        <v>3.0</v>
      </c>
      <c r="L341" s="20">
        <v>4.0</v>
      </c>
      <c r="M341" s="63"/>
      <c r="N341" s="23"/>
      <c r="O341" s="19">
        <f>$G$29</f>
        <v>21</v>
      </c>
      <c r="P341" s="40">
        <f t="shared" ref="P341:T341" si="346">H341/H$344</f>
        <v>0.01880113735</v>
      </c>
      <c r="Q341" s="40">
        <f t="shared" si="346"/>
        <v>0.01760637183</v>
      </c>
      <c r="R341" s="40">
        <f t="shared" si="346"/>
        <v>0.01075268817</v>
      </c>
      <c r="S341" s="40">
        <f t="shared" si="346"/>
        <v>0.01060070671</v>
      </c>
      <c r="T341" s="40">
        <f t="shared" si="346"/>
        <v>0.01509433962</v>
      </c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24"/>
      <c r="G342" s="19">
        <f>$G$30</f>
        <v>22</v>
      </c>
      <c r="H342" s="20">
        <v>275.0</v>
      </c>
      <c r="I342" s="20">
        <v>79.0</v>
      </c>
      <c r="J342" s="20">
        <v>2.0</v>
      </c>
      <c r="K342" s="20">
        <v>6.0</v>
      </c>
      <c r="L342" s="20">
        <v>1.0</v>
      </c>
      <c r="M342" s="63"/>
      <c r="N342" s="23"/>
      <c r="O342" s="19">
        <f>$G$30</f>
        <v>22</v>
      </c>
      <c r="P342" s="40">
        <f t="shared" ref="P342:T342" si="347">H342/H$344</f>
        <v>0.01595775547</v>
      </c>
      <c r="Q342" s="40">
        <f t="shared" si="347"/>
        <v>0.01655837351</v>
      </c>
      <c r="R342" s="40">
        <f t="shared" si="347"/>
        <v>0.007168458781</v>
      </c>
      <c r="S342" s="40">
        <f t="shared" si="347"/>
        <v>0.02120141343</v>
      </c>
      <c r="T342" s="40">
        <f t="shared" si="347"/>
        <v>0.003773584906</v>
      </c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28"/>
      <c r="G343" s="71">
        <f>$G$31</f>
        <v>23</v>
      </c>
      <c r="H343" s="20">
        <v>171.0</v>
      </c>
      <c r="I343" s="20">
        <v>40.0</v>
      </c>
      <c r="J343" s="20">
        <v>1.0</v>
      </c>
      <c r="K343" s="20">
        <v>4.0</v>
      </c>
      <c r="L343" s="20">
        <v>1.0</v>
      </c>
      <c r="M343" s="63"/>
      <c r="N343" s="27"/>
      <c r="O343" s="19">
        <f>$G$31</f>
        <v>23</v>
      </c>
      <c r="P343" s="40">
        <f t="shared" ref="P343:T343" si="348">H343/H$344</f>
        <v>0.009922822492</v>
      </c>
      <c r="Q343" s="40">
        <f t="shared" si="348"/>
        <v>0.008383986586</v>
      </c>
      <c r="R343" s="40">
        <f t="shared" si="348"/>
        <v>0.003584229391</v>
      </c>
      <c r="S343" s="40">
        <f t="shared" si="348"/>
        <v>0.01413427562</v>
      </c>
      <c r="T343" s="40">
        <f t="shared" si="348"/>
        <v>0.003773584906</v>
      </c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86"/>
      <c r="G344" s="86"/>
      <c r="H344" s="73">
        <f t="shared" ref="H344:L344" si="349">SUM(H320:H343)</f>
        <v>17233</v>
      </c>
      <c r="I344" s="73">
        <f t="shared" si="349"/>
        <v>4771</v>
      </c>
      <c r="J344" s="73">
        <f t="shared" si="349"/>
        <v>279</v>
      </c>
      <c r="K344" s="73">
        <f t="shared" si="349"/>
        <v>283</v>
      </c>
      <c r="L344" s="73">
        <f t="shared" si="349"/>
        <v>265</v>
      </c>
      <c r="M344" s="63"/>
      <c r="N344" s="86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16"/>
      <c r="H345" s="19">
        <f>$H$7</f>
        <v>31</v>
      </c>
      <c r="I345" s="19">
        <f>$I$7</f>
        <v>32</v>
      </c>
      <c r="J345" s="19">
        <f>$J$7</f>
        <v>41</v>
      </c>
      <c r="K345" s="19">
        <f>$K$7</f>
        <v>42</v>
      </c>
      <c r="L345" s="19">
        <f>$L$7</f>
        <v>5</v>
      </c>
      <c r="M345" s="63"/>
      <c r="N345" s="63"/>
      <c r="O345" s="16"/>
      <c r="P345" s="19">
        <f>$H$7</f>
        <v>31</v>
      </c>
      <c r="Q345" s="19">
        <f>$I$7</f>
        <v>32</v>
      </c>
      <c r="R345" s="19">
        <f>$J$7</f>
        <v>41</v>
      </c>
      <c r="S345" s="19">
        <f>$K$7</f>
        <v>42</v>
      </c>
      <c r="T345" s="19">
        <f>$L$7</f>
        <v>5</v>
      </c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56">
        <v>45207.0</v>
      </c>
      <c r="G346" s="19">
        <f>$G$8</f>
        <v>0</v>
      </c>
      <c r="H346" s="105">
        <v>163.0</v>
      </c>
      <c r="I346" s="105">
        <v>35.0</v>
      </c>
      <c r="J346" s="105">
        <v>0.0</v>
      </c>
      <c r="K346" s="105">
        <v>2.0</v>
      </c>
      <c r="L346" s="105">
        <v>0.0</v>
      </c>
      <c r="M346" s="63"/>
      <c r="N346" s="56">
        <v>45207.0</v>
      </c>
      <c r="O346" s="19">
        <f>$G$8</f>
        <v>0</v>
      </c>
      <c r="P346" s="106">
        <f t="shared" ref="P346:T346" si="350">H346/H$370</f>
        <v>0.01143618887</v>
      </c>
      <c r="Q346" s="106">
        <f t="shared" si="350"/>
        <v>0.009095634096</v>
      </c>
      <c r="R346" s="106">
        <f t="shared" si="350"/>
        <v>0</v>
      </c>
      <c r="S346" s="106">
        <f t="shared" si="350"/>
        <v>0.01204819277</v>
      </c>
      <c r="T346" s="106">
        <f t="shared" si="350"/>
        <v>0</v>
      </c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24"/>
      <c r="G347" s="19">
        <f>$G$9</f>
        <v>1</v>
      </c>
      <c r="H347" s="34">
        <v>103.0</v>
      </c>
      <c r="I347" s="34">
        <v>26.0</v>
      </c>
      <c r="J347" s="34">
        <v>2.0</v>
      </c>
      <c r="K347" s="34">
        <v>2.0</v>
      </c>
      <c r="L347" s="34">
        <v>3.0</v>
      </c>
      <c r="M347" s="63"/>
      <c r="N347" s="23"/>
      <c r="O347" s="19">
        <f>$G$9</f>
        <v>1</v>
      </c>
      <c r="P347" s="106">
        <f t="shared" ref="P347:T347" si="351">H347/H$370</f>
        <v>0.007226548797</v>
      </c>
      <c r="Q347" s="106">
        <f t="shared" si="351"/>
        <v>0.006756756757</v>
      </c>
      <c r="R347" s="106">
        <f t="shared" si="351"/>
        <v>0.01333333333</v>
      </c>
      <c r="S347" s="106">
        <f t="shared" si="351"/>
        <v>0.01204819277</v>
      </c>
      <c r="T347" s="106">
        <f t="shared" si="351"/>
        <v>0.03846153846</v>
      </c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24"/>
      <c r="G348" s="19">
        <f>$G$10</f>
        <v>2</v>
      </c>
      <c r="H348" s="34">
        <v>100.0</v>
      </c>
      <c r="I348" s="34">
        <v>23.0</v>
      </c>
      <c r="J348" s="34">
        <v>4.0</v>
      </c>
      <c r="K348" s="34">
        <v>3.0</v>
      </c>
      <c r="L348" s="34">
        <v>4.0</v>
      </c>
      <c r="M348" s="63"/>
      <c r="N348" s="23"/>
      <c r="O348" s="19">
        <f>$G$10</f>
        <v>2</v>
      </c>
      <c r="P348" s="106">
        <f t="shared" ref="P348:T348" si="352">H348/H$370</f>
        <v>0.007016066793</v>
      </c>
      <c r="Q348" s="106">
        <f t="shared" si="352"/>
        <v>0.005977130977</v>
      </c>
      <c r="R348" s="106">
        <f t="shared" si="352"/>
        <v>0.02666666667</v>
      </c>
      <c r="S348" s="106">
        <f t="shared" si="352"/>
        <v>0.01807228916</v>
      </c>
      <c r="T348" s="106">
        <f t="shared" si="352"/>
        <v>0.05128205128</v>
      </c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24"/>
      <c r="G349" s="19">
        <f>$G$11</f>
        <v>3</v>
      </c>
      <c r="H349" s="34">
        <v>164.0</v>
      </c>
      <c r="I349" s="34">
        <v>50.0</v>
      </c>
      <c r="J349" s="34">
        <v>2.0</v>
      </c>
      <c r="K349" s="34">
        <v>5.0</v>
      </c>
      <c r="L349" s="34">
        <v>3.0</v>
      </c>
      <c r="M349" s="63"/>
      <c r="N349" s="23"/>
      <c r="O349" s="19">
        <f>$G$11</f>
        <v>3</v>
      </c>
      <c r="P349" s="106">
        <f t="shared" ref="P349:T349" si="353">H349/H$370</f>
        <v>0.01150634954</v>
      </c>
      <c r="Q349" s="106">
        <f t="shared" si="353"/>
        <v>0.01299376299</v>
      </c>
      <c r="R349" s="106">
        <f t="shared" si="353"/>
        <v>0.01333333333</v>
      </c>
      <c r="S349" s="106">
        <f t="shared" si="353"/>
        <v>0.03012048193</v>
      </c>
      <c r="T349" s="106">
        <f t="shared" si="353"/>
        <v>0.03846153846</v>
      </c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24"/>
      <c r="G350" s="19">
        <f>$G$12</f>
        <v>4</v>
      </c>
      <c r="H350" s="34">
        <v>241.0</v>
      </c>
      <c r="I350" s="34">
        <v>66.0</v>
      </c>
      <c r="J350" s="34">
        <v>3.0</v>
      </c>
      <c r="K350" s="34">
        <v>2.0</v>
      </c>
      <c r="L350" s="34">
        <v>3.0</v>
      </c>
      <c r="M350" s="63"/>
      <c r="N350" s="23"/>
      <c r="O350" s="19">
        <f>$G$12</f>
        <v>4</v>
      </c>
      <c r="P350" s="106">
        <f t="shared" ref="P350:T350" si="354">H350/H$370</f>
        <v>0.01690872097</v>
      </c>
      <c r="Q350" s="106">
        <f t="shared" si="354"/>
        <v>0.01715176715</v>
      </c>
      <c r="R350" s="106">
        <f t="shared" si="354"/>
        <v>0.02</v>
      </c>
      <c r="S350" s="106">
        <f t="shared" si="354"/>
        <v>0.01204819277</v>
      </c>
      <c r="T350" s="106">
        <f t="shared" si="354"/>
        <v>0.03846153846</v>
      </c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24"/>
      <c r="G351" s="19">
        <f>$G$13</f>
        <v>5</v>
      </c>
      <c r="H351" s="20">
        <v>356.0</v>
      </c>
      <c r="I351" s="20">
        <v>118.0</v>
      </c>
      <c r="J351" s="20">
        <v>7.0</v>
      </c>
      <c r="K351" s="20">
        <v>12.0</v>
      </c>
      <c r="L351" s="20">
        <v>5.0</v>
      </c>
      <c r="M351" s="63"/>
      <c r="N351" s="23"/>
      <c r="O351" s="19">
        <f>$G$13</f>
        <v>5</v>
      </c>
      <c r="P351" s="106">
        <f t="shared" ref="P351:T351" si="355">H351/H$370</f>
        <v>0.02497719778</v>
      </c>
      <c r="Q351" s="106">
        <f t="shared" si="355"/>
        <v>0.03066528067</v>
      </c>
      <c r="R351" s="106">
        <f t="shared" si="355"/>
        <v>0.04666666667</v>
      </c>
      <c r="S351" s="106">
        <f t="shared" si="355"/>
        <v>0.07228915663</v>
      </c>
      <c r="T351" s="106">
        <f t="shared" si="355"/>
        <v>0.0641025641</v>
      </c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24"/>
      <c r="G352" s="19">
        <f>$G$14</f>
        <v>6</v>
      </c>
      <c r="H352" s="20">
        <v>591.0</v>
      </c>
      <c r="I352" s="20">
        <v>195.0</v>
      </c>
      <c r="J352" s="20">
        <v>9.0</v>
      </c>
      <c r="K352" s="20">
        <v>8.0</v>
      </c>
      <c r="L352" s="20">
        <v>9.0</v>
      </c>
      <c r="M352" s="63"/>
      <c r="N352" s="23"/>
      <c r="O352" s="19">
        <f>$G$14</f>
        <v>6</v>
      </c>
      <c r="P352" s="106">
        <f t="shared" ref="P352:T352" si="356">H352/H$370</f>
        <v>0.04146495475</v>
      </c>
      <c r="Q352" s="106">
        <f t="shared" si="356"/>
        <v>0.05067567568</v>
      </c>
      <c r="R352" s="106">
        <f t="shared" si="356"/>
        <v>0.06</v>
      </c>
      <c r="S352" s="106">
        <f t="shared" si="356"/>
        <v>0.04819277108</v>
      </c>
      <c r="T352" s="106">
        <f t="shared" si="356"/>
        <v>0.1153846154</v>
      </c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24"/>
      <c r="G353" s="19">
        <f>$G$15</f>
        <v>7</v>
      </c>
      <c r="H353" s="20">
        <v>969.0</v>
      </c>
      <c r="I353" s="20">
        <v>294.0</v>
      </c>
      <c r="J353" s="20">
        <v>32.0</v>
      </c>
      <c r="K353" s="20">
        <v>17.0</v>
      </c>
      <c r="L353" s="20">
        <v>9.0</v>
      </c>
      <c r="M353" s="63"/>
      <c r="N353" s="23"/>
      <c r="O353" s="19">
        <f>$G$15</f>
        <v>7</v>
      </c>
      <c r="P353" s="106">
        <f t="shared" ref="P353:T353" si="357">H353/H$370</f>
        <v>0.06798568722</v>
      </c>
      <c r="Q353" s="106">
        <f t="shared" si="357"/>
        <v>0.0764033264</v>
      </c>
      <c r="R353" s="106">
        <f t="shared" si="357"/>
        <v>0.2133333333</v>
      </c>
      <c r="S353" s="106">
        <f t="shared" si="357"/>
        <v>0.1024096386</v>
      </c>
      <c r="T353" s="106">
        <f t="shared" si="357"/>
        <v>0.1153846154</v>
      </c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24"/>
      <c r="G354" s="19">
        <f>$G$16</f>
        <v>8</v>
      </c>
      <c r="H354" s="20">
        <v>1221.0</v>
      </c>
      <c r="I354" s="20">
        <v>329.0</v>
      </c>
      <c r="J354" s="20">
        <v>20.0</v>
      </c>
      <c r="K354" s="20">
        <v>17.0</v>
      </c>
      <c r="L354" s="20">
        <v>9.0</v>
      </c>
      <c r="M354" s="63"/>
      <c r="N354" s="23"/>
      <c r="O354" s="19">
        <f>$G$16</f>
        <v>8</v>
      </c>
      <c r="P354" s="106">
        <f t="shared" ref="P354:T354" si="358">H354/H$370</f>
        <v>0.08566617554</v>
      </c>
      <c r="Q354" s="106">
        <f t="shared" si="358"/>
        <v>0.0854989605</v>
      </c>
      <c r="R354" s="106">
        <f t="shared" si="358"/>
        <v>0.1333333333</v>
      </c>
      <c r="S354" s="106">
        <f t="shared" si="358"/>
        <v>0.1024096386</v>
      </c>
      <c r="T354" s="106">
        <f t="shared" si="358"/>
        <v>0.1153846154</v>
      </c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24"/>
      <c r="G355" s="19">
        <f>$G$17</f>
        <v>9</v>
      </c>
      <c r="H355" s="20">
        <v>1426.0</v>
      </c>
      <c r="I355" s="20">
        <v>366.0</v>
      </c>
      <c r="J355" s="20">
        <v>8.0</v>
      </c>
      <c r="K355" s="20">
        <v>12.0</v>
      </c>
      <c r="L355" s="20">
        <v>1.0</v>
      </c>
      <c r="M355" s="63"/>
      <c r="N355" s="23"/>
      <c r="O355" s="19">
        <f>$G$17</f>
        <v>9</v>
      </c>
      <c r="P355" s="106">
        <f t="shared" ref="P355:T355" si="359">H355/H$370</f>
        <v>0.1000491125</v>
      </c>
      <c r="Q355" s="106">
        <f t="shared" si="359"/>
        <v>0.09511434511</v>
      </c>
      <c r="R355" s="106">
        <f t="shared" si="359"/>
        <v>0.05333333333</v>
      </c>
      <c r="S355" s="106">
        <f t="shared" si="359"/>
        <v>0.07228915663</v>
      </c>
      <c r="T355" s="106">
        <f t="shared" si="359"/>
        <v>0.01282051282</v>
      </c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24"/>
      <c r="G356" s="19">
        <f>$G$18</f>
        <v>10</v>
      </c>
      <c r="H356" s="20">
        <v>1458.0</v>
      </c>
      <c r="I356" s="20">
        <v>325.0</v>
      </c>
      <c r="J356" s="20">
        <v>9.0</v>
      </c>
      <c r="K356" s="20">
        <v>6.0</v>
      </c>
      <c r="L356" s="20">
        <v>4.0</v>
      </c>
      <c r="M356" s="63"/>
      <c r="N356" s="23"/>
      <c r="O356" s="19">
        <f>$G$18</f>
        <v>10</v>
      </c>
      <c r="P356" s="106">
        <f t="shared" ref="P356:T356" si="360">H356/H$370</f>
        <v>0.1022942538</v>
      </c>
      <c r="Q356" s="106">
        <f t="shared" si="360"/>
        <v>0.08445945946</v>
      </c>
      <c r="R356" s="106">
        <f t="shared" si="360"/>
        <v>0.06</v>
      </c>
      <c r="S356" s="106">
        <f t="shared" si="360"/>
        <v>0.03614457831</v>
      </c>
      <c r="T356" s="106">
        <f t="shared" si="360"/>
        <v>0.05128205128</v>
      </c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24"/>
      <c r="G357" s="19">
        <f>$G$19</f>
        <v>11</v>
      </c>
      <c r="H357" s="20">
        <v>1200.0</v>
      </c>
      <c r="I357" s="20">
        <v>329.0</v>
      </c>
      <c r="J357" s="20">
        <v>1.0</v>
      </c>
      <c r="K357" s="20">
        <v>6.0</v>
      </c>
      <c r="L357" s="20">
        <v>4.0</v>
      </c>
      <c r="M357" s="63"/>
      <c r="N357" s="23"/>
      <c r="O357" s="19">
        <f>$G$19</f>
        <v>11</v>
      </c>
      <c r="P357" s="106">
        <f t="shared" ref="P357:T357" si="361">H357/H$370</f>
        <v>0.08419280152</v>
      </c>
      <c r="Q357" s="106">
        <f t="shared" si="361"/>
        <v>0.0854989605</v>
      </c>
      <c r="R357" s="106">
        <f t="shared" si="361"/>
        <v>0.006666666667</v>
      </c>
      <c r="S357" s="106">
        <f t="shared" si="361"/>
        <v>0.03614457831</v>
      </c>
      <c r="T357" s="106">
        <f t="shared" si="361"/>
        <v>0.05128205128</v>
      </c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24"/>
      <c r="G358" s="19">
        <f>$G$20</f>
        <v>12</v>
      </c>
      <c r="H358" s="20">
        <v>937.0</v>
      </c>
      <c r="I358" s="20">
        <v>265.0</v>
      </c>
      <c r="J358" s="20">
        <v>4.0</v>
      </c>
      <c r="K358" s="20">
        <v>10.0</v>
      </c>
      <c r="L358" s="20">
        <v>2.0</v>
      </c>
      <c r="M358" s="63"/>
      <c r="N358" s="23"/>
      <c r="O358" s="19">
        <f>$G$20</f>
        <v>12</v>
      </c>
      <c r="P358" s="106">
        <f t="shared" ref="P358:T358" si="362">H358/H$370</f>
        <v>0.06574054585</v>
      </c>
      <c r="Q358" s="106">
        <f t="shared" si="362"/>
        <v>0.06886694387</v>
      </c>
      <c r="R358" s="106">
        <f t="shared" si="362"/>
        <v>0.02666666667</v>
      </c>
      <c r="S358" s="106">
        <f t="shared" si="362"/>
        <v>0.06024096386</v>
      </c>
      <c r="T358" s="106">
        <f t="shared" si="362"/>
        <v>0.02564102564</v>
      </c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24"/>
      <c r="G359" s="19">
        <f>$G$21</f>
        <v>13</v>
      </c>
      <c r="H359" s="20">
        <v>990.0</v>
      </c>
      <c r="I359" s="20">
        <v>238.0</v>
      </c>
      <c r="J359" s="20">
        <v>4.0</v>
      </c>
      <c r="K359" s="20">
        <v>6.0</v>
      </c>
      <c r="L359" s="20">
        <v>5.0</v>
      </c>
      <c r="M359" s="63"/>
      <c r="N359" s="23"/>
      <c r="O359" s="19">
        <f>$G$21</f>
        <v>13</v>
      </c>
      <c r="P359" s="106">
        <f t="shared" ref="P359:T359" si="363">H359/H$370</f>
        <v>0.06945906125</v>
      </c>
      <c r="Q359" s="106">
        <f t="shared" si="363"/>
        <v>0.06185031185</v>
      </c>
      <c r="R359" s="106">
        <f t="shared" si="363"/>
        <v>0.02666666667</v>
      </c>
      <c r="S359" s="106">
        <f t="shared" si="363"/>
        <v>0.03614457831</v>
      </c>
      <c r="T359" s="106">
        <f t="shared" si="363"/>
        <v>0.0641025641</v>
      </c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24"/>
      <c r="G360" s="19">
        <f>$G$22</f>
        <v>14</v>
      </c>
      <c r="H360" s="20">
        <v>902.0</v>
      </c>
      <c r="I360" s="20">
        <v>214.0</v>
      </c>
      <c r="J360" s="20">
        <v>5.0</v>
      </c>
      <c r="K360" s="20">
        <v>9.0</v>
      </c>
      <c r="L360" s="20">
        <v>3.0</v>
      </c>
      <c r="M360" s="63"/>
      <c r="N360" s="23"/>
      <c r="O360" s="19">
        <f>$G$22</f>
        <v>14</v>
      </c>
      <c r="P360" s="106">
        <f t="shared" ref="P360:T360" si="364">H360/H$370</f>
        <v>0.06328492247</v>
      </c>
      <c r="Q360" s="106">
        <f t="shared" si="364"/>
        <v>0.05561330561</v>
      </c>
      <c r="R360" s="106">
        <f t="shared" si="364"/>
        <v>0.03333333333</v>
      </c>
      <c r="S360" s="106">
        <f t="shared" si="364"/>
        <v>0.05421686747</v>
      </c>
      <c r="T360" s="106">
        <f t="shared" si="364"/>
        <v>0.03846153846</v>
      </c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24"/>
      <c r="G361" s="19">
        <f>$G$23</f>
        <v>15</v>
      </c>
      <c r="H361" s="20">
        <v>698.0</v>
      </c>
      <c r="I361" s="20">
        <v>201.0</v>
      </c>
      <c r="J361" s="20">
        <v>8.0</v>
      </c>
      <c r="K361" s="20">
        <v>10.0</v>
      </c>
      <c r="L361" s="20">
        <v>2.0</v>
      </c>
      <c r="M361" s="63"/>
      <c r="N361" s="23"/>
      <c r="O361" s="19">
        <f>$G$23</f>
        <v>15</v>
      </c>
      <c r="P361" s="106">
        <f t="shared" ref="P361:T361" si="365">H361/H$370</f>
        <v>0.04897214621</v>
      </c>
      <c r="Q361" s="106">
        <f t="shared" si="365"/>
        <v>0.05223492723</v>
      </c>
      <c r="R361" s="106">
        <f t="shared" si="365"/>
        <v>0.05333333333</v>
      </c>
      <c r="S361" s="106">
        <f t="shared" si="365"/>
        <v>0.06024096386</v>
      </c>
      <c r="T361" s="106">
        <f t="shared" si="365"/>
        <v>0.02564102564</v>
      </c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24"/>
      <c r="G362" s="19">
        <f>$G$24</f>
        <v>16</v>
      </c>
      <c r="H362" s="20">
        <v>572.0</v>
      </c>
      <c r="I362" s="20">
        <v>182.0</v>
      </c>
      <c r="J362" s="20">
        <v>10.0</v>
      </c>
      <c r="K362" s="20">
        <v>7.0</v>
      </c>
      <c r="L362" s="20">
        <v>2.0</v>
      </c>
      <c r="M362" s="63"/>
      <c r="N362" s="23"/>
      <c r="O362" s="19">
        <f>$G$24</f>
        <v>16</v>
      </c>
      <c r="P362" s="106">
        <f t="shared" ref="P362:T362" si="366">H362/H$370</f>
        <v>0.04013190206</v>
      </c>
      <c r="Q362" s="106">
        <f t="shared" si="366"/>
        <v>0.0472972973</v>
      </c>
      <c r="R362" s="106">
        <f t="shared" si="366"/>
        <v>0.06666666667</v>
      </c>
      <c r="S362" s="106">
        <f t="shared" si="366"/>
        <v>0.0421686747</v>
      </c>
      <c r="T362" s="106">
        <f t="shared" si="366"/>
        <v>0.02564102564</v>
      </c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24"/>
      <c r="G363" s="19">
        <f>$G$25</f>
        <v>17</v>
      </c>
      <c r="H363" s="20">
        <v>478.0</v>
      </c>
      <c r="I363" s="20">
        <v>155.0</v>
      </c>
      <c r="J363" s="20">
        <v>9.0</v>
      </c>
      <c r="K363" s="20">
        <v>6.0</v>
      </c>
      <c r="L363" s="20">
        <v>1.0</v>
      </c>
      <c r="M363" s="63"/>
      <c r="N363" s="23"/>
      <c r="O363" s="19">
        <f>$G$25</f>
        <v>17</v>
      </c>
      <c r="P363" s="106">
        <f t="shared" ref="P363:T363" si="367">H363/H$370</f>
        <v>0.03353679927</v>
      </c>
      <c r="Q363" s="106">
        <f t="shared" si="367"/>
        <v>0.04028066528</v>
      </c>
      <c r="R363" s="106">
        <f t="shared" si="367"/>
        <v>0.06</v>
      </c>
      <c r="S363" s="106">
        <f t="shared" si="367"/>
        <v>0.03614457831</v>
      </c>
      <c r="T363" s="106">
        <f t="shared" si="367"/>
        <v>0.01282051282</v>
      </c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24"/>
      <c r="G364" s="19">
        <f>$G$26</f>
        <v>18</v>
      </c>
      <c r="H364" s="20">
        <v>395.0</v>
      </c>
      <c r="I364" s="20">
        <v>97.0</v>
      </c>
      <c r="J364" s="20">
        <v>1.0</v>
      </c>
      <c r="K364" s="20">
        <v>7.0</v>
      </c>
      <c r="L364" s="20">
        <v>2.0</v>
      </c>
      <c r="M364" s="63"/>
      <c r="N364" s="23"/>
      <c r="O364" s="19">
        <f>$G$26</f>
        <v>18</v>
      </c>
      <c r="P364" s="106">
        <f t="shared" ref="P364:T364" si="368">H364/H$370</f>
        <v>0.02771346383</v>
      </c>
      <c r="Q364" s="106">
        <f t="shared" si="368"/>
        <v>0.02520790021</v>
      </c>
      <c r="R364" s="106">
        <f t="shared" si="368"/>
        <v>0.006666666667</v>
      </c>
      <c r="S364" s="106">
        <f t="shared" si="368"/>
        <v>0.0421686747</v>
      </c>
      <c r="T364" s="106">
        <f t="shared" si="368"/>
        <v>0.02564102564</v>
      </c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24"/>
      <c r="G365" s="19">
        <f>$G$27</f>
        <v>19</v>
      </c>
      <c r="H365" s="20">
        <v>360.0</v>
      </c>
      <c r="I365" s="20">
        <v>91.0</v>
      </c>
      <c r="J365" s="20">
        <v>2.0</v>
      </c>
      <c r="K365" s="20">
        <v>4.0</v>
      </c>
      <c r="L365" s="20">
        <v>2.0</v>
      </c>
      <c r="M365" s="63"/>
      <c r="N365" s="23"/>
      <c r="O365" s="19">
        <f>$G$27</f>
        <v>19</v>
      </c>
      <c r="P365" s="106">
        <f t="shared" ref="P365:T365" si="369">H365/H$370</f>
        <v>0.02525784045</v>
      </c>
      <c r="Q365" s="106">
        <f t="shared" si="369"/>
        <v>0.02364864865</v>
      </c>
      <c r="R365" s="106">
        <f t="shared" si="369"/>
        <v>0.01333333333</v>
      </c>
      <c r="S365" s="106">
        <f t="shared" si="369"/>
        <v>0.02409638554</v>
      </c>
      <c r="T365" s="106">
        <f t="shared" si="369"/>
        <v>0.02564102564</v>
      </c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24"/>
      <c r="G366" s="19">
        <f>$G$28</f>
        <v>20</v>
      </c>
      <c r="H366" s="20">
        <v>319.0</v>
      </c>
      <c r="I366" s="20">
        <v>73.0</v>
      </c>
      <c r="J366" s="20">
        <v>4.0</v>
      </c>
      <c r="K366" s="20">
        <v>4.0</v>
      </c>
      <c r="L366" s="20">
        <v>0.0</v>
      </c>
      <c r="M366" s="63"/>
      <c r="N366" s="23"/>
      <c r="O366" s="19">
        <f>$G$28</f>
        <v>20</v>
      </c>
      <c r="P366" s="106">
        <f t="shared" ref="P366:T366" si="370">H366/H$370</f>
        <v>0.02238125307</v>
      </c>
      <c r="Q366" s="106">
        <f t="shared" si="370"/>
        <v>0.01897089397</v>
      </c>
      <c r="R366" s="106">
        <f t="shared" si="370"/>
        <v>0.02666666667</v>
      </c>
      <c r="S366" s="106">
        <f t="shared" si="370"/>
        <v>0.02409638554</v>
      </c>
      <c r="T366" s="106">
        <f t="shared" si="370"/>
        <v>0</v>
      </c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24"/>
      <c r="G367" s="19">
        <f>$G$29</f>
        <v>21</v>
      </c>
      <c r="H367" s="20">
        <v>245.0</v>
      </c>
      <c r="I367" s="20">
        <v>64.0</v>
      </c>
      <c r="J367" s="20">
        <v>2.0</v>
      </c>
      <c r="K367" s="20">
        <v>2.0</v>
      </c>
      <c r="L367" s="20">
        <v>0.0</v>
      </c>
      <c r="M367" s="63"/>
      <c r="N367" s="23"/>
      <c r="O367" s="19">
        <f>$G$29</f>
        <v>21</v>
      </c>
      <c r="P367" s="106">
        <f t="shared" ref="P367:T367" si="371">H367/H$370</f>
        <v>0.01718936364</v>
      </c>
      <c r="Q367" s="106">
        <f t="shared" si="371"/>
        <v>0.01663201663</v>
      </c>
      <c r="R367" s="106">
        <f t="shared" si="371"/>
        <v>0.01333333333</v>
      </c>
      <c r="S367" s="106">
        <f t="shared" si="371"/>
        <v>0.01204819277</v>
      </c>
      <c r="T367" s="106">
        <f t="shared" si="371"/>
        <v>0</v>
      </c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24"/>
      <c r="G368" s="19">
        <f>$G$30</f>
        <v>22</v>
      </c>
      <c r="H368" s="20">
        <v>211.0</v>
      </c>
      <c r="I368" s="20">
        <v>70.0</v>
      </c>
      <c r="J368" s="20">
        <v>1.0</v>
      </c>
      <c r="K368" s="20">
        <v>6.0</v>
      </c>
      <c r="L368" s="20">
        <v>3.0</v>
      </c>
      <c r="M368" s="63"/>
      <c r="N368" s="23"/>
      <c r="O368" s="19">
        <f>$G$30</f>
        <v>22</v>
      </c>
      <c r="P368" s="106">
        <f t="shared" ref="P368:T368" si="372">H368/H$370</f>
        <v>0.01480390093</v>
      </c>
      <c r="Q368" s="106">
        <f t="shared" si="372"/>
        <v>0.01819126819</v>
      </c>
      <c r="R368" s="106">
        <f t="shared" si="372"/>
        <v>0.006666666667</v>
      </c>
      <c r="S368" s="106">
        <f t="shared" si="372"/>
        <v>0.03614457831</v>
      </c>
      <c r="T368" s="106">
        <f t="shared" si="372"/>
        <v>0.03846153846</v>
      </c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28"/>
      <c r="G369" s="71">
        <f>$G$31</f>
        <v>23</v>
      </c>
      <c r="H369" s="20">
        <v>154.0</v>
      </c>
      <c r="I369" s="20">
        <v>42.0</v>
      </c>
      <c r="J369" s="20">
        <v>3.0</v>
      </c>
      <c r="K369" s="20">
        <v>3.0</v>
      </c>
      <c r="L369" s="20">
        <v>2.0</v>
      </c>
      <c r="M369" s="63"/>
      <c r="N369" s="27"/>
      <c r="O369" s="19">
        <f>$G$31</f>
        <v>23</v>
      </c>
      <c r="P369" s="106">
        <f t="shared" ref="P369:T369" si="373">H369/H$370</f>
        <v>0.01080474286</v>
      </c>
      <c r="Q369" s="106">
        <f t="shared" si="373"/>
        <v>0.01091476091</v>
      </c>
      <c r="R369" s="106">
        <f t="shared" si="373"/>
        <v>0.02</v>
      </c>
      <c r="S369" s="106">
        <f t="shared" si="373"/>
        <v>0.01807228916</v>
      </c>
      <c r="T369" s="106">
        <f t="shared" si="373"/>
        <v>0.02564102564</v>
      </c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86"/>
      <c r="G370" s="86"/>
      <c r="H370" s="73">
        <f t="shared" ref="H370:L370" si="374">SUM(H346:H369)</f>
        <v>14253</v>
      </c>
      <c r="I370" s="73">
        <f t="shared" si="374"/>
        <v>3848</v>
      </c>
      <c r="J370" s="73">
        <f t="shared" si="374"/>
        <v>150</v>
      </c>
      <c r="K370" s="73">
        <f t="shared" si="374"/>
        <v>166</v>
      </c>
      <c r="L370" s="73">
        <f t="shared" si="374"/>
        <v>78</v>
      </c>
      <c r="M370" s="63"/>
      <c r="N370" s="86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16"/>
      <c r="H371" s="51"/>
      <c r="I371" s="51"/>
      <c r="J371" s="51"/>
      <c r="K371" s="51"/>
      <c r="L371" s="51"/>
      <c r="M371" s="63"/>
      <c r="N371" s="63"/>
      <c r="O371" s="16"/>
      <c r="P371" s="51"/>
      <c r="Q371" s="51"/>
      <c r="R371" s="51"/>
      <c r="S371" s="51"/>
      <c r="T371" s="51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55"/>
      <c r="G372" s="51"/>
      <c r="H372" s="16"/>
      <c r="I372" s="16"/>
      <c r="J372" s="16"/>
      <c r="K372" s="16"/>
      <c r="L372" s="16"/>
      <c r="M372" s="63"/>
      <c r="N372" s="55"/>
      <c r="O372" s="51"/>
      <c r="P372" s="52"/>
      <c r="Q372" s="52"/>
      <c r="R372" s="52"/>
      <c r="S372" s="52"/>
      <c r="T372" s="52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G373" s="51"/>
      <c r="H373" s="16"/>
      <c r="I373" s="16"/>
      <c r="J373" s="16"/>
      <c r="K373" s="16"/>
      <c r="L373" s="16"/>
      <c r="M373" s="63"/>
      <c r="N373" s="63"/>
      <c r="O373" s="51"/>
      <c r="P373" s="52"/>
      <c r="Q373" s="52"/>
      <c r="R373" s="52"/>
      <c r="S373" s="52"/>
      <c r="T373" s="52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G374" s="51"/>
      <c r="H374" s="16"/>
      <c r="I374" s="16"/>
      <c r="J374" s="16"/>
      <c r="K374" s="16"/>
      <c r="L374" s="16"/>
      <c r="M374" s="63"/>
      <c r="N374" s="63"/>
      <c r="O374" s="51"/>
      <c r="P374" s="52"/>
      <c r="Q374" s="52"/>
      <c r="R374" s="52"/>
      <c r="S374" s="52"/>
      <c r="T374" s="52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G375" s="51"/>
      <c r="H375" s="16"/>
      <c r="I375" s="16"/>
      <c r="J375" s="16"/>
      <c r="K375" s="16"/>
      <c r="L375" s="16"/>
      <c r="M375" s="63"/>
      <c r="N375" s="63"/>
      <c r="O375" s="51"/>
      <c r="P375" s="52"/>
      <c r="Q375" s="52"/>
      <c r="R375" s="52"/>
      <c r="S375" s="52"/>
      <c r="T375" s="52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G376" s="51"/>
      <c r="H376" s="16"/>
      <c r="I376" s="16"/>
      <c r="J376" s="16"/>
      <c r="K376" s="16"/>
      <c r="L376" s="16"/>
      <c r="M376" s="63"/>
      <c r="N376" s="63"/>
      <c r="O376" s="51"/>
      <c r="P376" s="52"/>
      <c r="Q376" s="52"/>
      <c r="R376" s="52"/>
      <c r="S376" s="52"/>
      <c r="T376" s="52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G377" s="51"/>
      <c r="H377" s="16"/>
      <c r="I377" s="16"/>
      <c r="J377" s="16"/>
      <c r="K377" s="16"/>
      <c r="L377" s="16"/>
      <c r="M377" s="63"/>
      <c r="N377" s="63"/>
      <c r="O377" s="51"/>
      <c r="P377" s="52"/>
      <c r="Q377" s="52"/>
      <c r="R377" s="52"/>
      <c r="S377" s="52"/>
      <c r="T377" s="52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G378" s="51"/>
      <c r="H378" s="16"/>
      <c r="I378" s="16"/>
      <c r="J378" s="16"/>
      <c r="K378" s="16"/>
      <c r="L378" s="16"/>
      <c r="M378" s="63"/>
      <c r="N378" s="63"/>
      <c r="O378" s="51"/>
      <c r="P378" s="52"/>
      <c r="Q378" s="52"/>
      <c r="R378" s="52"/>
      <c r="S378" s="52"/>
      <c r="T378" s="52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G379" s="51"/>
      <c r="H379" s="16"/>
      <c r="I379" s="16"/>
      <c r="J379" s="16"/>
      <c r="K379" s="16"/>
      <c r="L379" s="16"/>
      <c r="M379" s="63"/>
      <c r="N379" s="63"/>
      <c r="O379" s="51"/>
      <c r="P379" s="52"/>
      <c r="Q379" s="52"/>
      <c r="R379" s="52"/>
      <c r="S379" s="52"/>
      <c r="T379" s="52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G380" s="51"/>
      <c r="H380" s="16"/>
      <c r="I380" s="16"/>
      <c r="J380" s="16"/>
      <c r="K380" s="16"/>
      <c r="L380" s="16"/>
      <c r="M380" s="63"/>
      <c r="N380" s="63"/>
      <c r="O380" s="51"/>
      <c r="P380" s="52"/>
      <c r="Q380" s="52"/>
      <c r="R380" s="52"/>
      <c r="S380" s="52"/>
      <c r="T380" s="52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G381" s="51"/>
      <c r="H381" s="16"/>
      <c r="I381" s="16"/>
      <c r="J381" s="16"/>
      <c r="K381" s="16"/>
      <c r="L381" s="16"/>
      <c r="M381" s="63"/>
      <c r="N381" s="63"/>
      <c r="O381" s="51"/>
      <c r="P381" s="52"/>
      <c r="Q381" s="52"/>
      <c r="R381" s="52"/>
      <c r="S381" s="52"/>
      <c r="T381" s="52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G382" s="51"/>
      <c r="H382" s="16"/>
      <c r="I382" s="16"/>
      <c r="J382" s="16"/>
      <c r="K382" s="16"/>
      <c r="L382" s="16"/>
      <c r="M382" s="63"/>
      <c r="N382" s="63"/>
      <c r="O382" s="51"/>
      <c r="P382" s="52"/>
      <c r="Q382" s="52"/>
      <c r="R382" s="52"/>
      <c r="S382" s="52"/>
      <c r="T382" s="52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G383" s="51"/>
      <c r="H383" s="16"/>
      <c r="I383" s="16"/>
      <c r="J383" s="16"/>
      <c r="K383" s="16"/>
      <c r="L383" s="16"/>
      <c r="M383" s="63"/>
      <c r="N383" s="63"/>
      <c r="O383" s="51"/>
      <c r="P383" s="52"/>
      <c r="Q383" s="52"/>
      <c r="R383" s="52"/>
      <c r="S383" s="52"/>
      <c r="T383" s="52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G384" s="51"/>
      <c r="H384" s="16"/>
      <c r="I384" s="16"/>
      <c r="J384" s="16"/>
      <c r="K384" s="16"/>
      <c r="L384" s="16"/>
      <c r="M384" s="63"/>
      <c r="N384" s="63"/>
      <c r="O384" s="51"/>
      <c r="P384" s="52"/>
      <c r="Q384" s="52"/>
      <c r="R384" s="52"/>
      <c r="S384" s="52"/>
      <c r="T384" s="52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G385" s="51"/>
      <c r="H385" s="16"/>
      <c r="I385" s="16"/>
      <c r="J385" s="16"/>
      <c r="K385" s="16"/>
      <c r="L385" s="16"/>
      <c r="M385" s="63"/>
      <c r="N385" s="63"/>
      <c r="O385" s="51"/>
      <c r="P385" s="52"/>
      <c r="Q385" s="52"/>
      <c r="R385" s="52"/>
      <c r="S385" s="52"/>
      <c r="T385" s="52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G386" s="51"/>
      <c r="H386" s="16"/>
      <c r="I386" s="16"/>
      <c r="J386" s="16"/>
      <c r="K386" s="16"/>
      <c r="L386" s="16"/>
      <c r="M386" s="63"/>
      <c r="N386" s="63"/>
      <c r="O386" s="51"/>
      <c r="P386" s="52"/>
      <c r="Q386" s="52"/>
      <c r="R386" s="52"/>
      <c r="S386" s="52"/>
      <c r="T386" s="52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G387" s="51"/>
      <c r="H387" s="16"/>
      <c r="I387" s="16"/>
      <c r="J387" s="16"/>
      <c r="K387" s="16"/>
      <c r="L387" s="16"/>
      <c r="M387" s="63"/>
      <c r="N387" s="63"/>
      <c r="O387" s="51"/>
      <c r="P387" s="52"/>
      <c r="Q387" s="52"/>
      <c r="R387" s="52"/>
      <c r="S387" s="52"/>
      <c r="T387" s="52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G388" s="51"/>
      <c r="H388" s="16"/>
      <c r="I388" s="16"/>
      <c r="J388" s="16"/>
      <c r="K388" s="16"/>
      <c r="L388" s="16"/>
      <c r="M388" s="63"/>
      <c r="N388" s="63"/>
      <c r="O388" s="51"/>
      <c r="P388" s="52"/>
      <c r="Q388" s="52"/>
      <c r="R388" s="52"/>
      <c r="S388" s="52"/>
      <c r="T388" s="52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G389" s="51"/>
      <c r="H389" s="16"/>
      <c r="I389" s="16"/>
      <c r="J389" s="16"/>
      <c r="K389" s="16"/>
      <c r="L389" s="16"/>
      <c r="M389" s="63"/>
      <c r="N389" s="63"/>
      <c r="O389" s="51"/>
      <c r="P389" s="52"/>
      <c r="Q389" s="52"/>
      <c r="R389" s="52"/>
      <c r="S389" s="52"/>
      <c r="T389" s="52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G390" s="51"/>
      <c r="H390" s="16"/>
      <c r="I390" s="16"/>
      <c r="J390" s="16"/>
      <c r="K390" s="16"/>
      <c r="L390" s="16"/>
      <c r="M390" s="63"/>
      <c r="N390" s="63"/>
      <c r="O390" s="51"/>
      <c r="P390" s="52"/>
      <c r="Q390" s="52"/>
      <c r="R390" s="52"/>
      <c r="S390" s="52"/>
      <c r="T390" s="52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G391" s="51"/>
      <c r="H391" s="16"/>
      <c r="I391" s="16"/>
      <c r="J391" s="16"/>
      <c r="K391" s="16"/>
      <c r="L391" s="16"/>
      <c r="M391" s="63"/>
      <c r="N391" s="63"/>
      <c r="O391" s="51"/>
      <c r="P391" s="52"/>
      <c r="Q391" s="52"/>
      <c r="R391" s="52"/>
      <c r="S391" s="52"/>
      <c r="T391" s="52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G392" s="51"/>
      <c r="H392" s="16"/>
      <c r="I392" s="16"/>
      <c r="J392" s="16"/>
      <c r="K392" s="16"/>
      <c r="L392" s="16"/>
      <c r="M392" s="63"/>
      <c r="N392" s="63"/>
      <c r="O392" s="51"/>
      <c r="P392" s="52"/>
      <c r="Q392" s="52"/>
      <c r="R392" s="52"/>
      <c r="S392" s="52"/>
      <c r="T392" s="52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G393" s="51"/>
      <c r="H393" s="16"/>
      <c r="I393" s="16"/>
      <c r="J393" s="16"/>
      <c r="K393" s="16"/>
      <c r="L393" s="16"/>
      <c r="M393" s="63"/>
      <c r="N393" s="63"/>
      <c r="O393" s="51"/>
      <c r="P393" s="52"/>
      <c r="Q393" s="52"/>
      <c r="R393" s="52"/>
      <c r="S393" s="52"/>
      <c r="T393" s="52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G394" s="51"/>
      <c r="H394" s="16"/>
      <c r="I394" s="16"/>
      <c r="J394" s="16"/>
      <c r="K394" s="16"/>
      <c r="L394" s="16"/>
      <c r="M394" s="63"/>
      <c r="N394" s="63"/>
      <c r="O394" s="51"/>
      <c r="P394" s="52"/>
      <c r="Q394" s="52"/>
      <c r="R394" s="52"/>
      <c r="S394" s="52"/>
      <c r="T394" s="52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G395" s="51"/>
      <c r="H395" s="16"/>
      <c r="I395" s="16"/>
      <c r="J395" s="16"/>
      <c r="K395" s="16"/>
      <c r="L395" s="16"/>
      <c r="M395" s="63"/>
      <c r="N395" s="63"/>
      <c r="O395" s="51"/>
      <c r="P395" s="52"/>
      <c r="Q395" s="52"/>
      <c r="R395" s="52"/>
      <c r="S395" s="52"/>
      <c r="T395" s="52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86"/>
      <c r="G396" s="86"/>
      <c r="H396" s="73">
        <f t="shared" ref="H396:L396" si="375">SUM(H372:H395)</f>
        <v>0</v>
      </c>
      <c r="I396" s="73">
        <f t="shared" si="375"/>
        <v>0</v>
      </c>
      <c r="J396" s="73">
        <f t="shared" si="375"/>
        <v>0</v>
      </c>
      <c r="K396" s="73">
        <f t="shared" si="375"/>
        <v>0</v>
      </c>
      <c r="L396" s="73">
        <f t="shared" si="375"/>
        <v>0</v>
      </c>
      <c r="M396" s="63"/>
      <c r="N396" s="86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20">
    <mergeCell ref="B3:C3"/>
    <mergeCell ref="D3:E3"/>
    <mergeCell ref="H3:L3"/>
    <mergeCell ref="H4:L4"/>
    <mergeCell ref="H6:L6"/>
    <mergeCell ref="F8:F31"/>
    <mergeCell ref="F34:F57"/>
    <mergeCell ref="F242:F265"/>
    <mergeCell ref="F268:F291"/>
    <mergeCell ref="F294:F317"/>
    <mergeCell ref="F320:F343"/>
    <mergeCell ref="F346:F369"/>
    <mergeCell ref="F372:F395"/>
    <mergeCell ref="F60:F83"/>
    <mergeCell ref="F86:F109"/>
    <mergeCell ref="F112:F135"/>
    <mergeCell ref="F138:F161"/>
    <mergeCell ref="F164:F187"/>
    <mergeCell ref="F190:F213"/>
    <mergeCell ref="F216:F23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314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315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1" t="s">
        <v>13</v>
      </c>
      <c r="E5" s="102" t="s">
        <v>14</v>
      </c>
    </row>
    <row r="6" ht="15.75" customHeight="1">
      <c r="E6" s="59"/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P7" s="16"/>
      <c r="Q7" s="17">
        <v>31.0</v>
      </c>
      <c r="R7" s="17">
        <v>32.0</v>
      </c>
      <c r="S7" s="17">
        <v>41.0</v>
      </c>
      <c r="T7" s="17">
        <v>42.0</v>
      </c>
      <c r="U7" s="17">
        <v>5.0</v>
      </c>
    </row>
    <row r="8" ht="15.75" customHeight="1">
      <c r="F8" s="56">
        <v>45217.0</v>
      </c>
      <c r="G8" s="19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P8" s="19">
        <v>0.0</v>
      </c>
      <c r="Q8" s="104">
        <f t="shared" ref="Q8:R8" si="1">H8/H$32</f>
        <v>0</v>
      </c>
      <c r="R8" s="104">
        <f t="shared" si="1"/>
        <v>0</v>
      </c>
      <c r="S8" s="104">
        <v>0.0</v>
      </c>
      <c r="T8" s="104">
        <f t="shared" ref="T8:U8" si="2">K8/K$32</f>
        <v>0</v>
      </c>
      <c r="U8" s="104">
        <f t="shared" si="2"/>
        <v>0</v>
      </c>
    </row>
    <row r="9" ht="15.75" customHeight="1">
      <c r="F9" s="24"/>
      <c r="G9" s="19">
        <v>1.0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P9" s="19">
        <v>1.0</v>
      </c>
      <c r="Q9" s="104">
        <f t="shared" ref="Q9:R9" si="3">H9/H$32</f>
        <v>0</v>
      </c>
      <c r="R9" s="104">
        <f t="shared" si="3"/>
        <v>0</v>
      </c>
      <c r="S9" s="104">
        <v>0.0</v>
      </c>
      <c r="T9" s="104">
        <f t="shared" ref="T9:U9" si="4">K9/K$32</f>
        <v>0</v>
      </c>
      <c r="U9" s="104">
        <f t="shared" si="4"/>
        <v>0</v>
      </c>
    </row>
    <row r="10" ht="15.75" customHeight="1">
      <c r="F10" s="24"/>
      <c r="G10" s="19">
        <v>2.0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P10" s="19">
        <v>2.0</v>
      </c>
      <c r="Q10" s="104">
        <f t="shared" ref="Q10:R10" si="5">H10/H$32</f>
        <v>0</v>
      </c>
      <c r="R10" s="104">
        <f t="shared" si="5"/>
        <v>0</v>
      </c>
      <c r="S10" s="104">
        <v>0.0</v>
      </c>
      <c r="T10" s="104">
        <f t="shared" ref="T10:U10" si="6">K10/K$32</f>
        <v>0</v>
      </c>
      <c r="U10" s="104">
        <f t="shared" si="6"/>
        <v>0</v>
      </c>
    </row>
    <row r="11" ht="15.75" customHeight="1">
      <c r="F11" s="24"/>
      <c r="G11" s="19">
        <v>3.0</v>
      </c>
      <c r="H11" s="20">
        <v>0.0</v>
      </c>
      <c r="I11" s="20">
        <v>0.0</v>
      </c>
      <c r="J11" s="20">
        <v>0.0</v>
      </c>
      <c r="K11" s="20">
        <v>0.0</v>
      </c>
      <c r="L11" s="20">
        <v>0.0</v>
      </c>
      <c r="P11" s="19">
        <v>3.0</v>
      </c>
      <c r="Q11" s="104">
        <f t="shared" ref="Q11:R11" si="7">H11/H$32</f>
        <v>0</v>
      </c>
      <c r="R11" s="104">
        <f t="shared" si="7"/>
        <v>0</v>
      </c>
      <c r="S11" s="104">
        <v>0.0</v>
      </c>
      <c r="T11" s="104">
        <f t="shared" ref="T11:U11" si="8">K11/K$32</f>
        <v>0</v>
      </c>
      <c r="U11" s="104">
        <f t="shared" si="8"/>
        <v>0</v>
      </c>
    </row>
    <row r="12" ht="15.75" customHeight="1">
      <c r="F12" s="24"/>
      <c r="G12" s="19">
        <v>4.0</v>
      </c>
      <c r="H12" s="20">
        <v>0.0</v>
      </c>
      <c r="I12" s="20">
        <v>0.0</v>
      </c>
      <c r="J12" s="20">
        <v>0.0</v>
      </c>
      <c r="K12" s="20">
        <v>1.0</v>
      </c>
      <c r="L12" s="20">
        <v>0.0</v>
      </c>
      <c r="P12" s="19">
        <v>4.0</v>
      </c>
      <c r="Q12" s="104">
        <f t="shared" ref="Q12:R12" si="9">H12/H$32</f>
        <v>0</v>
      </c>
      <c r="R12" s="104">
        <f t="shared" si="9"/>
        <v>0</v>
      </c>
      <c r="S12" s="104">
        <v>0.0</v>
      </c>
      <c r="T12" s="104">
        <f t="shared" ref="T12:U12" si="10">K12/K$32</f>
        <v>0.3333333333</v>
      </c>
      <c r="U12" s="104">
        <f t="shared" si="10"/>
        <v>0</v>
      </c>
    </row>
    <row r="13" ht="15.75" customHeight="1">
      <c r="F13" s="24"/>
      <c r="G13" s="19">
        <v>5.0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P13" s="19">
        <v>5.0</v>
      </c>
      <c r="Q13" s="104">
        <f t="shared" ref="Q13:R13" si="11">H13/H$32</f>
        <v>0</v>
      </c>
      <c r="R13" s="104">
        <f t="shared" si="11"/>
        <v>0</v>
      </c>
      <c r="S13" s="104">
        <v>0.0</v>
      </c>
      <c r="T13" s="104">
        <f t="shared" ref="T13:U13" si="12">K13/K$32</f>
        <v>0</v>
      </c>
      <c r="U13" s="104">
        <f t="shared" si="12"/>
        <v>0</v>
      </c>
    </row>
    <row r="14" ht="15.75" customHeight="1">
      <c r="F14" s="24"/>
      <c r="G14" s="19">
        <v>6.0</v>
      </c>
      <c r="H14" s="20">
        <v>0.0</v>
      </c>
      <c r="I14" s="20">
        <v>1.0</v>
      </c>
      <c r="J14" s="20">
        <v>0.0</v>
      </c>
      <c r="K14" s="20">
        <v>0.0</v>
      </c>
      <c r="L14" s="20">
        <v>0.0</v>
      </c>
      <c r="P14" s="19">
        <v>6.0</v>
      </c>
      <c r="Q14" s="104">
        <f t="shared" ref="Q14:R14" si="13">H14/H$32</f>
        <v>0</v>
      </c>
      <c r="R14" s="104">
        <f t="shared" si="13"/>
        <v>0.125</v>
      </c>
      <c r="S14" s="104">
        <v>0.0</v>
      </c>
      <c r="T14" s="104">
        <f t="shared" ref="T14:U14" si="14">K14/K$32</f>
        <v>0</v>
      </c>
      <c r="U14" s="104">
        <f t="shared" si="14"/>
        <v>0</v>
      </c>
    </row>
    <row r="15" ht="15.75" customHeight="1">
      <c r="F15" s="24"/>
      <c r="G15" s="19">
        <v>7.0</v>
      </c>
      <c r="H15" s="20">
        <v>0.0</v>
      </c>
      <c r="I15" s="20">
        <v>1.0</v>
      </c>
      <c r="J15" s="20">
        <v>0.0</v>
      </c>
      <c r="K15" s="20">
        <v>0.0</v>
      </c>
      <c r="L15" s="20">
        <v>1.0</v>
      </c>
      <c r="P15" s="19">
        <v>7.0</v>
      </c>
      <c r="Q15" s="104">
        <f t="shared" ref="Q15:R15" si="15">H15/H$32</f>
        <v>0</v>
      </c>
      <c r="R15" s="104">
        <f t="shared" si="15"/>
        <v>0.125</v>
      </c>
      <c r="S15" s="104">
        <v>0.0</v>
      </c>
      <c r="T15" s="104">
        <f t="shared" ref="T15:U15" si="16">K15/K$32</f>
        <v>0</v>
      </c>
      <c r="U15" s="104">
        <f t="shared" si="16"/>
        <v>0.5</v>
      </c>
    </row>
    <row r="16" ht="15.75" customHeight="1">
      <c r="F16" s="24"/>
      <c r="G16" s="19">
        <v>8.0</v>
      </c>
      <c r="H16" s="20">
        <v>1.0</v>
      </c>
      <c r="I16" s="20">
        <v>0.0</v>
      </c>
      <c r="J16" s="20">
        <v>0.0</v>
      </c>
      <c r="K16" s="20">
        <v>0.0</v>
      </c>
      <c r="L16" s="20">
        <v>0.0</v>
      </c>
      <c r="P16" s="19">
        <v>8.0</v>
      </c>
      <c r="Q16" s="104">
        <f t="shared" ref="Q16:R16" si="17">H16/H$32</f>
        <v>0.09090909091</v>
      </c>
      <c r="R16" s="104">
        <f t="shared" si="17"/>
        <v>0</v>
      </c>
      <c r="S16" s="104">
        <v>0.0</v>
      </c>
      <c r="T16" s="104">
        <f t="shared" ref="T16:U16" si="18">K16/K$32</f>
        <v>0</v>
      </c>
      <c r="U16" s="104">
        <f t="shared" si="18"/>
        <v>0</v>
      </c>
    </row>
    <row r="17" ht="15.75" customHeight="1">
      <c r="F17" s="24"/>
      <c r="G17" s="19">
        <v>9.0</v>
      </c>
      <c r="H17" s="20">
        <v>1.0</v>
      </c>
      <c r="I17" s="20">
        <v>0.0</v>
      </c>
      <c r="J17" s="20">
        <v>0.0</v>
      </c>
      <c r="K17" s="20">
        <v>1.0</v>
      </c>
      <c r="L17" s="20">
        <v>0.0</v>
      </c>
      <c r="P17" s="19">
        <v>9.0</v>
      </c>
      <c r="Q17" s="104">
        <f t="shared" ref="Q17:R17" si="19">H17/H$32</f>
        <v>0.09090909091</v>
      </c>
      <c r="R17" s="104">
        <f t="shared" si="19"/>
        <v>0</v>
      </c>
      <c r="S17" s="104">
        <v>0.0</v>
      </c>
      <c r="T17" s="104">
        <f t="shared" ref="T17:U17" si="20">K17/K$32</f>
        <v>0.3333333333</v>
      </c>
      <c r="U17" s="104">
        <f t="shared" si="20"/>
        <v>0</v>
      </c>
    </row>
    <row r="18" ht="15.75" customHeight="1">
      <c r="F18" s="24"/>
      <c r="G18" s="19">
        <v>10.0</v>
      </c>
      <c r="H18" s="20">
        <v>1.0</v>
      </c>
      <c r="I18" s="20">
        <v>3.0</v>
      </c>
      <c r="J18" s="20">
        <v>0.0</v>
      </c>
      <c r="K18" s="20">
        <v>0.0</v>
      </c>
      <c r="L18" s="20">
        <v>0.0</v>
      </c>
      <c r="P18" s="19">
        <v>10.0</v>
      </c>
      <c r="Q18" s="104">
        <f t="shared" ref="Q18:R18" si="21">H18/H$32</f>
        <v>0.09090909091</v>
      </c>
      <c r="R18" s="104">
        <f t="shared" si="21"/>
        <v>0.375</v>
      </c>
      <c r="S18" s="104">
        <v>0.0</v>
      </c>
      <c r="T18" s="104">
        <f t="shared" ref="T18:U18" si="22">K18/K$32</f>
        <v>0</v>
      </c>
      <c r="U18" s="104">
        <f t="shared" si="22"/>
        <v>0</v>
      </c>
    </row>
    <row r="19" ht="15.75" customHeight="1">
      <c r="F19" s="24"/>
      <c r="G19" s="19">
        <v>11.0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P19" s="19">
        <v>11.0</v>
      </c>
      <c r="Q19" s="104">
        <f t="shared" ref="Q19:R19" si="23">H19/H$32</f>
        <v>0</v>
      </c>
      <c r="R19" s="104">
        <f t="shared" si="23"/>
        <v>0</v>
      </c>
      <c r="S19" s="104">
        <v>0.0</v>
      </c>
      <c r="T19" s="104">
        <f t="shared" ref="T19:U19" si="24">K19/K$32</f>
        <v>0</v>
      </c>
      <c r="U19" s="104">
        <f t="shared" si="24"/>
        <v>0</v>
      </c>
    </row>
    <row r="20" ht="15.75" customHeight="1">
      <c r="F20" s="24"/>
      <c r="G20" s="19">
        <v>12.0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P20" s="19">
        <v>12.0</v>
      </c>
      <c r="Q20" s="104">
        <f t="shared" ref="Q20:R20" si="25">H20/H$32</f>
        <v>0</v>
      </c>
      <c r="R20" s="104">
        <f t="shared" si="25"/>
        <v>0</v>
      </c>
      <c r="S20" s="104">
        <v>0.0</v>
      </c>
      <c r="T20" s="104">
        <f t="shared" ref="T20:U20" si="26">K20/K$32</f>
        <v>0</v>
      </c>
      <c r="U20" s="104">
        <f t="shared" si="26"/>
        <v>0</v>
      </c>
    </row>
    <row r="21" ht="15.75" customHeight="1">
      <c r="F21" s="24"/>
      <c r="G21" s="19">
        <v>13.0</v>
      </c>
      <c r="H21" s="20">
        <v>1.0</v>
      </c>
      <c r="I21" s="20">
        <v>1.0</v>
      </c>
      <c r="J21" s="20">
        <v>0.0</v>
      </c>
      <c r="K21" s="20">
        <v>0.0</v>
      </c>
      <c r="L21" s="20">
        <v>0.0</v>
      </c>
      <c r="P21" s="19">
        <v>13.0</v>
      </c>
      <c r="Q21" s="104">
        <f t="shared" ref="Q21:R21" si="27">H21/H$32</f>
        <v>0.09090909091</v>
      </c>
      <c r="R21" s="104">
        <f t="shared" si="27"/>
        <v>0.125</v>
      </c>
      <c r="S21" s="104">
        <v>0.0</v>
      </c>
      <c r="T21" s="104">
        <f t="shared" ref="T21:U21" si="28">K21/K$32</f>
        <v>0</v>
      </c>
      <c r="U21" s="104">
        <f t="shared" si="28"/>
        <v>0</v>
      </c>
    </row>
    <row r="22" ht="15.75" customHeight="1">
      <c r="F22" s="24"/>
      <c r="G22" s="19">
        <v>14.0</v>
      </c>
      <c r="H22" s="20">
        <v>1.0</v>
      </c>
      <c r="I22" s="20">
        <v>1.0</v>
      </c>
      <c r="J22" s="20">
        <v>0.0</v>
      </c>
      <c r="K22" s="20">
        <v>0.0</v>
      </c>
      <c r="L22" s="20">
        <v>0.0</v>
      </c>
      <c r="P22" s="19">
        <v>14.0</v>
      </c>
      <c r="Q22" s="104">
        <f t="shared" ref="Q22:R22" si="29">H22/H$32</f>
        <v>0.09090909091</v>
      </c>
      <c r="R22" s="104">
        <f t="shared" si="29"/>
        <v>0.125</v>
      </c>
      <c r="S22" s="104">
        <v>0.0</v>
      </c>
      <c r="T22" s="104">
        <f t="shared" ref="T22:U22" si="30">K22/K$32</f>
        <v>0</v>
      </c>
      <c r="U22" s="104">
        <f t="shared" si="30"/>
        <v>0</v>
      </c>
    </row>
    <row r="23" ht="15.75" customHeight="1">
      <c r="F23" s="24"/>
      <c r="G23" s="19">
        <v>15.0</v>
      </c>
      <c r="H23" s="20">
        <v>0.0</v>
      </c>
      <c r="I23" s="20">
        <v>1.0</v>
      </c>
      <c r="J23" s="20">
        <v>0.0</v>
      </c>
      <c r="K23" s="20">
        <v>0.0</v>
      </c>
      <c r="L23" s="20">
        <v>0.0</v>
      </c>
      <c r="P23" s="19">
        <v>15.0</v>
      </c>
      <c r="Q23" s="104">
        <f t="shared" ref="Q23:R23" si="31">H23/H$32</f>
        <v>0</v>
      </c>
      <c r="R23" s="104">
        <f t="shared" si="31"/>
        <v>0.125</v>
      </c>
      <c r="S23" s="104">
        <v>0.0</v>
      </c>
      <c r="T23" s="104">
        <f t="shared" ref="T23:U23" si="32">K23/K$32</f>
        <v>0</v>
      </c>
      <c r="U23" s="104">
        <f t="shared" si="32"/>
        <v>0</v>
      </c>
    </row>
    <row r="24" ht="15.75" customHeight="1">
      <c r="F24" s="24"/>
      <c r="G24" s="19">
        <v>16.0</v>
      </c>
      <c r="H24" s="20">
        <v>2.0</v>
      </c>
      <c r="I24" s="20">
        <v>0.0</v>
      </c>
      <c r="J24" s="20">
        <v>0.0</v>
      </c>
      <c r="K24" s="20">
        <v>1.0</v>
      </c>
      <c r="L24" s="20">
        <v>1.0</v>
      </c>
      <c r="P24" s="19">
        <v>16.0</v>
      </c>
      <c r="Q24" s="104">
        <f t="shared" ref="Q24:R24" si="33">H24/H$32</f>
        <v>0.1818181818</v>
      </c>
      <c r="R24" s="104">
        <f t="shared" si="33"/>
        <v>0</v>
      </c>
      <c r="S24" s="104">
        <v>0.0</v>
      </c>
      <c r="T24" s="104">
        <f t="shared" ref="T24:U24" si="34">K24/K$32</f>
        <v>0.3333333333</v>
      </c>
      <c r="U24" s="104">
        <f t="shared" si="34"/>
        <v>0.5</v>
      </c>
    </row>
    <row r="25" ht="15.75" customHeight="1">
      <c r="F25" s="24"/>
      <c r="G25" s="19">
        <v>17.0</v>
      </c>
      <c r="H25" s="20">
        <v>2.0</v>
      </c>
      <c r="I25" s="20">
        <v>0.0</v>
      </c>
      <c r="J25" s="20">
        <v>0.0</v>
      </c>
      <c r="K25" s="20">
        <v>0.0</v>
      </c>
      <c r="L25" s="20">
        <v>0.0</v>
      </c>
      <c r="P25" s="19">
        <v>17.0</v>
      </c>
      <c r="Q25" s="104">
        <f t="shared" ref="Q25:R25" si="35">H25/H$32</f>
        <v>0.1818181818</v>
      </c>
      <c r="R25" s="104">
        <f t="shared" si="35"/>
        <v>0</v>
      </c>
      <c r="S25" s="104">
        <v>0.0</v>
      </c>
      <c r="T25" s="104">
        <f t="shared" ref="T25:U25" si="36">K25/K$32</f>
        <v>0</v>
      </c>
      <c r="U25" s="104">
        <f t="shared" si="36"/>
        <v>0</v>
      </c>
    </row>
    <row r="26" ht="15.75" customHeight="1">
      <c r="F26" s="24"/>
      <c r="G26" s="19">
        <v>18.0</v>
      </c>
      <c r="H26" s="20">
        <v>1.0</v>
      </c>
      <c r="I26" s="20">
        <v>0.0</v>
      </c>
      <c r="J26" s="20">
        <v>0.0</v>
      </c>
      <c r="K26" s="20">
        <v>0.0</v>
      </c>
      <c r="L26" s="20">
        <v>0.0</v>
      </c>
      <c r="P26" s="19">
        <v>18.0</v>
      </c>
      <c r="Q26" s="104">
        <f t="shared" ref="Q26:R26" si="37">H26/H$32</f>
        <v>0.09090909091</v>
      </c>
      <c r="R26" s="104">
        <f t="shared" si="37"/>
        <v>0</v>
      </c>
      <c r="S26" s="104">
        <v>0.0</v>
      </c>
      <c r="T26" s="104">
        <f t="shared" ref="T26:U26" si="38">K26/K$32</f>
        <v>0</v>
      </c>
      <c r="U26" s="104">
        <f t="shared" si="38"/>
        <v>0</v>
      </c>
    </row>
    <row r="27" ht="15.75" customHeight="1">
      <c r="F27" s="24"/>
      <c r="G27" s="19">
        <v>19.0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P27" s="19">
        <v>19.0</v>
      </c>
      <c r="Q27" s="104">
        <f t="shared" ref="Q27:R27" si="39">H27/H$32</f>
        <v>0</v>
      </c>
      <c r="R27" s="104">
        <f t="shared" si="39"/>
        <v>0</v>
      </c>
      <c r="S27" s="104">
        <v>0.0</v>
      </c>
      <c r="T27" s="104">
        <f t="shared" ref="T27:U27" si="40">K27/K$32</f>
        <v>0</v>
      </c>
      <c r="U27" s="104">
        <f t="shared" si="40"/>
        <v>0</v>
      </c>
    </row>
    <row r="28" ht="15.75" customHeight="1">
      <c r="F28" s="24"/>
      <c r="G28" s="19">
        <v>20.0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P28" s="19">
        <v>20.0</v>
      </c>
      <c r="Q28" s="104">
        <f t="shared" ref="Q28:R28" si="41">H28/H$32</f>
        <v>0</v>
      </c>
      <c r="R28" s="104">
        <f t="shared" si="41"/>
        <v>0</v>
      </c>
      <c r="S28" s="104">
        <v>0.0</v>
      </c>
      <c r="T28" s="104">
        <f t="shared" ref="T28:U28" si="42">K28/K$32</f>
        <v>0</v>
      </c>
      <c r="U28" s="104">
        <f t="shared" si="42"/>
        <v>0</v>
      </c>
    </row>
    <row r="29" ht="15.75" customHeight="1">
      <c r="F29" s="24"/>
      <c r="G29" s="19">
        <v>21.0</v>
      </c>
      <c r="H29" s="20">
        <v>1.0</v>
      </c>
      <c r="I29" s="20">
        <v>0.0</v>
      </c>
      <c r="J29" s="20">
        <v>0.0</v>
      </c>
      <c r="K29" s="20">
        <v>0.0</v>
      </c>
      <c r="L29" s="20">
        <v>0.0</v>
      </c>
      <c r="P29" s="19">
        <v>21.0</v>
      </c>
      <c r="Q29" s="104">
        <f t="shared" ref="Q29:R29" si="43">H29/H$32</f>
        <v>0.09090909091</v>
      </c>
      <c r="R29" s="104">
        <f t="shared" si="43"/>
        <v>0</v>
      </c>
      <c r="S29" s="104">
        <v>0.0</v>
      </c>
      <c r="T29" s="104">
        <f t="shared" ref="T29:U29" si="44">K29/K$32</f>
        <v>0</v>
      </c>
      <c r="U29" s="104">
        <f t="shared" si="44"/>
        <v>0</v>
      </c>
    </row>
    <row r="30" ht="15.75" customHeight="1">
      <c r="F30" s="24"/>
      <c r="G30" s="19">
        <v>22.0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P30" s="19">
        <v>22.0</v>
      </c>
      <c r="Q30" s="104">
        <f t="shared" ref="Q30:R30" si="45">H30/H$32</f>
        <v>0</v>
      </c>
      <c r="R30" s="104">
        <f t="shared" si="45"/>
        <v>0</v>
      </c>
      <c r="S30" s="104">
        <v>0.0</v>
      </c>
      <c r="T30" s="104">
        <f t="shared" ref="T30:U30" si="46">K30/K$32</f>
        <v>0</v>
      </c>
      <c r="U30" s="104">
        <f t="shared" si="46"/>
        <v>0</v>
      </c>
    </row>
    <row r="31" ht="15.75" customHeight="1">
      <c r="F31" s="28"/>
      <c r="G31" s="19">
        <v>23.0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P31" s="19">
        <v>23.0</v>
      </c>
      <c r="Q31" s="20">
        <f t="shared" ref="Q31:R31" si="47">H31/H$32</f>
        <v>0</v>
      </c>
      <c r="R31" s="20">
        <f t="shared" si="47"/>
        <v>0</v>
      </c>
      <c r="S31" s="20">
        <v>0.0</v>
      </c>
      <c r="T31" s="20">
        <f t="shared" ref="T31:U31" si="48">K31/K$32</f>
        <v>0</v>
      </c>
      <c r="U31" s="20">
        <f t="shared" si="48"/>
        <v>0</v>
      </c>
    </row>
    <row r="32" ht="15.75" customHeight="1">
      <c r="F32" s="111"/>
      <c r="G32" s="112"/>
      <c r="H32" s="26">
        <f t="shared" ref="H32:L32" si="49">SUM(H8:H31)</f>
        <v>11</v>
      </c>
      <c r="I32" s="26">
        <f t="shared" si="49"/>
        <v>8</v>
      </c>
      <c r="J32" s="26">
        <f t="shared" si="49"/>
        <v>0</v>
      </c>
      <c r="K32" s="26">
        <f t="shared" si="49"/>
        <v>3</v>
      </c>
      <c r="L32" s="26">
        <f t="shared" si="49"/>
        <v>2</v>
      </c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F34" s="56">
        <v>45208.0</v>
      </c>
      <c r="G34" s="19">
        <f>$G$8</f>
        <v>0</v>
      </c>
      <c r="H34" s="20">
        <v>112.0</v>
      </c>
      <c r="I34" s="20">
        <v>23.0</v>
      </c>
      <c r="J34" s="20">
        <v>2.0</v>
      </c>
      <c r="K34" s="20">
        <v>4.0</v>
      </c>
      <c r="L34" s="20">
        <v>3.0</v>
      </c>
      <c r="N34" s="56">
        <v>45208.0</v>
      </c>
      <c r="O34" s="19">
        <f>$G$8</f>
        <v>0</v>
      </c>
      <c r="P34" s="40">
        <f t="shared" ref="P34:T34" si="50">H34/H$58</f>
        <v>0.009672683306</v>
      </c>
      <c r="Q34" s="40">
        <f t="shared" si="50"/>
        <v>0.006888289907</v>
      </c>
      <c r="R34" s="40">
        <f t="shared" si="50"/>
        <v>0.02666666667</v>
      </c>
      <c r="S34" s="40">
        <f t="shared" si="50"/>
        <v>0.01333333333</v>
      </c>
      <c r="T34" s="40">
        <f t="shared" si="50"/>
        <v>0.01119402985</v>
      </c>
    </row>
    <row r="35" ht="15.75" customHeight="1">
      <c r="F35" s="24"/>
      <c r="G35" s="19">
        <f>$G$9</f>
        <v>1</v>
      </c>
      <c r="H35" s="20">
        <v>89.0</v>
      </c>
      <c r="I35" s="20">
        <v>14.0</v>
      </c>
      <c r="J35" s="20">
        <v>2.0</v>
      </c>
      <c r="K35" s="20">
        <v>2.0</v>
      </c>
      <c r="L35" s="20">
        <v>2.0</v>
      </c>
      <c r="N35" s="24"/>
      <c r="O35" s="19">
        <f>$G$9</f>
        <v>1</v>
      </c>
      <c r="P35" s="40">
        <f t="shared" ref="P35:T35" si="51">H35/H$58</f>
        <v>0.007686328699</v>
      </c>
      <c r="Q35" s="40">
        <f t="shared" si="51"/>
        <v>0.004192872117</v>
      </c>
      <c r="R35" s="40">
        <f t="shared" si="51"/>
        <v>0.02666666667</v>
      </c>
      <c r="S35" s="40">
        <f t="shared" si="51"/>
        <v>0.006666666667</v>
      </c>
      <c r="T35" s="40">
        <f t="shared" si="51"/>
        <v>0.007462686567</v>
      </c>
    </row>
    <row r="36" ht="15.75" customHeight="1">
      <c r="F36" s="24"/>
      <c r="G36" s="19">
        <f>$G$10</f>
        <v>2</v>
      </c>
      <c r="H36" s="16">
        <v>69.0</v>
      </c>
      <c r="I36" s="16">
        <v>17.0</v>
      </c>
      <c r="J36" s="16">
        <v>0.0</v>
      </c>
      <c r="K36" s="16">
        <v>6.0</v>
      </c>
      <c r="L36" s="16">
        <v>5.0</v>
      </c>
      <c r="N36" s="24"/>
      <c r="O36" s="19">
        <f>$G$10</f>
        <v>2</v>
      </c>
      <c r="P36" s="40">
        <f t="shared" ref="P36:T36" si="52">H36/H$58</f>
        <v>0.005959063822</v>
      </c>
      <c r="Q36" s="40">
        <f t="shared" si="52"/>
        <v>0.005091344714</v>
      </c>
      <c r="R36" s="40">
        <f t="shared" si="52"/>
        <v>0</v>
      </c>
      <c r="S36" s="40">
        <f t="shared" si="52"/>
        <v>0.02</v>
      </c>
      <c r="T36" s="40">
        <f t="shared" si="52"/>
        <v>0.01865671642</v>
      </c>
    </row>
    <row r="37" ht="15.75" customHeight="1">
      <c r="F37" s="24"/>
      <c r="G37" s="19">
        <f>$G$11</f>
        <v>3</v>
      </c>
      <c r="H37" s="20">
        <v>96.0</v>
      </c>
      <c r="I37" s="20">
        <v>29.0</v>
      </c>
      <c r="J37" s="20">
        <v>1.0</v>
      </c>
      <c r="K37" s="20">
        <v>2.0</v>
      </c>
      <c r="L37" s="20">
        <v>4.0</v>
      </c>
      <c r="N37" s="24"/>
      <c r="O37" s="19">
        <f>$G$11</f>
        <v>3</v>
      </c>
      <c r="P37" s="40">
        <f t="shared" ref="P37:T37" si="53">H37/H$58</f>
        <v>0.008290871405</v>
      </c>
      <c r="Q37" s="40">
        <f t="shared" si="53"/>
        <v>0.0086852351</v>
      </c>
      <c r="R37" s="40">
        <f t="shared" si="53"/>
        <v>0.01333333333</v>
      </c>
      <c r="S37" s="40">
        <f t="shared" si="53"/>
        <v>0.006666666667</v>
      </c>
      <c r="T37" s="40">
        <f t="shared" si="53"/>
        <v>0.01492537313</v>
      </c>
    </row>
    <row r="38" ht="15.75" customHeight="1">
      <c r="F38" s="24"/>
      <c r="G38" s="19">
        <f>$G$12</f>
        <v>4</v>
      </c>
      <c r="H38" s="20">
        <v>126.0</v>
      </c>
      <c r="I38" s="20">
        <v>37.0</v>
      </c>
      <c r="J38" s="20">
        <v>4.0</v>
      </c>
      <c r="K38" s="20">
        <v>5.0</v>
      </c>
      <c r="L38" s="20">
        <v>5.0</v>
      </c>
      <c r="N38" s="24"/>
      <c r="O38" s="19">
        <f>$G$12</f>
        <v>4</v>
      </c>
      <c r="P38" s="40">
        <f t="shared" ref="P38:T38" si="54">H38/H$58</f>
        <v>0.01088176872</v>
      </c>
      <c r="Q38" s="40">
        <f t="shared" si="54"/>
        <v>0.01108116202</v>
      </c>
      <c r="R38" s="40">
        <f t="shared" si="54"/>
        <v>0.05333333333</v>
      </c>
      <c r="S38" s="40">
        <f t="shared" si="54"/>
        <v>0.01666666667</v>
      </c>
      <c r="T38" s="40">
        <f t="shared" si="54"/>
        <v>0.01865671642</v>
      </c>
    </row>
    <row r="39" ht="15.75" customHeight="1">
      <c r="F39" s="24"/>
      <c r="G39" s="19">
        <f>$G$13</f>
        <v>5</v>
      </c>
      <c r="H39" s="20">
        <v>216.0</v>
      </c>
      <c r="I39" s="20">
        <v>96.0</v>
      </c>
      <c r="J39" s="20">
        <v>1.0</v>
      </c>
      <c r="K39" s="20">
        <v>12.0</v>
      </c>
      <c r="L39" s="20">
        <v>9.0</v>
      </c>
      <c r="N39" s="24"/>
      <c r="O39" s="19">
        <f>$G$13</f>
        <v>5</v>
      </c>
      <c r="P39" s="40">
        <f t="shared" ref="P39:T39" si="55">H39/H$58</f>
        <v>0.01865446066</v>
      </c>
      <c r="Q39" s="40">
        <f t="shared" si="55"/>
        <v>0.02875112309</v>
      </c>
      <c r="R39" s="40">
        <f t="shared" si="55"/>
        <v>0.01333333333</v>
      </c>
      <c r="S39" s="40">
        <f t="shared" si="55"/>
        <v>0.04</v>
      </c>
      <c r="T39" s="40">
        <f t="shared" si="55"/>
        <v>0.03358208955</v>
      </c>
    </row>
    <row r="40" ht="15.75" customHeight="1">
      <c r="F40" s="24"/>
      <c r="G40" s="19">
        <f>$G$14</f>
        <v>6</v>
      </c>
      <c r="H40" s="20">
        <v>438.0</v>
      </c>
      <c r="I40" s="20">
        <v>142.0</v>
      </c>
      <c r="J40" s="20">
        <v>4.0</v>
      </c>
      <c r="K40" s="20">
        <v>19.0</v>
      </c>
      <c r="L40" s="20">
        <v>5.0</v>
      </c>
      <c r="N40" s="24"/>
      <c r="O40" s="19">
        <f>$G$14</f>
        <v>6</v>
      </c>
      <c r="P40" s="40">
        <f t="shared" ref="P40:T40" si="56">H40/H$58</f>
        <v>0.03782710079</v>
      </c>
      <c r="Q40" s="40">
        <f t="shared" si="56"/>
        <v>0.04252770291</v>
      </c>
      <c r="R40" s="40">
        <f t="shared" si="56"/>
        <v>0.05333333333</v>
      </c>
      <c r="S40" s="40">
        <f t="shared" si="56"/>
        <v>0.06333333333</v>
      </c>
      <c r="T40" s="40">
        <f t="shared" si="56"/>
        <v>0.01865671642</v>
      </c>
    </row>
    <row r="41" ht="15.75" customHeight="1">
      <c r="F41" s="24"/>
      <c r="G41" s="19">
        <f>$G$15</f>
        <v>7</v>
      </c>
      <c r="H41" s="20">
        <v>722.0</v>
      </c>
      <c r="I41" s="20">
        <v>292.0</v>
      </c>
      <c r="J41" s="20">
        <v>14.0</v>
      </c>
      <c r="K41" s="20">
        <v>28.0</v>
      </c>
      <c r="L41" s="20">
        <v>15.0</v>
      </c>
      <c r="N41" s="24"/>
      <c r="O41" s="19">
        <f>$G$15</f>
        <v>7</v>
      </c>
      <c r="P41" s="40">
        <f t="shared" ref="P41:T41" si="57">H41/H$58</f>
        <v>0.06235426203</v>
      </c>
      <c r="Q41" s="40">
        <f t="shared" si="57"/>
        <v>0.08745133273</v>
      </c>
      <c r="R41" s="40">
        <f t="shared" si="57"/>
        <v>0.1866666667</v>
      </c>
      <c r="S41" s="40">
        <f t="shared" si="57"/>
        <v>0.09333333333</v>
      </c>
      <c r="T41" s="40">
        <f t="shared" si="57"/>
        <v>0.05597014925</v>
      </c>
    </row>
    <row r="42" ht="15.75" customHeight="1">
      <c r="F42" s="24"/>
      <c r="G42" s="19">
        <f>$G$16</f>
        <v>8</v>
      </c>
      <c r="H42" s="20">
        <v>993.0</v>
      </c>
      <c r="I42" s="20">
        <v>306.0</v>
      </c>
      <c r="J42" s="20">
        <v>8.0</v>
      </c>
      <c r="K42" s="20">
        <v>23.0</v>
      </c>
      <c r="L42" s="20">
        <v>24.0</v>
      </c>
      <c r="N42" s="24"/>
      <c r="O42" s="19">
        <f>$G$16</f>
        <v>8</v>
      </c>
      <c r="P42" s="40">
        <f t="shared" ref="P42:T42" si="58">H42/H$58</f>
        <v>0.0857587011</v>
      </c>
      <c r="Q42" s="40">
        <f t="shared" si="58"/>
        <v>0.09164420485</v>
      </c>
      <c r="R42" s="40">
        <f t="shared" si="58"/>
        <v>0.1066666667</v>
      </c>
      <c r="S42" s="40">
        <f t="shared" si="58"/>
        <v>0.07666666667</v>
      </c>
      <c r="T42" s="40">
        <f t="shared" si="58"/>
        <v>0.08955223881</v>
      </c>
    </row>
    <row r="43" ht="15.75" customHeight="1">
      <c r="F43" s="24"/>
      <c r="G43" s="19">
        <f>$G$17</f>
        <v>9</v>
      </c>
      <c r="H43" s="20">
        <v>1136.0</v>
      </c>
      <c r="I43" s="20">
        <v>325.0</v>
      </c>
      <c r="J43" s="20">
        <v>5.0</v>
      </c>
      <c r="K43" s="20">
        <v>26.0</v>
      </c>
      <c r="L43" s="20">
        <v>19.0</v>
      </c>
      <c r="N43" s="24"/>
      <c r="O43" s="19">
        <f>$G$17</f>
        <v>9</v>
      </c>
      <c r="P43" s="40">
        <f t="shared" ref="P43:T43" si="59">H43/H$58</f>
        <v>0.09810864496</v>
      </c>
      <c r="Q43" s="40">
        <f t="shared" si="59"/>
        <v>0.0973345313</v>
      </c>
      <c r="R43" s="40">
        <f t="shared" si="59"/>
        <v>0.06666666667</v>
      </c>
      <c r="S43" s="40">
        <f t="shared" si="59"/>
        <v>0.08666666667</v>
      </c>
      <c r="T43" s="40">
        <f t="shared" si="59"/>
        <v>0.07089552239</v>
      </c>
    </row>
    <row r="44" ht="15.75" customHeight="1">
      <c r="F44" s="24"/>
      <c r="G44" s="19">
        <f>$G$18</f>
        <v>10</v>
      </c>
      <c r="H44" s="20">
        <v>1102.0</v>
      </c>
      <c r="I44" s="20">
        <v>244.0</v>
      </c>
      <c r="J44" s="20">
        <v>2.0</v>
      </c>
      <c r="K44" s="20">
        <v>16.0</v>
      </c>
      <c r="L44" s="20">
        <v>14.0</v>
      </c>
      <c r="N44" s="24"/>
      <c r="O44" s="19">
        <f>$G$18</f>
        <v>10</v>
      </c>
      <c r="P44" s="40">
        <f t="shared" ref="P44:T44" si="60">H44/H$58</f>
        <v>0.09517229467</v>
      </c>
      <c r="Q44" s="40">
        <f t="shared" si="60"/>
        <v>0.07307577119</v>
      </c>
      <c r="R44" s="40">
        <f t="shared" si="60"/>
        <v>0.02666666667</v>
      </c>
      <c r="S44" s="40">
        <f t="shared" si="60"/>
        <v>0.05333333333</v>
      </c>
      <c r="T44" s="40">
        <f t="shared" si="60"/>
        <v>0.05223880597</v>
      </c>
    </row>
    <row r="45" ht="15.75" customHeight="1">
      <c r="F45" s="24"/>
      <c r="G45" s="19">
        <f>$G$19</f>
        <v>11</v>
      </c>
      <c r="H45" s="20">
        <v>1055.0</v>
      </c>
      <c r="I45" s="20">
        <v>278.0</v>
      </c>
      <c r="J45" s="20">
        <v>2.0</v>
      </c>
      <c r="K45" s="20">
        <v>17.0</v>
      </c>
      <c r="L45" s="20">
        <v>30.0</v>
      </c>
      <c r="N45" s="24"/>
      <c r="O45" s="19">
        <f>$G$19</f>
        <v>11</v>
      </c>
      <c r="P45" s="40">
        <f t="shared" ref="P45:T45" si="61">H45/H$58</f>
        <v>0.09111322221</v>
      </c>
      <c r="Q45" s="40">
        <f t="shared" si="61"/>
        <v>0.08325846062</v>
      </c>
      <c r="R45" s="40">
        <f t="shared" si="61"/>
        <v>0.02666666667</v>
      </c>
      <c r="S45" s="40">
        <f t="shared" si="61"/>
        <v>0.05666666667</v>
      </c>
      <c r="T45" s="40">
        <f t="shared" si="61"/>
        <v>0.1119402985</v>
      </c>
    </row>
    <row r="46" ht="15.75" customHeight="1">
      <c r="F46" s="24"/>
      <c r="G46" s="19">
        <f>$G$20</f>
        <v>12</v>
      </c>
      <c r="H46" s="20">
        <v>843.0</v>
      </c>
      <c r="I46" s="20">
        <v>215.0</v>
      </c>
      <c r="J46" s="20">
        <v>3.0</v>
      </c>
      <c r="K46" s="20">
        <v>21.0</v>
      </c>
      <c r="L46" s="20">
        <v>24.0</v>
      </c>
      <c r="N46" s="24"/>
      <c r="O46" s="19">
        <f>$G$20</f>
        <v>12</v>
      </c>
      <c r="P46" s="40">
        <f t="shared" ref="P46:T46" si="62">H46/H$58</f>
        <v>0.07280421453</v>
      </c>
      <c r="Q46" s="40">
        <f t="shared" si="62"/>
        <v>0.06439053609</v>
      </c>
      <c r="R46" s="40">
        <f t="shared" si="62"/>
        <v>0.04</v>
      </c>
      <c r="S46" s="40">
        <f t="shared" si="62"/>
        <v>0.07</v>
      </c>
      <c r="T46" s="40">
        <f t="shared" si="62"/>
        <v>0.08955223881</v>
      </c>
    </row>
    <row r="47" ht="15.75" customHeight="1">
      <c r="F47" s="24"/>
      <c r="G47" s="19">
        <f>$G$21</f>
        <v>13</v>
      </c>
      <c r="H47" s="20">
        <v>837.0</v>
      </c>
      <c r="I47" s="20">
        <v>227.0</v>
      </c>
      <c r="J47" s="20">
        <v>2.0</v>
      </c>
      <c r="K47" s="20">
        <v>13.0</v>
      </c>
      <c r="L47" s="20">
        <v>15.0</v>
      </c>
      <c r="N47" s="24"/>
      <c r="O47" s="19">
        <f>$G$21</f>
        <v>13</v>
      </c>
      <c r="P47" s="40">
        <f t="shared" ref="P47:T47" si="63">H47/H$58</f>
        <v>0.07228603506</v>
      </c>
      <c r="Q47" s="40">
        <f t="shared" si="63"/>
        <v>0.06798442647</v>
      </c>
      <c r="R47" s="40">
        <f t="shared" si="63"/>
        <v>0.02666666667</v>
      </c>
      <c r="S47" s="40">
        <f t="shared" si="63"/>
        <v>0.04333333333</v>
      </c>
      <c r="T47" s="40">
        <f t="shared" si="63"/>
        <v>0.05597014925</v>
      </c>
    </row>
    <row r="48" ht="15.75" customHeight="1">
      <c r="F48" s="24"/>
      <c r="G48" s="19">
        <f>$G$22</f>
        <v>14</v>
      </c>
      <c r="H48" s="20">
        <v>714.0</v>
      </c>
      <c r="I48" s="20">
        <v>198.0</v>
      </c>
      <c r="J48" s="20">
        <v>7.0</v>
      </c>
      <c r="K48" s="20">
        <v>17.0</v>
      </c>
      <c r="L48" s="20">
        <v>22.0</v>
      </c>
      <c r="N48" s="24"/>
      <c r="O48" s="19">
        <f>$G$22</f>
        <v>14</v>
      </c>
      <c r="P48" s="40">
        <f t="shared" ref="P48:T48" si="64">H48/H$58</f>
        <v>0.06166335608</v>
      </c>
      <c r="Q48" s="40">
        <f t="shared" si="64"/>
        <v>0.05929919137</v>
      </c>
      <c r="R48" s="40">
        <f t="shared" si="64"/>
        <v>0.09333333333</v>
      </c>
      <c r="S48" s="40">
        <f t="shared" si="64"/>
        <v>0.05666666667</v>
      </c>
      <c r="T48" s="40">
        <f t="shared" si="64"/>
        <v>0.08208955224</v>
      </c>
    </row>
    <row r="49" ht="15.75" customHeight="1">
      <c r="F49" s="24"/>
      <c r="G49" s="19">
        <f>$G$23</f>
        <v>15</v>
      </c>
      <c r="H49" s="20">
        <v>600.0</v>
      </c>
      <c r="I49" s="20">
        <v>186.0</v>
      </c>
      <c r="J49" s="20">
        <v>8.0</v>
      </c>
      <c r="K49" s="20">
        <v>11.0</v>
      </c>
      <c r="L49" s="20">
        <v>20.0</v>
      </c>
      <c r="N49" s="24"/>
      <c r="O49" s="19">
        <f>$G$23</f>
        <v>15</v>
      </c>
      <c r="P49" s="40">
        <f t="shared" ref="P49:T49" si="65">H49/H$58</f>
        <v>0.05181794628</v>
      </c>
      <c r="Q49" s="40">
        <f t="shared" si="65"/>
        <v>0.05570530099</v>
      </c>
      <c r="R49" s="40">
        <f t="shared" si="65"/>
        <v>0.1066666667</v>
      </c>
      <c r="S49" s="40">
        <f t="shared" si="65"/>
        <v>0.03666666667</v>
      </c>
      <c r="T49" s="40">
        <f t="shared" si="65"/>
        <v>0.07462686567</v>
      </c>
    </row>
    <row r="50" ht="15.75" customHeight="1">
      <c r="F50" s="24"/>
      <c r="G50" s="19">
        <f>$G$24</f>
        <v>16</v>
      </c>
      <c r="H50" s="20">
        <v>512.0</v>
      </c>
      <c r="I50" s="20">
        <v>165.0</v>
      </c>
      <c r="J50" s="20">
        <v>1.0</v>
      </c>
      <c r="K50" s="20">
        <v>19.0</v>
      </c>
      <c r="L50" s="20">
        <v>16.0</v>
      </c>
      <c r="N50" s="24"/>
      <c r="O50" s="19">
        <f>$G$24</f>
        <v>16</v>
      </c>
      <c r="P50" s="40">
        <f t="shared" ref="P50:T50" si="66">H50/H$58</f>
        <v>0.04421798083</v>
      </c>
      <c r="Q50" s="40">
        <f t="shared" si="66"/>
        <v>0.04941599281</v>
      </c>
      <c r="R50" s="40">
        <f t="shared" si="66"/>
        <v>0.01333333333</v>
      </c>
      <c r="S50" s="40">
        <f t="shared" si="66"/>
        <v>0.06333333333</v>
      </c>
      <c r="T50" s="40">
        <f t="shared" si="66"/>
        <v>0.05970149254</v>
      </c>
    </row>
    <row r="51" ht="15.75" customHeight="1">
      <c r="F51" s="24"/>
      <c r="G51" s="19">
        <f>$G$25</f>
        <v>17</v>
      </c>
      <c r="H51" s="20">
        <v>464.0</v>
      </c>
      <c r="I51" s="20">
        <v>173.0</v>
      </c>
      <c r="J51" s="20">
        <v>3.0</v>
      </c>
      <c r="K51" s="20">
        <v>9.0</v>
      </c>
      <c r="L51" s="20">
        <v>6.0</v>
      </c>
      <c r="N51" s="24"/>
      <c r="O51" s="19">
        <f>$G$25</f>
        <v>17</v>
      </c>
      <c r="P51" s="40">
        <f t="shared" ref="P51:T51" si="67">H51/H$58</f>
        <v>0.04007254512</v>
      </c>
      <c r="Q51" s="40">
        <f t="shared" si="67"/>
        <v>0.05181191974</v>
      </c>
      <c r="R51" s="40">
        <f t="shared" si="67"/>
        <v>0.04</v>
      </c>
      <c r="S51" s="40">
        <f t="shared" si="67"/>
        <v>0.03</v>
      </c>
      <c r="T51" s="40">
        <f t="shared" si="67"/>
        <v>0.0223880597</v>
      </c>
    </row>
    <row r="52" ht="15.75" customHeight="1">
      <c r="F52" s="24"/>
      <c r="G52" s="19">
        <f>$G$26</f>
        <v>18</v>
      </c>
      <c r="H52" s="20">
        <v>347.0</v>
      </c>
      <c r="I52" s="20">
        <v>94.0</v>
      </c>
      <c r="J52" s="20">
        <v>1.0</v>
      </c>
      <c r="K52" s="20">
        <v>13.0</v>
      </c>
      <c r="L52" s="20">
        <v>8.0</v>
      </c>
      <c r="N52" s="24"/>
      <c r="O52" s="19">
        <f>$G$26</f>
        <v>18</v>
      </c>
      <c r="P52" s="40">
        <f t="shared" ref="P52:T52" si="68">H52/H$58</f>
        <v>0.0299680456</v>
      </c>
      <c r="Q52" s="40">
        <f t="shared" si="68"/>
        <v>0.02815214136</v>
      </c>
      <c r="R52" s="40">
        <f t="shared" si="68"/>
        <v>0.01333333333</v>
      </c>
      <c r="S52" s="40">
        <f t="shared" si="68"/>
        <v>0.04333333333</v>
      </c>
      <c r="T52" s="40">
        <f t="shared" si="68"/>
        <v>0.02985074627</v>
      </c>
    </row>
    <row r="53" ht="15.75" customHeight="1">
      <c r="F53" s="24"/>
      <c r="G53" s="19">
        <f>$G$27</f>
        <v>19</v>
      </c>
      <c r="H53" s="20">
        <v>281.0</v>
      </c>
      <c r="I53" s="20">
        <v>78.0</v>
      </c>
      <c r="J53" s="20">
        <v>2.0</v>
      </c>
      <c r="K53" s="20">
        <v>13.0</v>
      </c>
      <c r="L53" s="20">
        <v>5.0</v>
      </c>
      <c r="N53" s="24"/>
      <c r="O53" s="19">
        <f>$G$27</f>
        <v>19</v>
      </c>
      <c r="P53" s="40">
        <f t="shared" ref="P53:T53" si="69">H53/H$58</f>
        <v>0.02426807151</v>
      </c>
      <c r="Q53" s="40">
        <f t="shared" si="69"/>
        <v>0.02336028751</v>
      </c>
      <c r="R53" s="40">
        <f t="shared" si="69"/>
        <v>0.02666666667</v>
      </c>
      <c r="S53" s="40">
        <f t="shared" si="69"/>
        <v>0.04333333333</v>
      </c>
      <c r="T53" s="40">
        <f t="shared" si="69"/>
        <v>0.01865671642</v>
      </c>
    </row>
    <row r="54" ht="15.75" customHeight="1">
      <c r="F54" s="24"/>
      <c r="G54" s="19">
        <f>$G$28</f>
        <v>20</v>
      </c>
      <c r="H54" s="20">
        <v>260.0</v>
      </c>
      <c r="I54" s="20">
        <v>55.0</v>
      </c>
      <c r="J54" s="20">
        <v>1.0</v>
      </c>
      <c r="K54" s="20">
        <v>7.0</v>
      </c>
      <c r="L54" s="20">
        <v>4.0</v>
      </c>
      <c r="N54" s="24"/>
      <c r="O54" s="19">
        <f>$G$28</f>
        <v>20</v>
      </c>
      <c r="P54" s="40">
        <f t="shared" ref="P54:T54" si="70">H54/H$58</f>
        <v>0.02245444339</v>
      </c>
      <c r="Q54" s="40">
        <f t="shared" si="70"/>
        <v>0.0164719976</v>
      </c>
      <c r="R54" s="40">
        <f t="shared" si="70"/>
        <v>0.01333333333</v>
      </c>
      <c r="S54" s="40">
        <f t="shared" si="70"/>
        <v>0.02333333333</v>
      </c>
      <c r="T54" s="40">
        <f t="shared" si="70"/>
        <v>0.01492537313</v>
      </c>
    </row>
    <row r="55" ht="15.75" customHeight="1">
      <c r="F55" s="24"/>
      <c r="G55" s="19">
        <f>$G$29</f>
        <v>21</v>
      </c>
      <c r="H55" s="20">
        <v>240.0</v>
      </c>
      <c r="I55" s="20">
        <v>54.0</v>
      </c>
      <c r="J55" s="20">
        <v>1.0</v>
      </c>
      <c r="K55" s="20">
        <v>6.0</v>
      </c>
      <c r="L55" s="20">
        <v>8.0</v>
      </c>
      <c r="N55" s="24"/>
      <c r="O55" s="19">
        <f>$G$29</f>
        <v>21</v>
      </c>
      <c r="P55" s="40">
        <f t="shared" ref="P55:T55" si="71">H55/H$58</f>
        <v>0.02072717851</v>
      </c>
      <c r="Q55" s="40">
        <f t="shared" si="71"/>
        <v>0.01617250674</v>
      </c>
      <c r="R55" s="40">
        <f t="shared" si="71"/>
        <v>0.01333333333</v>
      </c>
      <c r="S55" s="40">
        <f t="shared" si="71"/>
        <v>0.02</v>
      </c>
      <c r="T55" s="40">
        <f t="shared" si="71"/>
        <v>0.02985074627</v>
      </c>
    </row>
    <row r="56" ht="15.75" customHeight="1">
      <c r="F56" s="24"/>
      <c r="G56" s="19">
        <f>$G$30</f>
        <v>22</v>
      </c>
      <c r="H56" s="20">
        <v>191.0</v>
      </c>
      <c r="I56" s="20">
        <v>48.0</v>
      </c>
      <c r="J56" s="20">
        <v>0.0</v>
      </c>
      <c r="K56" s="20">
        <v>4.0</v>
      </c>
      <c r="L56" s="20">
        <v>2.0</v>
      </c>
      <c r="N56" s="24"/>
      <c r="O56" s="19">
        <f>$G$30</f>
        <v>22</v>
      </c>
      <c r="P56" s="40">
        <f t="shared" ref="P56:T56" si="72">H56/H$58</f>
        <v>0.01649537957</v>
      </c>
      <c r="Q56" s="40">
        <f t="shared" si="72"/>
        <v>0.01437556155</v>
      </c>
      <c r="R56" s="40">
        <f t="shared" si="72"/>
        <v>0</v>
      </c>
      <c r="S56" s="40">
        <f t="shared" si="72"/>
        <v>0.01333333333</v>
      </c>
      <c r="T56" s="40">
        <f t="shared" si="72"/>
        <v>0.007462686567</v>
      </c>
    </row>
    <row r="57" ht="15.75" customHeight="1">
      <c r="F57" s="28"/>
      <c r="G57" s="19">
        <f>$G$31</f>
        <v>23</v>
      </c>
      <c r="H57" s="20">
        <v>136.0</v>
      </c>
      <c r="I57" s="20">
        <v>43.0</v>
      </c>
      <c r="J57" s="20">
        <v>1.0</v>
      </c>
      <c r="K57" s="20">
        <v>7.0</v>
      </c>
      <c r="L57" s="20">
        <v>3.0</v>
      </c>
      <c r="N57" s="28"/>
      <c r="O57" s="19">
        <f>$G$31</f>
        <v>23</v>
      </c>
      <c r="P57" s="40">
        <f t="shared" ref="P57:T57" si="73">H57/H$58</f>
        <v>0.01174540116</v>
      </c>
      <c r="Q57" s="40">
        <f t="shared" si="73"/>
        <v>0.01287810722</v>
      </c>
      <c r="R57" s="40">
        <f t="shared" si="73"/>
        <v>0.01333333333</v>
      </c>
      <c r="S57" s="40">
        <f t="shared" si="73"/>
        <v>0.02333333333</v>
      </c>
      <c r="T57" s="40">
        <f t="shared" si="73"/>
        <v>0.01119402985</v>
      </c>
    </row>
    <row r="58" ht="15.75" customHeight="1">
      <c r="F58" s="111"/>
      <c r="G58" s="112"/>
      <c r="H58" s="26">
        <f t="shared" ref="H58:L58" si="74">SUM(H34:H57)</f>
        <v>11579</v>
      </c>
      <c r="I58" s="26">
        <f t="shared" si="74"/>
        <v>3339</v>
      </c>
      <c r="J58" s="26">
        <f t="shared" si="74"/>
        <v>75</v>
      </c>
      <c r="K58" s="26">
        <f t="shared" si="74"/>
        <v>300</v>
      </c>
      <c r="L58" s="26">
        <f t="shared" si="74"/>
        <v>268</v>
      </c>
    </row>
    <row r="59" ht="15.75" customHeight="1">
      <c r="G59" s="16"/>
      <c r="H59" s="17">
        <f>$H$7</f>
        <v>31</v>
      </c>
      <c r="I59" s="17">
        <f>$I$7</f>
        <v>32</v>
      </c>
      <c r="J59" s="17">
        <f>$J$7</f>
        <v>41</v>
      </c>
      <c r="K59" s="17">
        <f>$K$7</f>
        <v>42</v>
      </c>
      <c r="L59" s="17">
        <f>$L$7</f>
        <v>5</v>
      </c>
      <c r="O59" s="16"/>
      <c r="P59" s="17">
        <f>$H$7</f>
        <v>31</v>
      </c>
      <c r="Q59" s="17">
        <f>$I$7</f>
        <v>32</v>
      </c>
      <c r="R59" s="17">
        <f>$J$7</f>
        <v>41</v>
      </c>
      <c r="S59" s="17">
        <f>$K$7</f>
        <v>42</v>
      </c>
      <c r="T59" s="17">
        <f>$L$7</f>
        <v>5</v>
      </c>
    </row>
    <row r="60" ht="15.75" customHeight="1">
      <c r="F60" s="56">
        <v>45209.0</v>
      </c>
      <c r="G60" s="19">
        <f>$G$8</f>
        <v>0</v>
      </c>
      <c r="H60" s="20">
        <v>98.0</v>
      </c>
      <c r="I60" s="20">
        <v>29.0</v>
      </c>
      <c r="J60" s="20">
        <v>5.0</v>
      </c>
      <c r="K60" s="20">
        <v>4.0</v>
      </c>
      <c r="L60" s="20">
        <v>4.0</v>
      </c>
      <c r="N60" s="56">
        <v>45209.0</v>
      </c>
      <c r="O60" s="19">
        <f>$G$8</f>
        <v>0</v>
      </c>
      <c r="P60" s="40">
        <f t="shared" ref="P60:T60" si="75">H60/H$84</f>
        <v>0.01133734382</v>
      </c>
      <c r="Q60" s="40">
        <f t="shared" si="75"/>
        <v>0.01095166163</v>
      </c>
      <c r="R60" s="40">
        <f t="shared" si="75"/>
        <v>0.05208333333</v>
      </c>
      <c r="S60" s="40">
        <f t="shared" si="75"/>
        <v>0.01302931596</v>
      </c>
      <c r="T60" s="40">
        <f t="shared" si="75"/>
        <v>0.02</v>
      </c>
    </row>
    <row r="61" ht="15.75" customHeight="1">
      <c r="F61" s="24"/>
      <c r="G61" s="19">
        <f>$G$9</f>
        <v>1</v>
      </c>
      <c r="H61" s="20">
        <v>50.0</v>
      </c>
      <c r="I61" s="20">
        <v>12.0</v>
      </c>
      <c r="J61" s="20">
        <v>5.0</v>
      </c>
      <c r="K61" s="20">
        <v>6.0</v>
      </c>
      <c r="L61" s="20">
        <v>5.0</v>
      </c>
      <c r="N61" s="24"/>
      <c r="O61" s="19">
        <f>$G$9</f>
        <v>1</v>
      </c>
      <c r="P61" s="40">
        <f t="shared" ref="P61:T61" si="76">H61/H$84</f>
        <v>0.005784359093</v>
      </c>
      <c r="Q61" s="40">
        <f t="shared" si="76"/>
        <v>0.004531722054</v>
      </c>
      <c r="R61" s="40">
        <f t="shared" si="76"/>
        <v>0.05208333333</v>
      </c>
      <c r="S61" s="40">
        <f t="shared" si="76"/>
        <v>0.01954397394</v>
      </c>
      <c r="T61" s="40">
        <f t="shared" si="76"/>
        <v>0.025</v>
      </c>
    </row>
    <row r="62" ht="15.75" customHeight="1">
      <c r="F62" s="24"/>
      <c r="G62" s="19">
        <f>$G$10</f>
        <v>2</v>
      </c>
      <c r="H62" s="16">
        <v>52.0</v>
      </c>
      <c r="I62" s="16">
        <v>17.0</v>
      </c>
      <c r="J62" s="16">
        <v>2.0</v>
      </c>
      <c r="K62" s="16">
        <v>4.0</v>
      </c>
      <c r="L62" s="16">
        <v>2.0</v>
      </c>
      <c r="N62" s="24"/>
      <c r="O62" s="19">
        <f>$G$10</f>
        <v>2</v>
      </c>
      <c r="P62" s="40">
        <f t="shared" ref="P62:T62" si="77">H62/H$84</f>
        <v>0.006015733457</v>
      </c>
      <c r="Q62" s="40">
        <f t="shared" si="77"/>
        <v>0.006419939577</v>
      </c>
      <c r="R62" s="40">
        <f t="shared" si="77"/>
        <v>0.02083333333</v>
      </c>
      <c r="S62" s="40">
        <f t="shared" si="77"/>
        <v>0.01302931596</v>
      </c>
      <c r="T62" s="40">
        <f t="shared" si="77"/>
        <v>0.01</v>
      </c>
    </row>
    <row r="63" ht="15.75" customHeight="1">
      <c r="F63" s="24"/>
      <c r="G63" s="19">
        <f>$G$11</f>
        <v>3</v>
      </c>
      <c r="H63" s="20">
        <v>51.0</v>
      </c>
      <c r="I63" s="20">
        <v>22.0</v>
      </c>
      <c r="J63" s="20">
        <v>3.0</v>
      </c>
      <c r="K63" s="20">
        <v>3.0</v>
      </c>
      <c r="L63" s="20">
        <v>6.0</v>
      </c>
      <c r="N63" s="24"/>
      <c r="O63" s="19">
        <f>$G$11</f>
        <v>3</v>
      </c>
      <c r="P63" s="40">
        <f t="shared" ref="P63:T63" si="78">H63/H$84</f>
        <v>0.005900046275</v>
      </c>
      <c r="Q63" s="40">
        <f t="shared" si="78"/>
        <v>0.0083081571</v>
      </c>
      <c r="R63" s="40">
        <f t="shared" si="78"/>
        <v>0.03125</v>
      </c>
      <c r="S63" s="40">
        <f t="shared" si="78"/>
        <v>0.009771986971</v>
      </c>
      <c r="T63" s="40">
        <f t="shared" si="78"/>
        <v>0.03</v>
      </c>
    </row>
    <row r="64" ht="15.75" customHeight="1">
      <c r="F64" s="24"/>
      <c r="G64" s="19">
        <f>$G$12</f>
        <v>4</v>
      </c>
      <c r="H64" s="20">
        <v>71.0</v>
      </c>
      <c r="I64" s="20">
        <v>24.0</v>
      </c>
      <c r="J64" s="20">
        <v>2.0</v>
      </c>
      <c r="K64" s="20">
        <v>5.0</v>
      </c>
      <c r="L64" s="20">
        <v>4.0</v>
      </c>
      <c r="N64" s="24"/>
      <c r="O64" s="19">
        <f>$G$12</f>
        <v>4</v>
      </c>
      <c r="P64" s="40">
        <f t="shared" ref="P64:T64" si="79">H64/H$84</f>
        <v>0.008213789912</v>
      </c>
      <c r="Q64" s="40">
        <f t="shared" si="79"/>
        <v>0.009063444109</v>
      </c>
      <c r="R64" s="40">
        <f t="shared" si="79"/>
        <v>0.02083333333</v>
      </c>
      <c r="S64" s="40">
        <f t="shared" si="79"/>
        <v>0.01628664495</v>
      </c>
      <c r="T64" s="40">
        <f t="shared" si="79"/>
        <v>0.02</v>
      </c>
    </row>
    <row r="65" ht="15.75" customHeight="1">
      <c r="F65" s="24"/>
      <c r="G65" s="19">
        <f>$G$13</f>
        <v>5</v>
      </c>
      <c r="H65" s="20">
        <v>105.0</v>
      </c>
      <c r="I65" s="20">
        <v>71.0</v>
      </c>
      <c r="J65" s="20">
        <v>0.0</v>
      </c>
      <c r="K65" s="20">
        <v>23.0</v>
      </c>
      <c r="L65" s="20">
        <v>5.0</v>
      </c>
      <c r="N65" s="24"/>
      <c r="O65" s="19">
        <f>$G$13</f>
        <v>5</v>
      </c>
      <c r="P65" s="40">
        <f t="shared" ref="P65:T65" si="80">H65/H$84</f>
        <v>0.0121471541</v>
      </c>
      <c r="Q65" s="40">
        <f t="shared" si="80"/>
        <v>0.02681268882</v>
      </c>
      <c r="R65" s="40">
        <f t="shared" si="80"/>
        <v>0</v>
      </c>
      <c r="S65" s="40">
        <f t="shared" si="80"/>
        <v>0.07491856678</v>
      </c>
      <c r="T65" s="40">
        <f t="shared" si="80"/>
        <v>0.025</v>
      </c>
    </row>
    <row r="66" ht="15.75" customHeight="1">
      <c r="F66" s="24"/>
      <c r="G66" s="19">
        <f>$G$14</f>
        <v>6</v>
      </c>
      <c r="H66" s="20">
        <v>207.0</v>
      </c>
      <c r="I66" s="20">
        <v>104.0</v>
      </c>
      <c r="J66" s="20">
        <v>6.0</v>
      </c>
      <c r="K66" s="20">
        <v>17.0</v>
      </c>
      <c r="L66" s="20">
        <v>4.0</v>
      </c>
      <c r="N66" s="24"/>
      <c r="O66" s="19">
        <f>$G$14</f>
        <v>6</v>
      </c>
      <c r="P66" s="40">
        <f t="shared" ref="P66:T66" si="81">H66/H$84</f>
        <v>0.02394724665</v>
      </c>
      <c r="Q66" s="40">
        <f t="shared" si="81"/>
        <v>0.03927492447</v>
      </c>
      <c r="R66" s="40">
        <f t="shared" si="81"/>
        <v>0.0625</v>
      </c>
      <c r="S66" s="40">
        <f t="shared" si="81"/>
        <v>0.05537459283</v>
      </c>
      <c r="T66" s="40">
        <f t="shared" si="81"/>
        <v>0.02</v>
      </c>
    </row>
    <row r="67" ht="15.75" customHeight="1">
      <c r="F67" s="24"/>
      <c r="G67" s="19">
        <f>$G$15</f>
        <v>7</v>
      </c>
      <c r="H67" s="20">
        <v>409.0</v>
      </c>
      <c r="I67" s="20">
        <v>173.0</v>
      </c>
      <c r="J67" s="20">
        <v>7.0</v>
      </c>
      <c r="K67" s="20">
        <v>32.0</v>
      </c>
      <c r="L67" s="20">
        <v>13.0</v>
      </c>
      <c r="N67" s="24"/>
      <c r="O67" s="19">
        <f>$G$15</f>
        <v>7</v>
      </c>
      <c r="P67" s="40">
        <f t="shared" ref="P67:T67" si="82">H67/H$84</f>
        <v>0.04731605738</v>
      </c>
      <c r="Q67" s="40">
        <f t="shared" si="82"/>
        <v>0.06533232628</v>
      </c>
      <c r="R67" s="40">
        <f t="shared" si="82"/>
        <v>0.07291666667</v>
      </c>
      <c r="S67" s="40">
        <f t="shared" si="82"/>
        <v>0.1042345277</v>
      </c>
      <c r="T67" s="40">
        <f t="shared" si="82"/>
        <v>0.065</v>
      </c>
    </row>
    <row r="68" ht="15.75" customHeight="1">
      <c r="F68" s="24"/>
      <c r="G68" s="19">
        <f>$G$16</f>
        <v>8</v>
      </c>
      <c r="H68" s="20">
        <v>459.0</v>
      </c>
      <c r="I68" s="20">
        <v>197.0</v>
      </c>
      <c r="J68" s="20">
        <v>7.0</v>
      </c>
      <c r="K68" s="20">
        <v>17.0</v>
      </c>
      <c r="L68" s="20">
        <v>22.0</v>
      </c>
      <c r="N68" s="24"/>
      <c r="O68" s="19">
        <f>$G$16</f>
        <v>8</v>
      </c>
      <c r="P68" s="40">
        <f t="shared" ref="P68:T68" si="83">H68/H$84</f>
        <v>0.05310041647</v>
      </c>
      <c r="Q68" s="40">
        <f t="shared" si="83"/>
        <v>0.07439577039</v>
      </c>
      <c r="R68" s="40">
        <f t="shared" si="83"/>
        <v>0.07291666667</v>
      </c>
      <c r="S68" s="40">
        <f t="shared" si="83"/>
        <v>0.05537459283</v>
      </c>
      <c r="T68" s="40">
        <f t="shared" si="83"/>
        <v>0.11</v>
      </c>
    </row>
    <row r="69" ht="15.75" customHeight="1">
      <c r="F69" s="24"/>
      <c r="G69" s="19">
        <f>$G$17</f>
        <v>9</v>
      </c>
      <c r="H69" s="20">
        <v>672.0</v>
      </c>
      <c r="I69" s="20">
        <v>199.0</v>
      </c>
      <c r="J69" s="20">
        <v>5.0</v>
      </c>
      <c r="K69" s="20">
        <v>12.0</v>
      </c>
      <c r="L69" s="20">
        <v>13.0</v>
      </c>
      <c r="N69" s="24"/>
      <c r="O69" s="19">
        <f>$G$17</f>
        <v>9</v>
      </c>
      <c r="P69" s="40">
        <f t="shared" ref="P69:T69" si="84">H69/H$84</f>
        <v>0.07774178621</v>
      </c>
      <c r="Q69" s="40">
        <f t="shared" si="84"/>
        <v>0.0751510574</v>
      </c>
      <c r="R69" s="40">
        <f t="shared" si="84"/>
        <v>0.05208333333</v>
      </c>
      <c r="S69" s="40">
        <f t="shared" si="84"/>
        <v>0.03908794788</v>
      </c>
      <c r="T69" s="40">
        <f t="shared" si="84"/>
        <v>0.065</v>
      </c>
    </row>
    <row r="70" ht="15.75" customHeight="1">
      <c r="F70" s="24"/>
      <c r="G70" s="19">
        <f>$G$18</f>
        <v>10</v>
      </c>
      <c r="H70" s="20">
        <v>768.0</v>
      </c>
      <c r="I70" s="20">
        <v>197.0</v>
      </c>
      <c r="J70" s="20">
        <v>2.0</v>
      </c>
      <c r="K70" s="20">
        <v>27.0</v>
      </c>
      <c r="L70" s="20">
        <v>13.0</v>
      </c>
      <c r="N70" s="24"/>
      <c r="O70" s="19">
        <f>$G$18</f>
        <v>10</v>
      </c>
      <c r="P70" s="40">
        <f t="shared" ref="P70:T70" si="85">H70/H$84</f>
        <v>0.08884775567</v>
      </c>
      <c r="Q70" s="40">
        <f t="shared" si="85"/>
        <v>0.07439577039</v>
      </c>
      <c r="R70" s="40">
        <f t="shared" si="85"/>
        <v>0.02083333333</v>
      </c>
      <c r="S70" s="40">
        <f t="shared" si="85"/>
        <v>0.08794788274</v>
      </c>
      <c r="T70" s="40">
        <f t="shared" si="85"/>
        <v>0.065</v>
      </c>
    </row>
    <row r="71" ht="15.75" customHeight="1">
      <c r="F71" s="24"/>
      <c r="G71" s="19">
        <f>$G$19</f>
        <v>11</v>
      </c>
      <c r="H71" s="20">
        <v>610.0</v>
      </c>
      <c r="I71" s="20">
        <v>152.0</v>
      </c>
      <c r="J71" s="20">
        <v>3.0</v>
      </c>
      <c r="K71" s="20">
        <v>14.0</v>
      </c>
      <c r="L71" s="20">
        <v>19.0</v>
      </c>
      <c r="N71" s="24"/>
      <c r="O71" s="19">
        <f>$G$19</f>
        <v>11</v>
      </c>
      <c r="P71" s="40">
        <f t="shared" ref="P71:T71" si="86">H71/H$84</f>
        <v>0.07056918093</v>
      </c>
      <c r="Q71" s="40">
        <f t="shared" si="86"/>
        <v>0.05740181269</v>
      </c>
      <c r="R71" s="40">
        <f t="shared" si="86"/>
        <v>0.03125</v>
      </c>
      <c r="S71" s="40">
        <f t="shared" si="86"/>
        <v>0.04560260586</v>
      </c>
      <c r="T71" s="40">
        <f t="shared" si="86"/>
        <v>0.095</v>
      </c>
    </row>
    <row r="72" ht="15.75" customHeight="1">
      <c r="F72" s="24"/>
      <c r="G72" s="19">
        <f>$G$20</f>
        <v>12</v>
      </c>
      <c r="H72" s="20">
        <v>511.0</v>
      </c>
      <c r="I72" s="20">
        <v>144.0</v>
      </c>
      <c r="J72" s="20">
        <v>5.0</v>
      </c>
      <c r="K72" s="20">
        <v>15.0</v>
      </c>
      <c r="L72" s="20">
        <v>15.0</v>
      </c>
      <c r="N72" s="24"/>
      <c r="O72" s="19">
        <f>$G$20</f>
        <v>12</v>
      </c>
      <c r="P72" s="40">
        <f t="shared" ref="P72:T72" si="87">H72/H$84</f>
        <v>0.05911614993</v>
      </c>
      <c r="Q72" s="40">
        <f t="shared" si="87"/>
        <v>0.05438066465</v>
      </c>
      <c r="R72" s="40">
        <f t="shared" si="87"/>
        <v>0.05208333333</v>
      </c>
      <c r="S72" s="40">
        <f t="shared" si="87"/>
        <v>0.04885993485</v>
      </c>
      <c r="T72" s="40">
        <f t="shared" si="87"/>
        <v>0.075</v>
      </c>
    </row>
    <row r="73" ht="15.75" customHeight="1">
      <c r="F73" s="24"/>
      <c r="G73" s="19">
        <f>$G$21</f>
        <v>13</v>
      </c>
      <c r="H73" s="20">
        <v>579.0</v>
      </c>
      <c r="I73" s="20">
        <v>157.0</v>
      </c>
      <c r="J73" s="20">
        <v>1.0</v>
      </c>
      <c r="K73" s="20">
        <v>7.0</v>
      </c>
      <c r="L73" s="20">
        <v>11.0</v>
      </c>
      <c r="N73" s="24"/>
      <c r="O73" s="19">
        <f>$G$21</f>
        <v>13</v>
      </c>
      <c r="P73" s="40">
        <f t="shared" ref="P73:T73" si="88">H73/H$84</f>
        <v>0.0669828783</v>
      </c>
      <c r="Q73" s="40">
        <f t="shared" si="88"/>
        <v>0.05929003021</v>
      </c>
      <c r="R73" s="40">
        <f t="shared" si="88"/>
        <v>0.01041666667</v>
      </c>
      <c r="S73" s="40">
        <f t="shared" si="88"/>
        <v>0.02280130293</v>
      </c>
      <c r="T73" s="40">
        <f t="shared" si="88"/>
        <v>0.055</v>
      </c>
    </row>
    <row r="74" ht="15.75" customHeight="1">
      <c r="F74" s="24"/>
      <c r="G74" s="19">
        <f>$G$22</f>
        <v>14</v>
      </c>
      <c r="H74" s="20">
        <v>594.0</v>
      </c>
      <c r="I74" s="20">
        <v>168.0</v>
      </c>
      <c r="J74" s="20">
        <v>9.0</v>
      </c>
      <c r="K74" s="20">
        <v>19.0</v>
      </c>
      <c r="L74" s="20">
        <v>18.0</v>
      </c>
      <c r="N74" s="24"/>
      <c r="O74" s="19">
        <f>$G$22</f>
        <v>14</v>
      </c>
      <c r="P74" s="40">
        <f t="shared" ref="P74:T74" si="89">H74/H$84</f>
        <v>0.06871818602</v>
      </c>
      <c r="Q74" s="40">
        <f t="shared" si="89"/>
        <v>0.06344410876</v>
      </c>
      <c r="R74" s="40">
        <f t="shared" si="89"/>
        <v>0.09375</v>
      </c>
      <c r="S74" s="40">
        <f t="shared" si="89"/>
        <v>0.06188925081</v>
      </c>
      <c r="T74" s="40">
        <f t="shared" si="89"/>
        <v>0.09</v>
      </c>
    </row>
    <row r="75" ht="15.75" customHeight="1">
      <c r="F75" s="24"/>
      <c r="G75" s="19">
        <f>$G$23</f>
        <v>15</v>
      </c>
      <c r="H75" s="20">
        <v>577.0</v>
      </c>
      <c r="I75" s="20">
        <v>167.0</v>
      </c>
      <c r="J75" s="20">
        <v>5.0</v>
      </c>
      <c r="K75" s="20">
        <v>16.0</v>
      </c>
      <c r="L75" s="20">
        <v>7.0</v>
      </c>
      <c r="N75" s="24"/>
      <c r="O75" s="19">
        <f>$G$23</f>
        <v>15</v>
      </c>
      <c r="P75" s="40">
        <f t="shared" ref="P75:T75" si="90">H75/H$84</f>
        <v>0.06675150393</v>
      </c>
      <c r="Q75" s="40">
        <f t="shared" si="90"/>
        <v>0.06306646526</v>
      </c>
      <c r="R75" s="40">
        <f t="shared" si="90"/>
        <v>0.05208333333</v>
      </c>
      <c r="S75" s="40">
        <f t="shared" si="90"/>
        <v>0.05211726384</v>
      </c>
      <c r="T75" s="40">
        <f t="shared" si="90"/>
        <v>0.035</v>
      </c>
    </row>
    <row r="76" ht="15.75" customHeight="1">
      <c r="F76" s="24"/>
      <c r="G76" s="19">
        <f>$G$24</f>
        <v>16</v>
      </c>
      <c r="H76" s="20">
        <v>518.0</v>
      </c>
      <c r="I76" s="20">
        <v>154.0</v>
      </c>
      <c r="J76" s="20">
        <v>6.0</v>
      </c>
      <c r="K76" s="20">
        <v>20.0</v>
      </c>
      <c r="L76" s="20">
        <v>6.0</v>
      </c>
      <c r="N76" s="24"/>
      <c r="O76" s="19">
        <f>$G$24</f>
        <v>16</v>
      </c>
      <c r="P76" s="40">
        <f t="shared" ref="P76:T76" si="91">H76/H$84</f>
        <v>0.0599259602</v>
      </c>
      <c r="Q76" s="40">
        <f t="shared" si="91"/>
        <v>0.0581570997</v>
      </c>
      <c r="R76" s="40">
        <f t="shared" si="91"/>
        <v>0.0625</v>
      </c>
      <c r="S76" s="40">
        <f t="shared" si="91"/>
        <v>0.0651465798</v>
      </c>
      <c r="T76" s="40">
        <f t="shared" si="91"/>
        <v>0.03</v>
      </c>
    </row>
    <row r="77" ht="15.75" customHeight="1">
      <c r="F77" s="24"/>
      <c r="G77" s="19">
        <f>$G$25</f>
        <v>17</v>
      </c>
      <c r="H77" s="20">
        <v>438.0</v>
      </c>
      <c r="I77" s="20">
        <v>211.0</v>
      </c>
      <c r="J77" s="20">
        <v>5.0</v>
      </c>
      <c r="K77" s="20">
        <v>11.0</v>
      </c>
      <c r="L77" s="20">
        <v>6.0</v>
      </c>
      <c r="N77" s="24"/>
      <c r="O77" s="19">
        <f>$G$25</f>
        <v>17</v>
      </c>
      <c r="P77" s="40">
        <f t="shared" ref="P77:T77" si="92">H77/H$84</f>
        <v>0.05067098565</v>
      </c>
      <c r="Q77" s="40">
        <f t="shared" si="92"/>
        <v>0.07968277946</v>
      </c>
      <c r="R77" s="40">
        <f t="shared" si="92"/>
        <v>0.05208333333</v>
      </c>
      <c r="S77" s="40">
        <f t="shared" si="92"/>
        <v>0.03583061889</v>
      </c>
      <c r="T77" s="40">
        <f t="shared" si="92"/>
        <v>0.03</v>
      </c>
    </row>
    <row r="78" ht="15.75" customHeight="1">
      <c r="F78" s="24"/>
      <c r="G78" s="19">
        <f>$G$26</f>
        <v>18</v>
      </c>
      <c r="H78" s="20">
        <v>407.0</v>
      </c>
      <c r="I78" s="20">
        <v>117.0</v>
      </c>
      <c r="J78" s="20">
        <v>4.0</v>
      </c>
      <c r="K78" s="20">
        <v>7.0</v>
      </c>
      <c r="L78" s="20">
        <v>7.0</v>
      </c>
      <c r="N78" s="24"/>
      <c r="O78" s="19">
        <f>$G$26</f>
        <v>18</v>
      </c>
      <c r="P78" s="40">
        <f t="shared" ref="P78:T78" si="93">H78/H$84</f>
        <v>0.04708468302</v>
      </c>
      <c r="Q78" s="40">
        <f t="shared" si="93"/>
        <v>0.04418429003</v>
      </c>
      <c r="R78" s="40">
        <f t="shared" si="93"/>
        <v>0.04166666667</v>
      </c>
      <c r="S78" s="40">
        <f t="shared" si="93"/>
        <v>0.02280130293</v>
      </c>
      <c r="T78" s="40">
        <f t="shared" si="93"/>
        <v>0.035</v>
      </c>
    </row>
    <row r="79" ht="15.75" customHeight="1">
      <c r="F79" s="24"/>
      <c r="G79" s="19">
        <f>$G$27</f>
        <v>19</v>
      </c>
      <c r="H79" s="20">
        <v>444.0</v>
      </c>
      <c r="I79" s="20">
        <v>91.0</v>
      </c>
      <c r="J79" s="20">
        <v>7.0</v>
      </c>
      <c r="K79" s="20">
        <v>17.0</v>
      </c>
      <c r="L79" s="20">
        <v>3.0</v>
      </c>
      <c r="N79" s="24"/>
      <c r="O79" s="19">
        <f>$G$27</f>
        <v>19</v>
      </c>
      <c r="P79" s="40">
        <f t="shared" ref="P79:T79" si="94">H79/H$84</f>
        <v>0.05136510875</v>
      </c>
      <c r="Q79" s="40">
        <f t="shared" si="94"/>
        <v>0.03436555891</v>
      </c>
      <c r="R79" s="40">
        <f t="shared" si="94"/>
        <v>0.07291666667</v>
      </c>
      <c r="S79" s="40">
        <f t="shared" si="94"/>
        <v>0.05537459283</v>
      </c>
      <c r="T79" s="40">
        <f t="shared" si="94"/>
        <v>0.015</v>
      </c>
    </row>
    <row r="80" ht="15.75" customHeight="1">
      <c r="F80" s="24"/>
      <c r="G80" s="19">
        <f>$G$28</f>
        <v>20</v>
      </c>
      <c r="H80" s="20">
        <v>429.0</v>
      </c>
      <c r="I80" s="20">
        <v>93.0</v>
      </c>
      <c r="J80" s="20">
        <v>4.0</v>
      </c>
      <c r="K80" s="20">
        <v>8.0</v>
      </c>
      <c r="L80" s="20">
        <v>3.0</v>
      </c>
      <c r="N80" s="24"/>
      <c r="O80" s="19">
        <f>$G$28</f>
        <v>20</v>
      </c>
      <c r="P80" s="40">
        <f t="shared" ref="P80:T80" si="95">H80/H$84</f>
        <v>0.04962980102</v>
      </c>
      <c r="Q80" s="40">
        <f t="shared" si="95"/>
        <v>0.03512084592</v>
      </c>
      <c r="R80" s="40">
        <f t="shared" si="95"/>
        <v>0.04166666667</v>
      </c>
      <c r="S80" s="40">
        <f t="shared" si="95"/>
        <v>0.02605863192</v>
      </c>
      <c r="T80" s="40">
        <f t="shared" si="95"/>
        <v>0.015</v>
      </c>
    </row>
    <row r="81" ht="15.75" customHeight="1">
      <c r="F81" s="24"/>
      <c r="G81" s="19">
        <f>$G$29</f>
        <v>21</v>
      </c>
      <c r="H81" s="20">
        <v>299.0</v>
      </c>
      <c r="I81" s="20">
        <v>72.0</v>
      </c>
      <c r="J81" s="20">
        <v>0.0</v>
      </c>
      <c r="K81" s="20">
        <v>5.0</v>
      </c>
      <c r="L81" s="20">
        <v>6.0</v>
      </c>
      <c r="N81" s="24"/>
      <c r="O81" s="19">
        <f>$G$29</f>
        <v>21</v>
      </c>
      <c r="P81" s="40">
        <f t="shared" ref="P81:T81" si="96">H81/H$84</f>
        <v>0.03459046738</v>
      </c>
      <c r="Q81" s="40">
        <f t="shared" si="96"/>
        <v>0.02719033233</v>
      </c>
      <c r="R81" s="40">
        <f t="shared" si="96"/>
        <v>0</v>
      </c>
      <c r="S81" s="40">
        <f t="shared" si="96"/>
        <v>0.01628664495</v>
      </c>
      <c r="T81" s="40">
        <f t="shared" si="96"/>
        <v>0.03</v>
      </c>
    </row>
    <row r="82" ht="15.75" customHeight="1">
      <c r="F82" s="24"/>
      <c r="G82" s="19">
        <f>$G$30</f>
        <v>22</v>
      </c>
      <c r="H82" s="20">
        <v>200.0</v>
      </c>
      <c r="I82" s="20">
        <v>40.0</v>
      </c>
      <c r="J82" s="20">
        <v>1.0</v>
      </c>
      <c r="K82" s="20">
        <v>8.0</v>
      </c>
      <c r="L82" s="20">
        <v>3.0</v>
      </c>
      <c r="N82" s="24"/>
      <c r="O82" s="19">
        <f>$G$30</f>
        <v>22</v>
      </c>
      <c r="P82" s="40">
        <f t="shared" ref="P82:T82" si="97">H82/H$84</f>
        <v>0.02313743637</v>
      </c>
      <c r="Q82" s="40">
        <f t="shared" si="97"/>
        <v>0.01510574018</v>
      </c>
      <c r="R82" s="40">
        <f t="shared" si="97"/>
        <v>0.01041666667</v>
      </c>
      <c r="S82" s="40">
        <f t="shared" si="97"/>
        <v>0.02605863192</v>
      </c>
      <c r="T82" s="40">
        <f t="shared" si="97"/>
        <v>0.015</v>
      </c>
    </row>
    <row r="83" ht="15.75" customHeight="1">
      <c r="F83" s="28"/>
      <c r="G83" s="19">
        <f>$G$31</f>
        <v>23</v>
      </c>
      <c r="H83" s="20">
        <v>96.0</v>
      </c>
      <c r="I83" s="20">
        <v>37.0</v>
      </c>
      <c r="J83" s="20">
        <v>2.0</v>
      </c>
      <c r="K83" s="20">
        <v>10.0</v>
      </c>
      <c r="L83" s="20">
        <v>5.0</v>
      </c>
      <c r="N83" s="28"/>
      <c r="O83" s="19">
        <f>$G$31</f>
        <v>23</v>
      </c>
      <c r="P83" s="40">
        <f t="shared" ref="P83:T83" si="98">H83/H$84</f>
        <v>0.01110596946</v>
      </c>
      <c r="Q83" s="40">
        <f t="shared" si="98"/>
        <v>0.01397280967</v>
      </c>
      <c r="R83" s="40">
        <f t="shared" si="98"/>
        <v>0.02083333333</v>
      </c>
      <c r="S83" s="40">
        <f t="shared" si="98"/>
        <v>0.0325732899</v>
      </c>
      <c r="T83" s="40">
        <f t="shared" si="98"/>
        <v>0.025</v>
      </c>
    </row>
    <row r="84" ht="15.75" customHeight="1">
      <c r="F84" s="111"/>
      <c r="G84" s="112"/>
      <c r="H84" s="26">
        <f t="shared" ref="H84:L84" si="99">SUM(H60:H83)</f>
        <v>8644</v>
      </c>
      <c r="I84" s="26">
        <f t="shared" si="99"/>
        <v>2648</v>
      </c>
      <c r="J84" s="26">
        <f t="shared" si="99"/>
        <v>96</v>
      </c>
      <c r="K84" s="26">
        <f t="shared" si="99"/>
        <v>307</v>
      </c>
      <c r="L84" s="26">
        <f t="shared" si="99"/>
        <v>200</v>
      </c>
    </row>
    <row r="85" ht="15.75" customHeight="1">
      <c r="G85" s="16"/>
      <c r="H85" s="17">
        <f>$H$7</f>
        <v>31</v>
      </c>
      <c r="I85" s="17">
        <f>$I$7</f>
        <v>32</v>
      </c>
      <c r="J85" s="17">
        <f>$J$7</f>
        <v>41</v>
      </c>
      <c r="K85" s="17">
        <f>$K$7</f>
        <v>42</v>
      </c>
      <c r="L85" s="17">
        <f>$L$7</f>
        <v>5</v>
      </c>
      <c r="O85" s="16"/>
      <c r="P85" s="17">
        <f>$H$7</f>
        <v>31</v>
      </c>
      <c r="Q85" s="17">
        <f>$I$7</f>
        <v>32</v>
      </c>
      <c r="R85" s="17">
        <f>$J$7</f>
        <v>41</v>
      </c>
      <c r="S85" s="17">
        <f>$K$7</f>
        <v>42</v>
      </c>
      <c r="T85" s="17">
        <f>$L$7</f>
        <v>5</v>
      </c>
    </row>
    <row r="86" ht="15.75" customHeight="1">
      <c r="F86" s="56">
        <v>45210.0</v>
      </c>
      <c r="G86" s="19">
        <f>$G$8</f>
        <v>0</v>
      </c>
      <c r="H86" s="20">
        <v>54.0</v>
      </c>
      <c r="I86" s="20">
        <v>27.0</v>
      </c>
      <c r="J86" s="20">
        <v>0.0</v>
      </c>
      <c r="K86" s="20">
        <v>5.0</v>
      </c>
      <c r="L86" s="20">
        <v>6.0</v>
      </c>
      <c r="N86" s="56">
        <v>45210.0</v>
      </c>
      <c r="O86" s="19">
        <f>$G$8</f>
        <v>0</v>
      </c>
      <c r="P86" s="40">
        <f t="shared" ref="P86:T86" si="100">H86/H$110</f>
        <v>0.006744098913</v>
      </c>
      <c r="Q86" s="40">
        <f t="shared" si="100"/>
        <v>0.008392912652</v>
      </c>
      <c r="R86" s="40">
        <f t="shared" si="100"/>
        <v>0</v>
      </c>
      <c r="S86" s="40">
        <f t="shared" si="100"/>
        <v>0.008849557522</v>
      </c>
      <c r="T86" s="40">
        <f t="shared" si="100"/>
        <v>0.007792207792</v>
      </c>
    </row>
    <row r="87" ht="15.75" customHeight="1">
      <c r="F87" s="24"/>
      <c r="G87" s="19">
        <f>$G$9</f>
        <v>1</v>
      </c>
      <c r="H87" s="20">
        <v>47.0</v>
      </c>
      <c r="I87" s="20">
        <v>12.0</v>
      </c>
      <c r="J87" s="20">
        <v>0.0</v>
      </c>
      <c r="K87" s="20">
        <v>7.0</v>
      </c>
      <c r="L87" s="20">
        <v>4.0</v>
      </c>
      <c r="N87" s="24"/>
      <c r="O87" s="19">
        <f>$G$9</f>
        <v>1</v>
      </c>
      <c r="P87" s="40">
        <f t="shared" ref="P87:T87" si="101">H87/H$110</f>
        <v>0.005869863869</v>
      </c>
      <c r="Q87" s="40">
        <f t="shared" si="101"/>
        <v>0.003730183401</v>
      </c>
      <c r="R87" s="40">
        <f t="shared" si="101"/>
        <v>0</v>
      </c>
      <c r="S87" s="40">
        <f t="shared" si="101"/>
        <v>0.01238938053</v>
      </c>
      <c r="T87" s="40">
        <f t="shared" si="101"/>
        <v>0.005194805195</v>
      </c>
    </row>
    <row r="88" ht="15.75" customHeight="1">
      <c r="F88" s="24"/>
      <c r="G88" s="19">
        <f>$G$10</f>
        <v>2</v>
      </c>
      <c r="H88" s="16">
        <v>40.0</v>
      </c>
      <c r="I88" s="16">
        <v>16.0</v>
      </c>
      <c r="J88" s="16">
        <v>0.0</v>
      </c>
      <c r="K88" s="16">
        <v>6.0</v>
      </c>
      <c r="L88" s="16">
        <v>1.0</v>
      </c>
      <c r="N88" s="24"/>
      <c r="O88" s="19">
        <f>$G$10</f>
        <v>2</v>
      </c>
      <c r="P88" s="40">
        <f t="shared" ref="P88:T88" si="102">H88/H$110</f>
        <v>0.004995628825</v>
      </c>
      <c r="Q88" s="40">
        <f t="shared" si="102"/>
        <v>0.004973577868</v>
      </c>
      <c r="R88" s="40">
        <f t="shared" si="102"/>
        <v>0</v>
      </c>
      <c r="S88" s="40">
        <f t="shared" si="102"/>
        <v>0.01061946903</v>
      </c>
      <c r="T88" s="40">
        <f t="shared" si="102"/>
        <v>0.001298701299</v>
      </c>
    </row>
    <row r="89" ht="15.75" customHeight="1">
      <c r="F89" s="24"/>
      <c r="G89" s="19">
        <f>$G$11</f>
        <v>3</v>
      </c>
      <c r="H89" s="20">
        <v>45.0</v>
      </c>
      <c r="I89" s="20">
        <v>24.0</v>
      </c>
      <c r="J89" s="20">
        <v>0.0</v>
      </c>
      <c r="K89" s="20">
        <v>13.0</v>
      </c>
      <c r="L89" s="20">
        <v>7.0</v>
      </c>
      <c r="N89" s="24"/>
      <c r="O89" s="19">
        <f>$G$11</f>
        <v>3</v>
      </c>
      <c r="P89" s="40">
        <f t="shared" ref="P89:T89" si="103">H89/H$110</f>
        <v>0.005620082428</v>
      </c>
      <c r="Q89" s="40">
        <f t="shared" si="103"/>
        <v>0.007460366801</v>
      </c>
      <c r="R89" s="40">
        <f t="shared" si="103"/>
        <v>0</v>
      </c>
      <c r="S89" s="40">
        <f t="shared" si="103"/>
        <v>0.02300884956</v>
      </c>
      <c r="T89" s="40">
        <f t="shared" si="103"/>
        <v>0.009090909091</v>
      </c>
    </row>
    <row r="90" ht="15.75" customHeight="1">
      <c r="F90" s="24"/>
      <c r="G90" s="19">
        <f>$G$12</f>
        <v>4</v>
      </c>
      <c r="H90" s="20">
        <v>101.0</v>
      </c>
      <c r="I90" s="20">
        <v>44.0</v>
      </c>
      <c r="J90" s="20">
        <v>0.0</v>
      </c>
      <c r="K90" s="20">
        <v>11.0</v>
      </c>
      <c r="L90" s="20">
        <v>6.0</v>
      </c>
      <c r="N90" s="24"/>
      <c r="O90" s="19">
        <f>$G$12</f>
        <v>4</v>
      </c>
      <c r="P90" s="40">
        <f t="shared" ref="P90:T90" si="104">H90/H$110</f>
        <v>0.01261396278</v>
      </c>
      <c r="Q90" s="40">
        <f t="shared" si="104"/>
        <v>0.01367733914</v>
      </c>
      <c r="R90" s="40">
        <f t="shared" si="104"/>
        <v>0</v>
      </c>
      <c r="S90" s="40">
        <f t="shared" si="104"/>
        <v>0.01946902655</v>
      </c>
      <c r="T90" s="40">
        <f t="shared" si="104"/>
        <v>0.007792207792</v>
      </c>
    </row>
    <row r="91" ht="15.75" customHeight="1">
      <c r="F91" s="24"/>
      <c r="G91" s="19">
        <f>$G$13</f>
        <v>5</v>
      </c>
      <c r="H91" s="20">
        <v>224.0</v>
      </c>
      <c r="I91" s="20">
        <v>97.0</v>
      </c>
      <c r="J91" s="20">
        <v>3.0</v>
      </c>
      <c r="K91" s="20">
        <v>13.0</v>
      </c>
      <c r="L91" s="20">
        <v>17.0</v>
      </c>
      <c r="N91" s="24"/>
      <c r="O91" s="19">
        <f>$G$13</f>
        <v>5</v>
      </c>
      <c r="P91" s="40">
        <f t="shared" ref="P91:T91" si="105">H91/H$110</f>
        <v>0.02797552142</v>
      </c>
      <c r="Q91" s="40">
        <f t="shared" si="105"/>
        <v>0.03015231582</v>
      </c>
      <c r="R91" s="40">
        <f t="shared" si="105"/>
        <v>0.02142857143</v>
      </c>
      <c r="S91" s="40">
        <f t="shared" si="105"/>
        <v>0.02300884956</v>
      </c>
      <c r="T91" s="40">
        <f t="shared" si="105"/>
        <v>0.02207792208</v>
      </c>
    </row>
    <row r="92" ht="15.75" customHeight="1">
      <c r="F92" s="24"/>
      <c r="G92" s="19">
        <f>$G$14</f>
        <v>6</v>
      </c>
      <c r="H92" s="20">
        <v>459.0</v>
      </c>
      <c r="I92" s="20">
        <v>151.0</v>
      </c>
      <c r="J92" s="20">
        <v>19.0</v>
      </c>
      <c r="K92" s="20">
        <v>34.0</v>
      </c>
      <c r="L92" s="20">
        <v>32.0</v>
      </c>
      <c r="N92" s="24"/>
      <c r="O92" s="19">
        <f>$G$14</f>
        <v>6</v>
      </c>
      <c r="P92" s="40">
        <f t="shared" ref="P92:T92" si="106">H92/H$110</f>
        <v>0.05732484076</v>
      </c>
      <c r="Q92" s="40">
        <f t="shared" si="106"/>
        <v>0.04693814113</v>
      </c>
      <c r="R92" s="40">
        <f t="shared" si="106"/>
        <v>0.1357142857</v>
      </c>
      <c r="S92" s="40">
        <f t="shared" si="106"/>
        <v>0.06017699115</v>
      </c>
      <c r="T92" s="40">
        <f t="shared" si="106"/>
        <v>0.04155844156</v>
      </c>
    </row>
    <row r="93" ht="15.75" customHeight="1">
      <c r="F93" s="24"/>
      <c r="G93" s="19">
        <f>$G$15</f>
        <v>7</v>
      </c>
      <c r="H93" s="20">
        <v>666.0</v>
      </c>
      <c r="I93" s="20">
        <v>254.0</v>
      </c>
      <c r="J93" s="20">
        <v>23.0</v>
      </c>
      <c r="K93" s="20">
        <v>44.0</v>
      </c>
      <c r="L93" s="20">
        <v>37.0</v>
      </c>
      <c r="N93" s="24"/>
      <c r="O93" s="19">
        <f>$G$15</f>
        <v>7</v>
      </c>
      <c r="P93" s="40">
        <f t="shared" ref="P93:T93" si="107">H93/H$110</f>
        <v>0.08317721993</v>
      </c>
      <c r="Q93" s="40">
        <f t="shared" si="107"/>
        <v>0.07895554865</v>
      </c>
      <c r="R93" s="40">
        <f t="shared" si="107"/>
        <v>0.1642857143</v>
      </c>
      <c r="S93" s="40">
        <f t="shared" si="107"/>
        <v>0.07787610619</v>
      </c>
      <c r="T93" s="40">
        <f t="shared" si="107"/>
        <v>0.04805194805</v>
      </c>
    </row>
    <row r="94" ht="15.75" customHeight="1">
      <c r="F94" s="24"/>
      <c r="G94" s="19">
        <f>$G$16</f>
        <v>8</v>
      </c>
      <c r="H94" s="20">
        <v>649.0</v>
      </c>
      <c r="I94" s="20">
        <v>302.0</v>
      </c>
      <c r="J94" s="20">
        <v>32.0</v>
      </c>
      <c r="K94" s="20">
        <v>58.0</v>
      </c>
      <c r="L94" s="20">
        <v>54.0</v>
      </c>
      <c r="N94" s="24"/>
      <c r="O94" s="19">
        <f>$G$16</f>
        <v>8</v>
      </c>
      <c r="P94" s="40">
        <f t="shared" ref="P94:T94" si="108">H94/H$110</f>
        <v>0.08105407768</v>
      </c>
      <c r="Q94" s="40">
        <f t="shared" si="108"/>
        <v>0.09387628225</v>
      </c>
      <c r="R94" s="40">
        <f t="shared" si="108"/>
        <v>0.2285714286</v>
      </c>
      <c r="S94" s="40">
        <f t="shared" si="108"/>
        <v>0.1026548673</v>
      </c>
      <c r="T94" s="40">
        <f t="shared" si="108"/>
        <v>0.07012987013</v>
      </c>
    </row>
    <row r="95" ht="15.75" customHeight="1">
      <c r="F95" s="24"/>
      <c r="G95" s="19">
        <f>$G$17</f>
        <v>9</v>
      </c>
      <c r="H95" s="20">
        <v>676.0</v>
      </c>
      <c r="I95" s="20">
        <v>345.0</v>
      </c>
      <c r="J95" s="20">
        <v>11.0</v>
      </c>
      <c r="K95" s="20">
        <v>39.0</v>
      </c>
      <c r="L95" s="20">
        <v>84.0</v>
      </c>
      <c r="N95" s="24"/>
      <c r="O95" s="19">
        <f>$G$17</f>
        <v>9</v>
      </c>
      <c r="P95" s="40">
        <f t="shared" ref="P95:T95" si="109">H95/H$110</f>
        <v>0.08442612714</v>
      </c>
      <c r="Q95" s="40">
        <f t="shared" si="109"/>
        <v>0.1072427728</v>
      </c>
      <c r="R95" s="40">
        <f t="shared" si="109"/>
        <v>0.07857142857</v>
      </c>
      <c r="S95" s="40">
        <f t="shared" si="109"/>
        <v>0.06902654867</v>
      </c>
      <c r="T95" s="40">
        <f t="shared" si="109"/>
        <v>0.1090909091</v>
      </c>
    </row>
    <row r="96" ht="15.75" customHeight="1">
      <c r="F96" s="24"/>
      <c r="G96" s="19">
        <f>$G$18</f>
        <v>10</v>
      </c>
      <c r="H96" s="20">
        <v>609.0</v>
      </c>
      <c r="I96" s="20">
        <v>248.0</v>
      </c>
      <c r="J96" s="20">
        <v>2.0</v>
      </c>
      <c r="K96" s="20">
        <v>39.0</v>
      </c>
      <c r="L96" s="20">
        <v>76.0</v>
      </c>
      <c r="N96" s="24"/>
      <c r="O96" s="19">
        <f>$G$18</f>
        <v>10</v>
      </c>
      <c r="P96" s="40">
        <f t="shared" ref="P96:T96" si="110">H96/H$110</f>
        <v>0.07605844886</v>
      </c>
      <c r="Q96" s="40">
        <f t="shared" si="110"/>
        <v>0.07709045695</v>
      </c>
      <c r="R96" s="40">
        <f t="shared" si="110"/>
        <v>0.01428571429</v>
      </c>
      <c r="S96" s="40">
        <f t="shared" si="110"/>
        <v>0.06902654867</v>
      </c>
      <c r="T96" s="40">
        <f t="shared" si="110"/>
        <v>0.0987012987</v>
      </c>
    </row>
    <row r="97" ht="15.75" customHeight="1">
      <c r="F97" s="24"/>
      <c r="G97" s="19">
        <f>$G$19</f>
        <v>11</v>
      </c>
      <c r="H97" s="20">
        <v>564.0</v>
      </c>
      <c r="I97" s="20">
        <v>221.0</v>
      </c>
      <c r="J97" s="20">
        <v>1.0</v>
      </c>
      <c r="K97" s="20">
        <v>42.0</v>
      </c>
      <c r="L97" s="20">
        <v>85.0</v>
      </c>
      <c r="N97" s="24"/>
      <c r="O97" s="19">
        <f>$G$19</f>
        <v>11</v>
      </c>
      <c r="P97" s="40">
        <f t="shared" ref="P97:T97" si="111">H97/H$110</f>
        <v>0.07043836643</v>
      </c>
      <c r="Q97" s="40">
        <f t="shared" si="111"/>
        <v>0.0686975443</v>
      </c>
      <c r="R97" s="40">
        <f t="shared" si="111"/>
        <v>0.007142857143</v>
      </c>
      <c r="S97" s="40">
        <f t="shared" si="111"/>
        <v>0.07433628319</v>
      </c>
      <c r="T97" s="40">
        <f t="shared" si="111"/>
        <v>0.1103896104</v>
      </c>
    </row>
    <row r="98" ht="15.75" customHeight="1">
      <c r="F98" s="24"/>
      <c r="G98" s="19">
        <f>$G$20</f>
        <v>12</v>
      </c>
      <c r="H98" s="20">
        <v>449.0</v>
      </c>
      <c r="I98" s="20">
        <v>176.0</v>
      </c>
      <c r="J98" s="20">
        <v>11.0</v>
      </c>
      <c r="K98" s="20">
        <v>26.0</v>
      </c>
      <c r="L98" s="20">
        <v>72.0</v>
      </c>
      <c r="N98" s="24"/>
      <c r="O98" s="19">
        <f>$G$20</f>
        <v>12</v>
      </c>
      <c r="P98" s="40">
        <f t="shared" ref="P98:T98" si="112">H98/H$110</f>
        <v>0.05607593356</v>
      </c>
      <c r="Q98" s="40">
        <f t="shared" si="112"/>
        <v>0.05470935654</v>
      </c>
      <c r="R98" s="40">
        <f t="shared" si="112"/>
        <v>0.07857142857</v>
      </c>
      <c r="S98" s="40">
        <f t="shared" si="112"/>
        <v>0.04601769912</v>
      </c>
      <c r="T98" s="40">
        <f t="shared" si="112"/>
        <v>0.09350649351</v>
      </c>
    </row>
    <row r="99" ht="15.75" customHeight="1">
      <c r="F99" s="24"/>
      <c r="G99" s="19">
        <f>$G$21</f>
        <v>13</v>
      </c>
      <c r="H99" s="20">
        <v>474.0</v>
      </c>
      <c r="I99" s="20">
        <v>166.0</v>
      </c>
      <c r="J99" s="20">
        <v>12.0</v>
      </c>
      <c r="K99" s="20">
        <v>37.0</v>
      </c>
      <c r="L99" s="20">
        <v>61.0</v>
      </c>
      <c r="N99" s="24"/>
      <c r="O99" s="19">
        <f>$G$21</f>
        <v>13</v>
      </c>
      <c r="P99" s="40">
        <f t="shared" ref="P99:T99" si="113">H99/H$110</f>
        <v>0.05919820157</v>
      </c>
      <c r="Q99" s="40">
        <f t="shared" si="113"/>
        <v>0.05160087038</v>
      </c>
      <c r="R99" s="40">
        <f t="shared" si="113"/>
        <v>0.08571428571</v>
      </c>
      <c r="S99" s="40">
        <f t="shared" si="113"/>
        <v>0.06548672566</v>
      </c>
      <c r="T99" s="40">
        <f t="shared" si="113"/>
        <v>0.07922077922</v>
      </c>
    </row>
    <row r="100" ht="15.75" customHeight="1">
      <c r="F100" s="24"/>
      <c r="G100" s="19">
        <f>$G$22</f>
        <v>14</v>
      </c>
      <c r="H100" s="20">
        <v>422.0</v>
      </c>
      <c r="I100" s="20">
        <v>178.0</v>
      </c>
      <c r="J100" s="20">
        <v>10.0</v>
      </c>
      <c r="K100" s="20">
        <v>37.0</v>
      </c>
      <c r="L100" s="20">
        <v>56.0</v>
      </c>
      <c r="N100" s="24"/>
      <c r="O100" s="19">
        <f>$G$22</f>
        <v>14</v>
      </c>
      <c r="P100" s="40">
        <f t="shared" ref="P100:T100" si="114">H100/H$110</f>
        <v>0.0527038841</v>
      </c>
      <c r="Q100" s="40">
        <f t="shared" si="114"/>
        <v>0.05533105378</v>
      </c>
      <c r="R100" s="40">
        <f t="shared" si="114"/>
        <v>0.07142857143</v>
      </c>
      <c r="S100" s="40">
        <f t="shared" si="114"/>
        <v>0.06548672566</v>
      </c>
      <c r="T100" s="40">
        <f t="shared" si="114"/>
        <v>0.07272727273</v>
      </c>
    </row>
    <row r="101" ht="15.75" customHeight="1">
      <c r="F101" s="24"/>
      <c r="G101" s="19">
        <f>$G$23</f>
        <v>15</v>
      </c>
      <c r="H101" s="20">
        <v>379.0</v>
      </c>
      <c r="I101" s="20">
        <v>163.0</v>
      </c>
      <c r="J101" s="20">
        <v>7.0</v>
      </c>
      <c r="K101" s="20">
        <v>34.0</v>
      </c>
      <c r="L101" s="20">
        <v>48.0</v>
      </c>
      <c r="N101" s="24"/>
      <c r="O101" s="19">
        <f>$G$23</f>
        <v>15</v>
      </c>
      <c r="P101" s="40">
        <f t="shared" ref="P101:T101" si="115">H101/H$110</f>
        <v>0.04733358311</v>
      </c>
      <c r="Q101" s="40">
        <f t="shared" si="115"/>
        <v>0.05066832453</v>
      </c>
      <c r="R101" s="40">
        <f t="shared" si="115"/>
        <v>0.05</v>
      </c>
      <c r="S101" s="40">
        <f t="shared" si="115"/>
        <v>0.06017699115</v>
      </c>
      <c r="T101" s="40">
        <f t="shared" si="115"/>
        <v>0.06233766234</v>
      </c>
    </row>
    <row r="102" ht="15.75" customHeight="1">
      <c r="F102" s="24"/>
      <c r="G102" s="19">
        <f>$G$24</f>
        <v>16</v>
      </c>
      <c r="H102" s="20">
        <v>405.0</v>
      </c>
      <c r="I102" s="20">
        <v>210.0</v>
      </c>
      <c r="J102" s="20">
        <v>4.0</v>
      </c>
      <c r="K102" s="20">
        <v>30.0</v>
      </c>
      <c r="L102" s="20">
        <v>35.0</v>
      </c>
      <c r="N102" s="24"/>
      <c r="O102" s="19">
        <f>$G$24</f>
        <v>16</v>
      </c>
      <c r="P102" s="40">
        <f t="shared" ref="P102:T102" si="116">H102/H$110</f>
        <v>0.05058074185</v>
      </c>
      <c r="Q102" s="40">
        <f t="shared" si="116"/>
        <v>0.06527820951</v>
      </c>
      <c r="R102" s="40">
        <f t="shared" si="116"/>
        <v>0.02857142857</v>
      </c>
      <c r="S102" s="40">
        <f t="shared" si="116"/>
        <v>0.05309734513</v>
      </c>
      <c r="T102" s="40">
        <f t="shared" si="116"/>
        <v>0.04545454545</v>
      </c>
    </row>
    <row r="103" ht="15.75" customHeight="1">
      <c r="F103" s="24"/>
      <c r="G103" s="19">
        <f>$G$25</f>
        <v>17</v>
      </c>
      <c r="H103" s="20">
        <v>424.0</v>
      </c>
      <c r="I103" s="20">
        <v>215.0</v>
      </c>
      <c r="J103" s="16">
        <v>0.0</v>
      </c>
      <c r="K103" s="20">
        <v>22.0</v>
      </c>
      <c r="L103" s="20">
        <v>24.0</v>
      </c>
      <c r="N103" s="24"/>
      <c r="O103" s="19">
        <f>$G$25</f>
        <v>17</v>
      </c>
      <c r="P103" s="40">
        <f t="shared" ref="P103:T103" si="117">H103/H$110</f>
        <v>0.05295366554</v>
      </c>
      <c r="Q103" s="40">
        <f t="shared" si="117"/>
        <v>0.0668324526</v>
      </c>
      <c r="R103" s="40">
        <f t="shared" si="117"/>
        <v>0</v>
      </c>
      <c r="S103" s="40">
        <f t="shared" si="117"/>
        <v>0.0389380531</v>
      </c>
      <c r="T103" s="40">
        <f t="shared" si="117"/>
        <v>0.03116883117</v>
      </c>
    </row>
    <row r="104" ht="15.75" customHeight="1">
      <c r="F104" s="24"/>
      <c r="G104" s="19">
        <f>$G$26</f>
        <v>18</v>
      </c>
      <c r="H104" s="20">
        <v>344.0</v>
      </c>
      <c r="I104" s="20">
        <v>127.0</v>
      </c>
      <c r="J104" s="20">
        <v>0.0</v>
      </c>
      <c r="K104" s="20">
        <v>15.0</v>
      </c>
      <c r="L104" s="20">
        <v>14.0</v>
      </c>
      <c r="N104" s="24"/>
      <c r="O104" s="19">
        <f>$G$26</f>
        <v>18</v>
      </c>
      <c r="P104" s="40">
        <f t="shared" ref="P104:T104" si="118">H104/H$110</f>
        <v>0.04296240789</v>
      </c>
      <c r="Q104" s="40">
        <f t="shared" si="118"/>
        <v>0.03947777432</v>
      </c>
      <c r="R104" s="40">
        <f t="shared" si="118"/>
        <v>0</v>
      </c>
      <c r="S104" s="40">
        <f t="shared" si="118"/>
        <v>0.02654867257</v>
      </c>
      <c r="T104" s="40">
        <f t="shared" si="118"/>
        <v>0.01818181818</v>
      </c>
    </row>
    <row r="105" ht="15.75" customHeight="1">
      <c r="F105" s="24"/>
      <c r="G105" s="19">
        <f>$G$27</f>
        <v>19</v>
      </c>
      <c r="H105" s="20">
        <v>276.0</v>
      </c>
      <c r="I105" s="20">
        <v>85.0</v>
      </c>
      <c r="J105" s="20">
        <v>2.0</v>
      </c>
      <c r="K105" s="20">
        <v>18.0</v>
      </c>
      <c r="L105" s="20">
        <v>12.0</v>
      </c>
      <c r="N105" s="24"/>
      <c r="O105" s="19">
        <f>$G$27</f>
        <v>19</v>
      </c>
      <c r="P105" s="40">
        <f t="shared" ref="P105:T105" si="119">H105/H$110</f>
        <v>0.03446983889</v>
      </c>
      <c r="Q105" s="40">
        <f t="shared" si="119"/>
        <v>0.02642213242</v>
      </c>
      <c r="R105" s="40">
        <f t="shared" si="119"/>
        <v>0.01428571429</v>
      </c>
      <c r="S105" s="40">
        <f t="shared" si="119"/>
        <v>0.03185840708</v>
      </c>
      <c r="T105" s="40">
        <f t="shared" si="119"/>
        <v>0.01558441558</v>
      </c>
    </row>
    <row r="106" ht="15.75" customHeight="1">
      <c r="F106" s="24"/>
      <c r="G106" s="19">
        <f>$G$28</f>
        <v>20</v>
      </c>
      <c r="H106" s="20">
        <v>205.0</v>
      </c>
      <c r="I106" s="20">
        <v>53.0</v>
      </c>
      <c r="J106" s="20">
        <v>0.0</v>
      </c>
      <c r="K106" s="20">
        <v>13.0</v>
      </c>
      <c r="L106" s="20">
        <v>15.0</v>
      </c>
      <c r="N106" s="24"/>
      <c r="O106" s="19">
        <f>$G$28</f>
        <v>20</v>
      </c>
      <c r="P106" s="40">
        <f t="shared" ref="P106:T106" si="120">H106/H$110</f>
        <v>0.02560259773</v>
      </c>
      <c r="Q106" s="40">
        <f t="shared" si="120"/>
        <v>0.01647497669</v>
      </c>
      <c r="R106" s="40">
        <f t="shared" si="120"/>
        <v>0</v>
      </c>
      <c r="S106" s="40">
        <f t="shared" si="120"/>
        <v>0.02300884956</v>
      </c>
      <c r="T106" s="40">
        <f t="shared" si="120"/>
        <v>0.01948051948</v>
      </c>
    </row>
    <row r="107" ht="15.75" customHeight="1">
      <c r="F107" s="24"/>
      <c r="G107" s="19">
        <f>$G$29</f>
        <v>21</v>
      </c>
      <c r="H107" s="20">
        <v>232.0</v>
      </c>
      <c r="I107" s="20">
        <v>47.0</v>
      </c>
      <c r="J107" s="20">
        <v>1.0</v>
      </c>
      <c r="K107" s="20">
        <v>7.0</v>
      </c>
      <c r="L107" s="20">
        <v>9.0</v>
      </c>
      <c r="N107" s="24"/>
      <c r="O107" s="19">
        <f>$G$29</f>
        <v>21</v>
      </c>
      <c r="P107" s="40">
        <f t="shared" ref="P107:T107" si="121">H107/H$110</f>
        <v>0.02897464718</v>
      </c>
      <c r="Q107" s="40">
        <f t="shared" si="121"/>
        <v>0.01460988499</v>
      </c>
      <c r="R107" s="40">
        <f t="shared" si="121"/>
        <v>0.007142857143</v>
      </c>
      <c r="S107" s="40">
        <f t="shared" si="121"/>
        <v>0.01238938053</v>
      </c>
      <c r="T107" s="40">
        <f t="shared" si="121"/>
        <v>0.01168831169</v>
      </c>
    </row>
    <row r="108" ht="15.75" customHeight="1">
      <c r="F108" s="24"/>
      <c r="G108" s="19">
        <f>$G$30</f>
        <v>22</v>
      </c>
      <c r="H108" s="20">
        <v>169.0</v>
      </c>
      <c r="I108" s="20">
        <v>35.0</v>
      </c>
      <c r="J108" s="20">
        <v>1.0</v>
      </c>
      <c r="K108" s="20">
        <v>5.0</v>
      </c>
      <c r="L108" s="20">
        <v>10.0</v>
      </c>
      <c r="N108" s="24"/>
      <c r="O108" s="19">
        <f>$G$30</f>
        <v>22</v>
      </c>
      <c r="P108" s="40">
        <f t="shared" ref="P108:T108" si="122">H108/H$110</f>
        <v>0.02110653178</v>
      </c>
      <c r="Q108" s="40">
        <f t="shared" si="122"/>
        <v>0.01087970159</v>
      </c>
      <c r="R108" s="40">
        <f t="shared" si="122"/>
        <v>0.007142857143</v>
      </c>
      <c r="S108" s="40">
        <f t="shared" si="122"/>
        <v>0.008849557522</v>
      </c>
      <c r="T108" s="40">
        <f t="shared" si="122"/>
        <v>0.01298701299</v>
      </c>
    </row>
    <row r="109" ht="15.75" customHeight="1">
      <c r="F109" s="28"/>
      <c r="G109" s="19">
        <f>$G$31</f>
        <v>23</v>
      </c>
      <c r="H109" s="20">
        <v>94.0</v>
      </c>
      <c r="I109" s="20">
        <v>21.0</v>
      </c>
      <c r="J109" s="20">
        <v>1.0</v>
      </c>
      <c r="K109" s="20">
        <v>10.0</v>
      </c>
      <c r="L109" s="20">
        <v>5.0</v>
      </c>
      <c r="N109" s="28"/>
      <c r="O109" s="19">
        <f>$G$31</f>
        <v>23</v>
      </c>
      <c r="P109" s="40">
        <f t="shared" ref="P109:T109" si="123">H109/H$110</f>
        <v>0.01173972774</v>
      </c>
      <c r="Q109" s="40">
        <f t="shared" si="123"/>
        <v>0.006527820951</v>
      </c>
      <c r="R109" s="40">
        <f t="shared" si="123"/>
        <v>0.007142857143</v>
      </c>
      <c r="S109" s="40">
        <f t="shared" si="123"/>
        <v>0.01769911504</v>
      </c>
      <c r="T109" s="40">
        <f t="shared" si="123"/>
        <v>0.006493506494</v>
      </c>
    </row>
    <row r="110" ht="15.75" customHeight="1">
      <c r="F110" s="111"/>
      <c r="G110" s="112"/>
      <c r="H110" s="26">
        <f t="shared" ref="H110:L110" si="124">SUM(H86:H109)</f>
        <v>8007</v>
      </c>
      <c r="I110" s="26">
        <f t="shared" si="124"/>
        <v>3217</v>
      </c>
      <c r="J110" s="26">
        <f t="shared" si="124"/>
        <v>140</v>
      </c>
      <c r="K110" s="26">
        <f t="shared" si="124"/>
        <v>565</v>
      </c>
      <c r="L110" s="26">
        <f t="shared" si="124"/>
        <v>770</v>
      </c>
    </row>
    <row r="111" ht="15.75" customHeight="1">
      <c r="G111" s="16"/>
      <c r="H111" s="17">
        <f>$H$7</f>
        <v>31</v>
      </c>
      <c r="I111" s="17">
        <f>$I$7</f>
        <v>32</v>
      </c>
      <c r="J111" s="17">
        <f>$J$7</f>
        <v>41</v>
      </c>
      <c r="K111" s="17">
        <f>$K$7</f>
        <v>42</v>
      </c>
      <c r="L111" s="17">
        <f>$L$7</f>
        <v>5</v>
      </c>
      <c r="O111" s="16"/>
      <c r="P111" s="17">
        <f>$H$7</f>
        <v>31</v>
      </c>
      <c r="Q111" s="17">
        <f>$I$7</f>
        <v>32</v>
      </c>
      <c r="R111" s="17">
        <f>$J$7</f>
        <v>41</v>
      </c>
      <c r="S111" s="17">
        <f>$K$7</f>
        <v>42</v>
      </c>
      <c r="T111" s="17">
        <f>$L$7</f>
        <v>5</v>
      </c>
    </row>
    <row r="112" ht="15.75" customHeight="1">
      <c r="F112" s="56">
        <v>45211.0</v>
      </c>
      <c r="G112" s="19">
        <f>$G$8</f>
        <v>0</v>
      </c>
      <c r="H112" s="16">
        <v>54.0</v>
      </c>
      <c r="I112" s="16">
        <v>19.0</v>
      </c>
      <c r="J112" s="16">
        <v>0.0</v>
      </c>
      <c r="K112" s="16">
        <v>7.0</v>
      </c>
      <c r="L112" s="16">
        <v>8.0</v>
      </c>
      <c r="N112" s="56">
        <v>45211.0</v>
      </c>
      <c r="O112" s="19">
        <f>$G$8</f>
        <v>0</v>
      </c>
      <c r="P112" s="40">
        <f t="shared" ref="P112:T112" si="125">H112/H$136</f>
        <v>0.007413509061</v>
      </c>
      <c r="Q112" s="40">
        <f t="shared" si="125"/>
        <v>0.001275167785</v>
      </c>
      <c r="R112" s="40">
        <f t="shared" si="125"/>
        <v>0</v>
      </c>
      <c r="S112" s="40">
        <f t="shared" si="125"/>
        <v>0.002850162866</v>
      </c>
      <c r="T112" s="40">
        <f t="shared" si="125"/>
        <v>0.002893309222</v>
      </c>
    </row>
    <row r="113" ht="15.75" customHeight="1">
      <c r="F113" s="24"/>
      <c r="G113" s="19">
        <f>$G$9</f>
        <v>1</v>
      </c>
      <c r="H113" s="16">
        <v>47.0</v>
      </c>
      <c r="I113" s="16">
        <v>22.0</v>
      </c>
      <c r="J113" s="16">
        <v>0.0</v>
      </c>
      <c r="K113" s="16">
        <v>11.0</v>
      </c>
      <c r="L113" s="16">
        <v>9.0</v>
      </c>
      <c r="N113" s="24"/>
      <c r="O113" s="19">
        <f>$G$9</f>
        <v>1</v>
      </c>
      <c r="P113" s="40">
        <f t="shared" ref="P113:T113" si="126">H113/H$136</f>
        <v>0.006452498627</v>
      </c>
      <c r="Q113" s="40">
        <f t="shared" si="126"/>
        <v>0.001476510067</v>
      </c>
      <c r="R113" s="40">
        <f t="shared" si="126"/>
        <v>0</v>
      </c>
      <c r="S113" s="40">
        <f t="shared" si="126"/>
        <v>0.004478827362</v>
      </c>
      <c r="T113" s="40">
        <f t="shared" si="126"/>
        <v>0.003254972875</v>
      </c>
    </row>
    <row r="114" ht="15.75" customHeight="1">
      <c r="F114" s="24"/>
      <c r="G114" s="19">
        <f>$G$10</f>
        <v>2</v>
      </c>
      <c r="H114" s="16">
        <v>28.0</v>
      </c>
      <c r="I114" s="16">
        <v>14.0</v>
      </c>
      <c r="J114" s="16">
        <v>0.0</v>
      </c>
      <c r="K114" s="16">
        <v>8.0</v>
      </c>
      <c r="L114" s="16">
        <v>8.0</v>
      </c>
      <c r="N114" s="24"/>
      <c r="O114" s="19">
        <f>$G$10</f>
        <v>2</v>
      </c>
      <c r="P114" s="40">
        <f t="shared" ref="P114:T114" si="127">H114/H$136</f>
        <v>0.003844041735</v>
      </c>
      <c r="Q114" s="40">
        <f t="shared" si="127"/>
        <v>0.0009395973154</v>
      </c>
      <c r="R114" s="40">
        <f t="shared" si="127"/>
        <v>0</v>
      </c>
      <c r="S114" s="40">
        <f t="shared" si="127"/>
        <v>0.00325732899</v>
      </c>
      <c r="T114" s="40">
        <f t="shared" si="127"/>
        <v>0.002893309222</v>
      </c>
    </row>
    <row r="115" ht="15.75" customHeight="1">
      <c r="F115" s="24"/>
      <c r="G115" s="19">
        <f>$G$11</f>
        <v>3</v>
      </c>
      <c r="H115" s="20">
        <v>42.0</v>
      </c>
      <c r="I115" s="20">
        <v>13.0</v>
      </c>
      <c r="J115" s="20">
        <v>0.0</v>
      </c>
      <c r="K115" s="20">
        <v>18.0</v>
      </c>
      <c r="L115" s="20">
        <v>12.0</v>
      </c>
      <c r="N115" s="24"/>
      <c r="O115" s="19">
        <f>$G$11</f>
        <v>3</v>
      </c>
      <c r="P115" s="40">
        <f t="shared" ref="P115:T115" si="128">H115/H$136</f>
        <v>0.005766062603</v>
      </c>
      <c r="Q115" s="40">
        <f t="shared" si="128"/>
        <v>0.0008724832215</v>
      </c>
      <c r="R115" s="40">
        <f t="shared" si="128"/>
        <v>0</v>
      </c>
      <c r="S115" s="40">
        <f t="shared" si="128"/>
        <v>0.007328990228</v>
      </c>
      <c r="T115" s="40">
        <f t="shared" si="128"/>
        <v>0.004339963834</v>
      </c>
    </row>
    <row r="116" ht="15.75" customHeight="1">
      <c r="F116" s="24"/>
      <c r="G116" s="19">
        <f>$G$12</f>
        <v>4</v>
      </c>
      <c r="H116" s="20">
        <v>77.0</v>
      </c>
      <c r="I116" s="20">
        <v>57.0</v>
      </c>
      <c r="J116" s="20">
        <v>0.0</v>
      </c>
      <c r="K116" s="20">
        <v>19.0</v>
      </c>
      <c r="L116" s="20">
        <v>14.0</v>
      </c>
      <c r="N116" s="24"/>
      <c r="O116" s="19">
        <f>$G$12</f>
        <v>4</v>
      </c>
      <c r="P116" s="40">
        <f t="shared" ref="P116:T116" si="129">H116/H$136</f>
        <v>0.01057111477</v>
      </c>
      <c r="Q116" s="40">
        <f t="shared" si="129"/>
        <v>0.003825503356</v>
      </c>
      <c r="R116" s="40">
        <f t="shared" si="129"/>
        <v>0</v>
      </c>
      <c r="S116" s="40">
        <f t="shared" si="129"/>
        <v>0.007736156352</v>
      </c>
      <c r="T116" s="40">
        <f t="shared" si="129"/>
        <v>0.005063291139</v>
      </c>
    </row>
    <row r="117" ht="15.75" customHeight="1">
      <c r="F117" s="24"/>
      <c r="G117" s="19">
        <f>$G$13</f>
        <v>5</v>
      </c>
      <c r="H117" s="20">
        <v>178.0</v>
      </c>
      <c r="I117" s="20">
        <v>91.0</v>
      </c>
      <c r="J117" s="20">
        <v>4.0</v>
      </c>
      <c r="K117" s="20">
        <v>17.0</v>
      </c>
      <c r="L117" s="20">
        <v>25.0</v>
      </c>
      <c r="N117" s="24"/>
      <c r="O117" s="19">
        <f>$G$13</f>
        <v>5</v>
      </c>
      <c r="P117" s="40">
        <f t="shared" ref="P117:T117" si="130">H117/H$136</f>
        <v>0.02443712246</v>
      </c>
      <c r="Q117" s="40">
        <f t="shared" si="130"/>
        <v>0.00610738255</v>
      </c>
      <c r="R117" s="40">
        <f t="shared" si="130"/>
        <v>0.00566572238</v>
      </c>
      <c r="S117" s="40">
        <f t="shared" si="130"/>
        <v>0.006921824104</v>
      </c>
      <c r="T117" s="40">
        <f t="shared" si="130"/>
        <v>0.00904159132</v>
      </c>
    </row>
    <row r="118" ht="15.75" customHeight="1">
      <c r="F118" s="24"/>
      <c r="G118" s="19">
        <f>$G$14</f>
        <v>6</v>
      </c>
      <c r="H118" s="20">
        <v>361.0</v>
      </c>
      <c r="I118" s="20">
        <v>148.0</v>
      </c>
      <c r="J118" s="20">
        <v>11.0</v>
      </c>
      <c r="K118" s="20">
        <v>52.0</v>
      </c>
      <c r="L118" s="20">
        <v>39.0</v>
      </c>
      <c r="N118" s="24"/>
      <c r="O118" s="19">
        <f>$G$14</f>
        <v>6</v>
      </c>
      <c r="P118" s="40">
        <f t="shared" ref="P118:T118" si="131">H118/H$136</f>
        <v>0.04956068094</v>
      </c>
      <c r="Q118" s="40">
        <f t="shared" si="131"/>
        <v>0.009932885906</v>
      </c>
      <c r="R118" s="40">
        <f t="shared" si="131"/>
        <v>0.01558073654</v>
      </c>
      <c r="S118" s="40">
        <f t="shared" si="131"/>
        <v>0.02117263844</v>
      </c>
      <c r="T118" s="40">
        <f t="shared" si="131"/>
        <v>0.01410488246</v>
      </c>
    </row>
    <row r="119" ht="15.75" customHeight="1">
      <c r="F119" s="24"/>
      <c r="G119" s="19">
        <f>$G$15</f>
        <v>7</v>
      </c>
      <c r="H119" s="20">
        <v>640.0</v>
      </c>
      <c r="I119" s="20">
        <v>245.0</v>
      </c>
      <c r="J119" s="20">
        <v>18.0</v>
      </c>
      <c r="K119" s="20">
        <v>60.0</v>
      </c>
      <c r="L119" s="20">
        <v>56.0</v>
      </c>
      <c r="N119" s="24"/>
      <c r="O119" s="19">
        <f>$G$15</f>
        <v>7</v>
      </c>
      <c r="P119" s="40">
        <f t="shared" ref="P119:T119" si="132">H119/H$136</f>
        <v>0.08786381109</v>
      </c>
      <c r="Q119" s="40">
        <f t="shared" si="132"/>
        <v>0.01644295302</v>
      </c>
      <c r="R119" s="40">
        <f t="shared" si="132"/>
        <v>0.02549575071</v>
      </c>
      <c r="S119" s="40">
        <f t="shared" si="132"/>
        <v>0.02442996743</v>
      </c>
      <c r="T119" s="40">
        <f t="shared" si="132"/>
        <v>0.02025316456</v>
      </c>
    </row>
    <row r="120" ht="15.75" customHeight="1">
      <c r="F120" s="24"/>
      <c r="G120" s="19">
        <f>$G$16</f>
        <v>8</v>
      </c>
      <c r="H120" s="20">
        <v>530.0</v>
      </c>
      <c r="I120" s="20">
        <v>295.0</v>
      </c>
      <c r="J120" s="20">
        <v>24.0</v>
      </c>
      <c r="K120" s="20">
        <v>58.0</v>
      </c>
      <c r="L120" s="20">
        <v>44.0</v>
      </c>
      <c r="N120" s="24"/>
      <c r="O120" s="19">
        <f>$G$16</f>
        <v>8</v>
      </c>
      <c r="P120" s="40">
        <f t="shared" ref="P120:T120" si="133">H120/H$136</f>
        <v>0.07276221856</v>
      </c>
      <c r="Q120" s="40">
        <f t="shared" si="133"/>
        <v>0.01979865772</v>
      </c>
      <c r="R120" s="40">
        <f t="shared" si="133"/>
        <v>0.03399433428</v>
      </c>
      <c r="S120" s="40">
        <f t="shared" si="133"/>
        <v>0.02361563518</v>
      </c>
      <c r="T120" s="40">
        <f t="shared" si="133"/>
        <v>0.01591320072</v>
      </c>
    </row>
    <row r="121" ht="15.75" customHeight="1">
      <c r="F121" s="24"/>
      <c r="G121" s="19">
        <f>$G$17</f>
        <v>9</v>
      </c>
      <c r="H121" s="20">
        <v>597.0</v>
      </c>
      <c r="I121" s="20">
        <v>304.0</v>
      </c>
      <c r="J121" s="20">
        <v>10.0</v>
      </c>
      <c r="K121" s="20">
        <v>50.0</v>
      </c>
      <c r="L121" s="20">
        <v>67.0</v>
      </c>
      <c r="N121" s="24"/>
      <c r="O121" s="19">
        <f>$G$17</f>
        <v>9</v>
      </c>
      <c r="P121" s="40">
        <f t="shared" ref="P121:T121" si="134">H121/H$136</f>
        <v>0.08196046129</v>
      </c>
      <c r="Q121" s="40">
        <f t="shared" si="134"/>
        <v>0.02040268456</v>
      </c>
      <c r="R121" s="40">
        <f t="shared" si="134"/>
        <v>0.01416430595</v>
      </c>
      <c r="S121" s="40">
        <f t="shared" si="134"/>
        <v>0.02035830619</v>
      </c>
      <c r="T121" s="40">
        <f t="shared" si="134"/>
        <v>0.02423146474</v>
      </c>
    </row>
    <row r="122" ht="15.75" customHeight="1">
      <c r="F122" s="24"/>
      <c r="G122" s="19">
        <f>$G$18</f>
        <v>10</v>
      </c>
      <c r="H122" s="20">
        <v>624.0</v>
      </c>
      <c r="I122" s="20">
        <v>305.0</v>
      </c>
      <c r="J122" s="20">
        <v>7.0</v>
      </c>
      <c r="K122" s="20">
        <v>48.0</v>
      </c>
      <c r="L122" s="20">
        <v>90.0</v>
      </c>
      <c r="N122" s="24"/>
      <c r="O122" s="19">
        <f>$G$18</f>
        <v>10</v>
      </c>
      <c r="P122" s="40">
        <f t="shared" ref="P122:T122" si="135">H122/H$136</f>
        <v>0.08566721582</v>
      </c>
      <c r="Q122" s="40">
        <f t="shared" si="135"/>
        <v>0.02046979866</v>
      </c>
      <c r="R122" s="40">
        <f t="shared" si="135"/>
        <v>0.009915014164</v>
      </c>
      <c r="S122" s="40">
        <f t="shared" si="135"/>
        <v>0.01954397394</v>
      </c>
      <c r="T122" s="40">
        <f t="shared" si="135"/>
        <v>0.03254972875</v>
      </c>
    </row>
    <row r="123" ht="15.75" customHeight="1">
      <c r="F123" s="24"/>
      <c r="G123" s="19">
        <f>$G$19</f>
        <v>11</v>
      </c>
      <c r="H123" s="20">
        <v>450.0</v>
      </c>
      <c r="I123" s="20">
        <v>197.0</v>
      </c>
      <c r="J123" s="20">
        <v>25.0</v>
      </c>
      <c r="K123" s="20">
        <v>34.0</v>
      </c>
      <c r="L123" s="20">
        <v>75.0</v>
      </c>
      <c r="N123" s="24"/>
      <c r="O123" s="19">
        <f>$G$19</f>
        <v>11</v>
      </c>
      <c r="P123" s="40">
        <f t="shared" ref="P123:T123" si="136">H123/H$136</f>
        <v>0.06177924217</v>
      </c>
      <c r="Q123" s="40">
        <f t="shared" si="136"/>
        <v>0.01322147651</v>
      </c>
      <c r="R123" s="40">
        <f t="shared" si="136"/>
        <v>0.03541076487</v>
      </c>
      <c r="S123" s="40">
        <f t="shared" si="136"/>
        <v>0.01384364821</v>
      </c>
      <c r="T123" s="40">
        <f t="shared" si="136"/>
        <v>0.02712477396</v>
      </c>
    </row>
    <row r="124" ht="15.75" customHeight="1">
      <c r="F124" s="24"/>
      <c r="G124" s="19">
        <f>$G$20</f>
        <v>12</v>
      </c>
      <c r="H124" s="20">
        <v>465.0</v>
      </c>
      <c r="I124" s="20">
        <v>154.0</v>
      </c>
      <c r="J124" s="20">
        <v>14.0</v>
      </c>
      <c r="K124" s="20">
        <v>26.0</v>
      </c>
      <c r="L124" s="20">
        <v>78.0</v>
      </c>
      <c r="N124" s="24"/>
      <c r="O124" s="19">
        <f>$G$20</f>
        <v>12</v>
      </c>
      <c r="P124" s="40">
        <f t="shared" ref="P124:T124" si="137">H124/H$136</f>
        <v>0.06383855025</v>
      </c>
      <c r="Q124" s="40">
        <f t="shared" si="137"/>
        <v>0.01033557047</v>
      </c>
      <c r="R124" s="40">
        <f t="shared" si="137"/>
        <v>0.01983002833</v>
      </c>
      <c r="S124" s="40">
        <f t="shared" si="137"/>
        <v>0.01058631922</v>
      </c>
      <c r="T124" s="40">
        <f t="shared" si="137"/>
        <v>0.02820976492</v>
      </c>
    </row>
    <row r="125" ht="15.75" customHeight="1">
      <c r="F125" s="24"/>
      <c r="G125" s="19">
        <f>$G$21</f>
        <v>13</v>
      </c>
      <c r="H125" s="20">
        <v>402.0</v>
      </c>
      <c r="I125" s="20">
        <v>153.0</v>
      </c>
      <c r="J125" s="20">
        <v>8.0</v>
      </c>
      <c r="K125" s="20">
        <v>37.0</v>
      </c>
      <c r="L125" s="20">
        <v>56.0</v>
      </c>
      <c r="N125" s="24"/>
      <c r="O125" s="19">
        <f>$G$21</f>
        <v>13</v>
      </c>
      <c r="P125" s="40">
        <f t="shared" ref="P125:T125" si="138">H125/H$136</f>
        <v>0.05518945634</v>
      </c>
      <c r="Q125" s="40">
        <f t="shared" si="138"/>
        <v>0.01026845638</v>
      </c>
      <c r="R125" s="40">
        <f t="shared" si="138"/>
        <v>0.01133144476</v>
      </c>
      <c r="S125" s="40">
        <f t="shared" si="138"/>
        <v>0.01506514658</v>
      </c>
      <c r="T125" s="40">
        <f t="shared" si="138"/>
        <v>0.02025316456</v>
      </c>
    </row>
    <row r="126" ht="15.75" customHeight="1">
      <c r="F126" s="24"/>
      <c r="G126" s="19">
        <f>$G$22</f>
        <v>14</v>
      </c>
      <c r="H126" s="20">
        <v>379.0</v>
      </c>
      <c r="I126" s="20">
        <v>183.0</v>
      </c>
      <c r="J126" s="20">
        <v>9.0</v>
      </c>
      <c r="K126" s="20">
        <v>34.0</v>
      </c>
      <c r="L126" s="20">
        <v>68.0</v>
      </c>
      <c r="N126" s="24"/>
      <c r="O126" s="19">
        <f>$G$22</f>
        <v>14</v>
      </c>
      <c r="P126" s="40">
        <f t="shared" ref="P126:T126" si="139">H126/H$136</f>
        <v>0.05203185063</v>
      </c>
      <c r="Q126" s="40">
        <f t="shared" si="139"/>
        <v>0.01228187919</v>
      </c>
      <c r="R126" s="40">
        <f t="shared" si="139"/>
        <v>0.01274787535</v>
      </c>
      <c r="S126" s="40">
        <f t="shared" si="139"/>
        <v>0.01384364821</v>
      </c>
      <c r="T126" s="40">
        <f t="shared" si="139"/>
        <v>0.02459312839</v>
      </c>
    </row>
    <row r="127" ht="15.75" customHeight="1">
      <c r="F127" s="24"/>
      <c r="G127" s="19">
        <f>$G$23</f>
        <v>15</v>
      </c>
      <c r="H127" s="20">
        <v>391.0</v>
      </c>
      <c r="I127" s="20">
        <v>164.0</v>
      </c>
      <c r="J127" s="20">
        <v>10.0</v>
      </c>
      <c r="K127" s="20">
        <v>34.0</v>
      </c>
      <c r="L127" s="20">
        <v>58.0</v>
      </c>
      <c r="N127" s="24"/>
      <c r="O127" s="19">
        <f>$G$23</f>
        <v>15</v>
      </c>
      <c r="P127" s="40">
        <f t="shared" ref="P127:T127" si="140">H127/H$136</f>
        <v>0.05367929709</v>
      </c>
      <c r="Q127" s="40">
        <f t="shared" si="140"/>
        <v>0.01100671141</v>
      </c>
      <c r="R127" s="40">
        <f t="shared" si="140"/>
        <v>0.01416430595</v>
      </c>
      <c r="S127" s="40">
        <f t="shared" si="140"/>
        <v>0.01384364821</v>
      </c>
      <c r="T127" s="40">
        <f t="shared" si="140"/>
        <v>0.02097649186</v>
      </c>
    </row>
    <row r="128" ht="15.75" customHeight="1">
      <c r="F128" s="24"/>
      <c r="G128" s="19">
        <f>$G$24</f>
        <v>16</v>
      </c>
      <c r="H128" s="20">
        <v>378.0</v>
      </c>
      <c r="I128" s="20">
        <v>163.0</v>
      </c>
      <c r="J128" s="20">
        <v>3.0</v>
      </c>
      <c r="K128" s="20">
        <v>25.0</v>
      </c>
      <c r="L128" s="20">
        <v>26.0</v>
      </c>
      <c r="N128" s="24"/>
      <c r="O128" s="19">
        <f>$G$24</f>
        <v>16</v>
      </c>
      <c r="P128" s="40">
        <f t="shared" ref="P128:T128" si="141">H128/H$136</f>
        <v>0.05189456343</v>
      </c>
      <c r="Q128" s="40">
        <f t="shared" si="141"/>
        <v>0.01093959732</v>
      </c>
      <c r="R128" s="40">
        <f t="shared" si="141"/>
        <v>0.004249291785</v>
      </c>
      <c r="S128" s="40">
        <f t="shared" si="141"/>
        <v>0.01017915309</v>
      </c>
      <c r="T128" s="40">
        <f t="shared" si="141"/>
        <v>0.009403254973</v>
      </c>
    </row>
    <row r="129" ht="15.75" customHeight="1">
      <c r="F129" s="24"/>
      <c r="G129" s="19">
        <f>$G$25</f>
        <v>17</v>
      </c>
      <c r="H129" s="20">
        <v>426.0</v>
      </c>
      <c r="I129" s="20">
        <v>185.0</v>
      </c>
      <c r="J129" s="20">
        <v>1.0</v>
      </c>
      <c r="K129" s="20">
        <v>15.0</v>
      </c>
      <c r="L129" s="20">
        <v>20.0</v>
      </c>
      <c r="N129" s="24"/>
      <c r="O129" s="19">
        <f>$G$25</f>
        <v>17</v>
      </c>
      <c r="P129" s="40">
        <f t="shared" ref="P129:T129" si="142">H129/H$136</f>
        <v>0.05848434926</v>
      </c>
      <c r="Q129" s="40">
        <f t="shared" si="142"/>
        <v>0.01241610738</v>
      </c>
      <c r="R129" s="40">
        <f t="shared" si="142"/>
        <v>0.001416430595</v>
      </c>
      <c r="S129" s="40">
        <f t="shared" si="142"/>
        <v>0.006107491857</v>
      </c>
      <c r="T129" s="40">
        <f t="shared" si="142"/>
        <v>0.007233273056</v>
      </c>
    </row>
    <row r="130" ht="15.75" customHeight="1">
      <c r="F130" s="24"/>
      <c r="G130" s="19">
        <f>$G$26</f>
        <v>18</v>
      </c>
      <c r="H130" s="20">
        <v>328.0</v>
      </c>
      <c r="I130" s="20">
        <v>129.0</v>
      </c>
      <c r="J130" s="20">
        <v>2.0</v>
      </c>
      <c r="K130" s="20">
        <v>17.0</v>
      </c>
      <c r="L130" s="20">
        <v>15.0</v>
      </c>
      <c r="N130" s="24"/>
      <c r="O130" s="19">
        <f>$G$26</f>
        <v>18</v>
      </c>
      <c r="P130" s="40">
        <f t="shared" ref="P130:T130" si="143">H130/H$136</f>
        <v>0.04503020319</v>
      </c>
      <c r="Q130" s="40">
        <f t="shared" si="143"/>
        <v>0.008657718121</v>
      </c>
      <c r="R130" s="40">
        <f t="shared" si="143"/>
        <v>0.00283286119</v>
      </c>
      <c r="S130" s="40">
        <f t="shared" si="143"/>
        <v>0.006921824104</v>
      </c>
      <c r="T130" s="40">
        <f t="shared" si="143"/>
        <v>0.005424954792</v>
      </c>
    </row>
    <row r="131" ht="15.75" customHeight="1">
      <c r="F131" s="24"/>
      <c r="G131" s="19">
        <f>$G$27</f>
        <v>19</v>
      </c>
      <c r="H131" s="20">
        <v>250.0</v>
      </c>
      <c r="I131" s="20">
        <v>78.0</v>
      </c>
      <c r="J131" s="20">
        <v>2.0</v>
      </c>
      <c r="K131" s="20">
        <v>18.0</v>
      </c>
      <c r="L131" s="20">
        <v>11.0</v>
      </c>
      <c r="N131" s="24"/>
      <c r="O131" s="19">
        <f>$G$27</f>
        <v>19</v>
      </c>
      <c r="P131" s="40">
        <f t="shared" ref="P131:T131" si="144">H131/H$136</f>
        <v>0.03432180121</v>
      </c>
      <c r="Q131" s="40">
        <f t="shared" si="144"/>
        <v>0.005234899329</v>
      </c>
      <c r="R131" s="40">
        <f t="shared" si="144"/>
        <v>0.00283286119</v>
      </c>
      <c r="S131" s="40">
        <f t="shared" si="144"/>
        <v>0.007328990228</v>
      </c>
      <c r="T131" s="40">
        <f t="shared" si="144"/>
        <v>0.003978300181</v>
      </c>
    </row>
    <row r="132" ht="15.75" customHeight="1">
      <c r="F132" s="24"/>
      <c r="G132" s="19">
        <f>$G$28</f>
        <v>20</v>
      </c>
      <c r="H132" s="20">
        <v>225.0</v>
      </c>
      <c r="I132" s="20">
        <v>60.0</v>
      </c>
      <c r="J132" s="20">
        <v>1.0</v>
      </c>
      <c r="K132" s="20">
        <v>15.0</v>
      </c>
      <c r="L132" s="20">
        <v>13.0</v>
      </c>
      <c r="N132" s="24"/>
      <c r="O132" s="19">
        <f>$G$28</f>
        <v>20</v>
      </c>
      <c r="P132" s="40">
        <f t="shared" ref="P132:T132" si="145">H132/H$136</f>
        <v>0.03088962109</v>
      </c>
      <c r="Q132" s="40">
        <f t="shared" si="145"/>
        <v>0.004026845638</v>
      </c>
      <c r="R132" s="40">
        <f t="shared" si="145"/>
        <v>0.001416430595</v>
      </c>
      <c r="S132" s="40">
        <f t="shared" si="145"/>
        <v>0.006107491857</v>
      </c>
      <c r="T132" s="40">
        <f t="shared" si="145"/>
        <v>0.004701627486</v>
      </c>
    </row>
    <row r="133" ht="15.75" customHeight="1">
      <c r="F133" s="24"/>
      <c r="G133" s="19">
        <f>$G$29</f>
        <v>21</v>
      </c>
      <c r="H133" s="20">
        <v>187.0</v>
      </c>
      <c r="I133" s="20">
        <v>55.0</v>
      </c>
      <c r="J133" s="20">
        <v>0.0</v>
      </c>
      <c r="K133" s="20">
        <v>6.0</v>
      </c>
      <c r="L133" s="20">
        <v>6.0</v>
      </c>
      <c r="N133" s="24"/>
      <c r="O133" s="19">
        <f>$G$29</f>
        <v>21</v>
      </c>
      <c r="P133" s="40">
        <f t="shared" ref="P133:T133" si="146">H133/H$136</f>
        <v>0.0256727073</v>
      </c>
      <c r="Q133" s="40">
        <f t="shared" si="146"/>
        <v>0.003691275168</v>
      </c>
      <c r="R133" s="40">
        <f t="shared" si="146"/>
        <v>0</v>
      </c>
      <c r="S133" s="40">
        <f t="shared" si="146"/>
        <v>0.002442996743</v>
      </c>
      <c r="T133" s="40">
        <f t="shared" si="146"/>
        <v>0.002169981917</v>
      </c>
    </row>
    <row r="134" ht="15.75" customHeight="1">
      <c r="F134" s="24"/>
      <c r="G134" s="19">
        <f>$G$30</f>
        <v>22</v>
      </c>
      <c r="H134" s="20">
        <v>139.0</v>
      </c>
      <c r="I134" s="20">
        <v>45.0</v>
      </c>
      <c r="J134" s="20">
        <v>1.0</v>
      </c>
      <c r="K134" s="20">
        <v>3.0</v>
      </c>
      <c r="L134" s="20">
        <v>9.0</v>
      </c>
      <c r="N134" s="24"/>
      <c r="O134" s="19">
        <f>$G$30</f>
        <v>22</v>
      </c>
      <c r="P134" s="40">
        <f t="shared" ref="P134:T134" si="147">H134/H$136</f>
        <v>0.01908292147</v>
      </c>
      <c r="Q134" s="40">
        <f t="shared" si="147"/>
        <v>0.003020134228</v>
      </c>
      <c r="R134" s="40">
        <f t="shared" si="147"/>
        <v>0.001416430595</v>
      </c>
      <c r="S134" s="40">
        <f t="shared" si="147"/>
        <v>0.001221498371</v>
      </c>
      <c r="T134" s="40">
        <f t="shared" si="147"/>
        <v>0.003254972875</v>
      </c>
    </row>
    <row r="135" ht="15.75" customHeight="1">
      <c r="F135" s="28"/>
      <c r="G135" s="19">
        <f>$G$31</f>
        <v>23</v>
      </c>
      <c r="H135" s="20">
        <v>86.0</v>
      </c>
      <c r="I135" s="20">
        <v>27.0</v>
      </c>
      <c r="J135" s="20">
        <v>2.0</v>
      </c>
      <c r="K135" s="20">
        <v>16.0</v>
      </c>
      <c r="L135" s="20">
        <v>8.0</v>
      </c>
      <c r="N135" s="28"/>
      <c r="O135" s="19">
        <f>$G$31</f>
        <v>23</v>
      </c>
      <c r="P135" s="40">
        <f t="shared" ref="P135:T135" si="148">H135/H$136</f>
        <v>0.01180669962</v>
      </c>
      <c r="Q135" s="40">
        <f t="shared" si="148"/>
        <v>0.001812080537</v>
      </c>
      <c r="R135" s="40">
        <f t="shared" si="148"/>
        <v>0.00283286119</v>
      </c>
      <c r="S135" s="40">
        <f t="shared" si="148"/>
        <v>0.00651465798</v>
      </c>
      <c r="T135" s="40">
        <f t="shared" si="148"/>
        <v>0.002893309222</v>
      </c>
    </row>
    <row r="136" ht="15.75" customHeight="1">
      <c r="F136" s="111"/>
      <c r="G136" s="112"/>
      <c r="H136" s="26">
        <f>SUM(H112:H135)</f>
        <v>7284</v>
      </c>
      <c r="I136" s="26">
        <f t="shared" ref="I136:L136" si="149">SUM(I60:I135)</f>
        <v>14900</v>
      </c>
      <c r="J136" s="26">
        <f t="shared" si="149"/>
        <v>706</v>
      </c>
      <c r="K136" s="26">
        <f t="shared" si="149"/>
        <v>2456</v>
      </c>
      <c r="L136" s="26">
        <f t="shared" si="149"/>
        <v>2765</v>
      </c>
    </row>
    <row r="137" ht="15.75" customHeight="1">
      <c r="G137" s="16"/>
      <c r="H137" s="17">
        <f>$H$7</f>
        <v>31</v>
      </c>
      <c r="I137" s="17">
        <f>$I$7</f>
        <v>32</v>
      </c>
      <c r="J137" s="17">
        <f>$J$7</f>
        <v>41</v>
      </c>
      <c r="K137" s="17">
        <f>$K$7</f>
        <v>42</v>
      </c>
      <c r="L137" s="17">
        <f>$L$7</f>
        <v>5</v>
      </c>
      <c r="O137" s="16"/>
      <c r="P137" s="17">
        <f>$H$7</f>
        <v>31</v>
      </c>
      <c r="Q137" s="17">
        <f>$I$7</f>
        <v>32</v>
      </c>
      <c r="R137" s="17">
        <f>$J$7</f>
        <v>41</v>
      </c>
      <c r="S137" s="17">
        <f>$K$7</f>
        <v>42</v>
      </c>
      <c r="T137" s="17">
        <f>$L$7</f>
        <v>5</v>
      </c>
    </row>
    <row r="138" ht="15.75" customHeight="1">
      <c r="F138" s="56">
        <v>45212.0</v>
      </c>
      <c r="G138" s="19">
        <f>$G$8</f>
        <v>0</v>
      </c>
      <c r="H138" s="20">
        <v>57.0</v>
      </c>
      <c r="I138" s="20">
        <v>17.0</v>
      </c>
      <c r="J138" s="20">
        <v>0.0</v>
      </c>
      <c r="K138" s="20">
        <v>11.0</v>
      </c>
      <c r="L138" s="20">
        <v>13.0</v>
      </c>
      <c r="N138" s="56">
        <v>45212.0</v>
      </c>
      <c r="O138" s="19">
        <f>$G$8</f>
        <v>0</v>
      </c>
      <c r="P138" s="40">
        <f t="shared" ref="P138:T138" si="150">H138/H$162</f>
        <v>0.006428329762</v>
      </c>
      <c r="Q138" s="40">
        <f t="shared" si="150"/>
        <v>0.005026611473</v>
      </c>
      <c r="R138" s="40">
        <f t="shared" si="150"/>
        <v>0</v>
      </c>
      <c r="S138" s="40">
        <f t="shared" si="150"/>
        <v>0.01877133106</v>
      </c>
      <c r="T138" s="40">
        <f t="shared" si="150"/>
        <v>0.01620947631</v>
      </c>
    </row>
    <row r="139" ht="15.75" customHeight="1">
      <c r="F139" s="24"/>
      <c r="G139" s="19">
        <f>$G$9</f>
        <v>1</v>
      </c>
      <c r="H139" s="20">
        <v>44.0</v>
      </c>
      <c r="I139" s="20">
        <v>18.0</v>
      </c>
      <c r="J139" s="20">
        <v>0.0</v>
      </c>
      <c r="K139" s="20">
        <v>9.0</v>
      </c>
      <c r="L139" s="20">
        <v>4.0</v>
      </c>
      <c r="N139" s="24"/>
      <c r="O139" s="19">
        <f>$G$9</f>
        <v>1</v>
      </c>
      <c r="P139" s="40">
        <f t="shared" ref="P139:T139" si="151">H139/H$162</f>
        <v>0.004962219465</v>
      </c>
      <c r="Q139" s="40">
        <f t="shared" si="151"/>
        <v>0.0053222945</v>
      </c>
      <c r="R139" s="40">
        <f t="shared" si="151"/>
        <v>0</v>
      </c>
      <c r="S139" s="40">
        <f t="shared" si="151"/>
        <v>0.01535836177</v>
      </c>
      <c r="T139" s="40">
        <f t="shared" si="151"/>
        <v>0.004987531172</v>
      </c>
    </row>
    <row r="140" ht="15.75" customHeight="1">
      <c r="F140" s="24"/>
      <c r="G140" s="19">
        <f>$G$10</f>
        <v>2</v>
      </c>
      <c r="H140" s="16">
        <v>40.0</v>
      </c>
      <c r="I140" s="16">
        <v>27.0</v>
      </c>
      <c r="J140" s="16">
        <v>0.0</v>
      </c>
      <c r="K140" s="16">
        <v>9.0</v>
      </c>
      <c r="L140" s="16">
        <v>14.0</v>
      </c>
      <c r="N140" s="24"/>
      <c r="O140" s="19">
        <f>$G$10</f>
        <v>2</v>
      </c>
      <c r="P140" s="40">
        <f t="shared" ref="P140:T140" si="152">H140/H$162</f>
        <v>0.004511108605</v>
      </c>
      <c r="Q140" s="40">
        <f t="shared" si="152"/>
        <v>0.00798344175</v>
      </c>
      <c r="R140" s="40">
        <f t="shared" si="152"/>
        <v>0</v>
      </c>
      <c r="S140" s="40">
        <f t="shared" si="152"/>
        <v>0.01535836177</v>
      </c>
      <c r="T140" s="40">
        <f t="shared" si="152"/>
        <v>0.0174563591</v>
      </c>
    </row>
    <row r="141" ht="15.75" customHeight="1">
      <c r="F141" s="24"/>
      <c r="G141" s="19">
        <f>$G$11</f>
        <v>3</v>
      </c>
      <c r="H141" s="20">
        <v>32.0</v>
      </c>
      <c r="I141" s="20">
        <v>23.0</v>
      </c>
      <c r="J141" s="20">
        <v>1.0</v>
      </c>
      <c r="K141" s="20">
        <v>13.0</v>
      </c>
      <c r="L141" s="20">
        <v>9.0</v>
      </c>
      <c r="N141" s="24"/>
      <c r="O141" s="19">
        <f>$G$11</f>
        <v>3</v>
      </c>
      <c r="P141" s="40">
        <f t="shared" ref="P141:T141" si="153">H141/H$162</f>
        <v>0.003608886884</v>
      </c>
      <c r="Q141" s="40">
        <f t="shared" si="153"/>
        <v>0.006800709639</v>
      </c>
      <c r="R141" s="40">
        <f t="shared" si="153"/>
        <v>0.005494505495</v>
      </c>
      <c r="S141" s="40">
        <f t="shared" si="153"/>
        <v>0.02218430034</v>
      </c>
      <c r="T141" s="40">
        <f t="shared" si="153"/>
        <v>0.01122194514</v>
      </c>
    </row>
    <row r="142" ht="15.75" customHeight="1">
      <c r="F142" s="24"/>
      <c r="G142" s="19">
        <f>$G$12</f>
        <v>4</v>
      </c>
      <c r="H142" s="20">
        <v>75.0</v>
      </c>
      <c r="I142" s="20">
        <v>61.0</v>
      </c>
      <c r="J142" s="20">
        <v>0.0</v>
      </c>
      <c r="K142" s="20">
        <v>20.0</v>
      </c>
      <c r="L142" s="20">
        <v>17.0</v>
      </c>
      <c r="N142" s="24"/>
      <c r="O142" s="19">
        <f>$G$12</f>
        <v>4</v>
      </c>
      <c r="P142" s="40">
        <f t="shared" ref="P142:T142" si="154">H142/H$162</f>
        <v>0.008458328634</v>
      </c>
      <c r="Q142" s="40">
        <f t="shared" si="154"/>
        <v>0.0180366647</v>
      </c>
      <c r="R142" s="40">
        <f t="shared" si="154"/>
        <v>0</v>
      </c>
      <c r="S142" s="40">
        <f t="shared" si="154"/>
        <v>0.03412969283</v>
      </c>
      <c r="T142" s="40">
        <f t="shared" si="154"/>
        <v>0.02119700748</v>
      </c>
    </row>
    <row r="143" ht="15.75" customHeight="1">
      <c r="F143" s="24"/>
      <c r="G143" s="19">
        <f>$G$13</f>
        <v>5</v>
      </c>
      <c r="H143" s="20">
        <v>174.0</v>
      </c>
      <c r="I143" s="20">
        <v>100.0</v>
      </c>
      <c r="J143" s="20">
        <v>9.0</v>
      </c>
      <c r="K143" s="20">
        <v>31.0</v>
      </c>
      <c r="L143" s="20">
        <v>22.0</v>
      </c>
      <c r="N143" s="24"/>
      <c r="O143" s="19">
        <f>$G$13</f>
        <v>5</v>
      </c>
      <c r="P143" s="40">
        <f t="shared" ref="P143:T143" si="155">H143/H$162</f>
        <v>0.01962332243</v>
      </c>
      <c r="Q143" s="40">
        <f t="shared" si="155"/>
        <v>0.02956830278</v>
      </c>
      <c r="R143" s="40">
        <f t="shared" si="155"/>
        <v>0.04945054945</v>
      </c>
      <c r="S143" s="40">
        <f t="shared" si="155"/>
        <v>0.05290102389</v>
      </c>
      <c r="T143" s="40">
        <f t="shared" si="155"/>
        <v>0.02743142145</v>
      </c>
    </row>
    <row r="144" ht="15.75" customHeight="1">
      <c r="F144" s="24"/>
      <c r="G144" s="19">
        <f>$G$14</f>
        <v>6</v>
      </c>
      <c r="H144" s="20">
        <v>362.0</v>
      </c>
      <c r="I144" s="20">
        <v>145.0</v>
      </c>
      <c r="J144" s="20">
        <v>13.0</v>
      </c>
      <c r="K144" s="20">
        <v>31.0</v>
      </c>
      <c r="L144" s="20">
        <v>38.0</v>
      </c>
      <c r="N144" s="24"/>
      <c r="O144" s="19">
        <f>$G$14</f>
        <v>6</v>
      </c>
      <c r="P144" s="40">
        <f t="shared" ref="P144:T144" si="156">H144/H$162</f>
        <v>0.04082553287</v>
      </c>
      <c r="Q144" s="40">
        <f t="shared" si="156"/>
        <v>0.04287403903</v>
      </c>
      <c r="R144" s="40">
        <f t="shared" si="156"/>
        <v>0.07142857143</v>
      </c>
      <c r="S144" s="40">
        <f t="shared" si="156"/>
        <v>0.05290102389</v>
      </c>
      <c r="T144" s="40">
        <f t="shared" si="156"/>
        <v>0.04738154613</v>
      </c>
    </row>
    <row r="145" ht="15.75" customHeight="1">
      <c r="F145" s="24"/>
      <c r="G145" s="19">
        <f>$G$15</f>
        <v>7</v>
      </c>
      <c r="H145" s="20">
        <v>647.0</v>
      </c>
      <c r="I145" s="20">
        <v>202.0</v>
      </c>
      <c r="J145" s="20">
        <v>31.0</v>
      </c>
      <c r="K145" s="20">
        <v>53.0</v>
      </c>
      <c r="L145" s="20">
        <v>54.0</v>
      </c>
      <c r="N145" s="24"/>
      <c r="O145" s="19">
        <f>$G$15</f>
        <v>7</v>
      </c>
      <c r="P145" s="40">
        <f t="shared" ref="P145:T145" si="157">H145/H$162</f>
        <v>0.07296718168</v>
      </c>
      <c r="Q145" s="40">
        <f t="shared" si="157"/>
        <v>0.05972797161</v>
      </c>
      <c r="R145" s="40">
        <f t="shared" si="157"/>
        <v>0.1703296703</v>
      </c>
      <c r="S145" s="40">
        <f t="shared" si="157"/>
        <v>0.09044368601</v>
      </c>
      <c r="T145" s="40">
        <f t="shared" si="157"/>
        <v>0.06733167082</v>
      </c>
    </row>
    <row r="146" ht="15.75" customHeight="1">
      <c r="F146" s="24"/>
      <c r="G146" s="19">
        <f>$G$16</f>
        <v>8</v>
      </c>
      <c r="H146" s="20">
        <v>613.0</v>
      </c>
      <c r="I146" s="20">
        <v>331.0</v>
      </c>
      <c r="J146" s="20">
        <v>13.0</v>
      </c>
      <c r="K146" s="20">
        <v>55.0</v>
      </c>
      <c r="L146" s="20">
        <v>63.0</v>
      </c>
      <c r="N146" s="24"/>
      <c r="O146" s="19">
        <f>$G$16</f>
        <v>8</v>
      </c>
      <c r="P146" s="40">
        <f t="shared" ref="P146:T146" si="158">H146/H$162</f>
        <v>0.06913273937</v>
      </c>
      <c r="Q146" s="40">
        <f t="shared" si="158"/>
        <v>0.0978710822</v>
      </c>
      <c r="R146" s="40">
        <f t="shared" si="158"/>
        <v>0.07142857143</v>
      </c>
      <c r="S146" s="40">
        <f t="shared" si="158"/>
        <v>0.09385665529</v>
      </c>
      <c r="T146" s="40">
        <f t="shared" si="158"/>
        <v>0.07855361596</v>
      </c>
    </row>
    <row r="147" ht="15.75" customHeight="1">
      <c r="F147" s="24"/>
      <c r="G147" s="19">
        <f>$G$17</f>
        <v>9</v>
      </c>
      <c r="H147" s="20">
        <v>677.0</v>
      </c>
      <c r="I147" s="20">
        <v>312.0</v>
      </c>
      <c r="J147" s="20">
        <v>14.0</v>
      </c>
      <c r="K147" s="20">
        <v>56.0</v>
      </c>
      <c r="L147" s="20">
        <v>62.0</v>
      </c>
      <c r="N147" s="24"/>
      <c r="O147" s="19">
        <f>$G$17</f>
        <v>9</v>
      </c>
      <c r="P147" s="40">
        <f t="shared" ref="P147:T147" si="159">H147/H$162</f>
        <v>0.07635051314</v>
      </c>
      <c r="Q147" s="40">
        <f t="shared" si="159"/>
        <v>0.09225310467</v>
      </c>
      <c r="R147" s="40">
        <f t="shared" si="159"/>
        <v>0.07692307692</v>
      </c>
      <c r="S147" s="40">
        <f t="shared" si="159"/>
        <v>0.09556313993</v>
      </c>
      <c r="T147" s="40">
        <f t="shared" si="159"/>
        <v>0.07730673317</v>
      </c>
    </row>
    <row r="148" ht="15.75" customHeight="1">
      <c r="F148" s="24"/>
      <c r="G148" s="19">
        <f>$G$18</f>
        <v>10</v>
      </c>
      <c r="H148" s="20">
        <v>584.0</v>
      </c>
      <c r="I148" s="20">
        <v>256.0</v>
      </c>
      <c r="J148" s="20">
        <v>13.0</v>
      </c>
      <c r="K148" s="20">
        <v>43.0</v>
      </c>
      <c r="L148" s="20">
        <v>108.0</v>
      </c>
      <c r="N148" s="24"/>
      <c r="O148" s="19">
        <f>$G$18</f>
        <v>10</v>
      </c>
      <c r="P148" s="40">
        <f t="shared" ref="P148:T148" si="160">H148/H$162</f>
        <v>0.06586218563</v>
      </c>
      <c r="Q148" s="40">
        <f t="shared" si="160"/>
        <v>0.07569485512</v>
      </c>
      <c r="R148" s="40">
        <f t="shared" si="160"/>
        <v>0.07142857143</v>
      </c>
      <c r="S148" s="40">
        <f t="shared" si="160"/>
        <v>0.07337883959</v>
      </c>
      <c r="T148" s="40">
        <f t="shared" si="160"/>
        <v>0.1346633416</v>
      </c>
    </row>
    <row r="149" ht="15.75" customHeight="1">
      <c r="F149" s="24"/>
      <c r="G149" s="19">
        <f>$G$19</f>
        <v>11</v>
      </c>
      <c r="H149" s="20">
        <v>489.0</v>
      </c>
      <c r="I149" s="20">
        <v>170.0</v>
      </c>
      <c r="J149" s="20">
        <v>12.0</v>
      </c>
      <c r="K149" s="20">
        <v>34.0</v>
      </c>
      <c r="L149" s="20">
        <v>79.0</v>
      </c>
      <c r="N149" s="24"/>
      <c r="O149" s="19">
        <f>$G$19</f>
        <v>11</v>
      </c>
      <c r="P149" s="40">
        <f t="shared" ref="P149:T149" si="161">H149/H$162</f>
        <v>0.0551483027</v>
      </c>
      <c r="Q149" s="40">
        <f t="shared" si="161"/>
        <v>0.05026611473</v>
      </c>
      <c r="R149" s="40">
        <f t="shared" si="161"/>
        <v>0.06593406593</v>
      </c>
      <c r="S149" s="40">
        <f t="shared" si="161"/>
        <v>0.05802047782</v>
      </c>
      <c r="T149" s="40">
        <f t="shared" si="161"/>
        <v>0.09850374065</v>
      </c>
    </row>
    <row r="150" ht="15.75" customHeight="1">
      <c r="F150" s="24"/>
      <c r="G150" s="19">
        <f>$G$20</f>
        <v>12</v>
      </c>
      <c r="H150" s="20">
        <v>430.0</v>
      </c>
      <c r="I150" s="20">
        <v>158.0</v>
      </c>
      <c r="J150" s="20">
        <v>17.0</v>
      </c>
      <c r="K150" s="20">
        <v>27.0</v>
      </c>
      <c r="L150" s="20">
        <v>59.0</v>
      </c>
      <c r="N150" s="24"/>
      <c r="O150" s="19">
        <f>$G$20</f>
        <v>12</v>
      </c>
      <c r="P150" s="40">
        <f t="shared" ref="P150:T150" si="162">H150/H$162</f>
        <v>0.0484944175</v>
      </c>
      <c r="Q150" s="40">
        <f t="shared" si="162"/>
        <v>0.04671791839</v>
      </c>
      <c r="R150" s="40">
        <f t="shared" si="162"/>
        <v>0.09340659341</v>
      </c>
      <c r="S150" s="40">
        <f t="shared" si="162"/>
        <v>0.04607508532</v>
      </c>
      <c r="T150" s="40">
        <f t="shared" si="162"/>
        <v>0.07356608479</v>
      </c>
    </row>
    <row r="151" ht="15.75" customHeight="1">
      <c r="F151" s="24"/>
      <c r="G151" s="19">
        <f>$G$21</f>
        <v>13</v>
      </c>
      <c r="H151" s="20">
        <v>507.0</v>
      </c>
      <c r="I151" s="20">
        <v>168.0</v>
      </c>
      <c r="J151" s="20">
        <v>9.0</v>
      </c>
      <c r="K151" s="20">
        <v>26.0</v>
      </c>
      <c r="L151" s="20">
        <v>60.0</v>
      </c>
      <c r="N151" s="24"/>
      <c r="O151" s="19">
        <f>$G$21</f>
        <v>13</v>
      </c>
      <c r="P151" s="40">
        <f t="shared" ref="P151:T151" si="163">H151/H$162</f>
        <v>0.05717830157</v>
      </c>
      <c r="Q151" s="40">
        <f t="shared" si="163"/>
        <v>0.04967474867</v>
      </c>
      <c r="R151" s="40">
        <f t="shared" si="163"/>
        <v>0.04945054945</v>
      </c>
      <c r="S151" s="40">
        <f t="shared" si="163"/>
        <v>0.04436860068</v>
      </c>
      <c r="T151" s="40">
        <f t="shared" si="163"/>
        <v>0.07481296758</v>
      </c>
    </row>
    <row r="152" ht="15.75" customHeight="1">
      <c r="F152" s="24"/>
      <c r="G152" s="19">
        <f>$G$22</f>
        <v>14</v>
      </c>
      <c r="H152" s="20">
        <v>513.0</v>
      </c>
      <c r="I152" s="20">
        <v>181.0</v>
      </c>
      <c r="J152" s="20">
        <v>15.0</v>
      </c>
      <c r="K152" s="20">
        <v>32.0</v>
      </c>
      <c r="L152" s="20">
        <v>57.0</v>
      </c>
      <c r="N152" s="24"/>
      <c r="O152" s="19">
        <f>$G$22</f>
        <v>14</v>
      </c>
      <c r="P152" s="40">
        <f t="shared" ref="P152:T152" si="164">H152/H$162</f>
        <v>0.05785496786</v>
      </c>
      <c r="Q152" s="40">
        <f t="shared" si="164"/>
        <v>0.05351862803</v>
      </c>
      <c r="R152" s="40">
        <f t="shared" si="164"/>
        <v>0.08241758242</v>
      </c>
      <c r="S152" s="40">
        <f t="shared" si="164"/>
        <v>0.05460750853</v>
      </c>
      <c r="T152" s="40">
        <f t="shared" si="164"/>
        <v>0.0710723192</v>
      </c>
    </row>
    <row r="153" ht="15.75" customHeight="1">
      <c r="F153" s="24"/>
      <c r="G153" s="19">
        <f>$G$23</f>
        <v>15</v>
      </c>
      <c r="H153" s="20">
        <v>471.0</v>
      </c>
      <c r="I153" s="20">
        <v>187.0</v>
      </c>
      <c r="J153" s="20">
        <v>7.0</v>
      </c>
      <c r="K153" s="20">
        <v>30.0</v>
      </c>
      <c r="L153" s="20">
        <v>41.0</v>
      </c>
      <c r="N153" s="24"/>
      <c r="O153" s="19">
        <f>$G$23</f>
        <v>15</v>
      </c>
      <c r="P153" s="40">
        <f t="shared" ref="P153:T153" si="165">H153/H$162</f>
        <v>0.05311830382</v>
      </c>
      <c r="Q153" s="40">
        <f t="shared" si="165"/>
        <v>0.0552927262</v>
      </c>
      <c r="R153" s="40">
        <f t="shared" si="165"/>
        <v>0.03846153846</v>
      </c>
      <c r="S153" s="40">
        <f t="shared" si="165"/>
        <v>0.05119453925</v>
      </c>
      <c r="T153" s="40">
        <f t="shared" si="165"/>
        <v>0.05112219451</v>
      </c>
    </row>
    <row r="154" ht="15.75" customHeight="1">
      <c r="F154" s="24"/>
      <c r="G154" s="19">
        <f>$G$24</f>
        <v>16</v>
      </c>
      <c r="H154" s="20">
        <v>457.0</v>
      </c>
      <c r="I154" s="20">
        <v>192.0</v>
      </c>
      <c r="J154" s="20">
        <v>13.0</v>
      </c>
      <c r="K154" s="20">
        <v>22.0</v>
      </c>
      <c r="L154" s="20">
        <v>31.0</v>
      </c>
      <c r="N154" s="24"/>
      <c r="O154" s="19">
        <f>$G$24</f>
        <v>16</v>
      </c>
      <c r="P154" s="40">
        <f t="shared" ref="P154:T154" si="166">H154/H$162</f>
        <v>0.05153941581</v>
      </c>
      <c r="Q154" s="40">
        <f t="shared" si="166"/>
        <v>0.05677114134</v>
      </c>
      <c r="R154" s="40">
        <f t="shared" si="166"/>
        <v>0.07142857143</v>
      </c>
      <c r="S154" s="40">
        <f t="shared" si="166"/>
        <v>0.03754266212</v>
      </c>
      <c r="T154" s="40">
        <f t="shared" si="166"/>
        <v>0.03865336658</v>
      </c>
    </row>
    <row r="155" ht="15.75" customHeight="1">
      <c r="F155" s="24"/>
      <c r="G155" s="19">
        <f>$G$25</f>
        <v>17</v>
      </c>
      <c r="H155" s="20">
        <v>572.0</v>
      </c>
      <c r="I155" s="20">
        <v>235.0</v>
      </c>
      <c r="J155" s="20">
        <v>1.0</v>
      </c>
      <c r="K155" s="20">
        <v>17.0</v>
      </c>
      <c r="L155" s="20">
        <v>18.0</v>
      </c>
      <c r="N155" s="24"/>
      <c r="O155" s="19">
        <f>$G$25</f>
        <v>17</v>
      </c>
      <c r="P155" s="40">
        <f t="shared" ref="P155:T155" si="167">H155/H$162</f>
        <v>0.06450885305</v>
      </c>
      <c r="Q155" s="40">
        <f t="shared" si="167"/>
        <v>0.06948551153</v>
      </c>
      <c r="R155" s="40">
        <f t="shared" si="167"/>
        <v>0.005494505495</v>
      </c>
      <c r="S155" s="40">
        <f t="shared" si="167"/>
        <v>0.02901023891</v>
      </c>
      <c r="T155" s="40">
        <f t="shared" si="167"/>
        <v>0.02244389027</v>
      </c>
    </row>
    <row r="156" ht="15.75" customHeight="1">
      <c r="F156" s="24"/>
      <c r="G156" s="19">
        <f>$G$26</f>
        <v>18</v>
      </c>
      <c r="H156" s="20">
        <v>496.0</v>
      </c>
      <c r="I156" s="20">
        <v>181.0</v>
      </c>
      <c r="J156" s="20">
        <v>1.0</v>
      </c>
      <c r="K156" s="20">
        <v>18.0</v>
      </c>
      <c r="L156" s="20">
        <v>17.0</v>
      </c>
      <c r="N156" s="24"/>
      <c r="O156" s="19">
        <f>$G$26</f>
        <v>18</v>
      </c>
      <c r="P156" s="40">
        <f t="shared" ref="P156:T156" si="168">H156/H$162</f>
        <v>0.0559377467</v>
      </c>
      <c r="Q156" s="40">
        <f t="shared" si="168"/>
        <v>0.05351862803</v>
      </c>
      <c r="R156" s="40">
        <f t="shared" si="168"/>
        <v>0.005494505495</v>
      </c>
      <c r="S156" s="40">
        <f t="shared" si="168"/>
        <v>0.03071672355</v>
      </c>
      <c r="T156" s="40">
        <f t="shared" si="168"/>
        <v>0.02119700748</v>
      </c>
    </row>
    <row r="157" ht="15.75" customHeight="1">
      <c r="F157" s="24"/>
      <c r="G157" s="19">
        <f>$G$27</f>
        <v>19</v>
      </c>
      <c r="H157" s="20">
        <v>468.0</v>
      </c>
      <c r="I157" s="20">
        <v>117.0</v>
      </c>
      <c r="J157" s="20">
        <v>7.0</v>
      </c>
      <c r="K157" s="20">
        <v>17.0</v>
      </c>
      <c r="L157" s="20">
        <v>5.0</v>
      </c>
      <c r="N157" s="24"/>
      <c r="O157" s="19">
        <f>$G$27</f>
        <v>19</v>
      </c>
      <c r="P157" s="40">
        <f t="shared" ref="P157:T157" si="169">H157/H$162</f>
        <v>0.05277997068</v>
      </c>
      <c r="Q157" s="40">
        <f t="shared" si="169"/>
        <v>0.03459491425</v>
      </c>
      <c r="R157" s="40">
        <f t="shared" si="169"/>
        <v>0.03846153846</v>
      </c>
      <c r="S157" s="40">
        <f t="shared" si="169"/>
        <v>0.02901023891</v>
      </c>
      <c r="T157" s="40">
        <f t="shared" si="169"/>
        <v>0.006234413965</v>
      </c>
    </row>
    <row r="158" ht="15.75" customHeight="1">
      <c r="F158" s="24"/>
      <c r="G158" s="19">
        <f>$G$28</f>
        <v>20</v>
      </c>
      <c r="H158" s="20">
        <v>384.0</v>
      </c>
      <c r="I158" s="20">
        <v>106.0</v>
      </c>
      <c r="J158" s="20">
        <v>2.0</v>
      </c>
      <c r="K158" s="20">
        <v>7.0</v>
      </c>
      <c r="L158" s="20">
        <v>9.0</v>
      </c>
      <c r="N158" s="24"/>
      <c r="O158" s="19">
        <f>$G$28</f>
        <v>20</v>
      </c>
      <c r="P158" s="40">
        <f t="shared" ref="P158:T158" si="170">H158/H$162</f>
        <v>0.04330664261</v>
      </c>
      <c r="Q158" s="40">
        <f t="shared" si="170"/>
        <v>0.03134240095</v>
      </c>
      <c r="R158" s="40">
        <f t="shared" si="170"/>
        <v>0.01098901099</v>
      </c>
      <c r="S158" s="40">
        <f t="shared" si="170"/>
        <v>0.01194539249</v>
      </c>
      <c r="T158" s="40">
        <f t="shared" si="170"/>
        <v>0.01122194514</v>
      </c>
    </row>
    <row r="159" ht="15.75" customHeight="1">
      <c r="F159" s="24"/>
      <c r="G159" s="19">
        <f>$G$29</f>
        <v>21</v>
      </c>
      <c r="H159" s="20">
        <v>347.0</v>
      </c>
      <c r="I159" s="20">
        <v>92.0</v>
      </c>
      <c r="J159" s="20">
        <v>1.0</v>
      </c>
      <c r="K159" s="20">
        <v>6.0</v>
      </c>
      <c r="L159" s="20">
        <v>9.0</v>
      </c>
      <c r="N159" s="24"/>
      <c r="O159" s="19">
        <f>$G$29</f>
        <v>21</v>
      </c>
      <c r="P159" s="40">
        <f t="shared" ref="P159:T159" si="171">H159/H$162</f>
        <v>0.03913386715</v>
      </c>
      <c r="Q159" s="40">
        <f t="shared" si="171"/>
        <v>0.02720283856</v>
      </c>
      <c r="R159" s="40">
        <f t="shared" si="171"/>
        <v>0.005494505495</v>
      </c>
      <c r="S159" s="40">
        <f t="shared" si="171"/>
        <v>0.01023890785</v>
      </c>
      <c r="T159" s="40">
        <f t="shared" si="171"/>
        <v>0.01122194514</v>
      </c>
    </row>
    <row r="160" ht="15.75" customHeight="1">
      <c r="F160" s="24"/>
      <c r="G160" s="19">
        <f>$G$30</f>
        <v>22</v>
      </c>
      <c r="H160" s="20">
        <v>292.0</v>
      </c>
      <c r="I160" s="20">
        <v>60.0</v>
      </c>
      <c r="J160" s="20">
        <v>1.0</v>
      </c>
      <c r="K160" s="20">
        <v>12.0</v>
      </c>
      <c r="L160" s="20">
        <v>5.0</v>
      </c>
      <c r="N160" s="24"/>
      <c r="O160" s="19">
        <f>$G$30</f>
        <v>22</v>
      </c>
      <c r="P160" s="40">
        <f t="shared" ref="P160:T160" si="172">H160/H$162</f>
        <v>0.03293109282</v>
      </c>
      <c r="Q160" s="40">
        <f t="shared" si="172"/>
        <v>0.01774098167</v>
      </c>
      <c r="R160" s="40">
        <f t="shared" si="172"/>
        <v>0.005494505495</v>
      </c>
      <c r="S160" s="40">
        <f t="shared" si="172"/>
        <v>0.0204778157</v>
      </c>
      <c r="T160" s="40">
        <f t="shared" si="172"/>
        <v>0.006234413965</v>
      </c>
    </row>
    <row r="161" ht="15.75" customHeight="1">
      <c r="F161" s="28"/>
      <c r="G161" s="19">
        <f>$G$31</f>
        <v>23</v>
      </c>
      <c r="H161" s="20">
        <v>136.0</v>
      </c>
      <c r="I161" s="20">
        <v>43.0</v>
      </c>
      <c r="J161" s="20">
        <v>2.0</v>
      </c>
      <c r="K161" s="20">
        <v>7.0</v>
      </c>
      <c r="L161" s="20">
        <v>8.0</v>
      </c>
      <c r="N161" s="28"/>
      <c r="O161" s="19">
        <f>$G$31</f>
        <v>23</v>
      </c>
      <c r="P161" s="40">
        <f t="shared" ref="P161:T161" si="173">H161/H$162</f>
        <v>0.01533776926</v>
      </c>
      <c r="Q161" s="40">
        <f t="shared" si="173"/>
        <v>0.0127143702</v>
      </c>
      <c r="R161" s="40">
        <f t="shared" si="173"/>
        <v>0.01098901099</v>
      </c>
      <c r="S161" s="40">
        <f t="shared" si="173"/>
        <v>0.01194539249</v>
      </c>
      <c r="T161" s="40">
        <f t="shared" si="173"/>
        <v>0.009975062344</v>
      </c>
    </row>
    <row r="162" ht="15.75" customHeight="1">
      <c r="F162" s="111"/>
      <c r="G162" s="112"/>
      <c r="H162" s="26">
        <f t="shared" ref="H162:L162" si="174">SUM(H138:H161)</f>
        <v>8867</v>
      </c>
      <c r="I162" s="26">
        <f t="shared" si="174"/>
        <v>3382</v>
      </c>
      <c r="J162" s="26">
        <f t="shared" si="174"/>
        <v>182</v>
      </c>
      <c r="K162" s="26">
        <f t="shared" si="174"/>
        <v>586</v>
      </c>
      <c r="L162" s="26">
        <f t="shared" si="174"/>
        <v>802</v>
      </c>
    </row>
    <row r="163" ht="15.75" customHeight="1">
      <c r="G163" s="16"/>
      <c r="H163" s="17">
        <f>$H$7</f>
        <v>31</v>
      </c>
      <c r="I163" s="17">
        <f>$I$7</f>
        <v>32</v>
      </c>
      <c r="J163" s="17">
        <f>$J$7</f>
        <v>41</v>
      </c>
      <c r="K163" s="17">
        <f>$K$7</f>
        <v>42</v>
      </c>
      <c r="L163" s="17">
        <f>$L$7</f>
        <v>5</v>
      </c>
      <c r="O163" s="16"/>
      <c r="P163" s="17">
        <f>$H$7</f>
        <v>31</v>
      </c>
      <c r="Q163" s="17">
        <f>$I$7</f>
        <v>32</v>
      </c>
      <c r="R163" s="17">
        <f>$J$7</f>
        <v>41</v>
      </c>
      <c r="S163" s="17">
        <f>$K$7</f>
        <v>42</v>
      </c>
      <c r="T163" s="17">
        <f>$L$7</f>
        <v>5</v>
      </c>
    </row>
    <row r="164" ht="15.75" customHeight="1">
      <c r="F164" s="56">
        <v>45213.0</v>
      </c>
      <c r="G164" s="19">
        <f>$G$8</f>
        <v>0</v>
      </c>
      <c r="H164" s="20">
        <v>109.0</v>
      </c>
      <c r="I164" s="20">
        <v>32.0</v>
      </c>
      <c r="J164" s="20">
        <v>2.0</v>
      </c>
      <c r="K164" s="20">
        <v>13.0</v>
      </c>
      <c r="L164" s="20">
        <v>14.0</v>
      </c>
      <c r="N164" s="56">
        <v>45213.0</v>
      </c>
      <c r="O164" s="19">
        <f>$G$8</f>
        <v>0</v>
      </c>
      <c r="P164" s="40">
        <f t="shared" ref="P164:T164" si="175">H164/H$188</f>
        <v>0.008830200907</v>
      </c>
      <c r="Q164" s="40">
        <f t="shared" si="175"/>
        <v>0.008891358711</v>
      </c>
      <c r="R164" s="40">
        <f t="shared" si="175"/>
        <v>0.007272727273</v>
      </c>
      <c r="S164" s="40">
        <f t="shared" si="175"/>
        <v>0.04153354633</v>
      </c>
      <c r="T164" s="40">
        <f t="shared" si="175"/>
        <v>0.02460456942</v>
      </c>
    </row>
    <row r="165" ht="15.75" customHeight="1">
      <c r="F165" s="24"/>
      <c r="G165" s="19">
        <f>$G$9</f>
        <v>1</v>
      </c>
      <c r="H165" s="20">
        <v>76.0</v>
      </c>
      <c r="I165" s="20">
        <v>19.0</v>
      </c>
      <c r="J165" s="20">
        <v>0.0</v>
      </c>
      <c r="K165" s="20">
        <v>8.0</v>
      </c>
      <c r="L165" s="20">
        <v>9.0</v>
      </c>
      <c r="N165" s="24"/>
      <c r="O165" s="19">
        <f>$G$9</f>
        <v>1</v>
      </c>
      <c r="P165" s="40">
        <f t="shared" ref="P165:T165" si="176">H165/H$188</f>
        <v>0.00615683733</v>
      </c>
      <c r="Q165" s="40">
        <f t="shared" si="176"/>
        <v>0.005279244235</v>
      </c>
      <c r="R165" s="40">
        <f t="shared" si="176"/>
        <v>0</v>
      </c>
      <c r="S165" s="40">
        <f t="shared" si="176"/>
        <v>0.02555910543</v>
      </c>
      <c r="T165" s="40">
        <f t="shared" si="176"/>
        <v>0.0158172232</v>
      </c>
    </row>
    <row r="166" ht="15.75" customHeight="1">
      <c r="F166" s="24"/>
      <c r="G166" s="19">
        <f>$G$10</f>
        <v>2</v>
      </c>
      <c r="H166" s="16">
        <v>78.0</v>
      </c>
      <c r="I166" s="16">
        <v>30.0</v>
      </c>
      <c r="J166" s="16">
        <v>1.0</v>
      </c>
      <c r="K166" s="16">
        <v>6.0</v>
      </c>
      <c r="L166" s="16">
        <v>8.0</v>
      </c>
      <c r="N166" s="24"/>
      <c r="O166" s="19">
        <f>$G$10</f>
        <v>2</v>
      </c>
      <c r="P166" s="40">
        <f t="shared" ref="P166:T166" si="177">H166/H$188</f>
        <v>0.006318859365</v>
      </c>
      <c r="Q166" s="40">
        <f t="shared" si="177"/>
        <v>0.008335648791</v>
      </c>
      <c r="R166" s="40">
        <f t="shared" si="177"/>
        <v>0.003636363636</v>
      </c>
      <c r="S166" s="40">
        <f t="shared" si="177"/>
        <v>0.01916932907</v>
      </c>
      <c r="T166" s="40">
        <f t="shared" si="177"/>
        <v>0.01405975395</v>
      </c>
    </row>
    <row r="167" ht="15.75" customHeight="1">
      <c r="F167" s="24"/>
      <c r="G167" s="19">
        <f>$G$11</f>
        <v>3</v>
      </c>
      <c r="H167" s="20">
        <v>83.0</v>
      </c>
      <c r="I167" s="20">
        <v>37.0</v>
      </c>
      <c r="J167" s="20">
        <v>0.0</v>
      </c>
      <c r="K167" s="20">
        <v>11.0</v>
      </c>
      <c r="L167" s="20">
        <v>10.0</v>
      </c>
      <c r="N167" s="24"/>
      <c r="O167" s="19">
        <f>$G$11</f>
        <v>3</v>
      </c>
      <c r="P167" s="40">
        <f t="shared" ref="P167:T167" si="178">H167/H$188</f>
        <v>0.006723914452</v>
      </c>
      <c r="Q167" s="40">
        <f t="shared" si="178"/>
        <v>0.01028063351</v>
      </c>
      <c r="R167" s="40">
        <f t="shared" si="178"/>
        <v>0</v>
      </c>
      <c r="S167" s="40">
        <f t="shared" si="178"/>
        <v>0.03514376997</v>
      </c>
      <c r="T167" s="40">
        <f t="shared" si="178"/>
        <v>0.01757469244</v>
      </c>
    </row>
    <row r="168" ht="15.75" customHeight="1">
      <c r="F168" s="24"/>
      <c r="G168" s="19">
        <f>$G$12</f>
        <v>4</v>
      </c>
      <c r="H168" s="20">
        <v>151.0</v>
      </c>
      <c r="I168" s="20">
        <v>70.0</v>
      </c>
      <c r="J168" s="20">
        <v>1.0</v>
      </c>
      <c r="K168" s="20">
        <v>17.0</v>
      </c>
      <c r="L168" s="20">
        <v>13.0</v>
      </c>
      <c r="N168" s="24"/>
      <c r="O168" s="19">
        <f>$G$12</f>
        <v>4</v>
      </c>
      <c r="P168" s="40">
        <f t="shared" ref="P168:T168" si="179">H168/H$188</f>
        <v>0.01223266364</v>
      </c>
      <c r="Q168" s="40">
        <f t="shared" si="179"/>
        <v>0.01944984718</v>
      </c>
      <c r="R168" s="40">
        <f t="shared" si="179"/>
        <v>0.003636363636</v>
      </c>
      <c r="S168" s="40">
        <f t="shared" si="179"/>
        <v>0.05431309904</v>
      </c>
      <c r="T168" s="40">
        <f t="shared" si="179"/>
        <v>0.02284710018</v>
      </c>
    </row>
    <row r="169" ht="15.75" customHeight="1">
      <c r="F169" s="24"/>
      <c r="G169" s="19">
        <f>$G$13</f>
        <v>5</v>
      </c>
      <c r="H169" s="20">
        <v>269.0</v>
      </c>
      <c r="I169" s="20">
        <v>116.0</v>
      </c>
      <c r="J169" s="20">
        <v>9.0</v>
      </c>
      <c r="K169" s="20">
        <v>16.0</v>
      </c>
      <c r="L169" s="20">
        <v>16.0</v>
      </c>
      <c r="N169" s="24"/>
      <c r="O169" s="19">
        <f>$G$13</f>
        <v>5</v>
      </c>
      <c r="P169" s="40">
        <f t="shared" ref="P169:T169" si="180">H169/H$188</f>
        <v>0.02179196371</v>
      </c>
      <c r="Q169" s="40">
        <f t="shared" si="180"/>
        <v>0.03223117533</v>
      </c>
      <c r="R169" s="40">
        <f t="shared" si="180"/>
        <v>0.03272727273</v>
      </c>
      <c r="S169" s="40">
        <f t="shared" si="180"/>
        <v>0.05111821086</v>
      </c>
      <c r="T169" s="40">
        <f t="shared" si="180"/>
        <v>0.02811950791</v>
      </c>
    </row>
    <row r="170" ht="15.75" customHeight="1">
      <c r="F170" s="24"/>
      <c r="G170" s="19">
        <f>$G$14</f>
        <v>6</v>
      </c>
      <c r="H170" s="20">
        <v>548.0</v>
      </c>
      <c r="I170" s="20">
        <v>196.0</v>
      </c>
      <c r="J170" s="20">
        <v>36.0</v>
      </c>
      <c r="K170" s="20">
        <v>26.0</v>
      </c>
      <c r="L170" s="20">
        <v>35.0</v>
      </c>
      <c r="N170" s="24"/>
      <c r="O170" s="19">
        <f>$G$14</f>
        <v>6</v>
      </c>
      <c r="P170" s="40">
        <f t="shared" ref="P170:T170" si="181">H170/H$188</f>
        <v>0.04439403759</v>
      </c>
      <c r="Q170" s="40">
        <f t="shared" si="181"/>
        <v>0.0544595721</v>
      </c>
      <c r="R170" s="40">
        <f t="shared" si="181"/>
        <v>0.1309090909</v>
      </c>
      <c r="S170" s="40">
        <f t="shared" si="181"/>
        <v>0.08306709265</v>
      </c>
      <c r="T170" s="40">
        <f t="shared" si="181"/>
        <v>0.06151142355</v>
      </c>
    </row>
    <row r="171" ht="15.75" customHeight="1">
      <c r="F171" s="24"/>
      <c r="G171" s="19">
        <f>$G$15</f>
        <v>7</v>
      </c>
      <c r="H171" s="20">
        <v>892.0</v>
      </c>
      <c r="I171" s="20">
        <v>270.0</v>
      </c>
      <c r="J171" s="20">
        <v>71.0</v>
      </c>
      <c r="K171" s="20">
        <v>32.0</v>
      </c>
      <c r="L171" s="20">
        <v>44.0</v>
      </c>
      <c r="N171" s="24"/>
      <c r="O171" s="19">
        <f>$G$15</f>
        <v>7</v>
      </c>
      <c r="P171" s="40">
        <f t="shared" ref="P171:T171" si="182">H171/H$188</f>
        <v>0.07226182761</v>
      </c>
      <c r="Q171" s="40">
        <f t="shared" si="182"/>
        <v>0.07502083912</v>
      </c>
      <c r="R171" s="40">
        <f t="shared" si="182"/>
        <v>0.2581818182</v>
      </c>
      <c r="S171" s="40">
        <f t="shared" si="182"/>
        <v>0.1022364217</v>
      </c>
      <c r="T171" s="40">
        <f t="shared" si="182"/>
        <v>0.07732864675</v>
      </c>
    </row>
    <row r="172" ht="15.75" customHeight="1">
      <c r="F172" s="24"/>
      <c r="G172" s="19">
        <f>$G$16</f>
        <v>8</v>
      </c>
      <c r="H172" s="20">
        <v>1167.0</v>
      </c>
      <c r="I172" s="20">
        <v>366.0</v>
      </c>
      <c r="J172" s="20">
        <v>36.0</v>
      </c>
      <c r="K172" s="20">
        <v>21.0</v>
      </c>
      <c r="L172" s="20">
        <v>54.0</v>
      </c>
      <c r="N172" s="24"/>
      <c r="O172" s="19">
        <f>$G$16</f>
        <v>8</v>
      </c>
      <c r="P172" s="40">
        <f t="shared" ref="P172:T172" si="183">H172/H$188</f>
        <v>0.09453985742</v>
      </c>
      <c r="Q172" s="40">
        <f t="shared" si="183"/>
        <v>0.1016949153</v>
      </c>
      <c r="R172" s="40">
        <f t="shared" si="183"/>
        <v>0.1309090909</v>
      </c>
      <c r="S172" s="40">
        <f t="shared" si="183"/>
        <v>0.06709265176</v>
      </c>
      <c r="T172" s="40">
        <f t="shared" si="183"/>
        <v>0.09490333919</v>
      </c>
    </row>
    <row r="173" ht="15.75" customHeight="1">
      <c r="F173" s="24"/>
      <c r="G173" s="19">
        <f>$G$17</f>
        <v>9</v>
      </c>
      <c r="H173" s="20">
        <v>1282.0</v>
      </c>
      <c r="I173" s="20">
        <v>347.0</v>
      </c>
      <c r="J173" s="20">
        <v>23.0</v>
      </c>
      <c r="K173" s="20">
        <v>21.0</v>
      </c>
      <c r="L173" s="20">
        <v>61.0</v>
      </c>
      <c r="N173" s="24"/>
      <c r="O173" s="19">
        <f>$G$17</f>
        <v>9</v>
      </c>
      <c r="P173" s="40">
        <f t="shared" ref="P173:T173" si="184">H173/H$188</f>
        <v>0.1038561244</v>
      </c>
      <c r="Q173" s="40">
        <f t="shared" si="184"/>
        <v>0.09641567102</v>
      </c>
      <c r="R173" s="40">
        <f t="shared" si="184"/>
        <v>0.08363636364</v>
      </c>
      <c r="S173" s="40">
        <f t="shared" si="184"/>
        <v>0.06709265176</v>
      </c>
      <c r="T173" s="40">
        <f t="shared" si="184"/>
        <v>0.1072056239</v>
      </c>
    </row>
    <row r="174" ht="15.75" customHeight="1">
      <c r="F174" s="24"/>
      <c r="G174" s="19">
        <f>$G$18</f>
        <v>10</v>
      </c>
      <c r="H174" s="20">
        <v>1195.0</v>
      </c>
      <c r="I174" s="20">
        <v>268.0</v>
      </c>
      <c r="J174" s="20">
        <v>11.0</v>
      </c>
      <c r="K174" s="20">
        <v>27.0</v>
      </c>
      <c r="L174" s="20">
        <v>53.0</v>
      </c>
      <c r="N174" s="24"/>
      <c r="O174" s="19">
        <f>$G$18</f>
        <v>10</v>
      </c>
      <c r="P174" s="40">
        <f t="shared" ref="P174:T174" si="185">H174/H$188</f>
        <v>0.09680816591</v>
      </c>
      <c r="Q174" s="40">
        <f t="shared" si="185"/>
        <v>0.0744651292</v>
      </c>
      <c r="R174" s="40">
        <f t="shared" si="185"/>
        <v>0.04</v>
      </c>
      <c r="S174" s="40">
        <f t="shared" si="185"/>
        <v>0.08626198083</v>
      </c>
      <c r="T174" s="40">
        <f t="shared" si="185"/>
        <v>0.09314586995</v>
      </c>
    </row>
    <row r="175" ht="15.75" customHeight="1">
      <c r="F175" s="24"/>
      <c r="G175" s="19">
        <f>$G$19</f>
        <v>11</v>
      </c>
      <c r="H175" s="20">
        <v>691.0</v>
      </c>
      <c r="I175" s="20">
        <v>213.0</v>
      </c>
      <c r="J175" s="20">
        <v>8.0</v>
      </c>
      <c r="K175" s="20">
        <v>13.0</v>
      </c>
      <c r="L175" s="20">
        <v>53.0</v>
      </c>
      <c r="N175" s="24"/>
      <c r="O175" s="19">
        <f>$G$19</f>
        <v>11</v>
      </c>
      <c r="P175" s="40">
        <f t="shared" ref="P175:T175" si="186">H175/H$188</f>
        <v>0.05597861309</v>
      </c>
      <c r="Q175" s="40">
        <f t="shared" si="186"/>
        <v>0.05918310642</v>
      </c>
      <c r="R175" s="40">
        <f t="shared" si="186"/>
        <v>0.02909090909</v>
      </c>
      <c r="S175" s="40">
        <f t="shared" si="186"/>
        <v>0.04153354633</v>
      </c>
      <c r="T175" s="40">
        <f t="shared" si="186"/>
        <v>0.09314586995</v>
      </c>
    </row>
    <row r="176" ht="15.75" customHeight="1">
      <c r="F176" s="24"/>
      <c r="G176" s="19">
        <f>$G$20</f>
        <v>12</v>
      </c>
      <c r="H176" s="20">
        <v>775.0</v>
      </c>
      <c r="I176" s="20">
        <v>200.0</v>
      </c>
      <c r="J176" s="20">
        <v>5.0</v>
      </c>
      <c r="K176" s="20">
        <v>17.0</v>
      </c>
      <c r="L176" s="20">
        <v>42.0</v>
      </c>
      <c r="N176" s="24"/>
      <c r="O176" s="19">
        <f>$G$20</f>
        <v>12</v>
      </c>
      <c r="P176" s="40">
        <f t="shared" ref="P176:T176" si="187">H176/H$188</f>
        <v>0.06278353856</v>
      </c>
      <c r="Q176" s="40">
        <f t="shared" si="187"/>
        <v>0.05557099194</v>
      </c>
      <c r="R176" s="40">
        <f t="shared" si="187"/>
        <v>0.01818181818</v>
      </c>
      <c r="S176" s="40">
        <f t="shared" si="187"/>
        <v>0.05431309904</v>
      </c>
      <c r="T176" s="40">
        <f t="shared" si="187"/>
        <v>0.07381370826</v>
      </c>
    </row>
    <row r="177" ht="15.75" customHeight="1">
      <c r="F177" s="24"/>
      <c r="G177" s="19">
        <f>$G$21</f>
        <v>13</v>
      </c>
      <c r="H177" s="20">
        <v>855.0</v>
      </c>
      <c r="I177" s="20">
        <v>209.0</v>
      </c>
      <c r="J177" s="20">
        <v>16.0</v>
      </c>
      <c r="K177" s="20">
        <v>8.0</v>
      </c>
      <c r="L177" s="20">
        <v>31.0</v>
      </c>
      <c r="N177" s="24"/>
      <c r="O177" s="19">
        <f>$G$21</f>
        <v>13</v>
      </c>
      <c r="P177" s="40">
        <f t="shared" ref="P177:T177" si="188">H177/H$188</f>
        <v>0.06926441996</v>
      </c>
      <c r="Q177" s="40">
        <f t="shared" si="188"/>
        <v>0.05807168658</v>
      </c>
      <c r="R177" s="40">
        <f t="shared" si="188"/>
        <v>0.05818181818</v>
      </c>
      <c r="S177" s="40">
        <f t="shared" si="188"/>
        <v>0.02555910543</v>
      </c>
      <c r="T177" s="40">
        <f t="shared" si="188"/>
        <v>0.05448154657</v>
      </c>
    </row>
    <row r="178" ht="15.75" customHeight="1">
      <c r="F178" s="24"/>
      <c r="G178" s="19">
        <f>$G$22</f>
        <v>14</v>
      </c>
      <c r="H178" s="20">
        <v>773.0</v>
      </c>
      <c r="I178" s="20">
        <v>207.0</v>
      </c>
      <c r="J178" s="20">
        <v>14.0</v>
      </c>
      <c r="K178" s="20">
        <v>14.0</v>
      </c>
      <c r="L178" s="20">
        <v>51.0</v>
      </c>
      <c r="N178" s="24"/>
      <c r="O178" s="19">
        <f>$G$22</f>
        <v>14</v>
      </c>
      <c r="P178" s="40">
        <f t="shared" ref="P178:T178" si="189">H178/H$188</f>
        <v>0.06262151653</v>
      </c>
      <c r="Q178" s="40">
        <f t="shared" si="189"/>
        <v>0.05751597666</v>
      </c>
      <c r="R178" s="40">
        <f t="shared" si="189"/>
        <v>0.05090909091</v>
      </c>
      <c r="S178" s="40">
        <f t="shared" si="189"/>
        <v>0.0447284345</v>
      </c>
      <c r="T178" s="40">
        <f t="shared" si="189"/>
        <v>0.08963093146</v>
      </c>
    </row>
    <row r="179" ht="15.75" customHeight="1">
      <c r="F179" s="24"/>
      <c r="G179" s="19">
        <f>$G$23</f>
        <v>15</v>
      </c>
      <c r="H179" s="20">
        <v>674.0</v>
      </c>
      <c r="I179" s="20">
        <v>194.0</v>
      </c>
      <c r="J179" s="20">
        <v>18.0</v>
      </c>
      <c r="K179" s="20">
        <v>11.0</v>
      </c>
      <c r="L179" s="20">
        <v>25.0</v>
      </c>
      <c r="N179" s="24"/>
      <c r="O179" s="19">
        <f>$G$23</f>
        <v>15</v>
      </c>
      <c r="P179" s="40">
        <f t="shared" ref="P179:T179" si="190">H179/H$188</f>
        <v>0.05460142579</v>
      </c>
      <c r="Q179" s="40">
        <f t="shared" si="190"/>
        <v>0.05390386218</v>
      </c>
      <c r="R179" s="40">
        <f t="shared" si="190"/>
        <v>0.06545454545</v>
      </c>
      <c r="S179" s="40">
        <f t="shared" si="190"/>
        <v>0.03514376997</v>
      </c>
      <c r="T179" s="40">
        <f t="shared" si="190"/>
        <v>0.04393673111</v>
      </c>
    </row>
    <row r="180" ht="15.75" customHeight="1">
      <c r="F180" s="24"/>
      <c r="G180" s="19">
        <f>$G$24</f>
        <v>16</v>
      </c>
      <c r="H180" s="20">
        <v>575.0</v>
      </c>
      <c r="I180" s="20">
        <v>192.0</v>
      </c>
      <c r="J180" s="20">
        <v>6.0</v>
      </c>
      <c r="K180" s="20">
        <v>14.0</v>
      </c>
      <c r="L180" s="20">
        <v>23.0</v>
      </c>
      <c r="N180" s="24"/>
      <c r="O180" s="19">
        <f>$G$24</f>
        <v>16</v>
      </c>
      <c r="P180" s="40">
        <f t="shared" ref="P180:T180" si="191">H180/H$188</f>
        <v>0.04658133506</v>
      </c>
      <c r="Q180" s="40">
        <f t="shared" si="191"/>
        <v>0.05334815226</v>
      </c>
      <c r="R180" s="40">
        <f t="shared" si="191"/>
        <v>0.02181818182</v>
      </c>
      <c r="S180" s="40">
        <f t="shared" si="191"/>
        <v>0.0447284345</v>
      </c>
      <c r="T180" s="40">
        <f t="shared" si="191"/>
        <v>0.04042179262</v>
      </c>
    </row>
    <row r="181" ht="15.75" customHeight="1">
      <c r="F181" s="24"/>
      <c r="G181" s="19">
        <f>$G$25</f>
        <v>17</v>
      </c>
      <c r="H181" s="20">
        <v>499.0</v>
      </c>
      <c r="I181" s="20">
        <v>198.0</v>
      </c>
      <c r="J181" s="20">
        <v>4.0</v>
      </c>
      <c r="K181" s="20">
        <v>7.0</v>
      </c>
      <c r="L181" s="20">
        <v>4.0</v>
      </c>
      <c r="N181" s="24"/>
      <c r="O181" s="19">
        <f>$G$25</f>
        <v>17</v>
      </c>
      <c r="P181" s="40">
        <f t="shared" ref="P181:T181" si="192">H181/H$188</f>
        <v>0.04042449773</v>
      </c>
      <c r="Q181" s="40">
        <f t="shared" si="192"/>
        <v>0.05501528202</v>
      </c>
      <c r="R181" s="40">
        <f t="shared" si="192"/>
        <v>0.01454545455</v>
      </c>
      <c r="S181" s="40">
        <f t="shared" si="192"/>
        <v>0.02236421725</v>
      </c>
      <c r="T181" s="40">
        <f t="shared" si="192"/>
        <v>0.007029876977</v>
      </c>
    </row>
    <row r="182" ht="15.75" customHeight="1">
      <c r="F182" s="24"/>
      <c r="G182" s="19">
        <f>$G$26</f>
        <v>18</v>
      </c>
      <c r="H182" s="20">
        <v>399.0</v>
      </c>
      <c r="I182" s="20">
        <v>125.0</v>
      </c>
      <c r="J182" s="20">
        <v>1.0</v>
      </c>
      <c r="K182" s="20">
        <v>4.0</v>
      </c>
      <c r="L182" s="20">
        <v>6.0</v>
      </c>
      <c r="N182" s="24"/>
      <c r="O182" s="19">
        <f>$G$26</f>
        <v>18</v>
      </c>
      <c r="P182" s="40">
        <f t="shared" ref="P182:T182" si="193">H182/H$188</f>
        <v>0.03232339598</v>
      </c>
      <c r="Q182" s="40">
        <f t="shared" si="193"/>
        <v>0.03473186996</v>
      </c>
      <c r="R182" s="40">
        <f t="shared" si="193"/>
        <v>0.003636363636</v>
      </c>
      <c r="S182" s="40">
        <f t="shared" si="193"/>
        <v>0.01277955272</v>
      </c>
      <c r="T182" s="40">
        <f t="shared" si="193"/>
        <v>0.01054481547</v>
      </c>
    </row>
    <row r="183" ht="15.75" customHeight="1">
      <c r="F183" s="24"/>
      <c r="G183" s="19">
        <f>$G$27</f>
        <v>19</v>
      </c>
      <c r="H183" s="20">
        <v>363.0</v>
      </c>
      <c r="I183" s="20">
        <v>91.0</v>
      </c>
      <c r="J183" s="20">
        <v>3.0</v>
      </c>
      <c r="K183" s="20">
        <v>9.0</v>
      </c>
      <c r="L183" s="20">
        <v>7.0</v>
      </c>
      <c r="N183" s="24"/>
      <c r="O183" s="19">
        <f>$G$27</f>
        <v>19</v>
      </c>
      <c r="P183" s="40">
        <f t="shared" ref="P183:T183" si="194">H183/H$188</f>
        <v>0.02940699935</v>
      </c>
      <c r="Q183" s="40">
        <f t="shared" si="194"/>
        <v>0.02528480133</v>
      </c>
      <c r="R183" s="40">
        <f t="shared" si="194"/>
        <v>0.01090909091</v>
      </c>
      <c r="S183" s="40">
        <f t="shared" si="194"/>
        <v>0.02875399361</v>
      </c>
      <c r="T183" s="40">
        <f t="shared" si="194"/>
        <v>0.01230228471</v>
      </c>
    </row>
    <row r="184" ht="15.75" customHeight="1">
      <c r="F184" s="24"/>
      <c r="G184" s="19">
        <f>$G$28</f>
        <v>20</v>
      </c>
      <c r="H184" s="20">
        <v>262.0</v>
      </c>
      <c r="I184" s="20">
        <v>64.0</v>
      </c>
      <c r="J184" s="20">
        <v>5.0</v>
      </c>
      <c r="K184" s="20">
        <v>9.0</v>
      </c>
      <c r="L184" s="20">
        <v>1.0</v>
      </c>
      <c r="N184" s="24"/>
      <c r="O184" s="19">
        <f>$G$28</f>
        <v>20</v>
      </c>
      <c r="P184" s="40">
        <f t="shared" ref="P184:T184" si="195">H184/H$188</f>
        <v>0.02122488658</v>
      </c>
      <c r="Q184" s="40">
        <f t="shared" si="195"/>
        <v>0.01778271742</v>
      </c>
      <c r="R184" s="40">
        <f t="shared" si="195"/>
        <v>0.01818181818</v>
      </c>
      <c r="S184" s="40">
        <f t="shared" si="195"/>
        <v>0.02875399361</v>
      </c>
      <c r="T184" s="40">
        <f t="shared" si="195"/>
        <v>0.001757469244</v>
      </c>
    </row>
    <row r="185" ht="15.75" customHeight="1">
      <c r="F185" s="24"/>
      <c r="G185" s="19">
        <f>$G$29</f>
        <v>21</v>
      </c>
      <c r="H185" s="20">
        <v>277.0</v>
      </c>
      <c r="I185" s="20">
        <v>76.0</v>
      </c>
      <c r="J185" s="20">
        <v>3.0</v>
      </c>
      <c r="K185" s="20">
        <v>4.0</v>
      </c>
      <c r="L185" s="20">
        <v>2.0</v>
      </c>
      <c r="N185" s="24"/>
      <c r="O185" s="19">
        <f>$G$29</f>
        <v>21</v>
      </c>
      <c r="P185" s="40">
        <f t="shared" ref="P185:T185" si="196">H185/H$188</f>
        <v>0.02244005185</v>
      </c>
      <c r="Q185" s="40">
        <f t="shared" si="196"/>
        <v>0.02111697694</v>
      </c>
      <c r="R185" s="40">
        <f t="shared" si="196"/>
        <v>0.01090909091</v>
      </c>
      <c r="S185" s="40">
        <f t="shared" si="196"/>
        <v>0.01277955272</v>
      </c>
      <c r="T185" s="40">
        <f t="shared" si="196"/>
        <v>0.003514938489</v>
      </c>
    </row>
    <row r="186" ht="15.75" customHeight="1">
      <c r="F186" s="24"/>
      <c r="G186" s="19">
        <f>$G$30</f>
        <v>22</v>
      </c>
      <c r="H186" s="20">
        <v>198.0</v>
      </c>
      <c r="I186" s="20">
        <v>42.0</v>
      </c>
      <c r="J186" s="20">
        <v>1.0</v>
      </c>
      <c r="K186" s="20">
        <v>3.0</v>
      </c>
      <c r="L186" s="20">
        <v>3.0</v>
      </c>
      <c r="N186" s="24"/>
      <c r="O186" s="19">
        <f>$G$30</f>
        <v>22</v>
      </c>
      <c r="P186" s="40">
        <f t="shared" ref="P186:T186" si="197">H186/H$188</f>
        <v>0.01604018146</v>
      </c>
      <c r="Q186" s="40">
        <f t="shared" si="197"/>
        <v>0.01166990831</v>
      </c>
      <c r="R186" s="40">
        <f t="shared" si="197"/>
        <v>0.003636363636</v>
      </c>
      <c r="S186" s="40">
        <f t="shared" si="197"/>
        <v>0.009584664537</v>
      </c>
      <c r="T186" s="40">
        <f t="shared" si="197"/>
        <v>0.005272407733</v>
      </c>
    </row>
    <row r="187" ht="15.75" customHeight="1">
      <c r="F187" s="28"/>
      <c r="G187" s="19">
        <f>$G$31</f>
        <v>23</v>
      </c>
      <c r="H187" s="20">
        <v>153.0</v>
      </c>
      <c r="I187" s="20">
        <v>37.0</v>
      </c>
      <c r="J187" s="20">
        <v>1.0</v>
      </c>
      <c r="K187" s="20">
        <v>2.0</v>
      </c>
      <c r="L187" s="20">
        <v>4.0</v>
      </c>
      <c r="N187" s="28"/>
      <c r="O187" s="19">
        <f>$G$31</f>
        <v>23</v>
      </c>
      <c r="P187" s="40">
        <f t="shared" ref="P187:T187" si="198">H187/H$188</f>
        <v>0.01239468568</v>
      </c>
      <c r="Q187" s="40">
        <f t="shared" si="198"/>
        <v>0.01028063351</v>
      </c>
      <c r="R187" s="40">
        <f t="shared" si="198"/>
        <v>0.003636363636</v>
      </c>
      <c r="S187" s="40">
        <f t="shared" si="198"/>
        <v>0.006389776358</v>
      </c>
      <c r="T187" s="40">
        <f t="shared" si="198"/>
        <v>0.007029876977</v>
      </c>
    </row>
    <row r="188" ht="15.75" customHeight="1">
      <c r="F188" s="111"/>
      <c r="G188" s="112"/>
      <c r="H188" s="26">
        <f t="shared" ref="H188:L188" si="199">SUM(H164:H187)</f>
        <v>12344</v>
      </c>
      <c r="I188" s="26">
        <f t="shared" si="199"/>
        <v>3599</v>
      </c>
      <c r="J188" s="26">
        <f t="shared" si="199"/>
        <v>275</v>
      </c>
      <c r="K188" s="26">
        <f t="shared" si="199"/>
        <v>313</v>
      </c>
      <c r="L188" s="26">
        <f t="shared" si="199"/>
        <v>569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O189" s="16"/>
      <c r="P189" s="17">
        <f>$H$7</f>
        <v>31</v>
      </c>
      <c r="Q189" s="17">
        <f>$I$7</f>
        <v>32</v>
      </c>
      <c r="R189" s="17">
        <f>$J$7</f>
        <v>41</v>
      </c>
      <c r="S189" s="17">
        <f>$K$7</f>
        <v>42</v>
      </c>
      <c r="T189" s="17">
        <f>$L$7</f>
        <v>5</v>
      </c>
    </row>
    <row r="190" ht="15.75" customHeight="1">
      <c r="F190" s="56">
        <v>45214.0</v>
      </c>
      <c r="G190" s="19">
        <f>$G$8</f>
        <v>0</v>
      </c>
      <c r="H190" s="20">
        <v>103.0</v>
      </c>
      <c r="I190" s="20">
        <v>17.0</v>
      </c>
      <c r="J190" s="20">
        <v>0.0</v>
      </c>
      <c r="K190" s="20">
        <v>4.0</v>
      </c>
      <c r="L190" s="20">
        <v>1.0</v>
      </c>
      <c r="N190" s="56">
        <v>45214.0</v>
      </c>
      <c r="O190" s="19">
        <f>$G$8</f>
        <v>0</v>
      </c>
      <c r="P190" s="40">
        <f t="shared" ref="P190:T190" si="200">H190/H$214</f>
        <v>0.00967590418</v>
      </c>
      <c r="Q190" s="40">
        <f t="shared" si="200"/>
        <v>0.005811965812</v>
      </c>
      <c r="R190" s="40">
        <f t="shared" si="200"/>
        <v>0</v>
      </c>
      <c r="S190" s="40">
        <f t="shared" si="200"/>
        <v>0.0243902439</v>
      </c>
      <c r="T190" s="40">
        <f t="shared" si="200"/>
        <v>0.004132231405</v>
      </c>
    </row>
    <row r="191" ht="15.75" customHeight="1">
      <c r="F191" s="24"/>
      <c r="G191" s="19">
        <f>$G$9</f>
        <v>1</v>
      </c>
      <c r="H191" s="20">
        <v>60.0</v>
      </c>
      <c r="I191" s="20">
        <v>23.0</v>
      </c>
      <c r="J191" s="20">
        <v>2.0</v>
      </c>
      <c r="K191" s="20">
        <v>7.0</v>
      </c>
      <c r="L191" s="20">
        <v>3.0</v>
      </c>
      <c r="N191" s="24"/>
      <c r="O191" s="19">
        <f>$G$9</f>
        <v>1</v>
      </c>
      <c r="P191" s="40">
        <f t="shared" ref="P191:T191" si="201">H191/H$214</f>
        <v>0.005636449037</v>
      </c>
      <c r="Q191" s="40">
        <f t="shared" si="201"/>
        <v>0.007863247863</v>
      </c>
      <c r="R191" s="40">
        <f t="shared" si="201"/>
        <v>0.01092896175</v>
      </c>
      <c r="S191" s="40">
        <f t="shared" si="201"/>
        <v>0.04268292683</v>
      </c>
      <c r="T191" s="40">
        <f t="shared" si="201"/>
        <v>0.01239669421</v>
      </c>
    </row>
    <row r="192" ht="15.75" customHeight="1">
      <c r="F192" s="24"/>
      <c r="G192" s="19">
        <f>$G$10</f>
        <v>2</v>
      </c>
      <c r="H192" s="16">
        <v>59.0</v>
      </c>
      <c r="I192" s="16">
        <v>15.0</v>
      </c>
      <c r="J192" s="16">
        <v>0.0</v>
      </c>
      <c r="K192" s="16">
        <v>1.0</v>
      </c>
      <c r="L192" s="16">
        <v>2.0</v>
      </c>
      <c r="N192" s="24"/>
      <c r="O192" s="19">
        <f>$G$10</f>
        <v>2</v>
      </c>
      <c r="P192" s="40">
        <f t="shared" ref="P192:T192" si="202">H192/H$214</f>
        <v>0.00554250822</v>
      </c>
      <c r="Q192" s="40">
        <f t="shared" si="202"/>
        <v>0.005128205128</v>
      </c>
      <c r="R192" s="40">
        <f t="shared" si="202"/>
        <v>0</v>
      </c>
      <c r="S192" s="40">
        <f t="shared" si="202"/>
        <v>0.006097560976</v>
      </c>
      <c r="T192" s="40">
        <f t="shared" si="202"/>
        <v>0.00826446281</v>
      </c>
    </row>
    <row r="193" ht="15.75" customHeight="1">
      <c r="F193" s="24"/>
      <c r="G193" s="19">
        <f>$G$11</f>
        <v>3</v>
      </c>
      <c r="H193" s="20">
        <v>54.0</v>
      </c>
      <c r="I193" s="20">
        <v>26.0</v>
      </c>
      <c r="J193" s="20">
        <v>1.0</v>
      </c>
      <c r="K193" s="20">
        <v>1.0</v>
      </c>
      <c r="L193" s="20">
        <v>4.0</v>
      </c>
      <c r="N193" s="24"/>
      <c r="O193" s="19">
        <f>$G$11</f>
        <v>3</v>
      </c>
      <c r="P193" s="40">
        <f t="shared" ref="P193:T193" si="203">H193/H$214</f>
        <v>0.005072804133</v>
      </c>
      <c r="Q193" s="40">
        <f t="shared" si="203"/>
        <v>0.008888888889</v>
      </c>
      <c r="R193" s="40">
        <f t="shared" si="203"/>
        <v>0.005464480874</v>
      </c>
      <c r="S193" s="40">
        <f t="shared" si="203"/>
        <v>0.006097560976</v>
      </c>
      <c r="T193" s="40">
        <f t="shared" si="203"/>
        <v>0.01652892562</v>
      </c>
    </row>
    <row r="194" ht="15.75" customHeight="1">
      <c r="F194" s="24"/>
      <c r="G194" s="19">
        <f>$G$12</f>
        <v>4</v>
      </c>
      <c r="H194" s="20">
        <v>95.0</v>
      </c>
      <c r="I194" s="20">
        <v>37.0</v>
      </c>
      <c r="J194" s="20">
        <v>1.0</v>
      </c>
      <c r="K194" s="20">
        <v>6.0</v>
      </c>
      <c r="L194" s="20">
        <v>3.0</v>
      </c>
      <c r="N194" s="24"/>
      <c r="O194" s="19">
        <f>$G$12</f>
        <v>4</v>
      </c>
      <c r="P194" s="40">
        <f t="shared" ref="P194:T194" si="204">H194/H$214</f>
        <v>0.008924377642</v>
      </c>
      <c r="Q194" s="40">
        <f t="shared" si="204"/>
        <v>0.01264957265</v>
      </c>
      <c r="R194" s="40">
        <f t="shared" si="204"/>
        <v>0.005464480874</v>
      </c>
      <c r="S194" s="40">
        <f t="shared" si="204"/>
        <v>0.03658536585</v>
      </c>
      <c r="T194" s="40">
        <f t="shared" si="204"/>
        <v>0.01239669421</v>
      </c>
    </row>
    <row r="195" ht="15.75" customHeight="1">
      <c r="F195" s="24"/>
      <c r="G195" s="19">
        <f>$G$13</f>
        <v>5</v>
      </c>
      <c r="H195" s="20">
        <v>150.0</v>
      </c>
      <c r="I195" s="20">
        <v>74.0</v>
      </c>
      <c r="J195" s="20">
        <v>7.0</v>
      </c>
      <c r="K195" s="20">
        <v>10.0</v>
      </c>
      <c r="L195" s="20">
        <v>11.0</v>
      </c>
      <c r="N195" s="24"/>
      <c r="O195" s="19">
        <f>$G$13</f>
        <v>5</v>
      </c>
      <c r="P195" s="40">
        <f t="shared" ref="P195:T195" si="205">H195/H$214</f>
        <v>0.01409112259</v>
      </c>
      <c r="Q195" s="40">
        <f t="shared" si="205"/>
        <v>0.0252991453</v>
      </c>
      <c r="R195" s="40">
        <f t="shared" si="205"/>
        <v>0.03825136612</v>
      </c>
      <c r="S195" s="40">
        <f t="shared" si="205"/>
        <v>0.06097560976</v>
      </c>
      <c r="T195" s="40">
        <f t="shared" si="205"/>
        <v>0.04545454545</v>
      </c>
    </row>
    <row r="196" ht="15.75" customHeight="1">
      <c r="F196" s="24"/>
      <c r="G196" s="19">
        <f>$G$14</f>
        <v>6</v>
      </c>
      <c r="H196" s="20">
        <v>287.0</v>
      </c>
      <c r="I196" s="20">
        <v>107.0</v>
      </c>
      <c r="J196" s="20">
        <v>15.0</v>
      </c>
      <c r="K196" s="20">
        <v>10.0</v>
      </c>
      <c r="L196" s="20">
        <v>6.0</v>
      </c>
      <c r="N196" s="24"/>
      <c r="O196" s="19">
        <f>$G$14</f>
        <v>6</v>
      </c>
      <c r="P196" s="40">
        <f t="shared" ref="P196:T196" si="206">H196/H$214</f>
        <v>0.02696101456</v>
      </c>
      <c r="Q196" s="40">
        <f t="shared" si="206"/>
        <v>0.03658119658</v>
      </c>
      <c r="R196" s="40">
        <f t="shared" si="206"/>
        <v>0.08196721311</v>
      </c>
      <c r="S196" s="40">
        <f t="shared" si="206"/>
        <v>0.06097560976</v>
      </c>
      <c r="T196" s="40">
        <f t="shared" si="206"/>
        <v>0.02479338843</v>
      </c>
    </row>
    <row r="197" ht="15.75" customHeight="1">
      <c r="F197" s="24"/>
      <c r="G197" s="19">
        <f>$G$15</f>
        <v>7</v>
      </c>
      <c r="H197" s="20">
        <v>530.0</v>
      </c>
      <c r="I197" s="20">
        <v>154.0</v>
      </c>
      <c r="J197" s="20">
        <v>37.0</v>
      </c>
      <c r="K197" s="20">
        <v>9.0</v>
      </c>
      <c r="L197" s="20">
        <v>9.0</v>
      </c>
      <c r="N197" s="24"/>
      <c r="O197" s="19">
        <f>$G$15</f>
        <v>7</v>
      </c>
      <c r="P197" s="40">
        <f t="shared" ref="P197:T197" si="207">H197/H$214</f>
        <v>0.04978863316</v>
      </c>
      <c r="Q197" s="40">
        <f t="shared" si="207"/>
        <v>0.05264957265</v>
      </c>
      <c r="R197" s="40">
        <f t="shared" si="207"/>
        <v>0.2021857923</v>
      </c>
      <c r="S197" s="40">
        <f t="shared" si="207"/>
        <v>0.05487804878</v>
      </c>
      <c r="T197" s="40">
        <f t="shared" si="207"/>
        <v>0.03719008264</v>
      </c>
    </row>
    <row r="198" ht="15.75" customHeight="1">
      <c r="F198" s="24"/>
      <c r="G198" s="19">
        <f>$G$16</f>
        <v>8</v>
      </c>
      <c r="H198" s="20">
        <v>754.0</v>
      </c>
      <c r="I198" s="20">
        <v>221.0</v>
      </c>
      <c r="J198" s="20">
        <v>16.0</v>
      </c>
      <c r="K198" s="20">
        <v>10.0</v>
      </c>
      <c r="L198" s="20">
        <v>33.0</v>
      </c>
      <c r="N198" s="24"/>
      <c r="O198" s="19">
        <f>$G$16</f>
        <v>8</v>
      </c>
      <c r="P198" s="40">
        <f t="shared" ref="P198:T198" si="208">H198/H$214</f>
        <v>0.07083137623</v>
      </c>
      <c r="Q198" s="40">
        <f t="shared" si="208"/>
        <v>0.07555555556</v>
      </c>
      <c r="R198" s="40">
        <f t="shared" si="208"/>
        <v>0.08743169399</v>
      </c>
      <c r="S198" s="40">
        <f t="shared" si="208"/>
        <v>0.06097560976</v>
      </c>
      <c r="T198" s="40">
        <f t="shared" si="208"/>
        <v>0.1363636364</v>
      </c>
    </row>
    <row r="199" ht="15.75" customHeight="1">
      <c r="F199" s="24"/>
      <c r="G199" s="19">
        <f>$G$17</f>
        <v>9</v>
      </c>
      <c r="H199" s="20">
        <v>1024.0</v>
      </c>
      <c r="I199" s="20">
        <v>279.0</v>
      </c>
      <c r="J199" s="20">
        <v>12.0</v>
      </c>
      <c r="K199" s="20">
        <v>9.0</v>
      </c>
      <c r="L199" s="20">
        <v>30.0</v>
      </c>
      <c r="N199" s="24"/>
      <c r="O199" s="19">
        <f>$G$17</f>
        <v>9</v>
      </c>
      <c r="P199" s="40">
        <f t="shared" ref="P199:T199" si="209">H199/H$214</f>
        <v>0.0961953969</v>
      </c>
      <c r="Q199" s="40">
        <f t="shared" si="209"/>
        <v>0.09538461538</v>
      </c>
      <c r="R199" s="40">
        <f t="shared" si="209"/>
        <v>0.06557377049</v>
      </c>
      <c r="S199" s="40">
        <f t="shared" si="209"/>
        <v>0.05487804878</v>
      </c>
      <c r="T199" s="40">
        <f t="shared" si="209"/>
        <v>0.1239669421</v>
      </c>
    </row>
    <row r="200" ht="15.75" customHeight="1">
      <c r="F200" s="24"/>
      <c r="G200" s="19">
        <f>$G$18</f>
        <v>10</v>
      </c>
      <c r="H200" s="20">
        <v>952.0</v>
      </c>
      <c r="I200" s="20">
        <v>247.0</v>
      </c>
      <c r="J200" s="20">
        <v>5.0</v>
      </c>
      <c r="K200" s="20">
        <v>14.0</v>
      </c>
      <c r="L200" s="20">
        <v>28.0</v>
      </c>
      <c r="N200" s="24"/>
      <c r="O200" s="19">
        <f>$G$18</f>
        <v>10</v>
      </c>
      <c r="P200" s="40">
        <f t="shared" ref="P200:T200" si="210">H200/H$214</f>
        <v>0.08943165806</v>
      </c>
      <c r="Q200" s="40">
        <f t="shared" si="210"/>
        <v>0.08444444444</v>
      </c>
      <c r="R200" s="40">
        <f t="shared" si="210"/>
        <v>0.02732240437</v>
      </c>
      <c r="S200" s="40">
        <f t="shared" si="210"/>
        <v>0.08536585366</v>
      </c>
      <c r="T200" s="40">
        <f t="shared" si="210"/>
        <v>0.1157024793</v>
      </c>
    </row>
    <row r="201" ht="15.75" customHeight="1">
      <c r="F201" s="24"/>
      <c r="G201" s="19">
        <f>$G$19</f>
        <v>11</v>
      </c>
      <c r="H201" s="20">
        <v>874.0</v>
      </c>
      <c r="I201" s="20">
        <v>204.0</v>
      </c>
      <c r="J201" s="20">
        <v>7.0</v>
      </c>
      <c r="K201" s="20">
        <v>4.0</v>
      </c>
      <c r="L201" s="20">
        <v>17.0</v>
      </c>
      <c r="N201" s="24"/>
      <c r="O201" s="19">
        <f>$G$19</f>
        <v>11</v>
      </c>
      <c r="P201" s="40">
        <f t="shared" ref="P201:T201" si="211">H201/H$214</f>
        <v>0.08210427431</v>
      </c>
      <c r="Q201" s="40">
        <f t="shared" si="211"/>
        <v>0.06974358974</v>
      </c>
      <c r="R201" s="40">
        <f t="shared" si="211"/>
        <v>0.03825136612</v>
      </c>
      <c r="S201" s="40">
        <f t="shared" si="211"/>
        <v>0.0243902439</v>
      </c>
      <c r="T201" s="40">
        <f t="shared" si="211"/>
        <v>0.07024793388</v>
      </c>
    </row>
    <row r="202" ht="15.75" customHeight="1">
      <c r="F202" s="24"/>
      <c r="G202" s="19">
        <f>$G$20</f>
        <v>12</v>
      </c>
      <c r="H202" s="20">
        <v>692.0</v>
      </c>
      <c r="I202" s="20">
        <v>167.0</v>
      </c>
      <c r="J202" s="20">
        <v>7.0</v>
      </c>
      <c r="K202" s="20">
        <v>11.0</v>
      </c>
      <c r="L202" s="20">
        <v>19.0</v>
      </c>
      <c r="N202" s="24"/>
      <c r="O202" s="19">
        <f>$G$20</f>
        <v>12</v>
      </c>
      <c r="P202" s="40">
        <f t="shared" ref="P202:T202" si="212">H202/H$214</f>
        <v>0.06500704556</v>
      </c>
      <c r="Q202" s="40">
        <f t="shared" si="212"/>
        <v>0.05709401709</v>
      </c>
      <c r="R202" s="40">
        <f t="shared" si="212"/>
        <v>0.03825136612</v>
      </c>
      <c r="S202" s="40">
        <f t="shared" si="212"/>
        <v>0.06707317073</v>
      </c>
      <c r="T202" s="40">
        <f t="shared" si="212"/>
        <v>0.07851239669</v>
      </c>
    </row>
    <row r="203" ht="15.75" customHeight="1">
      <c r="F203" s="24"/>
      <c r="G203" s="19">
        <f>$G$21</f>
        <v>13</v>
      </c>
      <c r="H203" s="20">
        <v>700.0</v>
      </c>
      <c r="I203" s="20">
        <v>193.0</v>
      </c>
      <c r="J203" s="20">
        <v>11.0</v>
      </c>
      <c r="K203" s="20">
        <v>12.0</v>
      </c>
      <c r="L203" s="20">
        <v>12.0</v>
      </c>
      <c r="N203" s="24"/>
      <c r="O203" s="19">
        <f>$G$21</f>
        <v>13</v>
      </c>
      <c r="P203" s="40">
        <f t="shared" ref="P203:T203" si="213">H203/H$214</f>
        <v>0.0657585721</v>
      </c>
      <c r="Q203" s="40">
        <f t="shared" si="213"/>
        <v>0.06598290598</v>
      </c>
      <c r="R203" s="40">
        <f t="shared" si="213"/>
        <v>0.06010928962</v>
      </c>
      <c r="S203" s="40">
        <f t="shared" si="213"/>
        <v>0.07317073171</v>
      </c>
      <c r="T203" s="40">
        <f t="shared" si="213"/>
        <v>0.04958677686</v>
      </c>
    </row>
    <row r="204" ht="15.75" customHeight="1">
      <c r="F204" s="24"/>
      <c r="G204" s="19">
        <f>$G$22</f>
        <v>14</v>
      </c>
      <c r="H204" s="20">
        <v>736.0</v>
      </c>
      <c r="I204" s="20">
        <v>196.0</v>
      </c>
      <c r="J204" s="20">
        <v>9.0</v>
      </c>
      <c r="K204" s="20">
        <v>7.0</v>
      </c>
      <c r="L204" s="20">
        <v>19.0</v>
      </c>
      <c r="N204" s="24"/>
      <c r="O204" s="19">
        <f>$G$22</f>
        <v>14</v>
      </c>
      <c r="P204" s="40">
        <f t="shared" ref="P204:T204" si="214">H204/H$214</f>
        <v>0.06914044152</v>
      </c>
      <c r="Q204" s="40">
        <f t="shared" si="214"/>
        <v>0.06700854701</v>
      </c>
      <c r="R204" s="40">
        <f t="shared" si="214"/>
        <v>0.04918032787</v>
      </c>
      <c r="S204" s="40">
        <f t="shared" si="214"/>
        <v>0.04268292683</v>
      </c>
      <c r="T204" s="40">
        <f t="shared" si="214"/>
        <v>0.07851239669</v>
      </c>
    </row>
    <row r="205" ht="15.75" customHeight="1">
      <c r="F205" s="24"/>
      <c r="G205" s="19">
        <f>$G$23</f>
        <v>15</v>
      </c>
      <c r="H205" s="20">
        <v>643.0</v>
      </c>
      <c r="I205" s="20">
        <v>175.0</v>
      </c>
      <c r="J205" s="20">
        <v>7.0</v>
      </c>
      <c r="K205" s="20">
        <v>7.0</v>
      </c>
      <c r="L205" s="20">
        <v>8.0</v>
      </c>
      <c r="N205" s="24"/>
      <c r="O205" s="19">
        <f>$G$23</f>
        <v>15</v>
      </c>
      <c r="P205" s="40">
        <f t="shared" ref="P205:T205" si="215">H205/H$214</f>
        <v>0.06040394551</v>
      </c>
      <c r="Q205" s="40">
        <f t="shared" si="215"/>
        <v>0.05982905983</v>
      </c>
      <c r="R205" s="40">
        <f t="shared" si="215"/>
        <v>0.03825136612</v>
      </c>
      <c r="S205" s="40">
        <f t="shared" si="215"/>
        <v>0.04268292683</v>
      </c>
      <c r="T205" s="40">
        <f t="shared" si="215"/>
        <v>0.03305785124</v>
      </c>
    </row>
    <row r="206" ht="15.75" customHeight="1">
      <c r="F206" s="24"/>
      <c r="G206" s="19">
        <f>$G$24</f>
        <v>16</v>
      </c>
      <c r="H206" s="20">
        <v>530.0</v>
      </c>
      <c r="I206" s="20">
        <v>166.0</v>
      </c>
      <c r="J206" s="20">
        <v>9.0</v>
      </c>
      <c r="K206" s="20">
        <v>7.0</v>
      </c>
      <c r="L206" s="20">
        <v>3.0</v>
      </c>
      <c r="N206" s="24"/>
      <c r="O206" s="19">
        <f>$G$24</f>
        <v>16</v>
      </c>
      <c r="P206" s="40">
        <f t="shared" ref="P206:T206" si="216">H206/H$214</f>
        <v>0.04978863316</v>
      </c>
      <c r="Q206" s="40">
        <f t="shared" si="216"/>
        <v>0.05675213675</v>
      </c>
      <c r="R206" s="40">
        <f t="shared" si="216"/>
        <v>0.04918032787</v>
      </c>
      <c r="S206" s="40">
        <f t="shared" si="216"/>
        <v>0.04268292683</v>
      </c>
      <c r="T206" s="40">
        <f t="shared" si="216"/>
        <v>0.01239669421</v>
      </c>
    </row>
    <row r="207" ht="15.75" customHeight="1">
      <c r="F207" s="24"/>
      <c r="G207" s="19">
        <f>$G$25</f>
        <v>17</v>
      </c>
      <c r="H207" s="20">
        <v>493.0</v>
      </c>
      <c r="I207" s="20">
        <v>156.0</v>
      </c>
      <c r="J207" s="20">
        <v>13.0</v>
      </c>
      <c r="K207" s="20">
        <v>3.0</v>
      </c>
      <c r="L207" s="20">
        <v>5.0</v>
      </c>
      <c r="N207" s="24"/>
      <c r="O207" s="19">
        <f>$G$25</f>
        <v>17</v>
      </c>
      <c r="P207" s="40">
        <f t="shared" ref="P207:T207" si="217">H207/H$214</f>
        <v>0.04631282292</v>
      </c>
      <c r="Q207" s="40">
        <f t="shared" si="217"/>
        <v>0.05333333333</v>
      </c>
      <c r="R207" s="40">
        <f t="shared" si="217"/>
        <v>0.07103825137</v>
      </c>
      <c r="S207" s="40">
        <f t="shared" si="217"/>
        <v>0.01829268293</v>
      </c>
      <c r="T207" s="40">
        <f t="shared" si="217"/>
        <v>0.02066115702</v>
      </c>
    </row>
    <row r="208" ht="15.75" customHeight="1">
      <c r="F208" s="24"/>
      <c r="G208" s="19">
        <f>$G$26</f>
        <v>18</v>
      </c>
      <c r="H208" s="20">
        <v>421.0</v>
      </c>
      <c r="I208" s="20">
        <v>101.0</v>
      </c>
      <c r="J208" s="20">
        <v>9.0</v>
      </c>
      <c r="K208" s="20">
        <v>7.0</v>
      </c>
      <c r="L208" s="20">
        <v>3.0</v>
      </c>
      <c r="N208" s="24"/>
      <c r="O208" s="19">
        <f>$G$26</f>
        <v>18</v>
      </c>
      <c r="P208" s="40">
        <f t="shared" ref="P208:T208" si="218">H208/H$214</f>
        <v>0.03954908408</v>
      </c>
      <c r="Q208" s="40">
        <f t="shared" si="218"/>
        <v>0.03452991453</v>
      </c>
      <c r="R208" s="40">
        <f t="shared" si="218"/>
        <v>0.04918032787</v>
      </c>
      <c r="S208" s="40">
        <f t="shared" si="218"/>
        <v>0.04268292683</v>
      </c>
      <c r="T208" s="40">
        <f t="shared" si="218"/>
        <v>0.01239669421</v>
      </c>
    </row>
    <row r="209" ht="15.75" customHeight="1">
      <c r="F209" s="24"/>
      <c r="G209" s="19">
        <f>$G$27</f>
        <v>19</v>
      </c>
      <c r="H209" s="20">
        <v>434.0</v>
      </c>
      <c r="I209" s="20">
        <v>106.0</v>
      </c>
      <c r="J209" s="20">
        <v>8.0</v>
      </c>
      <c r="K209" s="20">
        <v>5.0</v>
      </c>
      <c r="L209" s="20">
        <v>2.0</v>
      </c>
      <c r="N209" s="24"/>
      <c r="O209" s="19">
        <f>$G$27</f>
        <v>19</v>
      </c>
      <c r="P209" s="40">
        <f t="shared" ref="P209:T209" si="219">H209/H$214</f>
        <v>0.0407703147</v>
      </c>
      <c r="Q209" s="40">
        <f t="shared" si="219"/>
        <v>0.03623931624</v>
      </c>
      <c r="R209" s="40">
        <f t="shared" si="219"/>
        <v>0.04371584699</v>
      </c>
      <c r="S209" s="40">
        <f t="shared" si="219"/>
        <v>0.03048780488</v>
      </c>
      <c r="T209" s="40">
        <f t="shared" si="219"/>
        <v>0.00826446281</v>
      </c>
    </row>
    <row r="210" ht="15.75" customHeight="1">
      <c r="F210" s="24"/>
      <c r="G210" s="19">
        <f>$G$28</f>
        <v>20</v>
      </c>
      <c r="H210" s="20">
        <v>409.0</v>
      </c>
      <c r="I210" s="20">
        <v>105.0</v>
      </c>
      <c r="J210" s="20">
        <v>1.0</v>
      </c>
      <c r="K210" s="20">
        <v>7.0</v>
      </c>
      <c r="L210" s="20">
        <v>4.0</v>
      </c>
      <c r="N210" s="24"/>
      <c r="O210" s="19">
        <f>$G$28</f>
        <v>20</v>
      </c>
      <c r="P210" s="40">
        <f t="shared" ref="P210:T210" si="220">H210/H$214</f>
        <v>0.03842179427</v>
      </c>
      <c r="Q210" s="40">
        <f t="shared" si="220"/>
        <v>0.0358974359</v>
      </c>
      <c r="R210" s="40">
        <f t="shared" si="220"/>
        <v>0.005464480874</v>
      </c>
      <c r="S210" s="40">
        <f t="shared" si="220"/>
        <v>0.04268292683</v>
      </c>
      <c r="T210" s="40">
        <f t="shared" si="220"/>
        <v>0.01652892562</v>
      </c>
    </row>
    <row r="211" ht="15.75" customHeight="1">
      <c r="F211" s="24"/>
      <c r="G211" s="19">
        <f>$G$29</f>
        <v>21</v>
      </c>
      <c r="H211" s="20">
        <v>330.0</v>
      </c>
      <c r="I211" s="20">
        <v>76.0</v>
      </c>
      <c r="J211" s="20">
        <v>3.0</v>
      </c>
      <c r="K211" s="20">
        <v>4.0</v>
      </c>
      <c r="L211" s="20">
        <v>6.0</v>
      </c>
      <c r="N211" s="24"/>
      <c r="O211" s="19">
        <f>$G$29</f>
        <v>21</v>
      </c>
      <c r="P211" s="40">
        <f t="shared" ref="P211:T211" si="221">H211/H$214</f>
        <v>0.0310004697</v>
      </c>
      <c r="Q211" s="40">
        <f t="shared" si="221"/>
        <v>0.02598290598</v>
      </c>
      <c r="R211" s="40">
        <f t="shared" si="221"/>
        <v>0.01639344262</v>
      </c>
      <c r="S211" s="40">
        <f t="shared" si="221"/>
        <v>0.0243902439</v>
      </c>
      <c r="T211" s="40">
        <f t="shared" si="221"/>
        <v>0.02479338843</v>
      </c>
    </row>
    <row r="212" ht="15.75" customHeight="1">
      <c r="F212" s="24"/>
      <c r="G212" s="19">
        <f>$G$30</f>
        <v>22</v>
      </c>
      <c r="H212" s="20">
        <v>211.0</v>
      </c>
      <c r="I212" s="20">
        <v>52.0</v>
      </c>
      <c r="J212" s="20">
        <v>1.0</v>
      </c>
      <c r="K212" s="20">
        <v>1.0</v>
      </c>
      <c r="L212" s="20">
        <v>8.0</v>
      </c>
      <c r="N212" s="24"/>
      <c r="O212" s="19">
        <f>$G$30</f>
        <v>22</v>
      </c>
      <c r="P212" s="40">
        <f t="shared" ref="P212:T212" si="222">H212/H$214</f>
        <v>0.01982151245</v>
      </c>
      <c r="Q212" s="40">
        <f t="shared" si="222"/>
        <v>0.01777777778</v>
      </c>
      <c r="R212" s="40">
        <f t="shared" si="222"/>
        <v>0.005464480874</v>
      </c>
      <c r="S212" s="40">
        <f t="shared" si="222"/>
        <v>0.006097560976</v>
      </c>
      <c r="T212" s="40">
        <f t="shared" si="222"/>
        <v>0.03305785124</v>
      </c>
    </row>
    <row r="213" ht="15.75" customHeight="1">
      <c r="F213" s="28"/>
      <c r="G213" s="19">
        <f>$G$31</f>
        <v>23</v>
      </c>
      <c r="H213" s="20">
        <v>104.0</v>
      </c>
      <c r="I213" s="20">
        <v>28.0</v>
      </c>
      <c r="J213" s="20">
        <v>2.0</v>
      </c>
      <c r="K213" s="20">
        <v>8.0</v>
      </c>
      <c r="L213" s="20">
        <v>6.0</v>
      </c>
      <c r="N213" s="28"/>
      <c r="O213" s="19">
        <f>$G$31</f>
        <v>23</v>
      </c>
      <c r="P213" s="40">
        <f t="shared" ref="P213:T213" si="223">H213/H$214</f>
        <v>0.009769844998</v>
      </c>
      <c r="Q213" s="40">
        <f t="shared" si="223"/>
        <v>0.009572649573</v>
      </c>
      <c r="R213" s="40">
        <f t="shared" si="223"/>
        <v>0.01092896175</v>
      </c>
      <c r="S213" s="40">
        <f t="shared" si="223"/>
        <v>0.0487804878</v>
      </c>
      <c r="T213" s="40">
        <f t="shared" si="223"/>
        <v>0.02479338843</v>
      </c>
    </row>
    <row r="214" ht="15.75" customHeight="1">
      <c r="F214" s="111"/>
      <c r="G214" s="112"/>
      <c r="H214" s="26">
        <f t="shared" ref="H214:L214" si="224">SUM(H190:H213)</f>
        <v>10645</v>
      </c>
      <c r="I214" s="26">
        <f t="shared" si="224"/>
        <v>2925</v>
      </c>
      <c r="J214" s="26">
        <f t="shared" si="224"/>
        <v>183</v>
      </c>
      <c r="K214" s="26">
        <f t="shared" si="224"/>
        <v>164</v>
      </c>
      <c r="L214" s="26">
        <f t="shared" si="224"/>
        <v>242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70.0</v>
      </c>
      <c r="I216" s="20">
        <v>19.0</v>
      </c>
      <c r="J216" s="20"/>
      <c r="K216" s="20">
        <v>4.0</v>
      </c>
      <c r="L216" s="20">
        <v>3.0</v>
      </c>
      <c r="N216" s="56">
        <v>45215.0</v>
      </c>
      <c r="O216" s="19">
        <f>$G$8</f>
        <v>0</v>
      </c>
      <c r="P216" s="40">
        <f t="shared" ref="P216:T216" si="225">H216/H$240</f>
        <v>0.009222661397</v>
      </c>
      <c r="Q216" s="40">
        <f t="shared" si="225"/>
        <v>0.006365159129</v>
      </c>
      <c r="R216" s="40">
        <f t="shared" si="225"/>
        <v>0</v>
      </c>
      <c r="S216" s="40">
        <f t="shared" si="225"/>
        <v>0.007104795737</v>
      </c>
      <c r="T216" s="40">
        <f t="shared" si="225"/>
        <v>0.004172461752</v>
      </c>
    </row>
    <row r="217" ht="15.75" customHeight="1">
      <c r="F217" s="24"/>
      <c r="G217" s="19">
        <f>$G$9</f>
        <v>1</v>
      </c>
      <c r="H217" s="20">
        <v>52.0</v>
      </c>
      <c r="I217" s="20">
        <v>16.0</v>
      </c>
      <c r="J217" s="20">
        <v>1.0</v>
      </c>
      <c r="K217" s="20">
        <v>6.0</v>
      </c>
      <c r="L217" s="20">
        <v>2.0</v>
      </c>
      <c r="N217" s="24"/>
      <c r="O217" s="19">
        <f>$G$9</f>
        <v>1</v>
      </c>
      <c r="P217" s="40">
        <f t="shared" ref="P217:T217" si="226">H217/H$240</f>
        <v>0.006851119895</v>
      </c>
      <c r="Q217" s="40">
        <f t="shared" si="226"/>
        <v>0.005360134003</v>
      </c>
      <c r="R217" s="40">
        <f t="shared" si="226"/>
        <v>0.007299270073</v>
      </c>
      <c r="S217" s="40">
        <f t="shared" si="226"/>
        <v>0.01065719361</v>
      </c>
      <c r="T217" s="40">
        <f t="shared" si="226"/>
        <v>0.002781641168</v>
      </c>
    </row>
    <row r="218" ht="15.75" customHeight="1">
      <c r="F218" s="24"/>
      <c r="G218" s="19">
        <f>$G$10</f>
        <v>2</v>
      </c>
      <c r="H218" s="16">
        <v>39.0</v>
      </c>
      <c r="I218" s="16">
        <v>11.0</v>
      </c>
      <c r="J218" s="16">
        <v>1.0</v>
      </c>
      <c r="K218" s="16">
        <v>4.0</v>
      </c>
      <c r="L218" s="16">
        <v>6.0</v>
      </c>
      <c r="N218" s="24"/>
      <c r="O218" s="19">
        <f>$G$10</f>
        <v>2</v>
      </c>
      <c r="P218" s="40">
        <f t="shared" ref="P218:T218" si="227">H218/H$240</f>
        <v>0.005138339921</v>
      </c>
      <c r="Q218" s="40">
        <f t="shared" si="227"/>
        <v>0.003685092127</v>
      </c>
      <c r="R218" s="40">
        <f t="shared" si="227"/>
        <v>0.007299270073</v>
      </c>
      <c r="S218" s="40">
        <f t="shared" si="227"/>
        <v>0.007104795737</v>
      </c>
      <c r="T218" s="40">
        <f t="shared" si="227"/>
        <v>0.008344923505</v>
      </c>
    </row>
    <row r="219" ht="15.75" customHeight="1">
      <c r="F219" s="24"/>
      <c r="G219" s="19">
        <f>$G$11</f>
        <v>3</v>
      </c>
      <c r="H219" s="20">
        <v>52.0</v>
      </c>
      <c r="I219" s="20">
        <v>16.0</v>
      </c>
      <c r="J219" s="20"/>
      <c r="K219" s="20">
        <v>11.0</v>
      </c>
      <c r="L219" s="20">
        <v>2.0</v>
      </c>
      <c r="N219" s="24"/>
      <c r="O219" s="19">
        <f>$G$11</f>
        <v>3</v>
      </c>
      <c r="P219" s="40">
        <f t="shared" ref="P219:T219" si="228">H219/H$240</f>
        <v>0.006851119895</v>
      </c>
      <c r="Q219" s="40">
        <f t="shared" si="228"/>
        <v>0.005360134003</v>
      </c>
      <c r="R219" s="40">
        <f t="shared" si="228"/>
        <v>0</v>
      </c>
      <c r="S219" s="40">
        <f t="shared" si="228"/>
        <v>0.01953818828</v>
      </c>
      <c r="T219" s="40">
        <f t="shared" si="228"/>
        <v>0.002781641168</v>
      </c>
    </row>
    <row r="220" ht="15.75" customHeight="1">
      <c r="F220" s="24"/>
      <c r="G220" s="19">
        <f>$G$12</f>
        <v>4</v>
      </c>
      <c r="H220" s="20">
        <v>70.0</v>
      </c>
      <c r="I220" s="20">
        <v>52.0</v>
      </c>
      <c r="J220" s="20"/>
      <c r="K220" s="20">
        <v>18.0</v>
      </c>
      <c r="L220" s="20">
        <v>10.0</v>
      </c>
      <c r="N220" s="24"/>
      <c r="O220" s="19">
        <f>$G$12</f>
        <v>4</v>
      </c>
      <c r="P220" s="40">
        <f t="shared" ref="P220:T220" si="229">H220/H$240</f>
        <v>0.009222661397</v>
      </c>
      <c r="Q220" s="40">
        <f t="shared" si="229"/>
        <v>0.01742043551</v>
      </c>
      <c r="R220" s="40">
        <f t="shared" si="229"/>
        <v>0</v>
      </c>
      <c r="S220" s="40">
        <f t="shared" si="229"/>
        <v>0.03197158082</v>
      </c>
      <c r="T220" s="40">
        <f t="shared" si="229"/>
        <v>0.01390820584</v>
      </c>
    </row>
    <row r="221" ht="15.75" customHeight="1">
      <c r="F221" s="24"/>
      <c r="G221" s="19">
        <f>$G$13</f>
        <v>5</v>
      </c>
      <c r="H221" s="20">
        <v>181.0</v>
      </c>
      <c r="I221" s="20">
        <v>82.0</v>
      </c>
      <c r="J221" s="20">
        <v>4.0</v>
      </c>
      <c r="K221" s="20">
        <v>20.0</v>
      </c>
      <c r="L221" s="20">
        <v>18.0</v>
      </c>
      <c r="N221" s="24"/>
      <c r="O221" s="19">
        <f>$G$13</f>
        <v>5</v>
      </c>
      <c r="P221" s="40">
        <f t="shared" ref="P221:T221" si="230">H221/H$240</f>
        <v>0.02384716733</v>
      </c>
      <c r="Q221" s="40">
        <f t="shared" si="230"/>
        <v>0.02747068677</v>
      </c>
      <c r="R221" s="40">
        <f t="shared" si="230"/>
        <v>0.02919708029</v>
      </c>
      <c r="S221" s="40">
        <f t="shared" si="230"/>
        <v>0.03552397869</v>
      </c>
      <c r="T221" s="40">
        <f t="shared" si="230"/>
        <v>0.02503477051</v>
      </c>
    </row>
    <row r="222" ht="15.75" customHeight="1">
      <c r="F222" s="24"/>
      <c r="G222" s="19">
        <f>$G$14</f>
        <v>6</v>
      </c>
      <c r="H222" s="20">
        <v>423.0</v>
      </c>
      <c r="I222" s="20">
        <v>146.0</v>
      </c>
      <c r="J222" s="20">
        <v>14.0</v>
      </c>
      <c r="K222" s="20">
        <v>34.0</v>
      </c>
      <c r="L222" s="20">
        <v>30.0</v>
      </c>
      <c r="N222" s="24"/>
      <c r="O222" s="19">
        <f>$G$14</f>
        <v>6</v>
      </c>
      <c r="P222" s="40">
        <f t="shared" ref="P222:T222" si="231">H222/H$240</f>
        <v>0.0557312253</v>
      </c>
      <c r="Q222" s="40">
        <f t="shared" si="231"/>
        <v>0.04891122278</v>
      </c>
      <c r="R222" s="40">
        <f t="shared" si="231"/>
        <v>0.102189781</v>
      </c>
      <c r="S222" s="40">
        <f t="shared" si="231"/>
        <v>0.06039076377</v>
      </c>
      <c r="T222" s="40">
        <f t="shared" si="231"/>
        <v>0.04172461752</v>
      </c>
    </row>
    <row r="223" ht="15.75" customHeight="1">
      <c r="F223" s="24"/>
      <c r="G223" s="19">
        <f>$G$15</f>
        <v>7</v>
      </c>
      <c r="H223" s="20">
        <v>637.0</v>
      </c>
      <c r="I223" s="20">
        <v>243.0</v>
      </c>
      <c r="J223" s="20">
        <v>25.0</v>
      </c>
      <c r="K223" s="20">
        <v>46.0</v>
      </c>
      <c r="L223" s="20">
        <v>35.0</v>
      </c>
      <c r="N223" s="24"/>
      <c r="O223" s="19">
        <f>$G$15</f>
        <v>7</v>
      </c>
      <c r="P223" s="40">
        <f t="shared" ref="P223:T223" si="232">H223/H$240</f>
        <v>0.08392621871</v>
      </c>
      <c r="Q223" s="40">
        <f t="shared" si="232"/>
        <v>0.08140703518</v>
      </c>
      <c r="R223" s="40">
        <f t="shared" si="232"/>
        <v>0.1824817518</v>
      </c>
      <c r="S223" s="40">
        <f t="shared" si="232"/>
        <v>0.08170515098</v>
      </c>
      <c r="T223" s="40">
        <f t="shared" si="232"/>
        <v>0.04867872045</v>
      </c>
    </row>
    <row r="224" ht="15.75" customHeight="1">
      <c r="F224" s="24"/>
      <c r="G224" s="19">
        <f>$G$16</f>
        <v>8</v>
      </c>
      <c r="H224" s="20">
        <v>620.0</v>
      </c>
      <c r="I224" s="20">
        <v>281.0</v>
      </c>
      <c r="J224" s="20">
        <v>17.0</v>
      </c>
      <c r="K224" s="20">
        <v>55.0</v>
      </c>
      <c r="L224" s="20">
        <v>56.0</v>
      </c>
      <c r="N224" s="24"/>
      <c r="O224" s="19">
        <f>$G$16</f>
        <v>8</v>
      </c>
      <c r="P224" s="40">
        <f t="shared" ref="P224:T224" si="233">H224/H$240</f>
        <v>0.08168642951</v>
      </c>
      <c r="Q224" s="40">
        <f t="shared" si="233"/>
        <v>0.09413735343</v>
      </c>
      <c r="R224" s="40">
        <f t="shared" si="233"/>
        <v>0.1240875912</v>
      </c>
      <c r="S224" s="40">
        <f t="shared" si="233"/>
        <v>0.09769094139</v>
      </c>
      <c r="T224" s="40">
        <f t="shared" si="233"/>
        <v>0.07788595271</v>
      </c>
    </row>
    <row r="225" ht="15.75" customHeight="1">
      <c r="F225" s="24"/>
      <c r="G225" s="19">
        <f>$G$17</f>
        <v>9</v>
      </c>
      <c r="H225" s="20">
        <v>709.0</v>
      </c>
      <c r="I225" s="20">
        <v>312.0</v>
      </c>
      <c r="J225" s="20">
        <v>15.0</v>
      </c>
      <c r="K225" s="20">
        <v>50.0</v>
      </c>
      <c r="L225" s="20">
        <v>73.0</v>
      </c>
      <c r="N225" s="24"/>
      <c r="O225" s="19">
        <f>$G$17</f>
        <v>9</v>
      </c>
      <c r="P225" s="40">
        <f t="shared" ref="P225:T225" si="234">H225/H$240</f>
        <v>0.09341238472</v>
      </c>
      <c r="Q225" s="40">
        <f t="shared" si="234"/>
        <v>0.1045226131</v>
      </c>
      <c r="R225" s="40">
        <f t="shared" si="234"/>
        <v>0.1094890511</v>
      </c>
      <c r="S225" s="40">
        <f t="shared" si="234"/>
        <v>0.08880994671</v>
      </c>
      <c r="T225" s="40">
        <f t="shared" si="234"/>
        <v>0.1015299026</v>
      </c>
    </row>
    <row r="226" ht="15.75" customHeight="1">
      <c r="F226" s="24"/>
      <c r="G226" s="19">
        <f>$G$18</f>
        <v>10</v>
      </c>
      <c r="H226" s="20">
        <v>636.0</v>
      </c>
      <c r="I226" s="20">
        <v>244.0</v>
      </c>
      <c r="J226" s="20">
        <v>7.0</v>
      </c>
      <c r="K226" s="20">
        <v>33.0</v>
      </c>
      <c r="L226" s="20">
        <v>64.0</v>
      </c>
      <c r="N226" s="24"/>
      <c r="O226" s="19">
        <f>$G$18</f>
        <v>10</v>
      </c>
      <c r="P226" s="40">
        <f t="shared" ref="P226:T226" si="235">H226/H$240</f>
        <v>0.0837944664</v>
      </c>
      <c r="Q226" s="40">
        <f t="shared" si="235"/>
        <v>0.08174204355</v>
      </c>
      <c r="R226" s="40">
        <f t="shared" si="235"/>
        <v>0.05109489051</v>
      </c>
      <c r="S226" s="40">
        <f t="shared" si="235"/>
        <v>0.05861456483</v>
      </c>
      <c r="T226" s="40">
        <f t="shared" si="235"/>
        <v>0.08901251739</v>
      </c>
    </row>
    <row r="227" ht="15.75" customHeight="1">
      <c r="F227" s="24"/>
      <c r="G227" s="19">
        <f>$G$19</f>
        <v>11</v>
      </c>
      <c r="H227" s="20">
        <v>528.0</v>
      </c>
      <c r="I227" s="20">
        <v>204.0</v>
      </c>
      <c r="J227" s="20">
        <v>5.0</v>
      </c>
      <c r="K227" s="20">
        <v>38.0</v>
      </c>
      <c r="L227" s="20">
        <v>70.0</v>
      </c>
      <c r="N227" s="24"/>
      <c r="O227" s="19">
        <f>$G$19</f>
        <v>11</v>
      </c>
      <c r="P227" s="40">
        <f t="shared" ref="P227:T227" si="236">H227/H$240</f>
        <v>0.06956521739</v>
      </c>
      <c r="Q227" s="40">
        <f t="shared" si="236"/>
        <v>0.06834170854</v>
      </c>
      <c r="R227" s="40">
        <f t="shared" si="236"/>
        <v>0.03649635036</v>
      </c>
      <c r="S227" s="40">
        <f t="shared" si="236"/>
        <v>0.0674955595</v>
      </c>
      <c r="T227" s="40">
        <f t="shared" si="236"/>
        <v>0.09735744089</v>
      </c>
    </row>
    <row r="228" ht="15.75" customHeight="1">
      <c r="F228" s="24"/>
      <c r="G228" s="19">
        <f>$G$20</f>
        <v>12</v>
      </c>
      <c r="H228" s="20">
        <v>391.0</v>
      </c>
      <c r="I228" s="20">
        <v>159.0</v>
      </c>
      <c r="J228" s="20">
        <v>10.0</v>
      </c>
      <c r="K228" s="20">
        <v>30.0</v>
      </c>
      <c r="L228" s="20">
        <v>56.0</v>
      </c>
      <c r="N228" s="24"/>
      <c r="O228" s="19">
        <f>$G$20</f>
        <v>12</v>
      </c>
      <c r="P228" s="40">
        <f t="shared" ref="P228:T228" si="237">H228/H$240</f>
        <v>0.05151515152</v>
      </c>
      <c r="Q228" s="40">
        <f t="shared" si="237"/>
        <v>0.05326633166</v>
      </c>
      <c r="R228" s="40">
        <f t="shared" si="237"/>
        <v>0.07299270073</v>
      </c>
      <c r="S228" s="40">
        <f t="shared" si="237"/>
        <v>0.05328596803</v>
      </c>
      <c r="T228" s="40">
        <f t="shared" si="237"/>
        <v>0.07788595271</v>
      </c>
    </row>
    <row r="229" ht="15.75" customHeight="1">
      <c r="F229" s="24"/>
      <c r="G229" s="19">
        <f>$G$21</f>
        <v>13</v>
      </c>
      <c r="H229" s="20">
        <v>406.0</v>
      </c>
      <c r="I229" s="20">
        <v>154.0</v>
      </c>
      <c r="J229" s="20">
        <v>7.0</v>
      </c>
      <c r="K229" s="20">
        <v>29.0</v>
      </c>
      <c r="L229" s="20">
        <v>62.0</v>
      </c>
      <c r="N229" s="24"/>
      <c r="O229" s="19">
        <f>$G$21</f>
        <v>13</v>
      </c>
      <c r="P229" s="40">
        <f t="shared" ref="P229:T229" si="238">H229/H$240</f>
        <v>0.0534914361</v>
      </c>
      <c r="Q229" s="40">
        <f t="shared" si="238"/>
        <v>0.05159128978</v>
      </c>
      <c r="R229" s="40">
        <f t="shared" si="238"/>
        <v>0.05109489051</v>
      </c>
      <c r="S229" s="40">
        <f t="shared" si="238"/>
        <v>0.05150976909</v>
      </c>
      <c r="T229" s="40">
        <f t="shared" si="238"/>
        <v>0.08623087622</v>
      </c>
    </row>
    <row r="230" ht="15.75" customHeight="1">
      <c r="F230" s="24"/>
      <c r="G230" s="19">
        <f>$G$22</f>
        <v>14</v>
      </c>
      <c r="H230" s="20">
        <v>404.0</v>
      </c>
      <c r="I230" s="20">
        <v>152.0</v>
      </c>
      <c r="J230" s="20">
        <v>8.0</v>
      </c>
      <c r="K230" s="20">
        <v>32.0</v>
      </c>
      <c r="L230" s="20">
        <v>57.0</v>
      </c>
      <c r="N230" s="24"/>
      <c r="O230" s="19">
        <f>$G$22</f>
        <v>14</v>
      </c>
      <c r="P230" s="40">
        <f t="shared" ref="P230:T230" si="239">H230/H$240</f>
        <v>0.05322793149</v>
      </c>
      <c r="Q230" s="40">
        <f t="shared" si="239"/>
        <v>0.05092127303</v>
      </c>
      <c r="R230" s="40">
        <f t="shared" si="239"/>
        <v>0.05839416058</v>
      </c>
      <c r="S230" s="40">
        <f t="shared" si="239"/>
        <v>0.0568383659</v>
      </c>
      <c r="T230" s="40">
        <f t="shared" si="239"/>
        <v>0.0792767733</v>
      </c>
    </row>
    <row r="231" ht="15.75" customHeight="1">
      <c r="F231" s="24"/>
      <c r="G231" s="19">
        <f>$G$23</f>
        <v>15</v>
      </c>
      <c r="H231" s="20">
        <v>399.0</v>
      </c>
      <c r="I231" s="20">
        <v>167.0</v>
      </c>
      <c r="J231" s="20">
        <v>10.0</v>
      </c>
      <c r="K231" s="20">
        <v>24.0</v>
      </c>
      <c r="L231" s="20">
        <v>43.0</v>
      </c>
      <c r="N231" s="24"/>
      <c r="O231" s="19">
        <f>$G$23</f>
        <v>15</v>
      </c>
      <c r="P231" s="40">
        <f t="shared" ref="P231:T231" si="240">H231/H$240</f>
        <v>0.05256916996</v>
      </c>
      <c r="Q231" s="40">
        <f t="shared" si="240"/>
        <v>0.05594639866</v>
      </c>
      <c r="R231" s="40">
        <f t="shared" si="240"/>
        <v>0.07299270073</v>
      </c>
      <c r="S231" s="40">
        <f t="shared" si="240"/>
        <v>0.04262877442</v>
      </c>
      <c r="T231" s="40">
        <f t="shared" si="240"/>
        <v>0.05980528512</v>
      </c>
    </row>
    <row r="232" ht="15.75" customHeight="1">
      <c r="F232" s="24"/>
      <c r="G232" s="19">
        <f>$G$24</f>
        <v>16</v>
      </c>
      <c r="H232" s="20">
        <v>356.0</v>
      </c>
      <c r="I232" s="20">
        <v>176.0</v>
      </c>
      <c r="J232" s="20">
        <v>2.0</v>
      </c>
      <c r="K232" s="20">
        <v>36.0</v>
      </c>
      <c r="L232" s="20">
        <v>43.0</v>
      </c>
      <c r="N232" s="24"/>
      <c r="O232" s="19">
        <f>$G$24</f>
        <v>16</v>
      </c>
      <c r="P232" s="40">
        <f t="shared" ref="P232:T232" si="241">H232/H$240</f>
        <v>0.04690382082</v>
      </c>
      <c r="Q232" s="40">
        <f t="shared" si="241"/>
        <v>0.05896147404</v>
      </c>
      <c r="R232" s="40">
        <f t="shared" si="241"/>
        <v>0.01459854015</v>
      </c>
      <c r="S232" s="40">
        <f t="shared" si="241"/>
        <v>0.06394316163</v>
      </c>
      <c r="T232" s="40">
        <f t="shared" si="241"/>
        <v>0.05980528512</v>
      </c>
    </row>
    <row r="233" ht="15.75" customHeight="1">
      <c r="F233" s="24"/>
      <c r="G233" s="19">
        <f>$G$25</f>
        <v>17</v>
      </c>
      <c r="H233" s="20">
        <v>410.0</v>
      </c>
      <c r="I233" s="20">
        <v>221.0</v>
      </c>
      <c r="J233" s="20">
        <v>2.0</v>
      </c>
      <c r="K233" s="20">
        <v>18.0</v>
      </c>
      <c r="L233" s="20">
        <v>25.0</v>
      </c>
      <c r="N233" s="24"/>
      <c r="O233" s="19">
        <f>$G$25</f>
        <v>17</v>
      </c>
      <c r="P233" s="40">
        <f t="shared" ref="P233:T233" si="242">H233/H$240</f>
        <v>0.05401844532</v>
      </c>
      <c r="Q233" s="40">
        <f t="shared" si="242"/>
        <v>0.07403685092</v>
      </c>
      <c r="R233" s="40">
        <f t="shared" si="242"/>
        <v>0.01459854015</v>
      </c>
      <c r="S233" s="40">
        <f t="shared" si="242"/>
        <v>0.03197158082</v>
      </c>
      <c r="T233" s="40">
        <f t="shared" si="242"/>
        <v>0.0347705146</v>
      </c>
    </row>
    <row r="234" ht="15.75" customHeight="1">
      <c r="F234" s="24"/>
      <c r="G234" s="19">
        <f>$G$26</f>
        <v>18</v>
      </c>
      <c r="H234" s="20">
        <v>287.0</v>
      </c>
      <c r="I234" s="20">
        <v>82.0</v>
      </c>
      <c r="J234" s="20"/>
      <c r="K234" s="20">
        <v>18.0</v>
      </c>
      <c r="L234" s="20">
        <v>13.0</v>
      </c>
      <c r="N234" s="24"/>
      <c r="O234" s="19">
        <f>$G$26</f>
        <v>18</v>
      </c>
      <c r="P234" s="40">
        <f t="shared" ref="P234:T234" si="243">H234/H$240</f>
        <v>0.03781291173</v>
      </c>
      <c r="Q234" s="40">
        <f t="shared" si="243"/>
        <v>0.02747068677</v>
      </c>
      <c r="R234" s="40">
        <f t="shared" si="243"/>
        <v>0</v>
      </c>
      <c r="S234" s="40">
        <f t="shared" si="243"/>
        <v>0.03197158082</v>
      </c>
      <c r="T234" s="40">
        <f t="shared" si="243"/>
        <v>0.01808066759</v>
      </c>
    </row>
    <row r="235" ht="15.75" customHeight="1">
      <c r="F235" s="24"/>
      <c r="G235" s="19">
        <f>$G$27</f>
        <v>19</v>
      </c>
      <c r="H235" s="20">
        <v>281.0</v>
      </c>
      <c r="I235" s="20">
        <v>65.0</v>
      </c>
      <c r="J235" s="20">
        <v>5.0</v>
      </c>
      <c r="K235" s="20">
        <v>23.0</v>
      </c>
      <c r="L235" s="20">
        <v>18.0</v>
      </c>
      <c r="N235" s="24"/>
      <c r="O235" s="19">
        <f>$G$27</f>
        <v>19</v>
      </c>
      <c r="P235" s="40">
        <f t="shared" ref="P235:T235" si="244">H235/H$240</f>
        <v>0.03702239789</v>
      </c>
      <c r="Q235" s="40">
        <f t="shared" si="244"/>
        <v>0.02177554439</v>
      </c>
      <c r="R235" s="40">
        <f t="shared" si="244"/>
        <v>0.03649635036</v>
      </c>
      <c r="S235" s="40">
        <f t="shared" si="244"/>
        <v>0.04085257549</v>
      </c>
      <c r="T235" s="40">
        <f t="shared" si="244"/>
        <v>0.02503477051</v>
      </c>
    </row>
    <row r="236" ht="15.75" customHeight="1">
      <c r="F236" s="24"/>
      <c r="G236" s="19">
        <f>$G$28</f>
        <v>20</v>
      </c>
      <c r="H236" s="20">
        <v>214.0</v>
      </c>
      <c r="I236" s="20">
        <v>64.0</v>
      </c>
      <c r="J236" s="20"/>
      <c r="K236" s="20">
        <v>10.0</v>
      </c>
      <c r="L236" s="20">
        <v>11.0</v>
      </c>
      <c r="N236" s="24"/>
      <c r="O236" s="19">
        <f>$G$28</f>
        <v>20</v>
      </c>
      <c r="P236" s="40">
        <f t="shared" ref="P236:T236" si="245">H236/H$240</f>
        <v>0.02819499341</v>
      </c>
      <c r="Q236" s="40">
        <f t="shared" si="245"/>
        <v>0.02144053601</v>
      </c>
      <c r="R236" s="40">
        <f t="shared" si="245"/>
        <v>0</v>
      </c>
      <c r="S236" s="40">
        <f t="shared" si="245"/>
        <v>0.01776198934</v>
      </c>
      <c r="T236" s="40">
        <f t="shared" si="245"/>
        <v>0.01529902643</v>
      </c>
    </row>
    <row r="237" ht="15.75" customHeight="1">
      <c r="F237" s="24"/>
      <c r="G237" s="19">
        <f>$G$29</f>
        <v>21</v>
      </c>
      <c r="H237" s="20">
        <v>194.0</v>
      </c>
      <c r="I237" s="20">
        <v>45.0</v>
      </c>
      <c r="J237" s="20">
        <v>1.0</v>
      </c>
      <c r="K237" s="20">
        <v>5.0</v>
      </c>
      <c r="L237" s="20">
        <v>9.0</v>
      </c>
      <c r="N237" s="24"/>
      <c r="O237" s="19">
        <f>$G$29</f>
        <v>21</v>
      </c>
      <c r="P237" s="40">
        <f t="shared" ref="P237:T237" si="246">H237/H$240</f>
        <v>0.0255599473</v>
      </c>
      <c r="Q237" s="40">
        <f t="shared" si="246"/>
        <v>0.01507537688</v>
      </c>
      <c r="R237" s="40">
        <f t="shared" si="246"/>
        <v>0.007299270073</v>
      </c>
      <c r="S237" s="40">
        <f t="shared" si="246"/>
        <v>0.008880994671</v>
      </c>
      <c r="T237" s="40">
        <f t="shared" si="246"/>
        <v>0.01251738526</v>
      </c>
    </row>
    <row r="238" ht="15.75" customHeight="1">
      <c r="F238" s="24"/>
      <c r="G238" s="19">
        <f>$G$30</f>
        <v>22</v>
      </c>
      <c r="H238" s="20">
        <v>145.0</v>
      </c>
      <c r="I238" s="20">
        <v>47.0</v>
      </c>
      <c r="J238" s="20">
        <v>2.0</v>
      </c>
      <c r="K238" s="20">
        <v>11.0</v>
      </c>
      <c r="L238" s="20">
        <v>4.0</v>
      </c>
      <c r="N238" s="24"/>
      <c r="O238" s="19">
        <f>$G$30</f>
        <v>22</v>
      </c>
      <c r="P238" s="40">
        <f t="shared" ref="P238:T238" si="247">H238/H$240</f>
        <v>0.01910408432</v>
      </c>
      <c r="Q238" s="40">
        <f t="shared" si="247"/>
        <v>0.01574539363</v>
      </c>
      <c r="R238" s="40">
        <f t="shared" si="247"/>
        <v>0.01459854015</v>
      </c>
      <c r="S238" s="40">
        <f t="shared" si="247"/>
        <v>0.01953818828</v>
      </c>
      <c r="T238" s="40">
        <f t="shared" si="247"/>
        <v>0.005563282337</v>
      </c>
    </row>
    <row r="239" ht="15.75" customHeight="1">
      <c r="F239" s="28"/>
      <c r="G239" s="19">
        <f>$G$31</f>
        <v>23</v>
      </c>
      <c r="H239" s="20">
        <v>86.0</v>
      </c>
      <c r="I239" s="20">
        <v>27.0</v>
      </c>
      <c r="J239" s="20">
        <v>1.0</v>
      </c>
      <c r="K239" s="20">
        <v>8.0</v>
      </c>
      <c r="L239" s="20">
        <v>9.0</v>
      </c>
      <c r="N239" s="28"/>
      <c r="O239" s="19">
        <f>$G$31</f>
        <v>23</v>
      </c>
      <c r="P239" s="40">
        <f t="shared" ref="P239:T239" si="248">H239/H$240</f>
        <v>0.01133069829</v>
      </c>
      <c r="Q239" s="40">
        <f t="shared" si="248"/>
        <v>0.009045226131</v>
      </c>
      <c r="R239" s="40">
        <f t="shared" si="248"/>
        <v>0.007299270073</v>
      </c>
      <c r="S239" s="40">
        <f t="shared" si="248"/>
        <v>0.01420959147</v>
      </c>
      <c r="T239" s="40">
        <f t="shared" si="248"/>
        <v>0.01251738526</v>
      </c>
    </row>
    <row r="240" ht="15.75" customHeight="1">
      <c r="F240" s="111"/>
      <c r="G240" s="112"/>
      <c r="H240" s="26">
        <f t="shared" ref="H240:L240" si="249">SUM(H216:H239)</f>
        <v>7590</v>
      </c>
      <c r="I240" s="26">
        <f t="shared" si="249"/>
        <v>2985</v>
      </c>
      <c r="J240" s="26">
        <f t="shared" si="249"/>
        <v>137</v>
      </c>
      <c r="K240" s="26">
        <f t="shared" si="249"/>
        <v>563</v>
      </c>
      <c r="L240" s="26">
        <f t="shared" si="249"/>
        <v>719</v>
      </c>
    </row>
    <row r="241" ht="15.75" customHeight="1">
      <c r="G241" s="16"/>
      <c r="H241" s="17">
        <f>$H$7</f>
        <v>31</v>
      </c>
      <c r="I241" s="17">
        <f>$I$7</f>
        <v>32</v>
      </c>
      <c r="J241" s="17">
        <f>$J$7</f>
        <v>41</v>
      </c>
      <c r="K241" s="17">
        <f>$K$7</f>
        <v>42</v>
      </c>
      <c r="L241" s="17">
        <f>$L$7</f>
        <v>5</v>
      </c>
      <c r="O241" s="16"/>
      <c r="P241" s="17">
        <f>$H$7</f>
        <v>31</v>
      </c>
      <c r="Q241" s="17">
        <f>$I$7</f>
        <v>32</v>
      </c>
      <c r="R241" s="17">
        <f>$J$7</f>
        <v>41</v>
      </c>
      <c r="S241" s="17">
        <f>$K$7</f>
        <v>42</v>
      </c>
      <c r="T241" s="17">
        <f>$L$7</f>
        <v>5</v>
      </c>
    </row>
    <row r="242" ht="15.75" customHeight="1">
      <c r="F242" s="56">
        <v>45216.0</v>
      </c>
      <c r="G242" s="19">
        <f>$G$8</f>
        <v>0</v>
      </c>
      <c r="H242" s="20">
        <v>54.0</v>
      </c>
      <c r="I242" s="20">
        <v>14.0</v>
      </c>
      <c r="J242" s="20"/>
      <c r="K242" s="20">
        <v>10.0</v>
      </c>
      <c r="L242" s="20">
        <v>11.0</v>
      </c>
      <c r="N242" s="56">
        <v>45216.0</v>
      </c>
      <c r="O242" s="19">
        <f>$G$8</f>
        <v>0</v>
      </c>
      <c r="P242" s="40">
        <f t="shared" ref="P242:T242" si="250">H242/H$266</f>
        <v>0.007613139715</v>
      </c>
      <c r="Q242" s="40">
        <f t="shared" si="250"/>
        <v>0.004883153122</v>
      </c>
      <c r="R242" s="40">
        <f t="shared" si="250"/>
        <v>0</v>
      </c>
      <c r="S242" s="40">
        <f t="shared" si="250"/>
        <v>0.01754385965</v>
      </c>
      <c r="T242" s="40">
        <f t="shared" si="250"/>
        <v>0.01395939086</v>
      </c>
    </row>
    <row r="243" ht="15.75" customHeight="1">
      <c r="F243" s="24"/>
      <c r="G243" s="19">
        <f>$G$9</f>
        <v>1</v>
      </c>
      <c r="H243" s="20">
        <v>35.0</v>
      </c>
      <c r="I243" s="20">
        <v>15.0</v>
      </c>
      <c r="J243" s="20"/>
      <c r="K243" s="20">
        <v>7.0</v>
      </c>
      <c r="L243" s="20">
        <v>7.0</v>
      </c>
      <c r="N243" s="24"/>
      <c r="O243" s="19">
        <f>$G$9</f>
        <v>1</v>
      </c>
      <c r="P243" s="40">
        <f t="shared" ref="P243:T243" si="251">H243/H$266</f>
        <v>0.004934442408</v>
      </c>
      <c r="Q243" s="40">
        <f t="shared" si="251"/>
        <v>0.005231949773</v>
      </c>
      <c r="R243" s="40">
        <f t="shared" si="251"/>
        <v>0</v>
      </c>
      <c r="S243" s="40">
        <f t="shared" si="251"/>
        <v>0.01228070175</v>
      </c>
      <c r="T243" s="40">
        <f t="shared" si="251"/>
        <v>0.008883248731</v>
      </c>
    </row>
    <row r="244" ht="15.75" customHeight="1">
      <c r="F244" s="24"/>
      <c r="G244" s="19">
        <f>$G$10</f>
        <v>2</v>
      </c>
      <c r="H244" s="16">
        <v>30.0</v>
      </c>
      <c r="I244" s="16">
        <v>10.0</v>
      </c>
      <c r="J244" s="16"/>
      <c r="K244" s="16">
        <v>9.0</v>
      </c>
      <c r="L244" s="16">
        <v>19.0</v>
      </c>
      <c r="N244" s="24"/>
      <c r="O244" s="19">
        <f>$G$10</f>
        <v>2</v>
      </c>
      <c r="P244" s="40">
        <f t="shared" ref="P244:T244" si="252">H244/H$266</f>
        <v>0.004229522064</v>
      </c>
      <c r="Q244" s="40">
        <f t="shared" si="252"/>
        <v>0.003487966516</v>
      </c>
      <c r="R244" s="40">
        <f t="shared" si="252"/>
        <v>0</v>
      </c>
      <c r="S244" s="40">
        <f t="shared" si="252"/>
        <v>0.01578947368</v>
      </c>
      <c r="T244" s="40">
        <f t="shared" si="252"/>
        <v>0.02411167513</v>
      </c>
    </row>
    <row r="245" ht="15.75" customHeight="1">
      <c r="F245" s="24"/>
      <c r="G245" s="19">
        <f>$G$11</f>
        <v>3</v>
      </c>
      <c r="H245" s="20">
        <v>31.0</v>
      </c>
      <c r="I245" s="20">
        <v>19.0</v>
      </c>
      <c r="J245" s="20">
        <v>2.0</v>
      </c>
      <c r="K245" s="20">
        <v>12.0</v>
      </c>
      <c r="L245" s="20">
        <v>9.0</v>
      </c>
      <c r="N245" s="24"/>
      <c r="O245" s="19">
        <f>$G$11</f>
        <v>3</v>
      </c>
      <c r="P245" s="40">
        <f t="shared" ref="P245:T245" si="253">H245/H$266</f>
        <v>0.004370506133</v>
      </c>
      <c r="Q245" s="40">
        <f t="shared" si="253"/>
        <v>0.006627136379</v>
      </c>
      <c r="R245" s="40">
        <f t="shared" si="253"/>
        <v>0.01470588235</v>
      </c>
      <c r="S245" s="40">
        <f t="shared" si="253"/>
        <v>0.02105263158</v>
      </c>
      <c r="T245" s="40">
        <f t="shared" si="253"/>
        <v>0.0114213198</v>
      </c>
    </row>
    <row r="246" ht="15.75" customHeight="1">
      <c r="F246" s="24"/>
      <c r="G246" s="19">
        <f>$G$12</f>
        <v>4</v>
      </c>
      <c r="H246" s="20">
        <v>80.0</v>
      </c>
      <c r="I246" s="20">
        <v>44.0</v>
      </c>
      <c r="J246" s="20">
        <v>3.0</v>
      </c>
      <c r="K246" s="20">
        <v>25.0</v>
      </c>
      <c r="L246" s="20">
        <v>34.0</v>
      </c>
      <c r="N246" s="24"/>
      <c r="O246" s="19">
        <f>$G$12</f>
        <v>4</v>
      </c>
      <c r="P246" s="40">
        <f t="shared" ref="P246:T246" si="254">H246/H$266</f>
        <v>0.0112787255</v>
      </c>
      <c r="Q246" s="40">
        <f t="shared" si="254"/>
        <v>0.01534705267</v>
      </c>
      <c r="R246" s="40">
        <f t="shared" si="254"/>
        <v>0.02205882353</v>
      </c>
      <c r="S246" s="40">
        <f t="shared" si="254"/>
        <v>0.04385964912</v>
      </c>
      <c r="T246" s="40">
        <f t="shared" si="254"/>
        <v>0.04314720812</v>
      </c>
    </row>
    <row r="247" ht="15.75" customHeight="1">
      <c r="F247" s="24"/>
      <c r="G247" s="19">
        <f>$G$13</f>
        <v>5</v>
      </c>
      <c r="H247" s="20">
        <v>137.0</v>
      </c>
      <c r="I247" s="20">
        <v>64.0</v>
      </c>
      <c r="J247" s="20">
        <v>6.0</v>
      </c>
      <c r="K247" s="20">
        <v>23.0</v>
      </c>
      <c r="L247" s="20">
        <v>24.0</v>
      </c>
      <c r="N247" s="24"/>
      <c r="O247" s="19">
        <f>$G$13</f>
        <v>5</v>
      </c>
      <c r="P247" s="40">
        <f t="shared" ref="P247:T247" si="255">H247/H$266</f>
        <v>0.01931481743</v>
      </c>
      <c r="Q247" s="40">
        <f t="shared" si="255"/>
        <v>0.0223229857</v>
      </c>
      <c r="R247" s="40">
        <f t="shared" si="255"/>
        <v>0.04411764706</v>
      </c>
      <c r="S247" s="40">
        <f t="shared" si="255"/>
        <v>0.04035087719</v>
      </c>
      <c r="T247" s="40">
        <f t="shared" si="255"/>
        <v>0.03045685279</v>
      </c>
    </row>
    <row r="248" ht="15.75" customHeight="1">
      <c r="F248" s="24"/>
      <c r="G248" s="19">
        <f>$G$14</f>
        <v>6</v>
      </c>
      <c r="H248" s="20">
        <v>321.0</v>
      </c>
      <c r="I248" s="20">
        <v>129.0</v>
      </c>
      <c r="J248" s="20">
        <v>13.0</v>
      </c>
      <c r="K248" s="20">
        <v>38.0</v>
      </c>
      <c r="L248" s="20">
        <v>36.0</v>
      </c>
      <c r="N248" s="24"/>
      <c r="O248" s="19">
        <f>$G$14</f>
        <v>6</v>
      </c>
      <c r="P248" s="40">
        <f t="shared" ref="P248:T248" si="256">H248/H$266</f>
        <v>0.04525588608</v>
      </c>
      <c r="Q248" s="40">
        <f t="shared" si="256"/>
        <v>0.04499476805</v>
      </c>
      <c r="R248" s="40">
        <f t="shared" si="256"/>
        <v>0.09558823529</v>
      </c>
      <c r="S248" s="40">
        <f t="shared" si="256"/>
        <v>0.06666666667</v>
      </c>
      <c r="T248" s="40">
        <f t="shared" si="256"/>
        <v>0.04568527919</v>
      </c>
    </row>
    <row r="249" ht="15.75" customHeight="1">
      <c r="F249" s="24"/>
      <c r="G249" s="19">
        <f>$G$15</f>
        <v>7</v>
      </c>
      <c r="H249" s="20">
        <v>562.0</v>
      </c>
      <c r="I249" s="20">
        <v>243.0</v>
      </c>
      <c r="J249" s="20">
        <v>25.0</v>
      </c>
      <c r="K249" s="20">
        <v>48.0</v>
      </c>
      <c r="L249" s="20">
        <v>38.0</v>
      </c>
      <c r="N249" s="24"/>
      <c r="O249" s="19">
        <f>$G$15</f>
        <v>7</v>
      </c>
      <c r="P249" s="40">
        <f t="shared" ref="P249:T249" si="257">H249/H$266</f>
        <v>0.07923304667</v>
      </c>
      <c r="Q249" s="40">
        <f t="shared" si="257"/>
        <v>0.08475758633</v>
      </c>
      <c r="R249" s="40">
        <f t="shared" si="257"/>
        <v>0.1838235294</v>
      </c>
      <c r="S249" s="40">
        <f t="shared" si="257"/>
        <v>0.08421052632</v>
      </c>
      <c r="T249" s="40">
        <f t="shared" si="257"/>
        <v>0.04822335025</v>
      </c>
    </row>
    <row r="250" ht="15.75" customHeight="1">
      <c r="F250" s="24"/>
      <c r="G250" s="19">
        <f>$G$16</f>
        <v>8</v>
      </c>
      <c r="H250" s="20">
        <v>554.0</v>
      </c>
      <c r="I250" s="20">
        <v>299.0</v>
      </c>
      <c r="J250" s="20">
        <v>23.0</v>
      </c>
      <c r="K250" s="20">
        <v>35.0</v>
      </c>
      <c r="L250" s="20">
        <v>46.0</v>
      </c>
      <c r="N250" s="24"/>
      <c r="O250" s="19">
        <f>$G$16</f>
        <v>8</v>
      </c>
      <c r="P250" s="40">
        <f t="shared" ref="P250:T250" si="258">H250/H$266</f>
        <v>0.07810517412</v>
      </c>
      <c r="Q250" s="40">
        <f t="shared" si="258"/>
        <v>0.1042901988</v>
      </c>
      <c r="R250" s="40">
        <f t="shared" si="258"/>
        <v>0.1691176471</v>
      </c>
      <c r="S250" s="40">
        <f t="shared" si="258"/>
        <v>0.06140350877</v>
      </c>
      <c r="T250" s="40">
        <f t="shared" si="258"/>
        <v>0.05837563452</v>
      </c>
    </row>
    <row r="251" ht="15.75" customHeight="1">
      <c r="F251" s="24"/>
      <c r="G251" s="19">
        <f>$G$17</f>
        <v>9</v>
      </c>
      <c r="H251" s="20">
        <v>647.0</v>
      </c>
      <c r="I251" s="20">
        <v>306.0</v>
      </c>
      <c r="J251" s="20">
        <v>14.0</v>
      </c>
      <c r="K251" s="20">
        <v>48.0</v>
      </c>
      <c r="L251" s="20">
        <v>79.0</v>
      </c>
      <c r="N251" s="24"/>
      <c r="O251" s="19">
        <f>$G$17</f>
        <v>9</v>
      </c>
      <c r="P251" s="40">
        <f t="shared" ref="P251:T251" si="259">H251/H$266</f>
        <v>0.09121669251</v>
      </c>
      <c r="Q251" s="40">
        <f t="shared" si="259"/>
        <v>0.1067317754</v>
      </c>
      <c r="R251" s="40">
        <f t="shared" si="259"/>
        <v>0.1029411765</v>
      </c>
      <c r="S251" s="40">
        <f t="shared" si="259"/>
        <v>0.08421052632</v>
      </c>
      <c r="T251" s="40">
        <f t="shared" si="259"/>
        <v>0.1002538071</v>
      </c>
    </row>
    <row r="252" ht="15.75" customHeight="1">
      <c r="F252" s="24"/>
      <c r="G252" s="19">
        <f>$G$18</f>
        <v>10</v>
      </c>
      <c r="H252" s="20">
        <v>613.0</v>
      </c>
      <c r="I252" s="20">
        <v>256.0</v>
      </c>
      <c r="J252" s="20">
        <v>3.0</v>
      </c>
      <c r="K252" s="20">
        <v>43.0</v>
      </c>
      <c r="L252" s="20">
        <v>62.0</v>
      </c>
      <c r="N252" s="24"/>
      <c r="O252" s="19">
        <f>$G$18</f>
        <v>10</v>
      </c>
      <c r="P252" s="40">
        <f t="shared" ref="P252:T252" si="260">H252/H$266</f>
        <v>0.08642323417</v>
      </c>
      <c r="Q252" s="40">
        <f t="shared" si="260"/>
        <v>0.0892919428</v>
      </c>
      <c r="R252" s="40">
        <f t="shared" si="260"/>
        <v>0.02205882353</v>
      </c>
      <c r="S252" s="40">
        <f t="shared" si="260"/>
        <v>0.07543859649</v>
      </c>
      <c r="T252" s="40">
        <f t="shared" si="260"/>
        <v>0.07868020305</v>
      </c>
    </row>
    <row r="253" ht="15.75" customHeight="1">
      <c r="F253" s="24"/>
      <c r="G253" s="19">
        <f>$G$19</f>
        <v>11</v>
      </c>
      <c r="H253" s="20">
        <v>477.0</v>
      </c>
      <c r="I253" s="20">
        <v>152.0</v>
      </c>
      <c r="J253" s="20">
        <v>5.0</v>
      </c>
      <c r="K253" s="20">
        <v>35.0</v>
      </c>
      <c r="L253" s="20">
        <v>68.0</v>
      </c>
      <c r="N253" s="24"/>
      <c r="O253" s="19">
        <f>$G$19</f>
        <v>11</v>
      </c>
      <c r="P253" s="40">
        <f t="shared" ref="P253:T253" si="261">H253/H$266</f>
        <v>0.06724940082</v>
      </c>
      <c r="Q253" s="40">
        <f t="shared" si="261"/>
        <v>0.05301709104</v>
      </c>
      <c r="R253" s="40">
        <f t="shared" si="261"/>
        <v>0.03676470588</v>
      </c>
      <c r="S253" s="40">
        <f t="shared" si="261"/>
        <v>0.06140350877</v>
      </c>
      <c r="T253" s="40">
        <f t="shared" si="261"/>
        <v>0.08629441624</v>
      </c>
    </row>
    <row r="254" ht="15.75" customHeight="1">
      <c r="F254" s="24"/>
      <c r="G254" s="19">
        <f>$G$20</f>
        <v>12</v>
      </c>
      <c r="H254" s="20">
        <v>401.0</v>
      </c>
      <c r="I254" s="20">
        <v>165.0</v>
      </c>
      <c r="J254" s="20">
        <v>5.0</v>
      </c>
      <c r="K254" s="20">
        <v>26.0</v>
      </c>
      <c r="L254" s="20">
        <v>82.0</v>
      </c>
      <c r="N254" s="24"/>
      <c r="O254" s="19">
        <f>$G$20</f>
        <v>12</v>
      </c>
      <c r="P254" s="40">
        <f t="shared" ref="P254:T254" si="262">H254/H$266</f>
        <v>0.05653461159</v>
      </c>
      <c r="Q254" s="40">
        <f t="shared" si="262"/>
        <v>0.05755144751</v>
      </c>
      <c r="R254" s="40">
        <f t="shared" si="262"/>
        <v>0.03676470588</v>
      </c>
      <c r="S254" s="40">
        <f t="shared" si="262"/>
        <v>0.04561403509</v>
      </c>
      <c r="T254" s="40">
        <f t="shared" si="262"/>
        <v>0.1040609137</v>
      </c>
    </row>
    <row r="255" ht="15.75" customHeight="1">
      <c r="F255" s="24"/>
      <c r="G255" s="19">
        <f>$G$21</f>
        <v>13</v>
      </c>
      <c r="H255" s="20">
        <v>374.0</v>
      </c>
      <c r="I255" s="20">
        <v>174.0</v>
      </c>
      <c r="J255" s="20">
        <v>9.0</v>
      </c>
      <c r="K255" s="20">
        <v>35.0</v>
      </c>
      <c r="L255" s="20">
        <v>41.0</v>
      </c>
      <c r="N255" s="24"/>
      <c r="O255" s="19">
        <f>$G$21</f>
        <v>13</v>
      </c>
      <c r="P255" s="40">
        <f t="shared" ref="P255:T255" si="263">H255/H$266</f>
        <v>0.05272804173</v>
      </c>
      <c r="Q255" s="40">
        <f t="shared" si="263"/>
        <v>0.06069061737</v>
      </c>
      <c r="R255" s="40">
        <f t="shared" si="263"/>
        <v>0.06617647059</v>
      </c>
      <c r="S255" s="40">
        <f t="shared" si="263"/>
        <v>0.06140350877</v>
      </c>
      <c r="T255" s="40">
        <f t="shared" si="263"/>
        <v>0.05203045685</v>
      </c>
    </row>
    <row r="256" ht="15.75" customHeight="1">
      <c r="F256" s="24"/>
      <c r="G256" s="19">
        <f>$G$22</f>
        <v>14</v>
      </c>
      <c r="H256" s="20">
        <v>370.0</v>
      </c>
      <c r="I256" s="20">
        <v>175.0</v>
      </c>
      <c r="J256" s="20">
        <v>6.0</v>
      </c>
      <c r="K256" s="20">
        <v>28.0</v>
      </c>
      <c r="L256" s="20">
        <v>73.0</v>
      </c>
      <c r="N256" s="24"/>
      <c r="O256" s="19">
        <f>$G$22</f>
        <v>14</v>
      </c>
      <c r="P256" s="40">
        <f t="shared" ref="P256:T256" si="264">H256/H$266</f>
        <v>0.05216410546</v>
      </c>
      <c r="Q256" s="40">
        <f t="shared" si="264"/>
        <v>0.06103941402</v>
      </c>
      <c r="R256" s="40">
        <f t="shared" si="264"/>
        <v>0.04411764706</v>
      </c>
      <c r="S256" s="40">
        <f t="shared" si="264"/>
        <v>0.04912280702</v>
      </c>
      <c r="T256" s="40">
        <f t="shared" si="264"/>
        <v>0.09263959391</v>
      </c>
    </row>
    <row r="257" ht="15.75" customHeight="1">
      <c r="F257" s="24"/>
      <c r="G257" s="19">
        <f>$G$23</f>
        <v>15</v>
      </c>
      <c r="H257" s="20">
        <v>373.0</v>
      </c>
      <c r="I257" s="20">
        <v>141.0</v>
      </c>
      <c r="J257" s="20">
        <v>10.0</v>
      </c>
      <c r="K257" s="20">
        <v>35.0</v>
      </c>
      <c r="L257" s="20">
        <v>39.0</v>
      </c>
      <c r="N257" s="24"/>
      <c r="O257" s="19">
        <f>$G$23</f>
        <v>15</v>
      </c>
      <c r="P257" s="40">
        <f t="shared" ref="P257:T257" si="265">H257/H$266</f>
        <v>0.05258705766</v>
      </c>
      <c r="Q257" s="40">
        <f t="shared" si="265"/>
        <v>0.04918032787</v>
      </c>
      <c r="R257" s="40">
        <f t="shared" si="265"/>
        <v>0.07352941176</v>
      </c>
      <c r="S257" s="40">
        <f t="shared" si="265"/>
        <v>0.06140350877</v>
      </c>
      <c r="T257" s="40">
        <f t="shared" si="265"/>
        <v>0.04949238579</v>
      </c>
    </row>
    <row r="258" ht="15.75" customHeight="1">
      <c r="F258" s="24"/>
      <c r="G258" s="19">
        <f>$G$24</f>
        <v>16</v>
      </c>
      <c r="H258" s="20">
        <v>414.0</v>
      </c>
      <c r="I258" s="20">
        <v>172.0</v>
      </c>
      <c r="J258" s="20">
        <v>5.0</v>
      </c>
      <c r="K258" s="20">
        <v>34.0</v>
      </c>
      <c r="L258" s="20">
        <v>36.0</v>
      </c>
      <c r="N258" s="24"/>
      <c r="O258" s="19">
        <f>$G$24</f>
        <v>16</v>
      </c>
      <c r="P258" s="40">
        <f t="shared" ref="P258:T258" si="266">H258/H$266</f>
        <v>0.05836740448</v>
      </c>
      <c r="Q258" s="40">
        <f t="shared" si="266"/>
        <v>0.05999302407</v>
      </c>
      <c r="R258" s="40">
        <f t="shared" si="266"/>
        <v>0.03676470588</v>
      </c>
      <c r="S258" s="40">
        <f t="shared" si="266"/>
        <v>0.05964912281</v>
      </c>
      <c r="T258" s="40">
        <f t="shared" si="266"/>
        <v>0.04568527919</v>
      </c>
    </row>
    <row r="259" ht="15.75" customHeight="1">
      <c r="F259" s="24"/>
      <c r="G259" s="19">
        <f>$G$25</f>
        <v>17</v>
      </c>
      <c r="H259" s="20">
        <v>469.0</v>
      </c>
      <c r="I259" s="20">
        <v>202.0</v>
      </c>
      <c r="J259" s="20">
        <v>1.0</v>
      </c>
      <c r="K259" s="20">
        <v>14.0</v>
      </c>
      <c r="L259" s="20">
        <v>22.0</v>
      </c>
      <c r="N259" s="24"/>
      <c r="O259" s="19">
        <f>$G$25</f>
        <v>17</v>
      </c>
      <c r="P259" s="40">
        <f t="shared" ref="P259:T259" si="267">H259/H$266</f>
        <v>0.06612152827</v>
      </c>
      <c r="Q259" s="40">
        <f t="shared" si="267"/>
        <v>0.07045692361</v>
      </c>
      <c r="R259" s="40">
        <f t="shared" si="267"/>
        <v>0.007352941176</v>
      </c>
      <c r="S259" s="40">
        <f t="shared" si="267"/>
        <v>0.02456140351</v>
      </c>
      <c r="T259" s="40">
        <f t="shared" si="267"/>
        <v>0.02791878173</v>
      </c>
    </row>
    <row r="260" ht="15.75" customHeight="1">
      <c r="F260" s="24"/>
      <c r="G260" s="19">
        <f>$G$26</f>
        <v>18</v>
      </c>
      <c r="H260" s="20">
        <v>277.0</v>
      </c>
      <c r="I260" s="20">
        <v>87.0</v>
      </c>
      <c r="J260" s="20"/>
      <c r="K260" s="20">
        <v>9.0</v>
      </c>
      <c r="L260" s="20">
        <v>17.0</v>
      </c>
      <c r="N260" s="24"/>
      <c r="O260" s="19">
        <f>$G$26</f>
        <v>18</v>
      </c>
      <c r="P260" s="40">
        <f t="shared" ref="P260:T260" si="268">H260/H$266</f>
        <v>0.03905258706</v>
      </c>
      <c r="Q260" s="40">
        <f t="shared" si="268"/>
        <v>0.03034530869</v>
      </c>
      <c r="R260" s="40">
        <f t="shared" si="268"/>
        <v>0</v>
      </c>
      <c r="S260" s="40">
        <f t="shared" si="268"/>
        <v>0.01578947368</v>
      </c>
      <c r="T260" s="40">
        <f t="shared" si="268"/>
        <v>0.02157360406</v>
      </c>
    </row>
    <row r="261" ht="15.75" customHeight="1">
      <c r="F261" s="24"/>
      <c r="G261" s="19">
        <f>$G$27</f>
        <v>19</v>
      </c>
      <c r="H261" s="20">
        <v>241.0</v>
      </c>
      <c r="I261" s="20">
        <v>58.0</v>
      </c>
      <c r="J261" s="20">
        <v>2.0</v>
      </c>
      <c r="K261" s="20">
        <v>17.0</v>
      </c>
      <c r="L261" s="20">
        <v>7.0</v>
      </c>
      <c r="N261" s="24"/>
      <c r="O261" s="19">
        <f>$G$27</f>
        <v>19</v>
      </c>
      <c r="P261" s="40">
        <f t="shared" ref="P261:T261" si="269">H261/H$266</f>
        <v>0.03397716058</v>
      </c>
      <c r="Q261" s="40">
        <f t="shared" si="269"/>
        <v>0.02023020579</v>
      </c>
      <c r="R261" s="40">
        <f t="shared" si="269"/>
        <v>0.01470588235</v>
      </c>
      <c r="S261" s="40">
        <f t="shared" si="269"/>
        <v>0.0298245614</v>
      </c>
      <c r="T261" s="40">
        <f t="shared" si="269"/>
        <v>0.008883248731</v>
      </c>
    </row>
    <row r="262" ht="15.75" customHeight="1">
      <c r="F262" s="24"/>
      <c r="G262" s="19">
        <f>$G$28</f>
        <v>20</v>
      </c>
      <c r="H262" s="20">
        <v>233.0</v>
      </c>
      <c r="I262" s="20">
        <v>55.0</v>
      </c>
      <c r="J262" s="20">
        <v>1.0</v>
      </c>
      <c r="K262" s="20">
        <v>19.0</v>
      </c>
      <c r="L262" s="20">
        <v>12.0</v>
      </c>
      <c r="N262" s="24"/>
      <c r="O262" s="19">
        <f>$G$28</f>
        <v>20</v>
      </c>
      <c r="P262" s="40">
        <f t="shared" ref="P262:T262" si="270">H262/H$266</f>
        <v>0.03284928803</v>
      </c>
      <c r="Q262" s="40">
        <f t="shared" si="270"/>
        <v>0.01918381584</v>
      </c>
      <c r="R262" s="40">
        <f t="shared" si="270"/>
        <v>0.007352941176</v>
      </c>
      <c r="S262" s="40">
        <f t="shared" si="270"/>
        <v>0.03333333333</v>
      </c>
      <c r="T262" s="40">
        <f t="shared" si="270"/>
        <v>0.0152284264</v>
      </c>
    </row>
    <row r="263" ht="15.75" customHeight="1">
      <c r="F263" s="24"/>
      <c r="G263" s="19">
        <f>$G$29</f>
        <v>21</v>
      </c>
      <c r="H263" s="20">
        <v>189.0</v>
      </c>
      <c r="I263" s="20">
        <v>28.0</v>
      </c>
      <c r="J263" s="20">
        <v>2.0</v>
      </c>
      <c r="K263" s="20">
        <v>9.0</v>
      </c>
      <c r="L263" s="20">
        <v>5.0</v>
      </c>
      <c r="N263" s="24"/>
      <c r="O263" s="19">
        <f>$G$29</f>
        <v>21</v>
      </c>
      <c r="P263" s="40">
        <f t="shared" ref="P263:T263" si="271">H263/H$266</f>
        <v>0.026645989</v>
      </c>
      <c r="Q263" s="40">
        <f t="shared" si="271"/>
        <v>0.009766306243</v>
      </c>
      <c r="R263" s="40">
        <f t="shared" si="271"/>
        <v>0.01470588235</v>
      </c>
      <c r="S263" s="40">
        <f t="shared" si="271"/>
        <v>0.01578947368</v>
      </c>
      <c r="T263" s="40">
        <f t="shared" si="271"/>
        <v>0.006345177665</v>
      </c>
    </row>
    <row r="264" ht="15.75" customHeight="1">
      <c r="F264" s="24"/>
      <c r="G264" s="19">
        <f>$G$30</f>
        <v>22</v>
      </c>
      <c r="H264" s="20">
        <v>143.0</v>
      </c>
      <c r="I264" s="20">
        <v>39.0</v>
      </c>
      <c r="J264" s="20"/>
      <c r="K264" s="20">
        <v>3.0</v>
      </c>
      <c r="L264" s="20">
        <v>9.0</v>
      </c>
      <c r="N264" s="24"/>
      <c r="O264" s="19">
        <f>$G$30</f>
        <v>22</v>
      </c>
      <c r="P264" s="40">
        <f t="shared" ref="P264:T264" si="272">H264/H$266</f>
        <v>0.02016072184</v>
      </c>
      <c r="Q264" s="40">
        <f t="shared" si="272"/>
        <v>0.01360306941</v>
      </c>
      <c r="R264" s="40">
        <f t="shared" si="272"/>
        <v>0</v>
      </c>
      <c r="S264" s="40">
        <f t="shared" si="272"/>
        <v>0.005263157895</v>
      </c>
      <c r="T264" s="40">
        <f t="shared" si="272"/>
        <v>0.0114213198</v>
      </c>
    </row>
    <row r="265" ht="15.75" customHeight="1">
      <c r="F265" s="28"/>
      <c r="G265" s="19">
        <f>$G$31</f>
        <v>23</v>
      </c>
      <c r="H265" s="20">
        <v>68.0</v>
      </c>
      <c r="I265" s="20">
        <v>20.0</v>
      </c>
      <c r="J265" s="20">
        <v>1.0</v>
      </c>
      <c r="K265" s="20">
        <v>8.0</v>
      </c>
      <c r="L265" s="20">
        <v>12.0</v>
      </c>
      <c r="N265" s="28"/>
      <c r="O265" s="19">
        <f>$G$31</f>
        <v>23</v>
      </c>
      <c r="P265" s="40">
        <f t="shared" ref="P265:T265" si="273">H265/H$266</f>
        <v>0.009586916678</v>
      </c>
      <c r="Q265" s="40">
        <f t="shared" si="273"/>
        <v>0.006975933031</v>
      </c>
      <c r="R265" s="40">
        <f t="shared" si="273"/>
        <v>0.007352941176</v>
      </c>
      <c r="S265" s="40">
        <f t="shared" si="273"/>
        <v>0.01403508772</v>
      </c>
      <c r="T265" s="40">
        <f t="shared" si="273"/>
        <v>0.0152284264</v>
      </c>
    </row>
    <row r="266" ht="15.75" customHeight="1">
      <c r="F266" s="111"/>
      <c r="G266" s="112"/>
      <c r="H266" s="26">
        <f t="shared" ref="H266:L266" si="274">SUM(H242:H265)</f>
        <v>7093</v>
      </c>
      <c r="I266" s="26">
        <f t="shared" si="274"/>
        <v>2867</v>
      </c>
      <c r="J266" s="26">
        <f t="shared" si="274"/>
        <v>136</v>
      </c>
      <c r="K266" s="26">
        <f t="shared" si="274"/>
        <v>570</v>
      </c>
      <c r="L266" s="26">
        <f t="shared" si="274"/>
        <v>788</v>
      </c>
    </row>
    <row r="267" ht="15.75" customHeight="1">
      <c r="G267" s="16"/>
      <c r="H267" s="17">
        <f>$H$7</f>
        <v>31</v>
      </c>
      <c r="I267" s="17">
        <f>$I$7</f>
        <v>32</v>
      </c>
      <c r="J267" s="17">
        <f>$J$7</f>
        <v>41</v>
      </c>
      <c r="K267" s="17">
        <f>$K$7</f>
        <v>42</v>
      </c>
      <c r="L267" s="17">
        <f>$L$7</f>
        <v>5</v>
      </c>
      <c r="O267" s="16"/>
      <c r="P267" s="17">
        <f>$H$7</f>
        <v>31</v>
      </c>
      <c r="Q267" s="17">
        <f>$I$7</f>
        <v>32</v>
      </c>
      <c r="R267" s="17">
        <f>$J$7</f>
        <v>41</v>
      </c>
      <c r="S267" s="17">
        <f>$K$7</f>
        <v>42</v>
      </c>
      <c r="T267" s="17">
        <f>$L$7</f>
        <v>5</v>
      </c>
    </row>
    <row r="268" ht="15.75" customHeight="1">
      <c r="F268" s="56">
        <v>45217.0</v>
      </c>
      <c r="G268" s="19">
        <f>$G$8</f>
        <v>0</v>
      </c>
      <c r="H268" s="20">
        <v>55.0</v>
      </c>
      <c r="I268" s="20">
        <v>16.0</v>
      </c>
      <c r="J268" s="20"/>
      <c r="K268" s="20">
        <v>11.0</v>
      </c>
      <c r="L268" s="20">
        <v>9.0</v>
      </c>
      <c r="N268" s="56">
        <v>45217.0</v>
      </c>
      <c r="O268" s="19">
        <f>$G$8</f>
        <v>0</v>
      </c>
      <c r="P268" s="40">
        <f t="shared" ref="P268:T268" si="275">H268/H$292</f>
        <v>0.007922788822</v>
      </c>
      <c r="Q268" s="40">
        <f t="shared" si="275"/>
        <v>0.005326231691</v>
      </c>
      <c r="R268" s="40">
        <f t="shared" si="275"/>
        <v>0</v>
      </c>
      <c r="S268" s="40">
        <f t="shared" si="275"/>
        <v>0.01923076923</v>
      </c>
      <c r="T268" s="40">
        <f t="shared" si="275"/>
        <v>0.009090909091</v>
      </c>
    </row>
    <row r="269" ht="15.75" customHeight="1">
      <c r="F269" s="24"/>
      <c r="G269" s="19">
        <f>$G$9</f>
        <v>1</v>
      </c>
      <c r="H269" s="20">
        <v>46.0</v>
      </c>
      <c r="I269" s="20">
        <v>14.0</v>
      </c>
      <c r="J269" s="20"/>
      <c r="K269" s="20">
        <v>9.0</v>
      </c>
      <c r="L269" s="20">
        <v>17.0</v>
      </c>
      <c r="N269" s="24"/>
      <c r="O269" s="19">
        <f>$G$9</f>
        <v>1</v>
      </c>
      <c r="P269" s="40">
        <f t="shared" ref="P269:T269" si="276">H269/H$292</f>
        <v>0.006626332469</v>
      </c>
      <c r="Q269" s="40">
        <f t="shared" si="276"/>
        <v>0.00466045273</v>
      </c>
      <c r="R269" s="40">
        <f t="shared" si="276"/>
        <v>0</v>
      </c>
      <c r="S269" s="40">
        <f t="shared" si="276"/>
        <v>0.01573426573</v>
      </c>
      <c r="T269" s="40">
        <f t="shared" si="276"/>
        <v>0.01717171717</v>
      </c>
    </row>
    <row r="270" ht="15.75" customHeight="1">
      <c r="F270" s="24"/>
      <c r="G270" s="19">
        <f>$G$10</f>
        <v>2</v>
      </c>
      <c r="H270" s="16">
        <v>25.0</v>
      </c>
      <c r="I270" s="16">
        <v>16.0</v>
      </c>
      <c r="J270" s="16"/>
      <c r="K270" s="16">
        <v>6.0</v>
      </c>
      <c r="L270" s="16">
        <v>6.0</v>
      </c>
      <c r="N270" s="24"/>
      <c r="O270" s="19">
        <f>$G$10</f>
        <v>2</v>
      </c>
      <c r="P270" s="40">
        <f t="shared" ref="P270:T270" si="277">H270/H$292</f>
        <v>0.003601267646</v>
      </c>
      <c r="Q270" s="40">
        <f t="shared" si="277"/>
        <v>0.005326231691</v>
      </c>
      <c r="R270" s="40">
        <f t="shared" si="277"/>
        <v>0</v>
      </c>
      <c r="S270" s="40">
        <f t="shared" si="277"/>
        <v>0.01048951049</v>
      </c>
      <c r="T270" s="40">
        <f t="shared" si="277"/>
        <v>0.006060606061</v>
      </c>
    </row>
    <row r="271" ht="15.75" customHeight="1">
      <c r="F271" s="24"/>
      <c r="G271" s="19">
        <f>$G$11</f>
        <v>3</v>
      </c>
      <c r="H271" s="20">
        <v>37.0</v>
      </c>
      <c r="I271" s="20">
        <v>31.0</v>
      </c>
      <c r="J271" s="20"/>
      <c r="K271" s="20">
        <v>17.0</v>
      </c>
      <c r="L271" s="20">
        <v>24.0</v>
      </c>
      <c r="N271" s="24"/>
      <c r="O271" s="19">
        <f>$G$11</f>
        <v>3</v>
      </c>
      <c r="P271" s="40">
        <f t="shared" ref="P271:T271" si="278">H271/H$292</f>
        <v>0.005329876116</v>
      </c>
      <c r="Q271" s="40">
        <f t="shared" si="278"/>
        <v>0.0103195739</v>
      </c>
      <c r="R271" s="40">
        <f t="shared" si="278"/>
        <v>0</v>
      </c>
      <c r="S271" s="40">
        <f t="shared" si="278"/>
        <v>0.02972027972</v>
      </c>
      <c r="T271" s="40">
        <f t="shared" si="278"/>
        <v>0.02424242424</v>
      </c>
    </row>
    <row r="272" ht="15.75" customHeight="1">
      <c r="F272" s="24"/>
      <c r="G272" s="19">
        <f>$G$12</f>
        <v>4</v>
      </c>
      <c r="H272" s="20">
        <v>75.0</v>
      </c>
      <c r="I272" s="20">
        <v>47.0</v>
      </c>
      <c r="J272" s="20">
        <v>2.0</v>
      </c>
      <c r="K272" s="20">
        <v>30.0</v>
      </c>
      <c r="L272" s="20">
        <v>22.0</v>
      </c>
      <c r="N272" s="24"/>
      <c r="O272" s="19">
        <f>$G$12</f>
        <v>4</v>
      </c>
      <c r="P272" s="40">
        <f t="shared" ref="P272:T272" si="279">H272/H$292</f>
        <v>0.01080380294</v>
      </c>
      <c r="Q272" s="40">
        <f t="shared" si="279"/>
        <v>0.01564580559</v>
      </c>
      <c r="R272" s="40">
        <f t="shared" si="279"/>
        <v>0.01550387597</v>
      </c>
      <c r="S272" s="40">
        <f t="shared" si="279"/>
        <v>0.05244755245</v>
      </c>
      <c r="T272" s="40">
        <f t="shared" si="279"/>
        <v>0.02222222222</v>
      </c>
    </row>
    <row r="273" ht="15.75" customHeight="1">
      <c r="F273" s="24"/>
      <c r="G273" s="19">
        <f>$G$13</f>
        <v>5</v>
      </c>
      <c r="H273" s="20">
        <v>179.0</v>
      </c>
      <c r="I273" s="20">
        <v>98.0</v>
      </c>
      <c r="J273" s="20">
        <v>3.0</v>
      </c>
      <c r="K273" s="20">
        <v>16.0</v>
      </c>
      <c r="L273" s="20">
        <v>37.0</v>
      </c>
      <c r="N273" s="24"/>
      <c r="O273" s="19">
        <f>$G$13</f>
        <v>5</v>
      </c>
      <c r="P273" s="40">
        <f t="shared" ref="P273:T273" si="280">H273/H$292</f>
        <v>0.02578507635</v>
      </c>
      <c r="Q273" s="40">
        <f t="shared" si="280"/>
        <v>0.03262316911</v>
      </c>
      <c r="R273" s="40">
        <f t="shared" si="280"/>
        <v>0.02325581395</v>
      </c>
      <c r="S273" s="40">
        <f t="shared" si="280"/>
        <v>0.02797202797</v>
      </c>
      <c r="T273" s="40">
        <f t="shared" si="280"/>
        <v>0.03737373737</v>
      </c>
    </row>
    <row r="274" ht="15.75" customHeight="1">
      <c r="F274" s="24"/>
      <c r="G274" s="19">
        <f>$G$14</f>
        <v>6</v>
      </c>
      <c r="H274" s="20">
        <v>334.0</v>
      </c>
      <c r="I274" s="20">
        <v>119.0</v>
      </c>
      <c r="J274" s="20">
        <v>12.0</v>
      </c>
      <c r="K274" s="20">
        <v>29.0</v>
      </c>
      <c r="L274" s="20">
        <v>53.0</v>
      </c>
      <c r="N274" s="24"/>
      <c r="O274" s="19">
        <f>$G$14</f>
        <v>6</v>
      </c>
      <c r="P274" s="40">
        <f t="shared" ref="P274:T274" si="281">H274/H$292</f>
        <v>0.04811293575</v>
      </c>
      <c r="Q274" s="40">
        <f t="shared" si="281"/>
        <v>0.0396138482</v>
      </c>
      <c r="R274" s="40">
        <f t="shared" si="281"/>
        <v>0.09302325581</v>
      </c>
      <c r="S274" s="40">
        <f t="shared" si="281"/>
        <v>0.0506993007</v>
      </c>
      <c r="T274" s="40">
        <f t="shared" si="281"/>
        <v>0.05353535354</v>
      </c>
    </row>
    <row r="275" ht="15.75" customHeight="1">
      <c r="F275" s="24"/>
      <c r="G275" s="19">
        <f>$G$15</f>
        <v>7</v>
      </c>
      <c r="H275" s="20">
        <v>582.0</v>
      </c>
      <c r="I275" s="20">
        <v>237.0</v>
      </c>
      <c r="J275" s="20">
        <v>20.0</v>
      </c>
      <c r="K275" s="20">
        <v>47.0</v>
      </c>
      <c r="L275" s="20">
        <v>57.0</v>
      </c>
      <c r="N275" s="24"/>
      <c r="O275" s="19">
        <f>$G$15</f>
        <v>7</v>
      </c>
      <c r="P275" s="40">
        <f t="shared" ref="P275:T275" si="282">H275/H$292</f>
        <v>0.0838375108</v>
      </c>
      <c r="Q275" s="40">
        <f t="shared" si="282"/>
        <v>0.07889480692</v>
      </c>
      <c r="R275" s="40">
        <f t="shared" si="282"/>
        <v>0.1550387597</v>
      </c>
      <c r="S275" s="40">
        <f t="shared" si="282"/>
        <v>0.08216783217</v>
      </c>
      <c r="T275" s="40">
        <f t="shared" si="282"/>
        <v>0.05757575758</v>
      </c>
    </row>
    <row r="276" ht="15.75" customHeight="1">
      <c r="F276" s="24"/>
      <c r="G276" s="19">
        <f>$G$16</f>
        <v>8</v>
      </c>
      <c r="H276" s="20">
        <v>584.0</v>
      </c>
      <c r="I276" s="20">
        <v>314.0</v>
      </c>
      <c r="J276" s="20">
        <v>19.0</v>
      </c>
      <c r="K276" s="20">
        <v>49.0</v>
      </c>
      <c r="L276" s="20">
        <v>68.0</v>
      </c>
      <c r="N276" s="24"/>
      <c r="O276" s="19">
        <f>$G$16</f>
        <v>8</v>
      </c>
      <c r="P276" s="40">
        <f t="shared" ref="P276:T276" si="283">H276/H$292</f>
        <v>0.08412561222</v>
      </c>
      <c r="Q276" s="40">
        <f t="shared" si="283"/>
        <v>0.1045272969</v>
      </c>
      <c r="R276" s="40">
        <f t="shared" si="283"/>
        <v>0.1472868217</v>
      </c>
      <c r="S276" s="40">
        <f t="shared" si="283"/>
        <v>0.08566433566</v>
      </c>
      <c r="T276" s="40">
        <f t="shared" si="283"/>
        <v>0.06868686869</v>
      </c>
    </row>
    <row r="277" ht="15.75" customHeight="1">
      <c r="F277" s="24"/>
      <c r="G277" s="19">
        <f>$G$17</f>
        <v>9</v>
      </c>
      <c r="H277" s="20">
        <v>603.0</v>
      </c>
      <c r="I277" s="20">
        <v>310.0</v>
      </c>
      <c r="J277" s="20">
        <v>14.0</v>
      </c>
      <c r="K277" s="20">
        <v>54.0</v>
      </c>
      <c r="L277" s="20">
        <v>82.0</v>
      </c>
      <c r="N277" s="24"/>
      <c r="O277" s="19">
        <f>$G$17</f>
        <v>9</v>
      </c>
      <c r="P277" s="40">
        <f t="shared" ref="P277:T277" si="284">H277/H$292</f>
        <v>0.08686257563</v>
      </c>
      <c r="Q277" s="40">
        <f t="shared" si="284"/>
        <v>0.103195739</v>
      </c>
      <c r="R277" s="40">
        <f t="shared" si="284"/>
        <v>0.1085271318</v>
      </c>
      <c r="S277" s="40">
        <f t="shared" si="284"/>
        <v>0.09440559441</v>
      </c>
      <c r="T277" s="40">
        <f t="shared" si="284"/>
        <v>0.08282828283</v>
      </c>
    </row>
    <row r="278" ht="15.75" customHeight="1">
      <c r="F278" s="24"/>
      <c r="G278" s="19">
        <f>$G$18</f>
        <v>10</v>
      </c>
      <c r="H278" s="20">
        <v>550.0</v>
      </c>
      <c r="I278" s="20">
        <v>242.0</v>
      </c>
      <c r="J278" s="20">
        <v>2.0</v>
      </c>
      <c r="K278" s="20">
        <v>51.0</v>
      </c>
      <c r="L278" s="20">
        <v>88.0</v>
      </c>
      <c r="N278" s="24"/>
      <c r="O278" s="19">
        <f>$G$18</f>
        <v>10</v>
      </c>
      <c r="P278" s="40">
        <f t="shared" ref="P278:T278" si="285">H278/H$292</f>
        <v>0.07922788822</v>
      </c>
      <c r="Q278" s="40">
        <f t="shared" si="285"/>
        <v>0.08055925433</v>
      </c>
      <c r="R278" s="40">
        <f t="shared" si="285"/>
        <v>0.01550387597</v>
      </c>
      <c r="S278" s="40">
        <f t="shared" si="285"/>
        <v>0.08916083916</v>
      </c>
      <c r="T278" s="40">
        <f t="shared" si="285"/>
        <v>0.08888888889</v>
      </c>
    </row>
    <row r="279" ht="15.75" customHeight="1">
      <c r="F279" s="24"/>
      <c r="G279" s="19">
        <f>$G$19</f>
        <v>11</v>
      </c>
      <c r="H279" s="20">
        <v>472.0</v>
      </c>
      <c r="I279" s="20">
        <v>188.0</v>
      </c>
      <c r="J279" s="20">
        <v>11.0</v>
      </c>
      <c r="K279" s="20">
        <v>31.0</v>
      </c>
      <c r="L279" s="20">
        <v>87.0</v>
      </c>
      <c r="N279" s="24"/>
      <c r="O279" s="19">
        <f>$G$19</f>
        <v>11</v>
      </c>
      <c r="P279" s="40">
        <f t="shared" ref="P279:T279" si="286">H279/H$292</f>
        <v>0.06799193316</v>
      </c>
      <c r="Q279" s="40">
        <f t="shared" si="286"/>
        <v>0.06258322237</v>
      </c>
      <c r="R279" s="40">
        <f t="shared" si="286"/>
        <v>0.08527131783</v>
      </c>
      <c r="S279" s="40">
        <f t="shared" si="286"/>
        <v>0.0541958042</v>
      </c>
      <c r="T279" s="40">
        <f t="shared" si="286"/>
        <v>0.08787878788</v>
      </c>
    </row>
    <row r="280" ht="15.75" customHeight="1">
      <c r="F280" s="24"/>
      <c r="G280" s="19">
        <f>$G$20</f>
        <v>12</v>
      </c>
      <c r="H280" s="20">
        <v>403.0</v>
      </c>
      <c r="I280" s="20">
        <v>160.0</v>
      </c>
      <c r="J280" s="20">
        <v>5.0</v>
      </c>
      <c r="K280" s="20">
        <v>24.0</v>
      </c>
      <c r="L280" s="20">
        <v>71.0</v>
      </c>
      <c r="N280" s="24"/>
      <c r="O280" s="19">
        <f>$G$20</f>
        <v>12</v>
      </c>
      <c r="P280" s="40">
        <f t="shared" ref="P280:T280" si="287">H280/H$292</f>
        <v>0.05805243446</v>
      </c>
      <c r="Q280" s="40">
        <f t="shared" si="287"/>
        <v>0.05326231691</v>
      </c>
      <c r="R280" s="40">
        <f t="shared" si="287"/>
        <v>0.03875968992</v>
      </c>
      <c r="S280" s="40">
        <f t="shared" si="287"/>
        <v>0.04195804196</v>
      </c>
      <c r="T280" s="40">
        <f t="shared" si="287"/>
        <v>0.07171717172</v>
      </c>
    </row>
    <row r="281" ht="15.75" customHeight="1">
      <c r="F281" s="24"/>
      <c r="G281" s="19">
        <f>$G$21</f>
        <v>13</v>
      </c>
      <c r="H281" s="20">
        <v>382.0</v>
      </c>
      <c r="I281" s="20">
        <v>186.0</v>
      </c>
      <c r="J281" s="20">
        <v>3.0</v>
      </c>
      <c r="K281" s="20">
        <v>30.0</v>
      </c>
      <c r="L281" s="20">
        <v>72.0</v>
      </c>
      <c r="N281" s="24"/>
      <c r="O281" s="19">
        <f>$G$21</f>
        <v>13</v>
      </c>
      <c r="P281" s="40">
        <f t="shared" ref="P281:T281" si="288">H281/H$292</f>
        <v>0.05502736963</v>
      </c>
      <c r="Q281" s="40">
        <f t="shared" si="288"/>
        <v>0.06191744341</v>
      </c>
      <c r="R281" s="40">
        <f t="shared" si="288"/>
        <v>0.02325581395</v>
      </c>
      <c r="S281" s="40">
        <f t="shared" si="288"/>
        <v>0.05244755245</v>
      </c>
      <c r="T281" s="40">
        <f t="shared" si="288"/>
        <v>0.07272727273</v>
      </c>
    </row>
    <row r="282" ht="15.75" customHeight="1">
      <c r="F282" s="24"/>
      <c r="G282" s="19">
        <f>$G$22</f>
        <v>14</v>
      </c>
      <c r="H282" s="20">
        <v>376.0</v>
      </c>
      <c r="I282" s="20">
        <v>150.0</v>
      </c>
      <c r="J282" s="20">
        <v>13.0</v>
      </c>
      <c r="K282" s="20">
        <v>34.0</v>
      </c>
      <c r="L282" s="20">
        <v>78.0</v>
      </c>
      <c r="N282" s="24"/>
      <c r="O282" s="19">
        <f>$G$22</f>
        <v>14</v>
      </c>
      <c r="P282" s="40">
        <f t="shared" ref="P282:T282" si="289">H282/H$292</f>
        <v>0.0541630654</v>
      </c>
      <c r="Q282" s="40">
        <f t="shared" si="289"/>
        <v>0.0499334221</v>
      </c>
      <c r="R282" s="40">
        <f t="shared" si="289"/>
        <v>0.1007751938</v>
      </c>
      <c r="S282" s="40">
        <f t="shared" si="289"/>
        <v>0.05944055944</v>
      </c>
      <c r="T282" s="40">
        <f t="shared" si="289"/>
        <v>0.07878787879</v>
      </c>
    </row>
    <row r="283" ht="15.75" customHeight="1">
      <c r="F283" s="24"/>
      <c r="G283" s="19">
        <f>$G$23</f>
        <v>15</v>
      </c>
      <c r="H283" s="20">
        <v>367.0</v>
      </c>
      <c r="I283" s="20">
        <v>140.0</v>
      </c>
      <c r="J283" s="20">
        <v>9.0</v>
      </c>
      <c r="K283" s="20">
        <v>39.0</v>
      </c>
      <c r="L283" s="20">
        <v>71.0</v>
      </c>
      <c r="N283" s="24"/>
      <c r="O283" s="19">
        <f>$G$23</f>
        <v>15</v>
      </c>
      <c r="P283" s="40">
        <f t="shared" ref="P283:T283" si="290">H283/H$292</f>
        <v>0.05286660905</v>
      </c>
      <c r="Q283" s="40">
        <f t="shared" si="290"/>
        <v>0.0466045273</v>
      </c>
      <c r="R283" s="40">
        <f t="shared" si="290"/>
        <v>0.06976744186</v>
      </c>
      <c r="S283" s="40">
        <f t="shared" si="290"/>
        <v>0.06818181818</v>
      </c>
      <c r="T283" s="40">
        <f t="shared" si="290"/>
        <v>0.07171717172</v>
      </c>
    </row>
    <row r="284" ht="15.75" customHeight="1">
      <c r="F284" s="24"/>
      <c r="G284" s="19">
        <f>$G$24</f>
        <v>16</v>
      </c>
      <c r="H284" s="20">
        <v>352.0</v>
      </c>
      <c r="I284" s="20">
        <v>183.0</v>
      </c>
      <c r="J284" s="20">
        <v>8.0</v>
      </c>
      <c r="K284" s="20">
        <v>36.0</v>
      </c>
      <c r="L284" s="20">
        <v>47.0</v>
      </c>
      <c r="N284" s="24"/>
      <c r="O284" s="19">
        <f>$G$24</f>
        <v>16</v>
      </c>
      <c r="P284" s="40">
        <f t="shared" ref="P284:T284" si="291">H284/H$292</f>
        <v>0.05070584846</v>
      </c>
      <c r="Q284" s="40">
        <f t="shared" si="291"/>
        <v>0.06091877497</v>
      </c>
      <c r="R284" s="40">
        <f t="shared" si="291"/>
        <v>0.06201550388</v>
      </c>
      <c r="S284" s="40">
        <f t="shared" si="291"/>
        <v>0.06293706294</v>
      </c>
      <c r="T284" s="40">
        <f t="shared" si="291"/>
        <v>0.04747474747</v>
      </c>
    </row>
    <row r="285" ht="15.75" customHeight="1">
      <c r="F285" s="24"/>
      <c r="G285" s="19">
        <f>$G$25</f>
        <v>17</v>
      </c>
      <c r="H285" s="20">
        <v>450.0</v>
      </c>
      <c r="I285" s="20">
        <v>203.0</v>
      </c>
      <c r="J285" s="20">
        <v>2.0</v>
      </c>
      <c r="K285" s="20">
        <v>17.0</v>
      </c>
      <c r="L285" s="20">
        <v>31.0</v>
      </c>
      <c r="N285" s="24"/>
      <c r="O285" s="19">
        <f>$G$25</f>
        <v>17</v>
      </c>
      <c r="P285" s="40">
        <f t="shared" ref="P285:T285" si="292">H285/H$292</f>
        <v>0.06482281763</v>
      </c>
      <c r="Q285" s="40">
        <f t="shared" si="292"/>
        <v>0.06757656458</v>
      </c>
      <c r="R285" s="40">
        <f t="shared" si="292"/>
        <v>0.01550387597</v>
      </c>
      <c r="S285" s="40">
        <f t="shared" si="292"/>
        <v>0.02972027972</v>
      </c>
      <c r="T285" s="40">
        <f t="shared" si="292"/>
        <v>0.03131313131</v>
      </c>
    </row>
    <row r="286" ht="15.75" customHeight="1">
      <c r="F286" s="24"/>
      <c r="G286" s="19">
        <f>$G$26</f>
        <v>18</v>
      </c>
      <c r="H286" s="20">
        <v>281.0</v>
      </c>
      <c r="I286" s="20">
        <v>104.0</v>
      </c>
      <c r="J286" s="20">
        <v>2.0</v>
      </c>
      <c r="K286" s="20">
        <v>11.0</v>
      </c>
      <c r="L286" s="20">
        <v>15.0</v>
      </c>
      <c r="N286" s="24"/>
      <c r="O286" s="19">
        <f>$G$26</f>
        <v>18</v>
      </c>
      <c r="P286" s="40">
        <f t="shared" ref="P286:T286" si="293">H286/H$292</f>
        <v>0.04047824834</v>
      </c>
      <c r="Q286" s="40">
        <f t="shared" si="293"/>
        <v>0.03462050599</v>
      </c>
      <c r="R286" s="40">
        <f t="shared" si="293"/>
        <v>0.01550387597</v>
      </c>
      <c r="S286" s="40">
        <f t="shared" si="293"/>
        <v>0.01923076923</v>
      </c>
      <c r="T286" s="40">
        <f t="shared" si="293"/>
        <v>0.01515151515</v>
      </c>
    </row>
    <row r="287" ht="15.75" customHeight="1">
      <c r="F287" s="24"/>
      <c r="G287" s="19">
        <f>$G$27</f>
        <v>19</v>
      </c>
      <c r="H287" s="20">
        <v>214.0</v>
      </c>
      <c r="I287" s="20">
        <v>67.0</v>
      </c>
      <c r="J287" s="20">
        <v>1.0</v>
      </c>
      <c r="K287" s="20">
        <v>11.0</v>
      </c>
      <c r="L287" s="20">
        <v>6.0</v>
      </c>
      <c r="N287" s="24"/>
      <c r="O287" s="19">
        <f>$G$27</f>
        <v>19</v>
      </c>
      <c r="P287" s="40">
        <f t="shared" ref="P287:T287" si="294">H287/H$292</f>
        <v>0.03082685105</v>
      </c>
      <c r="Q287" s="40">
        <f t="shared" si="294"/>
        <v>0.02230359521</v>
      </c>
      <c r="R287" s="40">
        <f t="shared" si="294"/>
        <v>0.007751937984</v>
      </c>
      <c r="S287" s="40">
        <f t="shared" si="294"/>
        <v>0.01923076923</v>
      </c>
      <c r="T287" s="40">
        <f t="shared" si="294"/>
        <v>0.006060606061</v>
      </c>
    </row>
    <row r="288" ht="15.75" customHeight="1">
      <c r="F288" s="24"/>
      <c r="G288" s="19">
        <f>$G$28</f>
        <v>20</v>
      </c>
      <c r="H288" s="20">
        <v>179.0</v>
      </c>
      <c r="I288" s="20">
        <v>49.0</v>
      </c>
      <c r="J288" s="20"/>
      <c r="K288" s="20">
        <v>6.0</v>
      </c>
      <c r="L288" s="20">
        <v>16.0</v>
      </c>
      <c r="N288" s="24"/>
      <c r="O288" s="19">
        <f>$G$28</f>
        <v>20</v>
      </c>
      <c r="P288" s="40">
        <f t="shared" ref="P288:T288" si="295">H288/H$292</f>
        <v>0.02578507635</v>
      </c>
      <c r="Q288" s="40">
        <f t="shared" si="295"/>
        <v>0.01631158455</v>
      </c>
      <c r="R288" s="40">
        <f t="shared" si="295"/>
        <v>0</v>
      </c>
      <c r="S288" s="40">
        <f t="shared" si="295"/>
        <v>0.01048951049</v>
      </c>
      <c r="T288" s="40">
        <f t="shared" si="295"/>
        <v>0.01616161616</v>
      </c>
    </row>
    <row r="289" ht="15.75" customHeight="1">
      <c r="F289" s="24"/>
      <c r="G289" s="19">
        <f>$G$29</f>
        <v>21</v>
      </c>
      <c r="H289" s="20">
        <v>188.0</v>
      </c>
      <c r="I289" s="20">
        <v>50.0</v>
      </c>
      <c r="J289" s="20"/>
      <c r="K289" s="20">
        <v>6.0</v>
      </c>
      <c r="L289" s="20">
        <v>7.0</v>
      </c>
      <c r="N289" s="24"/>
      <c r="O289" s="19">
        <f>$G$29</f>
        <v>21</v>
      </c>
      <c r="P289" s="40">
        <f t="shared" ref="P289:T289" si="296">H289/H$292</f>
        <v>0.0270815327</v>
      </c>
      <c r="Q289" s="40">
        <f t="shared" si="296"/>
        <v>0.01664447403</v>
      </c>
      <c r="R289" s="40">
        <f t="shared" si="296"/>
        <v>0</v>
      </c>
      <c r="S289" s="40">
        <f t="shared" si="296"/>
        <v>0.01048951049</v>
      </c>
      <c r="T289" s="40">
        <f t="shared" si="296"/>
        <v>0.007070707071</v>
      </c>
    </row>
    <row r="290" ht="15.75" customHeight="1">
      <c r="F290" s="24"/>
      <c r="G290" s="19">
        <f>$G$30</f>
        <v>22</v>
      </c>
      <c r="H290" s="20">
        <v>140.0</v>
      </c>
      <c r="I290" s="20">
        <v>56.0</v>
      </c>
      <c r="J290" s="20">
        <v>2.0</v>
      </c>
      <c r="K290" s="20">
        <v>2.0</v>
      </c>
      <c r="L290" s="20">
        <v>10.0</v>
      </c>
      <c r="N290" s="24"/>
      <c r="O290" s="19">
        <f>$G$30</f>
        <v>22</v>
      </c>
      <c r="P290" s="40">
        <f t="shared" ref="P290:T290" si="297">H290/H$292</f>
        <v>0.02016709882</v>
      </c>
      <c r="Q290" s="40">
        <f t="shared" si="297"/>
        <v>0.01864181092</v>
      </c>
      <c r="R290" s="40">
        <f t="shared" si="297"/>
        <v>0.01550387597</v>
      </c>
      <c r="S290" s="40">
        <f t="shared" si="297"/>
        <v>0.003496503497</v>
      </c>
      <c r="T290" s="40">
        <f t="shared" si="297"/>
        <v>0.0101010101</v>
      </c>
    </row>
    <row r="291" ht="15.75" customHeight="1">
      <c r="F291" s="28"/>
      <c r="G291" s="19">
        <f>$G$31</f>
        <v>23</v>
      </c>
      <c r="H291" s="20">
        <v>68.0</v>
      </c>
      <c r="I291" s="20">
        <v>24.0</v>
      </c>
      <c r="J291" s="20">
        <v>1.0</v>
      </c>
      <c r="K291" s="20">
        <v>6.0</v>
      </c>
      <c r="L291" s="20">
        <v>16.0</v>
      </c>
      <c r="N291" s="28"/>
      <c r="O291" s="19">
        <f>$G$31</f>
        <v>23</v>
      </c>
      <c r="P291" s="40">
        <f t="shared" ref="P291:T291" si="298">H291/H$292</f>
        <v>0.009795447998</v>
      </c>
      <c r="Q291" s="40">
        <f t="shared" si="298"/>
        <v>0.007989347537</v>
      </c>
      <c r="R291" s="40">
        <f t="shared" si="298"/>
        <v>0.007751937984</v>
      </c>
      <c r="S291" s="40">
        <f t="shared" si="298"/>
        <v>0.01048951049</v>
      </c>
      <c r="T291" s="40">
        <f t="shared" si="298"/>
        <v>0.01616161616</v>
      </c>
    </row>
    <row r="292" ht="15.75" customHeight="1">
      <c r="F292" s="111"/>
      <c r="G292" s="112"/>
      <c r="H292" s="26">
        <f t="shared" ref="H292:L292" si="299">SUM(H268:H291)</f>
        <v>6942</v>
      </c>
      <c r="I292" s="26">
        <f t="shared" si="299"/>
        <v>3004</v>
      </c>
      <c r="J292" s="26">
        <f t="shared" si="299"/>
        <v>129</v>
      </c>
      <c r="K292" s="26">
        <f t="shared" si="299"/>
        <v>572</v>
      </c>
      <c r="L292" s="26">
        <f t="shared" si="299"/>
        <v>990</v>
      </c>
    </row>
    <row r="293" ht="15.75" customHeight="1">
      <c r="G293" s="16"/>
      <c r="H293" s="17">
        <f>$H$7</f>
        <v>31</v>
      </c>
      <c r="I293" s="17">
        <f>$I$7</f>
        <v>32</v>
      </c>
      <c r="J293" s="17">
        <f>$J$7</f>
        <v>41</v>
      </c>
      <c r="K293" s="17">
        <f>$K$7</f>
        <v>42</v>
      </c>
      <c r="L293" s="17">
        <f>$L$7</f>
        <v>5</v>
      </c>
      <c r="O293" s="16"/>
      <c r="P293" s="17">
        <f>$H$7</f>
        <v>31</v>
      </c>
      <c r="Q293" s="17">
        <f>$I$7</f>
        <v>32</v>
      </c>
      <c r="R293" s="17">
        <f>$J$7</f>
        <v>41</v>
      </c>
      <c r="S293" s="17">
        <f>$K$7</f>
        <v>42</v>
      </c>
      <c r="T293" s="17">
        <f>$L$7</f>
        <v>5</v>
      </c>
    </row>
    <row r="294" ht="15.75" customHeight="1">
      <c r="F294" s="56">
        <v>45218.0</v>
      </c>
      <c r="G294" s="19">
        <f>$G$8</f>
        <v>0</v>
      </c>
      <c r="H294" s="19">
        <v>46.0</v>
      </c>
      <c r="I294" s="60">
        <v>22.0</v>
      </c>
      <c r="J294" s="60">
        <v>1.0</v>
      </c>
      <c r="K294" s="60">
        <v>6.0</v>
      </c>
      <c r="L294" s="60">
        <v>8.0</v>
      </c>
      <c r="N294" s="56">
        <v>45218.0</v>
      </c>
      <c r="O294" s="19">
        <f>$G$8</f>
        <v>0</v>
      </c>
      <c r="P294" s="44">
        <f t="shared" ref="P294:T294" si="300">H294/H$318</f>
        <v>0.006650281914</v>
      </c>
      <c r="Q294" s="44">
        <f t="shared" si="300"/>
        <v>0.007787610619</v>
      </c>
      <c r="R294" s="44">
        <f t="shared" si="300"/>
        <v>0.005813953488</v>
      </c>
      <c r="S294" s="44">
        <f t="shared" si="300"/>
        <v>0.009538950715</v>
      </c>
      <c r="T294" s="44">
        <f t="shared" si="300"/>
        <v>0.008307372793</v>
      </c>
    </row>
    <row r="295" ht="15.75" customHeight="1">
      <c r="F295" s="24"/>
      <c r="G295" s="19">
        <f>$G$9</f>
        <v>1</v>
      </c>
      <c r="H295" s="45">
        <v>33.0</v>
      </c>
      <c r="I295" s="31">
        <v>12.0</v>
      </c>
      <c r="J295" s="31">
        <v>1.0</v>
      </c>
      <c r="K295" s="31">
        <v>3.0</v>
      </c>
      <c r="L295" s="31">
        <v>8.0</v>
      </c>
      <c r="N295" s="24"/>
      <c r="O295" s="19">
        <f>$G$9</f>
        <v>1</v>
      </c>
      <c r="P295" s="44">
        <f t="shared" ref="P295:T295" si="301">H295/H$318</f>
        <v>0.004770854417</v>
      </c>
      <c r="Q295" s="44">
        <f t="shared" si="301"/>
        <v>0.004247787611</v>
      </c>
      <c r="R295" s="44">
        <f t="shared" si="301"/>
        <v>0.005813953488</v>
      </c>
      <c r="S295" s="44">
        <f t="shared" si="301"/>
        <v>0.004769475358</v>
      </c>
      <c r="T295" s="44">
        <f t="shared" si="301"/>
        <v>0.008307372793</v>
      </c>
    </row>
    <row r="296" ht="15.75" customHeight="1">
      <c r="F296" s="24"/>
      <c r="G296" s="19">
        <f>$G$10</f>
        <v>2</v>
      </c>
      <c r="H296" s="45">
        <v>34.0</v>
      </c>
      <c r="I296" s="31">
        <v>9.0</v>
      </c>
      <c r="J296" s="20"/>
      <c r="K296" s="31">
        <v>14.0</v>
      </c>
      <c r="L296" s="31">
        <v>13.0</v>
      </c>
      <c r="N296" s="24"/>
      <c r="O296" s="19">
        <f>$G$10</f>
        <v>2</v>
      </c>
      <c r="P296" s="44">
        <f t="shared" ref="P296:T296" si="302">H296/H$318</f>
        <v>0.004915425763</v>
      </c>
      <c r="Q296" s="44">
        <f t="shared" si="302"/>
        <v>0.003185840708</v>
      </c>
      <c r="R296" s="44">
        <f t="shared" si="302"/>
        <v>0</v>
      </c>
      <c r="S296" s="44">
        <f t="shared" si="302"/>
        <v>0.02225755167</v>
      </c>
      <c r="T296" s="44">
        <f t="shared" si="302"/>
        <v>0.01349948079</v>
      </c>
    </row>
    <row r="297" ht="15.75" customHeight="1">
      <c r="F297" s="24"/>
      <c r="G297" s="19">
        <f>$G$11</f>
        <v>3</v>
      </c>
      <c r="H297" s="45">
        <v>27.0</v>
      </c>
      <c r="I297" s="31">
        <v>18.0</v>
      </c>
      <c r="J297" s="20"/>
      <c r="K297" s="31">
        <v>7.0</v>
      </c>
      <c r="L297" s="31">
        <v>15.0</v>
      </c>
      <c r="N297" s="24"/>
      <c r="O297" s="19">
        <f>$G$11</f>
        <v>3</v>
      </c>
      <c r="P297" s="44">
        <f t="shared" ref="P297:T297" si="303">H297/H$318</f>
        <v>0.003903426341</v>
      </c>
      <c r="Q297" s="44">
        <f t="shared" si="303"/>
        <v>0.006371681416</v>
      </c>
      <c r="R297" s="44">
        <f t="shared" si="303"/>
        <v>0</v>
      </c>
      <c r="S297" s="44">
        <f t="shared" si="303"/>
        <v>0.01112877583</v>
      </c>
      <c r="T297" s="44">
        <f t="shared" si="303"/>
        <v>0.01557632399</v>
      </c>
    </row>
    <row r="298" ht="15.75" customHeight="1">
      <c r="F298" s="24"/>
      <c r="G298" s="19">
        <f>$G$12</f>
        <v>4</v>
      </c>
      <c r="H298" s="45">
        <v>65.0</v>
      </c>
      <c r="I298" s="31">
        <v>42.0</v>
      </c>
      <c r="J298" s="31">
        <v>2.0</v>
      </c>
      <c r="K298" s="31">
        <v>25.0</v>
      </c>
      <c r="L298" s="31">
        <v>24.0</v>
      </c>
      <c r="N298" s="24"/>
      <c r="O298" s="19">
        <f>$G$12</f>
        <v>4</v>
      </c>
      <c r="P298" s="44">
        <f t="shared" ref="P298:T298" si="304">H298/H$318</f>
        <v>0.009397137487</v>
      </c>
      <c r="Q298" s="44">
        <f t="shared" si="304"/>
        <v>0.01486725664</v>
      </c>
      <c r="R298" s="44">
        <f t="shared" si="304"/>
        <v>0.01162790698</v>
      </c>
      <c r="S298" s="44">
        <f t="shared" si="304"/>
        <v>0.03974562798</v>
      </c>
      <c r="T298" s="44">
        <f t="shared" si="304"/>
        <v>0.02492211838</v>
      </c>
    </row>
    <row r="299" ht="15.75" customHeight="1">
      <c r="F299" s="24"/>
      <c r="G299" s="19">
        <f>$G$13</f>
        <v>5</v>
      </c>
      <c r="H299" s="45">
        <v>147.0</v>
      </c>
      <c r="I299" s="31">
        <v>76.0</v>
      </c>
      <c r="J299" s="31">
        <v>7.0</v>
      </c>
      <c r="K299" s="31">
        <v>27.0</v>
      </c>
      <c r="L299" s="31">
        <v>33.0</v>
      </c>
      <c r="N299" s="24"/>
      <c r="O299" s="19">
        <f>$G$13</f>
        <v>5</v>
      </c>
      <c r="P299" s="44">
        <f t="shared" ref="P299:T299" si="305">H299/H$318</f>
        <v>0.02125198786</v>
      </c>
      <c r="Q299" s="44">
        <f t="shared" si="305"/>
        <v>0.02690265487</v>
      </c>
      <c r="R299" s="44">
        <f t="shared" si="305"/>
        <v>0.04069767442</v>
      </c>
      <c r="S299" s="44">
        <f t="shared" si="305"/>
        <v>0.04292527822</v>
      </c>
      <c r="T299" s="44">
        <f t="shared" si="305"/>
        <v>0.03426791277</v>
      </c>
    </row>
    <row r="300" ht="15.75" customHeight="1">
      <c r="F300" s="24"/>
      <c r="G300" s="19">
        <f>$G$14</f>
        <v>6</v>
      </c>
      <c r="H300" s="45">
        <v>36.0</v>
      </c>
      <c r="I300" s="31">
        <v>145.0</v>
      </c>
      <c r="J300" s="31">
        <v>11.0</v>
      </c>
      <c r="K300" s="31">
        <v>40.0</v>
      </c>
      <c r="L300" s="31">
        <v>49.0</v>
      </c>
      <c r="N300" s="24"/>
      <c r="O300" s="19">
        <f>$G$14</f>
        <v>6</v>
      </c>
      <c r="P300" s="44">
        <f t="shared" ref="P300:T300" si="306">H300/H$318</f>
        <v>0.005204568455</v>
      </c>
      <c r="Q300" s="44">
        <f t="shared" si="306"/>
        <v>0.05132743363</v>
      </c>
      <c r="R300" s="44">
        <f t="shared" si="306"/>
        <v>0.06395348837</v>
      </c>
      <c r="S300" s="44">
        <f t="shared" si="306"/>
        <v>0.06359300477</v>
      </c>
      <c r="T300" s="44">
        <f t="shared" si="306"/>
        <v>0.05088265836</v>
      </c>
    </row>
    <row r="301" ht="15.75" customHeight="1">
      <c r="F301" s="24"/>
      <c r="G301" s="19">
        <f>$G$15</f>
        <v>7</v>
      </c>
      <c r="H301" s="45">
        <v>624.0</v>
      </c>
      <c r="I301" s="31">
        <v>220.0</v>
      </c>
      <c r="J301" s="31">
        <v>22.0</v>
      </c>
      <c r="K301" s="31">
        <v>54.0</v>
      </c>
      <c r="L301" s="31">
        <v>67.0</v>
      </c>
      <c r="N301" s="24"/>
      <c r="O301" s="19">
        <f>$G$15</f>
        <v>7</v>
      </c>
      <c r="P301" s="44">
        <f t="shared" ref="P301:T301" si="307">H301/H$318</f>
        <v>0.09021251988</v>
      </c>
      <c r="Q301" s="44">
        <f t="shared" si="307"/>
        <v>0.07787610619</v>
      </c>
      <c r="R301" s="44">
        <f t="shared" si="307"/>
        <v>0.1279069767</v>
      </c>
      <c r="S301" s="44">
        <f t="shared" si="307"/>
        <v>0.08585055644</v>
      </c>
      <c r="T301" s="44">
        <f t="shared" si="307"/>
        <v>0.06957424714</v>
      </c>
    </row>
    <row r="302" ht="15.75" customHeight="1">
      <c r="F302" s="24"/>
      <c r="G302" s="19">
        <f>$G$16</f>
        <v>8</v>
      </c>
      <c r="H302" s="45">
        <v>596.0</v>
      </c>
      <c r="I302" s="31">
        <v>305.0</v>
      </c>
      <c r="J302" s="31">
        <v>14.0</v>
      </c>
      <c r="K302" s="31">
        <v>48.0</v>
      </c>
      <c r="L302" s="31">
        <v>91.0</v>
      </c>
      <c r="N302" s="24"/>
      <c r="O302" s="19">
        <f>$G$16</f>
        <v>8</v>
      </c>
      <c r="P302" s="44">
        <f t="shared" ref="P302:T302" si="308">H302/H$318</f>
        <v>0.08616452219</v>
      </c>
      <c r="Q302" s="44">
        <f t="shared" si="308"/>
        <v>0.1079646018</v>
      </c>
      <c r="R302" s="44">
        <f t="shared" si="308"/>
        <v>0.08139534884</v>
      </c>
      <c r="S302" s="44">
        <f t="shared" si="308"/>
        <v>0.07631160572</v>
      </c>
      <c r="T302" s="44">
        <f t="shared" si="308"/>
        <v>0.09449636552</v>
      </c>
    </row>
    <row r="303" ht="15.75" customHeight="1">
      <c r="F303" s="24"/>
      <c r="G303" s="19">
        <f>$G$17</f>
        <v>9</v>
      </c>
      <c r="H303" s="45">
        <v>637.0</v>
      </c>
      <c r="I303" s="31">
        <v>280.0</v>
      </c>
      <c r="J303" s="31">
        <v>19.0</v>
      </c>
      <c r="K303" s="31">
        <v>66.0</v>
      </c>
      <c r="L303" s="31">
        <v>91.0</v>
      </c>
      <c r="N303" s="24"/>
      <c r="O303" s="19">
        <f>$G$17</f>
        <v>9</v>
      </c>
      <c r="P303" s="44">
        <f t="shared" ref="P303:T303" si="309">H303/H$318</f>
        <v>0.09209194738</v>
      </c>
      <c r="Q303" s="44">
        <f t="shared" si="309"/>
        <v>0.09911504425</v>
      </c>
      <c r="R303" s="44">
        <f t="shared" si="309"/>
        <v>0.1104651163</v>
      </c>
      <c r="S303" s="44">
        <f t="shared" si="309"/>
        <v>0.1049284579</v>
      </c>
      <c r="T303" s="44">
        <f t="shared" si="309"/>
        <v>0.09449636552</v>
      </c>
    </row>
    <row r="304" ht="15.75" customHeight="1">
      <c r="F304" s="24"/>
      <c r="G304" s="19">
        <f>$G$18</f>
        <v>10</v>
      </c>
      <c r="H304" s="45">
        <v>610.0</v>
      </c>
      <c r="I304" s="31">
        <v>230.0</v>
      </c>
      <c r="J304" s="31">
        <v>7.0</v>
      </c>
      <c r="K304" s="31">
        <v>50.0</v>
      </c>
      <c r="L304" s="31">
        <v>96.0</v>
      </c>
      <c r="N304" s="24"/>
      <c r="O304" s="19">
        <f>$G$18</f>
        <v>10</v>
      </c>
      <c r="P304" s="44">
        <f t="shared" ref="P304:T304" si="310">H304/H$318</f>
        <v>0.08818852104</v>
      </c>
      <c r="Q304" s="44">
        <f t="shared" si="310"/>
        <v>0.0814159292</v>
      </c>
      <c r="R304" s="44">
        <f t="shared" si="310"/>
        <v>0.04069767442</v>
      </c>
      <c r="S304" s="44">
        <f t="shared" si="310"/>
        <v>0.07949125596</v>
      </c>
      <c r="T304" s="44">
        <f t="shared" si="310"/>
        <v>0.09968847352</v>
      </c>
    </row>
    <row r="305" ht="15.75" customHeight="1">
      <c r="F305" s="24"/>
      <c r="G305" s="19">
        <f>$G$19</f>
        <v>11</v>
      </c>
      <c r="H305" s="45">
        <v>480.0</v>
      </c>
      <c r="I305" s="31">
        <v>157.0</v>
      </c>
      <c r="J305" s="31">
        <v>20.0</v>
      </c>
      <c r="K305" s="31">
        <v>40.0</v>
      </c>
      <c r="L305" s="31">
        <v>76.0</v>
      </c>
      <c r="N305" s="24"/>
      <c r="O305" s="19">
        <f>$G$19</f>
        <v>11</v>
      </c>
      <c r="P305" s="44">
        <f t="shared" ref="P305:T305" si="311">H305/H$318</f>
        <v>0.06939424606</v>
      </c>
      <c r="Q305" s="44">
        <f t="shared" si="311"/>
        <v>0.05557522124</v>
      </c>
      <c r="R305" s="44">
        <f t="shared" si="311"/>
        <v>0.1162790698</v>
      </c>
      <c r="S305" s="44">
        <f t="shared" si="311"/>
        <v>0.06359300477</v>
      </c>
      <c r="T305" s="44">
        <f t="shared" si="311"/>
        <v>0.07892004154</v>
      </c>
    </row>
    <row r="306" ht="15.75" customHeight="1">
      <c r="F306" s="24"/>
      <c r="G306" s="19">
        <f>$G$20</f>
        <v>12</v>
      </c>
      <c r="H306" s="45">
        <v>389.0</v>
      </c>
      <c r="I306" s="31">
        <v>136.0</v>
      </c>
      <c r="J306" s="31">
        <v>7.0</v>
      </c>
      <c r="K306" s="31">
        <v>34.0</v>
      </c>
      <c r="L306" s="31">
        <v>77.0</v>
      </c>
      <c r="N306" s="24"/>
      <c r="O306" s="19">
        <f>$G$20</f>
        <v>12</v>
      </c>
      <c r="P306" s="44">
        <f t="shared" ref="P306:T306" si="312">H306/H$318</f>
        <v>0.05623825358</v>
      </c>
      <c r="Q306" s="44">
        <f t="shared" si="312"/>
        <v>0.04814159292</v>
      </c>
      <c r="R306" s="44">
        <f t="shared" si="312"/>
        <v>0.04069767442</v>
      </c>
      <c r="S306" s="44">
        <f t="shared" si="312"/>
        <v>0.05405405405</v>
      </c>
      <c r="T306" s="44">
        <f t="shared" si="312"/>
        <v>0.07995846314</v>
      </c>
    </row>
    <row r="307" ht="15.75" customHeight="1">
      <c r="F307" s="24"/>
      <c r="G307" s="19">
        <f>$G$21</f>
        <v>13</v>
      </c>
      <c r="H307" s="45">
        <v>395.0</v>
      </c>
      <c r="I307" s="31">
        <v>135.0</v>
      </c>
      <c r="J307" s="31">
        <v>11.0</v>
      </c>
      <c r="K307" s="31">
        <v>36.0</v>
      </c>
      <c r="L307" s="31">
        <v>83.0</v>
      </c>
      <c r="N307" s="24"/>
      <c r="O307" s="19">
        <f>$G$21</f>
        <v>13</v>
      </c>
      <c r="P307" s="44">
        <f t="shared" ref="P307:T307" si="313">H307/H$318</f>
        <v>0.05710568165</v>
      </c>
      <c r="Q307" s="44">
        <f t="shared" si="313"/>
        <v>0.04778761062</v>
      </c>
      <c r="R307" s="44">
        <f t="shared" si="313"/>
        <v>0.06395348837</v>
      </c>
      <c r="S307" s="44">
        <f t="shared" si="313"/>
        <v>0.05723370429</v>
      </c>
      <c r="T307" s="44">
        <f t="shared" si="313"/>
        <v>0.08618899273</v>
      </c>
    </row>
    <row r="308" ht="15.75" customHeight="1">
      <c r="F308" s="24"/>
      <c r="G308" s="19">
        <f>$G$22</f>
        <v>14</v>
      </c>
      <c r="H308" s="45">
        <v>416.0</v>
      </c>
      <c r="I308" s="31">
        <v>155.0</v>
      </c>
      <c r="J308" s="31">
        <v>13.0</v>
      </c>
      <c r="K308" s="31">
        <v>35.0</v>
      </c>
      <c r="L308" s="31">
        <v>63.0</v>
      </c>
      <c r="N308" s="24"/>
      <c r="O308" s="19">
        <f>$G$22</f>
        <v>14</v>
      </c>
      <c r="P308" s="44">
        <f t="shared" ref="P308:T308" si="314">H308/H$318</f>
        <v>0.06014167992</v>
      </c>
      <c r="Q308" s="44">
        <f t="shared" si="314"/>
        <v>0.05486725664</v>
      </c>
      <c r="R308" s="44">
        <f t="shared" si="314"/>
        <v>0.07558139535</v>
      </c>
      <c r="S308" s="44">
        <f t="shared" si="314"/>
        <v>0.05564387917</v>
      </c>
      <c r="T308" s="44">
        <f t="shared" si="314"/>
        <v>0.06542056075</v>
      </c>
    </row>
    <row r="309" ht="15.75" customHeight="1">
      <c r="F309" s="24"/>
      <c r="G309" s="19">
        <f>$G$23</f>
        <v>15</v>
      </c>
      <c r="H309" s="45">
        <v>395.0</v>
      </c>
      <c r="I309" s="31">
        <v>151.0</v>
      </c>
      <c r="J309" s="31">
        <v>17.0</v>
      </c>
      <c r="K309" s="31">
        <v>33.0</v>
      </c>
      <c r="L309" s="31">
        <v>51.0</v>
      </c>
      <c r="N309" s="24"/>
      <c r="O309" s="19">
        <f>$G$23</f>
        <v>15</v>
      </c>
      <c r="P309" s="44">
        <f t="shared" ref="P309:T309" si="315">H309/H$318</f>
        <v>0.05710568165</v>
      </c>
      <c r="Q309" s="44">
        <f t="shared" si="315"/>
        <v>0.05345132743</v>
      </c>
      <c r="R309" s="44">
        <f t="shared" si="315"/>
        <v>0.0988372093</v>
      </c>
      <c r="S309" s="44">
        <f t="shared" si="315"/>
        <v>0.05246422893</v>
      </c>
      <c r="T309" s="44">
        <f t="shared" si="315"/>
        <v>0.05295950156</v>
      </c>
    </row>
    <row r="310" ht="15.75" customHeight="1">
      <c r="F310" s="24"/>
      <c r="G310" s="19">
        <f>$G$24</f>
        <v>16</v>
      </c>
      <c r="H310" s="45">
        <v>375.0</v>
      </c>
      <c r="I310" s="31">
        <v>168.0</v>
      </c>
      <c r="J310" s="31">
        <v>10.0</v>
      </c>
      <c r="K310" s="31">
        <v>28.0</v>
      </c>
      <c r="L310" s="31">
        <v>34.0</v>
      </c>
      <c r="N310" s="24"/>
      <c r="O310" s="19">
        <f>$G$24</f>
        <v>16</v>
      </c>
      <c r="P310" s="44">
        <f t="shared" ref="P310:T310" si="316">H310/H$318</f>
        <v>0.05421425473</v>
      </c>
      <c r="Q310" s="44">
        <f t="shared" si="316"/>
        <v>0.05946902655</v>
      </c>
      <c r="R310" s="44">
        <f t="shared" si="316"/>
        <v>0.05813953488</v>
      </c>
      <c r="S310" s="44">
        <f t="shared" si="316"/>
        <v>0.04451510334</v>
      </c>
      <c r="T310" s="44">
        <f t="shared" si="316"/>
        <v>0.03530633437</v>
      </c>
    </row>
    <row r="311" ht="15.75" customHeight="1">
      <c r="F311" s="24"/>
      <c r="G311" s="19">
        <f>$G$25</f>
        <v>17</v>
      </c>
      <c r="H311" s="45">
        <v>414.0</v>
      </c>
      <c r="I311" s="31">
        <v>179.0</v>
      </c>
      <c r="J311" s="31">
        <v>1.0</v>
      </c>
      <c r="K311" s="31">
        <v>19.0</v>
      </c>
      <c r="L311" s="31">
        <v>17.0</v>
      </c>
      <c r="N311" s="24"/>
      <c r="O311" s="19">
        <f>$G$25</f>
        <v>17</v>
      </c>
      <c r="P311" s="44">
        <f t="shared" ref="P311:T311" si="317">H311/H$318</f>
        <v>0.05985253723</v>
      </c>
      <c r="Q311" s="44">
        <f t="shared" si="317"/>
        <v>0.06336283186</v>
      </c>
      <c r="R311" s="44">
        <f t="shared" si="317"/>
        <v>0.005813953488</v>
      </c>
      <c r="S311" s="44">
        <f t="shared" si="317"/>
        <v>0.03020667727</v>
      </c>
      <c r="T311" s="44">
        <f t="shared" si="317"/>
        <v>0.01765316719</v>
      </c>
    </row>
    <row r="312" ht="15.75" customHeight="1">
      <c r="F312" s="24"/>
      <c r="G312" s="19">
        <f>$G$26</f>
        <v>18</v>
      </c>
      <c r="H312" s="45">
        <v>336.0</v>
      </c>
      <c r="I312" s="31">
        <v>120.0</v>
      </c>
      <c r="J312" s="31">
        <v>2.0</v>
      </c>
      <c r="K312" s="31">
        <v>9.0</v>
      </c>
      <c r="L312" s="31">
        <v>12.0</v>
      </c>
      <c r="N312" s="24"/>
      <c r="O312" s="19">
        <f>$G$26</f>
        <v>18</v>
      </c>
      <c r="P312" s="44">
        <f t="shared" ref="P312:T312" si="318">H312/H$318</f>
        <v>0.04857597224</v>
      </c>
      <c r="Q312" s="44">
        <f t="shared" si="318"/>
        <v>0.04247787611</v>
      </c>
      <c r="R312" s="44">
        <f t="shared" si="318"/>
        <v>0.01162790698</v>
      </c>
      <c r="S312" s="44">
        <f t="shared" si="318"/>
        <v>0.01430842607</v>
      </c>
      <c r="T312" s="44">
        <f t="shared" si="318"/>
        <v>0.01246105919</v>
      </c>
    </row>
    <row r="313" ht="15.75" customHeight="1">
      <c r="F313" s="24"/>
      <c r="G313" s="19">
        <f>$G$27</f>
        <v>19</v>
      </c>
      <c r="H313" s="45">
        <v>243.0</v>
      </c>
      <c r="I313" s="31">
        <v>83.0</v>
      </c>
      <c r="J313" s="31">
        <v>5.0</v>
      </c>
      <c r="K313" s="31">
        <v>18.0</v>
      </c>
      <c r="L313" s="31">
        <v>13.0</v>
      </c>
      <c r="N313" s="24"/>
      <c r="O313" s="19">
        <f>$G$27</f>
        <v>19</v>
      </c>
      <c r="P313" s="44">
        <f t="shared" ref="P313:T313" si="319">H313/H$318</f>
        <v>0.03513083707</v>
      </c>
      <c r="Q313" s="44">
        <f t="shared" si="319"/>
        <v>0.02938053097</v>
      </c>
      <c r="R313" s="44">
        <f t="shared" si="319"/>
        <v>0.02906976744</v>
      </c>
      <c r="S313" s="44">
        <f t="shared" si="319"/>
        <v>0.02861685215</v>
      </c>
      <c r="T313" s="44">
        <f t="shared" si="319"/>
        <v>0.01349948079</v>
      </c>
    </row>
    <row r="314" ht="15.75" customHeight="1">
      <c r="F314" s="24"/>
      <c r="G314" s="19">
        <f>$G$28</f>
        <v>20</v>
      </c>
      <c r="H314" s="45">
        <v>225.0</v>
      </c>
      <c r="I314" s="31">
        <v>62.0</v>
      </c>
      <c r="J314" s="20"/>
      <c r="K314" s="31">
        <v>10.0</v>
      </c>
      <c r="L314" s="31">
        <v>10.0</v>
      </c>
      <c r="N314" s="24"/>
      <c r="O314" s="19">
        <f>$G$28</f>
        <v>20</v>
      </c>
      <c r="P314" s="44">
        <f t="shared" ref="P314:T314" si="320">H314/H$318</f>
        <v>0.03252855284</v>
      </c>
      <c r="Q314" s="44">
        <f t="shared" si="320"/>
        <v>0.02194690265</v>
      </c>
      <c r="R314" s="44">
        <f t="shared" si="320"/>
        <v>0</v>
      </c>
      <c r="S314" s="44">
        <f t="shared" si="320"/>
        <v>0.01589825119</v>
      </c>
      <c r="T314" s="44">
        <f t="shared" si="320"/>
        <v>0.01038421599</v>
      </c>
    </row>
    <row r="315" ht="15.75" customHeight="1">
      <c r="F315" s="24"/>
      <c r="G315" s="19">
        <f>$G$29</f>
        <v>21</v>
      </c>
      <c r="H315" s="45">
        <v>192.0</v>
      </c>
      <c r="I315" s="31">
        <v>58.0</v>
      </c>
      <c r="J315" s="20"/>
      <c r="K315" s="31">
        <v>4.0</v>
      </c>
      <c r="L315" s="31">
        <v>14.0</v>
      </c>
      <c r="N315" s="24"/>
      <c r="O315" s="19">
        <f>$G$29</f>
        <v>21</v>
      </c>
      <c r="P315" s="44">
        <f t="shared" ref="P315:T315" si="321">H315/H$318</f>
        <v>0.02775769842</v>
      </c>
      <c r="Q315" s="44">
        <f t="shared" si="321"/>
        <v>0.02053097345</v>
      </c>
      <c r="R315" s="44">
        <f t="shared" si="321"/>
        <v>0</v>
      </c>
      <c r="S315" s="44">
        <f t="shared" si="321"/>
        <v>0.006359300477</v>
      </c>
      <c r="T315" s="44">
        <f t="shared" si="321"/>
        <v>0.01453790239</v>
      </c>
    </row>
    <row r="316" ht="15.75" customHeight="1">
      <c r="F316" s="24"/>
      <c r="G316" s="19">
        <f>$G$30</f>
        <v>22</v>
      </c>
      <c r="H316" s="45">
        <v>137.0</v>
      </c>
      <c r="I316" s="31">
        <v>38.0</v>
      </c>
      <c r="J316" s="31">
        <v>2.0</v>
      </c>
      <c r="K316" s="31">
        <v>9.0</v>
      </c>
      <c r="L316" s="31">
        <v>10.0</v>
      </c>
      <c r="N316" s="24"/>
      <c r="O316" s="19">
        <f>$G$30</f>
        <v>22</v>
      </c>
      <c r="P316" s="44">
        <f t="shared" ref="P316:T316" si="322">H316/H$318</f>
        <v>0.0198062744</v>
      </c>
      <c r="Q316" s="44">
        <f t="shared" si="322"/>
        <v>0.01345132743</v>
      </c>
      <c r="R316" s="44">
        <f t="shared" si="322"/>
        <v>0.01162790698</v>
      </c>
      <c r="S316" s="44">
        <f t="shared" si="322"/>
        <v>0.01430842607</v>
      </c>
      <c r="T316" s="44">
        <f t="shared" si="322"/>
        <v>0.01038421599</v>
      </c>
    </row>
    <row r="317" ht="15.75" customHeight="1">
      <c r="F317" s="28"/>
      <c r="G317" s="19">
        <f>$G$31</f>
        <v>23</v>
      </c>
      <c r="H317" s="46">
        <v>65.0</v>
      </c>
      <c r="I317" s="61">
        <v>24.0</v>
      </c>
      <c r="J317" s="20"/>
      <c r="K317" s="61">
        <v>14.0</v>
      </c>
      <c r="L317" s="61">
        <v>8.0</v>
      </c>
      <c r="N317" s="28"/>
      <c r="O317" s="19">
        <f>$G$31</f>
        <v>23</v>
      </c>
      <c r="P317" s="44">
        <f t="shared" ref="P317:T317" si="323">H317/H$318</f>
        <v>0.009397137487</v>
      </c>
      <c r="Q317" s="44">
        <f t="shared" si="323"/>
        <v>0.008495575221</v>
      </c>
      <c r="R317" s="44">
        <f t="shared" si="323"/>
        <v>0</v>
      </c>
      <c r="S317" s="44">
        <f t="shared" si="323"/>
        <v>0.02225755167</v>
      </c>
      <c r="T317" s="44">
        <f t="shared" si="323"/>
        <v>0.008307372793</v>
      </c>
    </row>
    <row r="318" ht="15.75" customHeight="1">
      <c r="F318" s="111"/>
      <c r="G318" s="112"/>
      <c r="H318" s="26">
        <f t="shared" ref="H318:L318" si="324">SUM(H294:H317)</f>
        <v>6917</v>
      </c>
      <c r="I318" s="26">
        <f t="shared" si="324"/>
        <v>2825</v>
      </c>
      <c r="J318" s="26">
        <f t="shared" si="324"/>
        <v>172</v>
      </c>
      <c r="K318" s="26">
        <f t="shared" si="324"/>
        <v>629</v>
      </c>
      <c r="L318" s="26">
        <f t="shared" si="324"/>
        <v>963</v>
      </c>
    </row>
    <row r="319" ht="15.75" customHeight="1">
      <c r="G319" s="16"/>
      <c r="H319" s="17">
        <f>$H$7</f>
        <v>31</v>
      </c>
      <c r="I319" s="17">
        <f>$I$7</f>
        <v>32</v>
      </c>
      <c r="J319" s="17">
        <f>$J$7</f>
        <v>41</v>
      </c>
      <c r="K319" s="17">
        <f>$K$7</f>
        <v>42</v>
      </c>
      <c r="L319" s="17">
        <f>$L$7</f>
        <v>5</v>
      </c>
      <c r="O319" s="16"/>
      <c r="P319" s="17">
        <f>$H$7</f>
        <v>31</v>
      </c>
      <c r="Q319" s="17">
        <f>$I$7</f>
        <v>32</v>
      </c>
      <c r="R319" s="17">
        <f>$J$7</f>
        <v>41</v>
      </c>
      <c r="S319" s="17">
        <f>$K$7</f>
        <v>42</v>
      </c>
      <c r="T319" s="17">
        <f>$L$7</f>
        <v>5</v>
      </c>
    </row>
    <row r="320" ht="15.75" customHeight="1">
      <c r="F320" s="56">
        <v>45219.0</v>
      </c>
      <c r="G320" s="19">
        <f>$G$8</f>
        <v>0</v>
      </c>
      <c r="H320" s="20">
        <v>61.0</v>
      </c>
      <c r="I320" s="20">
        <v>18.0</v>
      </c>
      <c r="J320" s="20"/>
      <c r="K320" s="20">
        <v>9.0</v>
      </c>
      <c r="L320" s="20">
        <v>6.0</v>
      </c>
      <c r="N320" s="56">
        <v>45219.0</v>
      </c>
      <c r="O320" s="19">
        <f>$G$8</f>
        <v>0</v>
      </c>
      <c r="P320" s="40">
        <f t="shared" ref="P320:T320" si="325">H320/H$344</f>
        <v>0.006552798367</v>
      </c>
      <c r="Q320" s="40">
        <f t="shared" si="325"/>
        <v>0.005347593583</v>
      </c>
      <c r="R320" s="40">
        <f t="shared" si="325"/>
        <v>0</v>
      </c>
      <c r="S320" s="40">
        <f t="shared" si="325"/>
        <v>0.01570680628</v>
      </c>
      <c r="T320" s="40">
        <f t="shared" si="325"/>
        <v>0.006507592191</v>
      </c>
    </row>
    <row r="321" ht="15.75" customHeight="1">
      <c r="F321" s="24"/>
      <c r="G321" s="19">
        <f>$G$9</f>
        <v>1</v>
      </c>
      <c r="H321" s="20">
        <v>48.0</v>
      </c>
      <c r="I321" s="20">
        <v>19.0</v>
      </c>
      <c r="J321" s="20"/>
      <c r="K321" s="20">
        <v>12.0</v>
      </c>
      <c r="L321" s="20">
        <v>4.0</v>
      </c>
      <c r="N321" s="24"/>
      <c r="O321" s="19">
        <f>$G$9</f>
        <v>1</v>
      </c>
      <c r="P321" s="40">
        <f t="shared" ref="P321:T321" si="326">H321/H$344</f>
        <v>0.005156300354</v>
      </c>
      <c r="Q321" s="40">
        <f t="shared" si="326"/>
        <v>0.005644682115</v>
      </c>
      <c r="R321" s="40">
        <f t="shared" si="326"/>
        <v>0</v>
      </c>
      <c r="S321" s="40">
        <f t="shared" si="326"/>
        <v>0.02094240838</v>
      </c>
      <c r="T321" s="40">
        <f t="shared" si="326"/>
        <v>0.004338394794</v>
      </c>
    </row>
    <row r="322" ht="15.75" customHeight="1">
      <c r="F322" s="24"/>
      <c r="G322" s="19">
        <f>$G$10</f>
        <v>2</v>
      </c>
      <c r="H322" s="16">
        <v>40.0</v>
      </c>
      <c r="I322" s="16">
        <v>18.0</v>
      </c>
      <c r="J322" s="16"/>
      <c r="K322" s="16">
        <v>11.0</v>
      </c>
      <c r="L322" s="16">
        <v>14.0</v>
      </c>
      <c r="N322" s="24"/>
      <c r="O322" s="19">
        <f>$G$10</f>
        <v>2</v>
      </c>
      <c r="P322" s="40">
        <f t="shared" ref="P322:T322" si="327">H322/H$344</f>
        <v>0.004296916962</v>
      </c>
      <c r="Q322" s="40">
        <f t="shared" si="327"/>
        <v>0.005347593583</v>
      </c>
      <c r="R322" s="40">
        <f t="shared" si="327"/>
        <v>0</v>
      </c>
      <c r="S322" s="40">
        <f t="shared" si="327"/>
        <v>0.01919720768</v>
      </c>
      <c r="T322" s="40">
        <f t="shared" si="327"/>
        <v>0.01518438178</v>
      </c>
    </row>
    <row r="323" ht="15.75" customHeight="1">
      <c r="F323" s="24"/>
      <c r="G323" s="19">
        <f>$G$11</f>
        <v>3</v>
      </c>
      <c r="H323" s="20">
        <v>41.0</v>
      </c>
      <c r="I323" s="20">
        <v>22.0</v>
      </c>
      <c r="J323" s="20"/>
      <c r="K323" s="20">
        <v>11.0</v>
      </c>
      <c r="L323" s="20">
        <v>21.0</v>
      </c>
      <c r="N323" s="24"/>
      <c r="O323" s="19">
        <f>$G$11</f>
        <v>3</v>
      </c>
      <c r="P323" s="40">
        <f t="shared" ref="P323:T323" si="328">H323/H$344</f>
        <v>0.004404339886</v>
      </c>
      <c r="Q323" s="40">
        <f t="shared" si="328"/>
        <v>0.006535947712</v>
      </c>
      <c r="R323" s="40">
        <f t="shared" si="328"/>
        <v>0</v>
      </c>
      <c r="S323" s="40">
        <f t="shared" si="328"/>
        <v>0.01919720768</v>
      </c>
      <c r="T323" s="40">
        <f t="shared" si="328"/>
        <v>0.02277657267</v>
      </c>
    </row>
    <row r="324" ht="15.75" customHeight="1">
      <c r="F324" s="24"/>
      <c r="G324" s="19">
        <f>$G$12</f>
        <v>4</v>
      </c>
      <c r="H324" s="20">
        <v>84.0</v>
      </c>
      <c r="I324" s="20">
        <v>40.0</v>
      </c>
      <c r="J324" s="20">
        <v>1.0</v>
      </c>
      <c r="K324" s="20">
        <v>32.0</v>
      </c>
      <c r="L324" s="20">
        <v>22.0</v>
      </c>
      <c r="N324" s="24"/>
      <c r="O324" s="19">
        <f>$G$12</f>
        <v>4</v>
      </c>
      <c r="P324" s="40">
        <f t="shared" ref="P324:T324" si="329">H324/H$344</f>
        <v>0.00902352562</v>
      </c>
      <c r="Q324" s="40">
        <f t="shared" si="329"/>
        <v>0.0118835413</v>
      </c>
      <c r="R324" s="40">
        <f t="shared" si="329"/>
        <v>0.004716981132</v>
      </c>
      <c r="S324" s="40">
        <f t="shared" si="329"/>
        <v>0.05584642234</v>
      </c>
      <c r="T324" s="40">
        <f t="shared" si="329"/>
        <v>0.02386117137</v>
      </c>
    </row>
    <row r="325" ht="15.75" customHeight="1">
      <c r="F325" s="24"/>
      <c r="G325" s="19">
        <f>$G$13</f>
        <v>5</v>
      </c>
      <c r="H325" s="20">
        <v>143.0</v>
      </c>
      <c r="I325" s="20">
        <v>87.0</v>
      </c>
      <c r="J325" s="20">
        <v>6.0</v>
      </c>
      <c r="K325" s="20">
        <v>28.0</v>
      </c>
      <c r="L325" s="20">
        <v>40.0</v>
      </c>
      <c r="N325" s="24"/>
      <c r="O325" s="19">
        <f>$G$13</f>
        <v>5</v>
      </c>
      <c r="P325" s="40">
        <f t="shared" ref="P325:T325" si="330">H325/H$344</f>
        <v>0.01536147814</v>
      </c>
      <c r="Q325" s="40">
        <f t="shared" si="330"/>
        <v>0.02584670232</v>
      </c>
      <c r="R325" s="40">
        <f t="shared" si="330"/>
        <v>0.02830188679</v>
      </c>
      <c r="S325" s="40">
        <f t="shared" si="330"/>
        <v>0.04886561955</v>
      </c>
      <c r="T325" s="40">
        <f t="shared" si="330"/>
        <v>0.04338394794</v>
      </c>
    </row>
    <row r="326" ht="15.75" customHeight="1">
      <c r="F326" s="24"/>
      <c r="G326" s="19">
        <f>$G$14</f>
        <v>6</v>
      </c>
      <c r="H326" s="20">
        <v>326.0</v>
      </c>
      <c r="I326" s="20">
        <v>156.0</v>
      </c>
      <c r="J326" s="20">
        <v>18.0</v>
      </c>
      <c r="K326" s="20">
        <v>32.0</v>
      </c>
      <c r="L326" s="20">
        <v>48.0</v>
      </c>
      <c r="N326" s="24"/>
      <c r="O326" s="19">
        <f>$G$14</f>
        <v>6</v>
      </c>
      <c r="P326" s="40">
        <f t="shared" ref="P326:T326" si="331">H326/H$344</f>
        <v>0.03501987324</v>
      </c>
      <c r="Q326" s="40">
        <f t="shared" si="331"/>
        <v>0.04634581105</v>
      </c>
      <c r="R326" s="40">
        <f t="shared" si="331"/>
        <v>0.08490566038</v>
      </c>
      <c r="S326" s="40">
        <f t="shared" si="331"/>
        <v>0.05584642234</v>
      </c>
      <c r="T326" s="40">
        <f t="shared" si="331"/>
        <v>0.05206073753</v>
      </c>
    </row>
    <row r="327" ht="15.75" customHeight="1">
      <c r="F327" s="24"/>
      <c r="G327" s="19">
        <f>$G$15</f>
        <v>7</v>
      </c>
      <c r="H327" s="20">
        <v>625.0</v>
      </c>
      <c r="I327" s="20">
        <v>234.0</v>
      </c>
      <c r="J327" s="20">
        <v>28.0</v>
      </c>
      <c r="K327" s="20">
        <v>41.0</v>
      </c>
      <c r="L327" s="20">
        <v>45.0</v>
      </c>
      <c r="N327" s="24"/>
      <c r="O327" s="19">
        <f>$G$15</f>
        <v>7</v>
      </c>
      <c r="P327" s="40">
        <f t="shared" ref="P327:T327" si="332">H327/H$344</f>
        <v>0.06713932753</v>
      </c>
      <c r="Q327" s="40">
        <f t="shared" si="332"/>
        <v>0.06951871658</v>
      </c>
      <c r="R327" s="40">
        <f t="shared" si="332"/>
        <v>0.1320754717</v>
      </c>
      <c r="S327" s="40">
        <f t="shared" si="332"/>
        <v>0.07155322862</v>
      </c>
      <c r="T327" s="40">
        <f t="shared" si="332"/>
        <v>0.04880694143</v>
      </c>
    </row>
    <row r="328" ht="15.75" customHeight="1">
      <c r="F328" s="24"/>
      <c r="G328" s="19">
        <f>$G$16</f>
        <v>8</v>
      </c>
      <c r="H328" s="20">
        <v>649.0</v>
      </c>
      <c r="I328" s="20">
        <v>290.0</v>
      </c>
      <c r="J328" s="20">
        <v>26.0</v>
      </c>
      <c r="K328" s="20">
        <v>48.0</v>
      </c>
      <c r="L328" s="20">
        <v>77.0</v>
      </c>
      <c r="N328" s="24"/>
      <c r="O328" s="19">
        <f>$G$16</f>
        <v>8</v>
      </c>
      <c r="P328" s="40">
        <f t="shared" ref="P328:T328" si="333">H328/H$344</f>
        <v>0.06971747771</v>
      </c>
      <c r="Q328" s="40">
        <f t="shared" si="333"/>
        <v>0.08615567439</v>
      </c>
      <c r="R328" s="40">
        <f t="shared" si="333"/>
        <v>0.1226415094</v>
      </c>
      <c r="S328" s="40">
        <f t="shared" si="333"/>
        <v>0.08376963351</v>
      </c>
      <c r="T328" s="40">
        <f t="shared" si="333"/>
        <v>0.08351409978</v>
      </c>
    </row>
    <row r="329" ht="15.75" customHeight="1">
      <c r="F329" s="24"/>
      <c r="G329" s="19">
        <f>$G$17</f>
        <v>9</v>
      </c>
      <c r="H329" s="20">
        <v>618.0</v>
      </c>
      <c r="I329" s="20">
        <v>314.0</v>
      </c>
      <c r="J329" s="20">
        <v>23.0</v>
      </c>
      <c r="K329" s="20">
        <v>56.0</v>
      </c>
      <c r="L329" s="20">
        <v>72.0</v>
      </c>
      <c r="N329" s="24"/>
      <c r="O329" s="19">
        <f>$G$17</f>
        <v>9</v>
      </c>
      <c r="P329" s="40">
        <f t="shared" ref="P329:T329" si="334">H329/H$344</f>
        <v>0.06638736706</v>
      </c>
      <c r="Q329" s="40">
        <f t="shared" si="334"/>
        <v>0.09328579917</v>
      </c>
      <c r="R329" s="40">
        <f t="shared" si="334"/>
        <v>0.108490566</v>
      </c>
      <c r="S329" s="40">
        <f t="shared" si="334"/>
        <v>0.09773123909</v>
      </c>
      <c r="T329" s="40">
        <f t="shared" si="334"/>
        <v>0.07809110629</v>
      </c>
    </row>
    <row r="330" ht="15.75" customHeight="1">
      <c r="F330" s="24"/>
      <c r="G330" s="19">
        <f>$G$18</f>
        <v>10</v>
      </c>
      <c r="H330" s="20">
        <v>683.0</v>
      </c>
      <c r="I330" s="20">
        <v>220.0</v>
      </c>
      <c r="J330" s="20">
        <v>17.0</v>
      </c>
      <c r="K330" s="20">
        <v>45.0</v>
      </c>
      <c r="L330" s="20">
        <v>83.0</v>
      </c>
      <c r="N330" s="24"/>
      <c r="O330" s="19">
        <f>$G$18</f>
        <v>10</v>
      </c>
      <c r="P330" s="40">
        <f t="shared" ref="P330:T330" si="335">H330/H$344</f>
        <v>0.07336985713</v>
      </c>
      <c r="Q330" s="40">
        <f t="shared" si="335"/>
        <v>0.06535947712</v>
      </c>
      <c r="R330" s="40">
        <f t="shared" si="335"/>
        <v>0.08018867925</v>
      </c>
      <c r="S330" s="40">
        <f t="shared" si="335"/>
        <v>0.07853403141</v>
      </c>
      <c r="T330" s="40">
        <f t="shared" si="335"/>
        <v>0.09002169197</v>
      </c>
    </row>
    <row r="331" ht="15.75" customHeight="1">
      <c r="F331" s="24"/>
      <c r="G331" s="19">
        <f>$G$19</f>
        <v>11</v>
      </c>
      <c r="H331" s="20">
        <v>556.0</v>
      </c>
      <c r="I331" s="20">
        <v>174.0</v>
      </c>
      <c r="J331" s="20">
        <v>18.0</v>
      </c>
      <c r="K331" s="20">
        <v>25.0</v>
      </c>
      <c r="L331" s="20">
        <v>84.0</v>
      </c>
      <c r="N331" s="24"/>
      <c r="O331" s="19">
        <f>$G$19</f>
        <v>11</v>
      </c>
      <c r="P331" s="40">
        <f t="shared" ref="P331:T331" si="336">H331/H$344</f>
        <v>0.05972714577</v>
      </c>
      <c r="Q331" s="40">
        <f t="shared" si="336"/>
        <v>0.05169340463</v>
      </c>
      <c r="R331" s="40">
        <f t="shared" si="336"/>
        <v>0.08490566038</v>
      </c>
      <c r="S331" s="40">
        <f t="shared" si="336"/>
        <v>0.04363001745</v>
      </c>
      <c r="T331" s="40">
        <f t="shared" si="336"/>
        <v>0.09110629067</v>
      </c>
    </row>
    <row r="332" ht="15.75" customHeight="1">
      <c r="F332" s="24"/>
      <c r="G332" s="19">
        <f>$G$20</f>
        <v>12</v>
      </c>
      <c r="H332" s="20">
        <v>466.0</v>
      </c>
      <c r="I332" s="20">
        <v>166.0</v>
      </c>
      <c r="J332" s="20">
        <v>7.0</v>
      </c>
      <c r="K332" s="20">
        <v>37.0</v>
      </c>
      <c r="L332" s="20">
        <v>79.0</v>
      </c>
      <c r="N332" s="24"/>
      <c r="O332" s="19">
        <f>$G$20</f>
        <v>12</v>
      </c>
      <c r="P332" s="40">
        <f t="shared" ref="P332:T332" si="337">H332/H$344</f>
        <v>0.05005908261</v>
      </c>
      <c r="Q332" s="40">
        <f t="shared" si="337"/>
        <v>0.04931669638</v>
      </c>
      <c r="R332" s="40">
        <f t="shared" si="337"/>
        <v>0.03301886792</v>
      </c>
      <c r="S332" s="40">
        <f t="shared" si="337"/>
        <v>0.06457242583</v>
      </c>
      <c r="T332" s="40">
        <f t="shared" si="337"/>
        <v>0.08568329718</v>
      </c>
    </row>
    <row r="333" ht="15.75" customHeight="1">
      <c r="F333" s="24"/>
      <c r="G333" s="19">
        <f>$G$21</f>
        <v>13</v>
      </c>
      <c r="H333" s="20">
        <v>524.0</v>
      </c>
      <c r="I333" s="20">
        <v>189.0</v>
      </c>
      <c r="J333" s="20">
        <v>15.0</v>
      </c>
      <c r="K333" s="20">
        <v>31.0</v>
      </c>
      <c r="L333" s="20">
        <v>86.0</v>
      </c>
      <c r="N333" s="24"/>
      <c r="O333" s="19">
        <f>$G$21</f>
        <v>13</v>
      </c>
      <c r="P333" s="40">
        <f t="shared" ref="P333:T333" si="338">H333/H$344</f>
        <v>0.0562896122</v>
      </c>
      <c r="Q333" s="40">
        <f t="shared" si="338"/>
        <v>0.05614973262</v>
      </c>
      <c r="R333" s="40">
        <f t="shared" si="338"/>
        <v>0.07075471698</v>
      </c>
      <c r="S333" s="40">
        <f t="shared" si="338"/>
        <v>0.05410122164</v>
      </c>
      <c r="T333" s="40">
        <f t="shared" si="338"/>
        <v>0.09327548807</v>
      </c>
    </row>
    <row r="334" ht="15.75" customHeight="1">
      <c r="F334" s="24"/>
      <c r="G334" s="19">
        <f>$G$22</f>
        <v>14</v>
      </c>
      <c r="H334" s="20">
        <v>546.0</v>
      </c>
      <c r="I334" s="20">
        <v>199.0</v>
      </c>
      <c r="J334" s="20">
        <v>11.0</v>
      </c>
      <c r="K334" s="20">
        <v>33.0</v>
      </c>
      <c r="L334" s="20">
        <v>76.0</v>
      </c>
      <c r="N334" s="24"/>
      <c r="O334" s="19">
        <f>$G$22</f>
        <v>14</v>
      </c>
      <c r="P334" s="40">
        <f t="shared" ref="P334:T334" si="339">H334/H$344</f>
        <v>0.05865291653</v>
      </c>
      <c r="Q334" s="40">
        <f t="shared" si="339"/>
        <v>0.05912061794</v>
      </c>
      <c r="R334" s="40">
        <f t="shared" si="339"/>
        <v>0.05188679245</v>
      </c>
      <c r="S334" s="40">
        <f t="shared" si="339"/>
        <v>0.05759162304</v>
      </c>
      <c r="T334" s="40">
        <f t="shared" si="339"/>
        <v>0.08242950108</v>
      </c>
    </row>
    <row r="335" ht="15.75" customHeight="1">
      <c r="F335" s="24"/>
      <c r="G335" s="19">
        <f>$G$23</f>
        <v>15</v>
      </c>
      <c r="H335" s="20">
        <v>511.0</v>
      </c>
      <c r="I335" s="20">
        <v>167.0</v>
      </c>
      <c r="J335" s="20">
        <v>10.0</v>
      </c>
      <c r="K335" s="20">
        <v>28.0</v>
      </c>
      <c r="L335" s="20">
        <v>60.0</v>
      </c>
      <c r="N335" s="24"/>
      <c r="O335" s="19">
        <f>$G$23</f>
        <v>15</v>
      </c>
      <c r="P335" s="40">
        <f t="shared" ref="P335:T335" si="340">H335/H$344</f>
        <v>0.05489311419</v>
      </c>
      <c r="Q335" s="40">
        <f t="shared" si="340"/>
        <v>0.04961378491</v>
      </c>
      <c r="R335" s="40">
        <f t="shared" si="340"/>
        <v>0.04716981132</v>
      </c>
      <c r="S335" s="40">
        <f t="shared" si="340"/>
        <v>0.04886561955</v>
      </c>
      <c r="T335" s="40">
        <f t="shared" si="340"/>
        <v>0.06507592191</v>
      </c>
    </row>
    <row r="336" ht="15.75" customHeight="1">
      <c r="F336" s="24"/>
      <c r="G336" s="19">
        <f>$G$24</f>
        <v>16</v>
      </c>
      <c r="H336" s="20">
        <v>542.0</v>
      </c>
      <c r="I336" s="20">
        <v>202.0</v>
      </c>
      <c r="J336" s="20">
        <v>11.0</v>
      </c>
      <c r="K336" s="20">
        <v>18.0</v>
      </c>
      <c r="L336" s="20">
        <v>34.0</v>
      </c>
      <c r="N336" s="24"/>
      <c r="O336" s="19">
        <f>$G$24</f>
        <v>16</v>
      </c>
      <c r="P336" s="40">
        <f t="shared" ref="P336:T336" si="341">H336/H$344</f>
        <v>0.05822322484</v>
      </c>
      <c r="Q336" s="40">
        <f t="shared" si="341"/>
        <v>0.06001188354</v>
      </c>
      <c r="R336" s="40">
        <f t="shared" si="341"/>
        <v>0.05188679245</v>
      </c>
      <c r="S336" s="40">
        <f t="shared" si="341"/>
        <v>0.03141361257</v>
      </c>
      <c r="T336" s="40">
        <f t="shared" si="341"/>
        <v>0.03687635575</v>
      </c>
    </row>
    <row r="337" ht="15.75" customHeight="1">
      <c r="F337" s="24"/>
      <c r="G337" s="19">
        <f>$G$25</f>
        <v>17</v>
      </c>
      <c r="H337" s="20">
        <v>569.0</v>
      </c>
      <c r="I337" s="20">
        <v>230.0</v>
      </c>
      <c r="J337" s="20">
        <v>7.0</v>
      </c>
      <c r="K337" s="20">
        <v>13.0</v>
      </c>
      <c r="L337" s="20">
        <v>15.0</v>
      </c>
      <c r="N337" s="24"/>
      <c r="O337" s="19">
        <f>$G$25</f>
        <v>17</v>
      </c>
      <c r="P337" s="40">
        <f t="shared" ref="P337:T337" si="342">H337/H$344</f>
        <v>0.06112364379</v>
      </c>
      <c r="Q337" s="40">
        <f t="shared" si="342"/>
        <v>0.06833036245</v>
      </c>
      <c r="R337" s="40">
        <f t="shared" si="342"/>
        <v>0.03301886792</v>
      </c>
      <c r="S337" s="40">
        <f t="shared" si="342"/>
        <v>0.02268760908</v>
      </c>
      <c r="T337" s="40">
        <f t="shared" si="342"/>
        <v>0.01626898048</v>
      </c>
    </row>
    <row r="338" ht="15.75" customHeight="1">
      <c r="F338" s="24"/>
      <c r="G338" s="19">
        <f>$G$26</f>
        <v>18</v>
      </c>
      <c r="H338" s="20">
        <v>559.0</v>
      </c>
      <c r="I338" s="20">
        <v>160.0</v>
      </c>
      <c r="J338" s="20">
        <v>4.0</v>
      </c>
      <c r="K338" s="20">
        <v>15.0</v>
      </c>
      <c r="L338" s="20">
        <v>9.0</v>
      </c>
      <c r="N338" s="24"/>
      <c r="O338" s="19">
        <f>$G$26</f>
        <v>18</v>
      </c>
      <c r="P338" s="40">
        <f t="shared" ref="P338:T338" si="343">H338/H$344</f>
        <v>0.06004941455</v>
      </c>
      <c r="Q338" s="40">
        <f t="shared" si="343"/>
        <v>0.04753416518</v>
      </c>
      <c r="R338" s="40">
        <f t="shared" si="343"/>
        <v>0.01886792453</v>
      </c>
      <c r="S338" s="40">
        <f t="shared" si="343"/>
        <v>0.02617801047</v>
      </c>
      <c r="T338" s="40">
        <f t="shared" si="343"/>
        <v>0.009761388286</v>
      </c>
    </row>
    <row r="339" ht="15.75" customHeight="1">
      <c r="F339" s="24"/>
      <c r="G339" s="19">
        <f>$G$27</f>
        <v>19</v>
      </c>
      <c r="H339" s="20">
        <v>507.0</v>
      </c>
      <c r="I339" s="20">
        <v>152.0</v>
      </c>
      <c r="J339" s="20">
        <v>3.0</v>
      </c>
      <c r="K339" s="20">
        <v>23.0</v>
      </c>
      <c r="L339" s="20">
        <v>11.0</v>
      </c>
      <c r="N339" s="24"/>
      <c r="O339" s="19">
        <f>$G$27</f>
        <v>19</v>
      </c>
      <c r="P339" s="40">
        <f t="shared" ref="P339:T339" si="344">H339/H$344</f>
        <v>0.05446342249</v>
      </c>
      <c r="Q339" s="40">
        <f t="shared" si="344"/>
        <v>0.04515745692</v>
      </c>
      <c r="R339" s="40">
        <f t="shared" si="344"/>
        <v>0.0141509434</v>
      </c>
      <c r="S339" s="40">
        <f t="shared" si="344"/>
        <v>0.04013961606</v>
      </c>
      <c r="T339" s="40">
        <f t="shared" si="344"/>
        <v>0.01193058568</v>
      </c>
    </row>
    <row r="340" ht="15.75" customHeight="1">
      <c r="F340" s="24"/>
      <c r="G340" s="19">
        <f>$G$28</f>
        <v>20</v>
      </c>
      <c r="H340" s="20">
        <v>402.0</v>
      </c>
      <c r="I340" s="20">
        <v>94.0</v>
      </c>
      <c r="J340" s="20">
        <v>1.0</v>
      </c>
      <c r="K340" s="20">
        <v>4.0</v>
      </c>
      <c r="L340" s="20">
        <v>14.0</v>
      </c>
      <c r="N340" s="24"/>
      <c r="O340" s="19">
        <f>$G$28</f>
        <v>20</v>
      </c>
      <c r="P340" s="40">
        <f t="shared" ref="P340:T340" si="345">H340/H$344</f>
        <v>0.04318401547</v>
      </c>
      <c r="Q340" s="40">
        <f t="shared" si="345"/>
        <v>0.02792632204</v>
      </c>
      <c r="R340" s="40">
        <f t="shared" si="345"/>
        <v>0.004716981132</v>
      </c>
      <c r="S340" s="40">
        <f t="shared" si="345"/>
        <v>0.006980802792</v>
      </c>
      <c r="T340" s="40">
        <f t="shared" si="345"/>
        <v>0.01518438178</v>
      </c>
    </row>
    <row r="341" ht="15.75" customHeight="1">
      <c r="F341" s="24"/>
      <c r="G341" s="19">
        <f>$G$29</f>
        <v>21</v>
      </c>
      <c r="H341" s="20">
        <v>347.0</v>
      </c>
      <c r="I341" s="20">
        <v>99.0</v>
      </c>
      <c r="J341" s="20">
        <v>4.0</v>
      </c>
      <c r="K341" s="20">
        <v>6.0</v>
      </c>
      <c r="L341" s="20">
        <v>5.0</v>
      </c>
      <c r="N341" s="24"/>
      <c r="O341" s="19">
        <f>$G$29</f>
        <v>21</v>
      </c>
      <c r="P341" s="40">
        <f t="shared" ref="P341:T341" si="346">H341/H$344</f>
        <v>0.03727575465</v>
      </c>
      <c r="Q341" s="40">
        <f t="shared" si="346"/>
        <v>0.02941176471</v>
      </c>
      <c r="R341" s="40">
        <f t="shared" si="346"/>
        <v>0.01886792453</v>
      </c>
      <c r="S341" s="40">
        <f t="shared" si="346"/>
        <v>0.01047120419</v>
      </c>
      <c r="T341" s="40">
        <f t="shared" si="346"/>
        <v>0.005422993492</v>
      </c>
    </row>
    <row r="342" ht="15.75" customHeight="1">
      <c r="F342" s="24"/>
      <c r="G342" s="19">
        <f>$G$30</f>
        <v>22</v>
      </c>
      <c r="H342" s="20">
        <v>289.0</v>
      </c>
      <c r="I342" s="20">
        <v>67.0</v>
      </c>
      <c r="J342" s="20">
        <v>1.0</v>
      </c>
      <c r="K342" s="20">
        <v>9.0</v>
      </c>
      <c r="L342" s="20">
        <v>7.0</v>
      </c>
      <c r="N342" s="24"/>
      <c r="O342" s="19">
        <f>$G$30</f>
        <v>22</v>
      </c>
      <c r="P342" s="40">
        <f t="shared" ref="P342:T342" si="347">H342/H$344</f>
        <v>0.03104522505</v>
      </c>
      <c r="Q342" s="40">
        <f t="shared" si="347"/>
        <v>0.01990493167</v>
      </c>
      <c r="R342" s="40">
        <f t="shared" si="347"/>
        <v>0.004716981132</v>
      </c>
      <c r="S342" s="40">
        <f t="shared" si="347"/>
        <v>0.01570680628</v>
      </c>
      <c r="T342" s="40">
        <f t="shared" si="347"/>
        <v>0.007592190889</v>
      </c>
    </row>
    <row r="343" ht="15.75" customHeight="1">
      <c r="F343" s="28"/>
      <c r="G343" s="19">
        <f>$G$31</f>
        <v>23</v>
      </c>
      <c r="H343" s="20">
        <v>173.0</v>
      </c>
      <c r="I343" s="20">
        <v>49.0</v>
      </c>
      <c r="J343" s="20">
        <v>1.0</v>
      </c>
      <c r="K343" s="20">
        <v>6.0</v>
      </c>
      <c r="L343" s="20">
        <v>10.0</v>
      </c>
      <c r="N343" s="28"/>
      <c r="O343" s="19">
        <f>$G$31</f>
        <v>23</v>
      </c>
      <c r="P343" s="40">
        <f t="shared" ref="P343:T343" si="348">H343/H$344</f>
        <v>0.01858416586</v>
      </c>
      <c r="Q343" s="40">
        <f t="shared" si="348"/>
        <v>0.01455733809</v>
      </c>
      <c r="R343" s="40">
        <f t="shared" si="348"/>
        <v>0.004716981132</v>
      </c>
      <c r="S343" s="40">
        <f t="shared" si="348"/>
        <v>0.01047120419</v>
      </c>
      <c r="T343" s="40">
        <f t="shared" si="348"/>
        <v>0.01084598698</v>
      </c>
    </row>
    <row r="344" ht="15.75" customHeight="1">
      <c r="F344" s="111"/>
      <c r="G344" s="112"/>
      <c r="H344" s="26">
        <f t="shared" ref="H344:L344" si="349">SUM(H320:H343)</f>
        <v>9309</v>
      </c>
      <c r="I344" s="26">
        <f t="shared" si="349"/>
        <v>3366</v>
      </c>
      <c r="J344" s="26">
        <f t="shared" si="349"/>
        <v>212</v>
      </c>
      <c r="K344" s="26">
        <f t="shared" si="349"/>
        <v>573</v>
      </c>
      <c r="L344" s="26">
        <f t="shared" si="349"/>
        <v>922</v>
      </c>
    </row>
    <row r="345" ht="15.75" customHeight="1">
      <c r="G345" s="16"/>
      <c r="H345" s="17">
        <f>$H$7</f>
        <v>31</v>
      </c>
      <c r="I345" s="17">
        <f>$I$7</f>
        <v>32</v>
      </c>
      <c r="J345" s="17">
        <f>$J$7</f>
        <v>41</v>
      </c>
      <c r="K345" s="17">
        <f>$K$7</f>
        <v>42</v>
      </c>
      <c r="L345" s="17">
        <f>$L$7</f>
        <v>5</v>
      </c>
      <c r="O345" s="16"/>
      <c r="P345" s="17">
        <f>$H$7</f>
        <v>31</v>
      </c>
      <c r="Q345" s="17">
        <f>$I$7</f>
        <v>32</v>
      </c>
      <c r="R345" s="17">
        <f>$J$7</f>
        <v>41</v>
      </c>
      <c r="S345" s="17">
        <f>$K$7</f>
        <v>42</v>
      </c>
      <c r="T345" s="17">
        <f>$L$7</f>
        <v>5</v>
      </c>
    </row>
    <row r="346" ht="15.75" customHeight="1">
      <c r="F346" s="56">
        <v>45220.0</v>
      </c>
      <c r="G346" s="19">
        <f>$G$8</f>
        <v>0</v>
      </c>
      <c r="H346" s="105">
        <v>101.0</v>
      </c>
      <c r="I346" s="105">
        <v>36.0</v>
      </c>
      <c r="J346" s="105">
        <v>2.0</v>
      </c>
      <c r="K346" s="105">
        <v>15.0</v>
      </c>
      <c r="L346" s="105">
        <v>6.0</v>
      </c>
      <c r="N346" s="56">
        <v>45220.0</v>
      </c>
      <c r="O346" s="19">
        <f>$G$8</f>
        <v>0</v>
      </c>
      <c r="P346" s="106">
        <f t="shared" ref="P346:T346" si="350">H346/H$370</f>
        <v>0.007847098128</v>
      </c>
      <c r="Q346" s="106">
        <f t="shared" si="350"/>
        <v>0.009577015164</v>
      </c>
      <c r="R346" s="106">
        <f t="shared" si="350"/>
        <v>0.008474576271</v>
      </c>
      <c r="S346" s="106">
        <f t="shared" si="350"/>
        <v>0.04934210526</v>
      </c>
      <c r="T346" s="106">
        <f t="shared" si="350"/>
        <v>0.01578947368</v>
      </c>
    </row>
    <row r="347" ht="15.75" customHeight="1">
      <c r="F347" s="24"/>
      <c r="G347" s="19">
        <f>$G$9</f>
        <v>1</v>
      </c>
      <c r="H347" s="34">
        <v>86.0</v>
      </c>
      <c r="I347" s="34">
        <v>21.0</v>
      </c>
      <c r="J347" s="34"/>
      <c r="K347" s="34">
        <v>8.0</v>
      </c>
      <c r="L347" s="34">
        <v>9.0</v>
      </c>
      <c r="N347" s="24"/>
      <c r="O347" s="19">
        <f>$G$9</f>
        <v>1</v>
      </c>
      <c r="P347" s="106">
        <f t="shared" ref="P347:T347" si="351">H347/H$370</f>
        <v>0.006681687515</v>
      </c>
      <c r="Q347" s="106">
        <f t="shared" si="351"/>
        <v>0.005586592179</v>
      </c>
      <c r="R347" s="106">
        <f t="shared" si="351"/>
        <v>0</v>
      </c>
      <c r="S347" s="106">
        <f t="shared" si="351"/>
        <v>0.02631578947</v>
      </c>
      <c r="T347" s="106">
        <f t="shared" si="351"/>
        <v>0.02368421053</v>
      </c>
    </row>
    <row r="348" ht="15.75" customHeight="1">
      <c r="F348" s="24"/>
      <c r="G348" s="19">
        <f>$G$10</f>
        <v>2</v>
      </c>
      <c r="H348" s="34">
        <v>56.0</v>
      </c>
      <c r="I348" s="34">
        <v>27.0</v>
      </c>
      <c r="J348" s="34"/>
      <c r="K348" s="34">
        <v>10.0</v>
      </c>
      <c r="L348" s="34">
        <v>6.0</v>
      </c>
      <c r="N348" s="24"/>
      <c r="O348" s="19">
        <f>$G$10</f>
        <v>2</v>
      </c>
      <c r="P348" s="106">
        <f t="shared" ref="P348:T348" si="352">H348/H$370</f>
        <v>0.004350866289</v>
      </c>
      <c r="Q348" s="106">
        <f t="shared" si="352"/>
        <v>0.007182761373</v>
      </c>
      <c r="R348" s="106">
        <f t="shared" si="352"/>
        <v>0</v>
      </c>
      <c r="S348" s="106">
        <f t="shared" si="352"/>
        <v>0.03289473684</v>
      </c>
      <c r="T348" s="106">
        <f t="shared" si="352"/>
        <v>0.01578947368</v>
      </c>
    </row>
    <row r="349" ht="15.75" customHeight="1">
      <c r="F349" s="24"/>
      <c r="G349" s="19">
        <f>$G$11</f>
        <v>3</v>
      </c>
      <c r="H349" s="34">
        <v>96.0</v>
      </c>
      <c r="I349" s="34">
        <v>39.0</v>
      </c>
      <c r="J349" s="34">
        <v>1.0</v>
      </c>
      <c r="K349" s="34">
        <v>8.0</v>
      </c>
      <c r="L349" s="34">
        <v>8.0</v>
      </c>
      <c r="N349" s="24"/>
      <c r="O349" s="19">
        <f>$G$11</f>
        <v>3</v>
      </c>
      <c r="P349" s="106">
        <f t="shared" ref="P349:T349" si="353">H349/H$370</f>
        <v>0.007458627923</v>
      </c>
      <c r="Q349" s="106">
        <f t="shared" si="353"/>
        <v>0.01037509976</v>
      </c>
      <c r="R349" s="106">
        <f t="shared" si="353"/>
        <v>0.004237288136</v>
      </c>
      <c r="S349" s="106">
        <f t="shared" si="353"/>
        <v>0.02631578947</v>
      </c>
      <c r="T349" s="106">
        <f t="shared" si="353"/>
        <v>0.02105263158</v>
      </c>
    </row>
    <row r="350" ht="15.75" customHeight="1">
      <c r="F350" s="24"/>
      <c r="G350" s="19">
        <f>$G$12</f>
        <v>4</v>
      </c>
      <c r="H350" s="34">
        <v>142.0</v>
      </c>
      <c r="I350" s="34">
        <v>68.0</v>
      </c>
      <c r="J350" s="34">
        <v>3.0</v>
      </c>
      <c r="K350" s="34">
        <v>16.0</v>
      </c>
      <c r="L350" s="34">
        <v>8.0</v>
      </c>
      <c r="N350" s="24"/>
      <c r="O350" s="19">
        <f>$G$12</f>
        <v>4</v>
      </c>
      <c r="P350" s="106">
        <f t="shared" ref="P350:T350" si="354">H350/H$370</f>
        <v>0.0110325538</v>
      </c>
      <c r="Q350" s="106">
        <f t="shared" si="354"/>
        <v>0.01808991753</v>
      </c>
      <c r="R350" s="106">
        <f t="shared" si="354"/>
        <v>0.01271186441</v>
      </c>
      <c r="S350" s="106">
        <f t="shared" si="354"/>
        <v>0.05263157895</v>
      </c>
      <c r="T350" s="106">
        <f t="shared" si="354"/>
        <v>0.02105263158</v>
      </c>
    </row>
    <row r="351" ht="15.75" customHeight="1">
      <c r="F351" s="24"/>
      <c r="G351" s="19">
        <f>$G$13</f>
        <v>5</v>
      </c>
      <c r="H351" s="20">
        <v>251.0</v>
      </c>
      <c r="I351" s="20">
        <v>137.0</v>
      </c>
      <c r="J351" s="20">
        <v>9.0</v>
      </c>
      <c r="K351" s="20">
        <v>13.0</v>
      </c>
      <c r="L351" s="20">
        <v>15.0</v>
      </c>
      <c r="N351" s="24"/>
      <c r="O351" s="19">
        <f>$G$13</f>
        <v>5</v>
      </c>
      <c r="P351" s="106">
        <f t="shared" ref="P351:T351" si="355">H351/H$370</f>
        <v>0.01950120426</v>
      </c>
      <c r="Q351" s="106">
        <f t="shared" si="355"/>
        <v>0.03644586326</v>
      </c>
      <c r="R351" s="106">
        <f t="shared" si="355"/>
        <v>0.03813559322</v>
      </c>
      <c r="S351" s="106">
        <f t="shared" si="355"/>
        <v>0.04276315789</v>
      </c>
      <c r="T351" s="106">
        <f t="shared" si="355"/>
        <v>0.03947368421</v>
      </c>
    </row>
    <row r="352" ht="15.75" customHeight="1">
      <c r="F352" s="24"/>
      <c r="G352" s="19">
        <f>$G$14</f>
        <v>6</v>
      </c>
      <c r="H352" s="20">
        <v>545.0</v>
      </c>
      <c r="I352" s="20">
        <v>193.0</v>
      </c>
      <c r="J352" s="20">
        <v>23.0</v>
      </c>
      <c r="K352" s="20">
        <v>17.0</v>
      </c>
      <c r="L352" s="20">
        <v>11.0</v>
      </c>
      <c r="N352" s="24"/>
      <c r="O352" s="19">
        <f>$G$14</f>
        <v>6</v>
      </c>
      <c r="P352" s="106">
        <f t="shared" ref="P352:T352" si="356">H352/H$370</f>
        <v>0.04234325227</v>
      </c>
      <c r="Q352" s="106">
        <f t="shared" si="356"/>
        <v>0.0513434424</v>
      </c>
      <c r="R352" s="106">
        <f t="shared" si="356"/>
        <v>0.09745762712</v>
      </c>
      <c r="S352" s="106">
        <f t="shared" si="356"/>
        <v>0.05592105263</v>
      </c>
      <c r="T352" s="106">
        <f t="shared" si="356"/>
        <v>0.02894736842</v>
      </c>
    </row>
    <row r="353" ht="15.75" customHeight="1">
      <c r="F353" s="24"/>
      <c r="G353" s="19">
        <f>$G$15</f>
        <v>7</v>
      </c>
      <c r="H353" s="20">
        <v>854.0</v>
      </c>
      <c r="I353" s="20">
        <v>311.0</v>
      </c>
      <c r="J353" s="20">
        <v>54.0</v>
      </c>
      <c r="K353" s="20">
        <v>32.0</v>
      </c>
      <c r="L353" s="20">
        <v>41.0</v>
      </c>
      <c r="N353" s="24"/>
      <c r="O353" s="19">
        <f>$G$15</f>
        <v>7</v>
      </c>
      <c r="P353" s="106">
        <f t="shared" ref="P353:T353" si="357">H353/H$370</f>
        <v>0.0663507109</v>
      </c>
      <c r="Q353" s="106">
        <f t="shared" si="357"/>
        <v>0.08273476989</v>
      </c>
      <c r="R353" s="106">
        <f t="shared" si="357"/>
        <v>0.2288135593</v>
      </c>
      <c r="S353" s="106">
        <f t="shared" si="357"/>
        <v>0.1052631579</v>
      </c>
      <c r="T353" s="106">
        <f t="shared" si="357"/>
        <v>0.1078947368</v>
      </c>
    </row>
    <row r="354" ht="15.75" customHeight="1">
      <c r="F354" s="24"/>
      <c r="G354" s="19">
        <f>$G$16</f>
        <v>8</v>
      </c>
      <c r="H354" s="20">
        <v>1160.0</v>
      </c>
      <c r="I354" s="20">
        <v>373.0</v>
      </c>
      <c r="J354" s="20">
        <v>42.0</v>
      </c>
      <c r="K354" s="20">
        <v>22.0</v>
      </c>
      <c r="L354" s="20">
        <v>27.0</v>
      </c>
      <c r="N354" s="24"/>
      <c r="O354" s="19">
        <f>$G$16</f>
        <v>8</v>
      </c>
      <c r="P354" s="106">
        <f t="shared" ref="P354:T354" si="358">H354/H$370</f>
        <v>0.09012508741</v>
      </c>
      <c r="Q354" s="106">
        <f t="shared" si="358"/>
        <v>0.09922851822</v>
      </c>
      <c r="R354" s="106">
        <f t="shared" si="358"/>
        <v>0.1779661017</v>
      </c>
      <c r="S354" s="106">
        <f t="shared" si="358"/>
        <v>0.07236842105</v>
      </c>
      <c r="T354" s="106">
        <f t="shared" si="358"/>
        <v>0.07105263158</v>
      </c>
    </row>
    <row r="355" ht="15.75" customHeight="1">
      <c r="F355" s="24"/>
      <c r="G355" s="19">
        <f>$G$17</f>
        <v>9</v>
      </c>
      <c r="H355" s="20">
        <v>1310.0</v>
      </c>
      <c r="I355" s="20">
        <v>354.0</v>
      </c>
      <c r="J355" s="20">
        <v>17.0</v>
      </c>
      <c r="K355" s="20">
        <v>22.0</v>
      </c>
      <c r="L355" s="20">
        <v>27.0</v>
      </c>
      <c r="N355" s="24"/>
      <c r="O355" s="19">
        <f>$G$17</f>
        <v>9</v>
      </c>
      <c r="P355" s="106">
        <f t="shared" ref="P355:T355" si="359">H355/H$370</f>
        <v>0.1017791935</v>
      </c>
      <c r="Q355" s="106">
        <f t="shared" si="359"/>
        <v>0.09417398244</v>
      </c>
      <c r="R355" s="106">
        <f t="shared" si="359"/>
        <v>0.07203389831</v>
      </c>
      <c r="S355" s="106">
        <f t="shared" si="359"/>
        <v>0.07236842105</v>
      </c>
      <c r="T355" s="106">
        <f t="shared" si="359"/>
        <v>0.07105263158</v>
      </c>
    </row>
    <row r="356" ht="15.75" customHeight="1">
      <c r="F356" s="24"/>
      <c r="G356" s="19">
        <f>$G$18</f>
        <v>10</v>
      </c>
      <c r="H356" s="20">
        <v>1282.0</v>
      </c>
      <c r="I356" s="20">
        <v>309.0</v>
      </c>
      <c r="J356" s="20">
        <v>11.0</v>
      </c>
      <c r="K356" s="20">
        <v>15.0</v>
      </c>
      <c r="L356" s="20">
        <v>21.0</v>
      </c>
      <c r="N356" s="24"/>
      <c r="O356" s="19">
        <f>$G$18</f>
        <v>10</v>
      </c>
      <c r="P356" s="106">
        <f t="shared" ref="P356:T356" si="360">H356/H$370</f>
        <v>0.09960376039</v>
      </c>
      <c r="Q356" s="106">
        <f t="shared" si="360"/>
        <v>0.08220271349</v>
      </c>
      <c r="R356" s="106">
        <f t="shared" si="360"/>
        <v>0.04661016949</v>
      </c>
      <c r="S356" s="106">
        <f t="shared" si="360"/>
        <v>0.04934210526</v>
      </c>
      <c r="T356" s="106">
        <f t="shared" si="360"/>
        <v>0.05526315789</v>
      </c>
    </row>
    <row r="357" ht="15.75" customHeight="1">
      <c r="F357" s="24"/>
      <c r="G357" s="19">
        <f>$G$19</f>
        <v>11</v>
      </c>
      <c r="H357" s="20">
        <v>1043.0</v>
      </c>
      <c r="I357" s="20">
        <v>230.0</v>
      </c>
      <c r="J357" s="20">
        <v>8.0</v>
      </c>
      <c r="K357" s="20">
        <v>15.0</v>
      </c>
      <c r="L357" s="20">
        <v>33.0</v>
      </c>
      <c r="N357" s="24"/>
      <c r="O357" s="19">
        <f>$G$19</f>
        <v>11</v>
      </c>
      <c r="P357" s="106">
        <f t="shared" ref="P357:T357" si="361">H357/H$370</f>
        <v>0.08103488462</v>
      </c>
      <c r="Q357" s="106">
        <f t="shared" si="361"/>
        <v>0.06118648577</v>
      </c>
      <c r="R357" s="106">
        <f t="shared" si="361"/>
        <v>0.03389830508</v>
      </c>
      <c r="S357" s="106">
        <f t="shared" si="361"/>
        <v>0.04934210526</v>
      </c>
      <c r="T357" s="106">
        <f t="shared" si="361"/>
        <v>0.08684210526</v>
      </c>
    </row>
    <row r="358" ht="15.75" customHeight="1">
      <c r="F358" s="24"/>
      <c r="G358" s="19">
        <f>$G$20</f>
        <v>12</v>
      </c>
      <c r="H358" s="20">
        <v>793.0</v>
      </c>
      <c r="I358" s="20">
        <v>188.0</v>
      </c>
      <c r="J358" s="20">
        <v>12.0</v>
      </c>
      <c r="K358" s="20">
        <v>14.0</v>
      </c>
      <c r="L358" s="20">
        <v>30.0</v>
      </c>
      <c r="N358" s="24"/>
      <c r="O358" s="19">
        <f>$G$20</f>
        <v>12</v>
      </c>
      <c r="P358" s="106">
        <f t="shared" ref="P358:T358" si="362">H358/H$370</f>
        <v>0.06161137441</v>
      </c>
      <c r="Q358" s="106">
        <f t="shared" si="362"/>
        <v>0.05001330141</v>
      </c>
      <c r="R358" s="106">
        <f t="shared" si="362"/>
        <v>0.05084745763</v>
      </c>
      <c r="S358" s="106">
        <f t="shared" si="362"/>
        <v>0.04605263158</v>
      </c>
      <c r="T358" s="106">
        <f t="shared" si="362"/>
        <v>0.07894736842</v>
      </c>
    </row>
    <row r="359" ht="15.75" customHeight="1">
      <c r="F359" s="24"/>
      <c r="G359" s="19">
        <f>$G$21</f>
        <v>13</v>
      </c>
      <c r="H359" s="20">
        <v>895.0</v>
      </c>
      <c r="I359" s="20">
        <v>246.0</v>
      </c>
      <c r="J359" s="20">
        <v>5.0</v>
      </c>
      <c r="K359" s="20">
        <v>12.0</v>
      </c>
      <c r="L359" s="20">
        <v>30.0</v>
      </c>
      <c r="N359" s="24"/>
      <c r="O359" s="19">
        <f>$G$21</f>
        <v>13</v>
      </c>
      <c r="P359" s="106">
        <f t="shared" ref="P359:T359" si="363">H359/H$370</f>
        <v>0.06953616658</v>
      </c>
      <c r="Q359" s="106">
        <f t="shared" si="363"/>
        <v>0.06544293695</v>
      </c>
      <c r="R359" s="106">
        <f t="shared" si="363"/>
        <v>0.02118644068</v>
      </c>
      <c r="S359" s="106">
        <f t="shared" si="363"/>
        <v>0.03947368421</v>
      </c>
      <c r="T359" s="106">
        <f t="shared" si="363"/>
        <v>0.07894736842</v>
      </c>
    </row>
    <row r="360" ht="15.75" customHeight="1">
      <c r="F360" s="24"/>
      <c r="G360" s="19">
        <f>$G$22</f>
        <v>14</v>
      </c>
      <c r="H360" s="20">
        <v>792.0</v>
      </c>
      <c r="I360" s="20">
        <v>193.0</v>
      </c>
      <c r="J360" s="20">
        <v>24.0</v>
      </c>
      <c r="K360" s="20">
        <v>20.0</v>
      </c>
      <c r="L360" s="20">
        <v>23.0</v>
      </c>
      <c r="N360" s="24"/>
      <c r="O360" s="19">
        <f>$G$22</f>
        <v>14</v>
      </c>
      <c r="P360" s="106">
        <f t="shared" ref="P360:T360" si="364">H360/H$370</f>
        <v>0.06153368037</v>
      </c>
      <c r="Q360" s="106">
        <f t="shared" si="364"/>
        <v>0.0513434424</v>
      </c>
      <c r="R360" s="106">
        <f t="shared" si="364"/>
        <v>0.1016949153</v>
      </c>
      <c r="S360" s="106">
        <f t="shared" si="364"/>
        <v>0.06578947368</v>
      </c>
      <c r="T360" s="106">
        <f t="shared" si="364"/>
        <v>0.06052631579</v>
      </c>
    </row>
    <row r="361" ht="15.75" customHeight="1">
      <c r="F361" s="24"/>
      <c r="G361" s="19">
        <f>$G$23</f>
        <v>15</v>
      </c>
      <c r="H361" s="20">
        <v>646.0</v>
      </c>
      <c r="I361" s="20">
        <v>204.0</v>
      </c>
      <c r="J361" s="20">
        <v>9.0</v>
      </c>
      <c r="K361" s="20">
        <v>13.0</v>
      </c>
      <c r="L361" s="20">
        <v>22.0</v>
      </c>
      <c r="N361" s="24"/>
      <c r="O361" s="19">
        <f>$G$23</f>
        <v>15</v>
      </c>
      <c r="P361" s="106">
        <f t="shared" ref="P361:T361" si="365">H361/H$370</f>
        <v>0.0501903504</v>
      </c>
      <c r="Q361" s="106">
        <f t="shared" si="365"/>
        <v>0.05426975259</v>
      </c>
      <c r="R361" s="106">
        <f t="shared" si="365"/>
        <v>0.03813559322</v>
      </c>
      <c r="S361" s="106">
        <f t="shared" si="365"/>
        <v>0.04276315789</v>
      </c>
      <c r="T361" s="106">
        <f t="shared" si="365"/>
        <v>0.05789473684</v>
      </c>
    </row>
    <row r="362" ht="15.75" customHeight="1">
      <c r="F362" s="24"/>
      <c r="G362" s="19">
        <f>$G$24</f>
        <v>16</v>
      </c>
      <c r="H362" s="20">
        <v>558.0</v>
      </c>
      <c r="I362" s="20">
        <v>184.0</v>
      </c>
      <c r="J362" s="20">
        <v>4.0</v>
      </c>
      <c r="K362" s="20">
        <v>10.0</v>
      </c>
      <c r="L362" s="20">
        <v>21.0</v>
      </c>
      <c r="N362" s="24"/>
      <c r="O362" s="19">
        <f>$G$24</f>
        <v>16</v>
      </c>
      <c r="P362" s="106">
        <f t="shared" ref="P362:T362" si="366">H362/H$370</f>
        <v>0.0433532748</v>
      </c>
      <c r="Q362" s="106">
        <f t="shared" si="366"/>
        <v>0.04894918861</v>
      </c>
      <c r="R362" s="106">
        <f t="shared" si="366"/>
        <v>0.01694915254</v>
      </c>
      <c r="S362" s="106">
        <f t="shared" si="366"/>
        <v>0.03289473684</v>
      </c>
      <c r="T362" s="106">
        <f t="shared" si="366"/>
        <v>0.05526315789</v>
      </c>
    </row>
    <row r="363" ht="15.75" customHeight="1">
      <c r="F363" s="24"/>
      <c r="G363" s="19">
        <f>$G$25</f>
        <v>17</v>
      </c>
      <c r="H363" s="20">
        <v>523.0</v>
      </c>
      <c r="I363" s="20">
        <v>182.0</v>
      </c>
      <c r="J363" s="20">
        <v>2.0</v>
      </c>
      <c r="K363" s="20">
        <v>11.0</v>
      </c>
      <c r="L363" s="20">
        <v>12.0</v>
      </c>
      <c r="N363" s="24"/>
      <c r="O363" s="19">
        <f>$G$25</f>
        <v>17</v>
      </c>
      <c r="P363" s="106">
        <f t="shared" ref="P363:T363" si="367">H363/H$370</f>
        <v>0.04063398337</v>
      </c>
      <c r="Q363" s="106">
        <f t="shared" si="367"/>
        <v>0.04841713222</v>
      </c>
      <c r="R363" s="106">
        <f t="shared" si="367"/>
        <v>0.008474576271</v>
      </c>
      <c r="S363" s="106">
        <f t="shared" si="367"/>
        <v>0.03618421053</v>
      </c>
      <c r="T363" s="106">
        <f t="shared" si="367"/>
        <v>0.03157894737</v>
      </c>
    </row>
    <row r="364" ht="15.75" customHeight="1">
      <c r="F364" s="24"/>
      <c r="G364" s="19">
        <f>$G$26</f>
        <v>18</v>
      </c>
      <c r="H364" s="20">
        <v>421.0</v>
      </c>
      <c r="I364" s="20">
        <v>134.0</v>
      </c>
      <c r="J364" s="20">
        <v>2.0</v>
      </c>
      <c r="K364" s="20">
        <v>5.0</v>
      </c>
      <c r="L364" s="20">
        <v>12.0</v>
      </c>
      <c r="N364" s="24"/>
      <c r="O364" s="19">
        <f>$G$26</f>
        <v>18</v>
      </c>
      <c r="P364" s="106">
        <f t="shared" ref="P364:T364" si="368">H364/H$370</f>
        <v>0.03270919121</v>
      </c>
      <c r="Q364" s="106">
        <f t="shared" si="368"/>
        <v>0.03564777866</v>
      </c>
      <c r="R364" s="106">
        <f t="shared" si="368"/>
        <v>0.008474576271</v>
      </c>
      <c r="S364" s="106">
        <f t="shared" si="368"/>
        <v>0.01644736842</v>
      </c>
      <c r="T364" s="106">
        <f t="shared" si="368"/>
        <v>0.03157894737</v>
      </c>
    </row>
    <row r="365" ht="15.75" customHeight="1">
      <c r="F365" s="24"/>
      <c r="G365" s="19">
        <f>$G$27</f>
        <v>19</v>
      </c>
      <c r="H365" s="20">
        <v>376.0</v>
      </c>
      <c r="I365" s="20">
        <v>95.0</v>
      </c>
      <c r="J365" s="20">
        <v>4.0</v>
      </c>
      <c r="K365" s="20">
        <v>9.0</v>
      </c>
      <c r="L365" s="20">
        <v>9.0</v>
      </c>
      <c r="N365" s="24"/>
      <c r="O365" s="19">
        <f>$G$27</f>
        <v>19</v>
      </c>
      <c r="P365" s="106">
        <f t="shared" ref="P365:T365" si="369">H365/H$370</f>
        <v>0.02921295937</v>
      </c>
      <c r="Q365" s="106">
        <f t="shared" si="369"/>
        <v>0.0252726789</v>
      </c>
      <c r="R365" s="106">
        <f t="shared" si="369"/>
        <v>0.01694915254</v>
      </c>
      <c r="S365" s="106">
        <f t="shared" si="369"/>
        <v>0.02960526316</v>
      </c>
      <c r="T365" s="106">
        <f t="shared" si="369"/>
        <v>0.02368421053</v>
      </c>
    </row>
    <row r="366" ht="15.75" customHeight="1">
      <c r="F366" s="24"/>
      <c r="G366" s="19">
        <f>$G$28</f>
        <v>20</v>
      </c>
      <c r="H366" s="20">
        <v>303.0</v>
      </c>
      <c r="I366" s="20">
        <v>68.0</v>
      </c>
      <c r="J366" s="20">
        <v>2.0</v>
      </c>
      <c r="K366" s="20">
        <v>4.0</v>
      </c>
      <c r="L366" s="20">
        <v>3.0</v>
      </c>
      <c r="N366" s="24"/>
      <c r="O366" s="19">
        <f>$G$28</f>
        <v>20</v>
      </c>
      <c r="P366" s="106">
        <f t="shared" ref="P366:T366" si="370">H366/H$370</f>
        <v>0.02354129438</v>
      </c>
      <c r="Q366" s="106">
        <f t="shared" si="370"/>
        <v>0.01808991753</v>
      </c>
      <c r="R366" s="106">
        <f t="shared" si="370"/>
        <v>0.008474576271</v>
      </c>
      <c r="S366" s="106">
        <f t="shared" si="370"/>
        <v>0.01315789474</v>
      </c>
      <c r="T366" s="106">
        <f t="shared" si="370"/>
        <v>0.007894736842</v>
      </c>
    </row>
    <row r="367" ht="15.75" customHeight="1">
      <c r="F367" s="24"/>
      <c r="G367" s="19">
        <f>$G$29</f>
        <v>21</v>
      </c>
      <c r="H367" s="20">
        <v>261.0</v>
      </c>
      <c r="I367" s="20">
        <v>81.0</v>
      </c>
      <c r="J367" s="20">
        <v>1.0</v>
      </c>
      <c r="K367" s="20">
        <v>4.0</v>
      </c>
      <c r="L367" s="20">
        <v>3.0</v>
      </c>
      <c r="N367" s="24"/>
      <c r="O367" s="19">
        <f>$G$29</f>
        <v>21</v>
      </c>
      <c r="P367" s="106">
        <f t="shared" ref="P367:T367" si="371">H367/H$370</f>
        <v>0.02027814467</v>
      </c>
      <c r="Q367" s="106">
        <f t="shared" si="371"/>
        <v>0.02154828412</v>
      </c>
      <c r="R367" s="106">
        <f t="shared" si="371"/>
        <v>0.004237288136</v>
      </c>
      <c r="S367" s="106">
        <f t="shared" si="371"/>
        <v>0.01315789474</v>
      </c>
      <c r="T367" s="106">
        <f t="shared" si="371"/>
        <v>0.007894736842</v>
      </c>
    </row>
    <row r="368" ht="15.75" customHeight="1">
      <c r="F368" s="24"/>
      <c r="G368" s="19">
        <f>$G$30</f>
        <v>22</v>
      </c>
      <c r="H368" s="20">
        <v>224.0</v>
      </c>
      <c r="I368" s="20">
        <v>49.0</v>
      </c>
      <c r="J368" s="20"/>
      <c r="K368" s="20">
        <v>6.0</v>
      </c>
      <c r="L368" s="20">
        <v>2.0</v>
      </c>
      <c r="N368" s="24"/>
      <c r="O368" s="19">
        <f>$G$30</f>
        <v>22</v>
      </c>
      <c r="P368" s="106">
        <f t="shared" ref="P368:T368" si="372">H368/H$370</f>
        <v>0.01740346515</v>
      </c>
      <c r="Q368" s="106">
        <f t="shared" si="372"/>
        <v>0.01303538175</v>
      </c>
      <c r="R368" s="106">
        <f t="shared" si="372"/>
        <v>0</v>
      </c>
      <c r="S368" s="106">
        <f t="shared" si="372"/>
        <v>0.01973684211</v>
      </c>
      <c r="T368" s="106">
        <f t="shared" si="372"/>
        <v>0.005263157895</v>
      </c>
    </row>
    <row r="369" ht="15.75" customHeight="1">
      <c r="F369" s="28"/>
      <c r="G369" s="19">
        <f>$G$31</f>
        <v>23</v>
      </c>
      <c r="H369" s="20">
        <v>153.0</v>
      </c>
      <c r="I369" s="20">
        <v>37.0</v>
      </c>
      <c r="J369" s="20">
        <v>1.0</v>
      </c>
      <c r="K369" s="20">
        <v>3.0</v>
      </c>
      <c r="L369" s="20">
        <v>1.0</v>
      </c>
      <c r="N369" s="28"/>
      <c r="O369" s="19">
        <f>$G$31</f>
        <v>23</v>
      </c>
      <c r="P369" s="106">
        <f t="shared" ref="P369:T369" si="373">H369/H$370</f>
        <v>0.01188718825</v>
      </c>
      <c r="Q369" s="106">
        <f t="shared" si="373"/>
        <v>0.009843043363</v>
      </c>
      <c r="R369" s="106">
        <f t="shared" si="373"/>
        <v>0.004237288136</v>
      </c>
      <c r="S369" s="106">
        <f t="shared" si="373"/>
        <v>0.009868421053</v>
      </c>
      <c r="T369" s="106">
        <f t="shared" si="373"/>
        <v>0.002631578947</v>
      </c>
    </row>
    <row r="370" ht="15.75" customHeight="1">
      <c r="F370" s="111"/>
      <c r="G370" s="112"/>
      <c r="H370" s="26">
        <f t="shared" ref="H370:L370" si="374">SUM(H346:H369)</f>
        <v>12871</v>
      </c>
      <c r="I370" s="26">
        <f t="shared" si="374"/>
        <v>3759</v>
      </c>
      <c r="J370" s="26">
        <f t="shared" si="374"/>
        <v>236</v>
      </c>
      <c r="K370" s="26">
        <f t="shared" si="374"/>
        <v>304</v>
      </c>
      <c r="L370" s="26">
        <f t="shared" si="374"/>
        <v>380</v>
      </c>
    </row>
    <row r="371" ht="15.75" customHeight="1">
      <c r="G371" s="16"/>
      <c r="H371" s="17">
        <f>$H$7</f>
        <v>31</v>
      </c>
      <c r="I371" s="17">
        <f>$I$7</f>
        <v>32</v>
      </c>
      <c r="J371" s="17">
        <f>$J$7</f>
        <v>41</v>
      </c>
      <c r="K371" s="17">
        <f>$K$7</f>
        <v>42</v>
      </c>
      <c r="L371" s="17">
        <f>$L$7</f>
        <v>5</v>
      </c>
      <c r="O371" s="16"/>
      <c r="P371" s="17">
        <f>$H$7</f>
        <v>31</v>
      </c>
      <c r="Q371" s="17">
        <f>$I$7</f>
        <v>32</v>
      </c>
      <c r="R371" s="17">
        <f>$J$7</f>
        <v>41</v>
      </c>
      <c r="S371" s="17">
        <f>$K$7</f>
        <v>42</v>
      </c>
      <c r="T371" s="17">
        <f>$L$7</f>
        <v>5</v>
      </c>
    </row>
    <row r="372" ht="15.75" customHeight="1">
      <c r="F372" s="56">
        <v>45221.0</v>
      </c>
      <c r="G372" s="19">
        <f>$G$8</f>
        <v>0</v>
      </c>
      <c r="H372" s="20">
        <v>98.0</v>
      </c>
      <c r="I372" s="20">
        <v>38.0</v>
      </c>
      <c r="J372" s="20">
        <v>2.0</v>
      </c>
      <c r="K372" s="20">
        <v>4.0</v>
      </c>
      <c r="L372" s="20">
        <v>2.0</v>
      </c>
      <c r="N372" s="56">
        <v>45221.0</v>
      </c>
      <c r="O372" s="19">
        <f>$G$8</f>
        <v>0</v>
      </c>
      <c r="P372" s="40">
        <f t="shared" ref="P372:T372" si="375">H372/H$396</f>
        <v>0.008891308293</v>
      </c>
      <c r="Q372" s="40">
        <f t="shared" si="375"/>
        <v>0.01242236025</v>
      </c>
      <c r="R372" s="40">
        <f t="shared" si="375"/>
        <v>0.01041666667</v>
      </c>
      <c r="S372" s="40">
        <f t="shared" si="375"/>
        <v>0.0245398773</v>
      </c>
      <c r="T372" s="40">
        <f t="shared" si="375"/>
        <v>0.01408450704</v>
      </c>
    </row>
    <row r="373" ht="15.75" customHeight="1">
      <c r="F373" s="24"/>
      <c r="G373" s="19">
        <f>$G$9</f>
        <v>1</v>
      </c>
      <c r="H373" s="20">
        <v>84.0</v>
      </c>
      <c r="I373" s="20">
        <v>22.0</v>
      </c>
      <c r="J373" s="20">
        <v>2.0</v>
      </c>
      <c r="K373" s="20">
        <v>5.0</v>
      </c>
      <c r="L373" s="20">
        <v>2.0</v>
      </c>
      <c r="N373" s="24"/>
      <c r="O373" s="19">
        <f>$G$9</f>
        <v>1</v>
      </c>
      <c r="P373" s="40">
        <f t="shared" ref="P373:T373" si="376">H373/H$396</f>
        <v>0.007621121394</v>
      </c>
      <c r="Q373" s="40">
        <f t="shared" si="376"/>
        <v>0.007191892775</v>
      </c>
      <c r="R373" s="40">
        <f t="shared" si="376"/>
        <v>0.01041666667</v>
      </c>
      <c r="S373" s="40">
        <f t="shared" si="376"/>
        <v>0.03067484663</v>
      </c>
      <c r="T373" s="40">
        <f t="shared" si="376"/>
        <v>0.01408450704</v>
      </c>
    </row>
    <row r="374" ht="15.75" customHeight="1">
      <c r="F374" s="24"/>
      <c r="G374" s="19">
        <f>$G$10</f>
        <v>2</v>
      </c>
      <c r="H374" s="16">
        <v>58.0</v>
      </c>
      <c r="I374" s="16">
        <v>19.0</v>
      </c>
      <c r="J374" s="16"/>
      <c r="K374" s="16">
        <v>2.0</v>
      </c>
      <c r="L374" s="16">
        <v>2.0</v>
      </c>
      <c r="N374" s="24"/>
      <c r="O374" s="19">
        <f>$G$10</f>
        <v>2</v>
      </c>
      <c r="P374" s="40">
        <f t="shared" ref="P374:T374" si="377">H374/H$396</f>
        <v>0.005262202867</v>
      </c>
      <c r="Q374" s="40">
        <f t="shared" si="377"/>
        <v>0.006211180124</v>
      </c>
      <c r="R374" s="40">
        <f t="shared" si="377"/>
        <v>0</v>
      </c>
      <c r="S374" s="40">
        <f t="shared" si="377"/>
        <v>0.01226993865</v>
      </c>
      <c r="T374" s="40">
        <f t="shared" si="377"/>
        <v>0.01408450704</v>
      </c>
    </row>
    <row r="375" ht="15.75" customHeight="1">
      <c r="F375" s="24"/>
      <c r="G375" s="19">
        <f>$G$11</f>
        <v>3</v>
      </c>
      <c r="H375" s="20">
        <v>69.0</v>
      </c>
      <c r="I375" s="20">
        <v>22.0</v>
      </c>
      <c r="J375" s="20">
        <v>1.0</v>
      </c>
      <c r="K375" s="20">
        <v>3.0</v>
      </c>
      <c r="L375" s="20">
        <v>2.0</v>
      </c>
      <c r="N375" s="24"/>
      <c r="O375" s="19">
        <f>$G$11</f>
        <v>3</v>
      </c>
      <c r="P375" s="40">
        <f t="shared" ref="P375:T375" si="378">H375/H$396</f>
        <v>0.006260206859</v>
      </c>
      <c r="Q375" s="40">
        <f t="shared" si="378"/>
        <v>0.007191892775</v>
      </c>
      <c r="R375" s="40">
        <f t="shared" si="378"/>
        <v>0.005208333333</v>
      </c>
      <c r="S375" s="40">
        <f t="shared" si="378"/>
        <v>0.01840490798</v>
      </c>
      <c r="T375" s="40">
        <f t="shared" si="378"/>
        <v>0.01408450704</v>
      </c>
    </row>
    <row r="376" ht="15.75" customHeight="1">
      <c r="F376" s="24"/>
      <c r="G376" s="19">
        <f>$G$12</f>
        <v>4</v>
      </c>
      <c r="H376" s="20">
        <v>87.0</v>
      </c>
      <c r="I376" s="20">
        <v>53.0</v>
      </c>
      <c r="J376" s="20">
        <v>1.0</v>
      </c>
      <c r="K376" s="20">
        <v>2.0</v>
      </c>
      <c r="L376" s="20">
        <v>2.0</v>
      </c>
      <c r="N376" s="24"/>
      <c r="O376" s="19">
        <f>$G$12</f>
        <v>4</v>
      </c>
      <c r="P376" s="40">
        <f t="shared" ref="P376:T376" si="379">H376/H$396</f>
        <v>0.0078933043</v>
      </c>
      <c r="Q376" s="40">
        <f t="shared" si="379"/>
        <v>0.0173259235</v>
      </c>
      <c r="R376" s="40">
        <f t="shared" si="379"/>
        <v>0.005208333333</v>
      </c>
      <c r="S376" s="40">
        <f t="shared" si="379"/>
        <v>0.01226993865</v>
      </c>
      <c r="T376" s="40">
        <f t="shared" si="379"/>
        <v>0.01408450704</v>
      </c>
    </row>
    <row r="377" ht="15.75" customHeight="1">
      <c r="F377" s="24"/>
      <c r="G377" s="19">
        <f>$G$13</f>
        <v>5</v>
      </c>
      <c r="H377" s="20">
        <v>154.0</v>
      </c>
      <c r="I377" s="20">
        <v>79.0</v>
      </c>
      <c r="J377" s="20">
        <v>7.0</v>
      </c>
      <c r="K377" s="20">
        <v>9.0</v>
      </c>
      <c r="L377" s="20">
        <v>8.0</v>
      </c>
      <c r="N377" s="24"/>
      <c r="O377" s="19">
        <f>$G$13</f>
        <v>5</v>
      </c>
      <c r="P377" s="40">
        <f t="shared" ref="P377:T377" si="380">H377/H$396</f>
        <v>0.01397205589</v>
      </c>
      <c r="Q377" s="40">
        <f t="shared" si="380"/>
        <v>0.02582543315</v>
      </c>
      <c r="R377" s="40">
        <f t="shared" si="380"/>
        <v>0.03645833333</v>
      </c>
      <c r="S377" s="40">
        <f t="shared" si="380"/>
        <v>0.05521472393</v>
      </c>
      <c r="T377" s="40">
        <f t="shared" si="380"/>
        <v>0.05633802817</v>
      </c>
    </row>
    <row r="378" ht="15.75" customHeight="1">
      <c r="F378" s="24"/>
      <c r="G378" s="19">
        <f>$G$14</f>
        <v>6</v>
      </c>
      <c r="H378" s="20">
        <v>301.0</v>
      </c>
      <c r="I378" s="20">
        <v>107.0</v>
      </c>
      <c r="J378" s="20">
        <v>8.0</v>
      </c>
      <c r="K378" s="20">
        <v>14.0</v>
      </c>
      <c r="L378" s="20">
        <v>10.0</v>
      </c>
      <c r="N378" s="24"/>
      <c r="O378" s="19">
        <f>$G$14</f>
        <v>6</v>
      </c>
      <c r="P378" s="40">
        <f t="shared" ref="P378:T378" si="381">H378/H$396</f>
        <v>0.02730901833</v>
      </c>
      <c r="Q378" s="40">
        <f t="shared" si="381"/>
        <v>0.03497875123</v>
      </c>
      <c r="R378" s="40">
        <f t="shared" si="381"/>
        <v>0.04166666667</v>
      </c>
      <c r="S378" s="40">
        <f t="shared" si="381"/>
        <v>0.08588957055</v>
      </c>
      <c r="T378" s="40">
        <f t="shared" si="381"/>
        <v>0.07042253521</v>
      </c>
    </row>
    <row r="379" ht="15.75" customHeight="1">
      <c r="F379" s="24"/>
      <c r="G379" s="19">
        <f>$G$15</f>
        <v>7</v>
      </c>
      <c r="H379" s="20">
        <v>527.0</v>
      </c>
      <c r="I379" s="20">
        <v>182.0</v>
      </c>
      <c r="J379" s="20">
        <v>35.0</v>
      </c>
      <c r="K379" s="20">
        <v>18.0</v>
      </c>
      <c r="L379" s="20">
        <v>6.0</v>
      </c>
      <c r="N379" s="24"/>
      <c r="O379" s="19">
        <f>$G$15</f>
        <v>7</v>
      </c>
      <c r="P379" s="40">
        <f t="shared" ref="P379:T379" si="382">H379/H$396</f>
        <v>0.04781346398</v>
      </c>
      <c r="Q379" s="40">
        <f t="shared" si="382"/>
        <v>0.05949656751</v>
      </c>
      <c r="R379" s="40">
        <f t="shared" si="382"/>
        <v>0.1822916667</v>
      </c>
      <c r="S379" s="40">
        <f t="shared" si="382"/>
        <v>0.1104294479</v>
      </c>
      <c r="T379" s="40">
        <f t="shared" si="382"/>
        <v>0.04225352113</v>
      </c>
    </row>
    <row r="380" ht="15.75" customHeight="1">
      <c r="F380" s="24"/>
      <c r="G380" s="19">
        <f>$G$16</f>
        <v>8</v>
      </c>
      <c r="H380" s="20">
        <v>784.0</v>
      </c>
      <c r="I380" s="20">
        <v>239.0</v>
      </c>
      <c r="J380" s="20">
        <v>24.0</v>
      </c>
      <c r="K380" s="20">
        <v>17.0</v>
      </c>
      <c r="L380" s="20">
        <v>13.0</v>
      </c>
      <c r="N380" s="24"/>
      <c r="O380" s="19">
        <f>$G$16</f>
        <v>8</v>
      </c>
      <c r="P380" s="40">
        <f t="shared" ref="P380:T380" si="383">H380/H$396</f>
        <v>0.07113046634</v>
      </c>
      <c r="Q380" s="40">
        <f t="shared" si="383"/>
        <v>0.07813010788</v>
      </c>
      <c r="R380" s="40">
        <f t="shared" si="383"/>
        <v>0.125</v>
      </c>
      <c r="S380" s="40">
        <f t="shared" si="383"/>
        <v>0.1042944785</v>
      </c>
      <c r="T380" s="40">
        <f t="shared" si="383"/>
        <v>0.09154929577</v>
      </c>
    </row>
    <row r="381" ht="15.75" customHeight="1">
      <c r="F381" s="24"/>
      <c r="G381" s="19">
        <f>$G$17</f>
        <v>9</v>
      </c>
      <c r="H381" s="20">
        <v>1005.0</v>
      </c>
      <c r="I381" s="20">
        <v>260.0</v>
      </c>
      <c r="J381" s="20">
        <v>12.0</v>
      </c>
      <c r="K381" s="20">
        <v>11.0</v>
      </c>
      <c r="L381" s="20">
        <v>6.0</v>
      </c>
      <c r="N381" s="24"/>
      <c r="O381" s="19">
        <f>$G$17</f>
        <v>9</v>
      </c>
      <c r="P381" s="40">
        <f t="shared" ref="P381:T381" si="384">H381/H$396</f>
        <v>0.09118127382</v>
      </c>
      <c r="Q381" s="40">
        <f t="shared" si="384"/>
        <v>0.08499509644</v>
      </c>
      <c r="R381" s="40">
        <f t="shared" si="384"/>
        <v>0.0625</v>
      </c>
      <c r="S381" s="40">
        <f t="shared" si="384"/>
        <v>0.06748466258</v>
      </c>
      <c r="T381" s="40">
        <f t="shared" si="384"/>
        <v>0.04225352113</v>
      </c>
    </row>
    <row r="382" ht="15.75" customHeight="1">
      <c r="F382" s="24"/>
      <c r="G382" s="19">
        <f>$G$18</f>
        <v>10</v>
      </c>
      <c r="H382" s="20">
        <v>984.0</v>
      </c>
      <c r="I382" s="20">
        <v>251.0</v>
      </c>
      <c r="J382" s="20">
        <v>7.0</v>
      </c>
      <c r="K382" s="20">
        <v>14.0</v>
      </c>
      <c r="L382" s="20">
        <v>6.0</v>
      </c>
      <c r="N382" s="24"/>
      <c r="O382" s="19">
        <f>$G$18</f>
        <v>10</v>
      </c>
      <c r="P382" s="40">
        <f t="shared" ref="P382:T382" si="385">H382/H$396</f>
        <v>0.08927599347</v>
      </c>
      <c r="Q382" s="40">
        <f t="shared" si="385"/>
        <v>0.08205295848</v>
      </c>
      <c r="R382" s="40">
        <f t="shared" si="385"/>
        <v>0.03645833333</v>
      </c>
      <c r="S382" s="40">
        <f t="shared" si="385"/>
        <v>0.08588957055</v>
      </c>
      <c r="T382" s="40">
        <f t="shared" si="385"/>
        <v>0.04225352113</v>
      </c>
    </row>
    <row r="383" ht="15.75" customHeight="1">
      <c r="F383" s="24"/>
      <c r="G383" s="19">
        <f>$G$19</f>
        <v>11</v>
      </c>
      <c r="H383" s="20">
        <v>836.0</v>
      </c>
      <c r="I383" s="20">
        <v>179.0</v>
      </c>
      <c r="J383" s="20">
        <v>8.0</v>
      </c>
      <c r="K383" s="20">
        <v>2.0</v>
      </c>
      <c r="L383" s="20">
        <v>9.0</v>
      </c>
      <c r="N383" s="24"/>
      <c r="O383" s="19">
        <f>$G$19</f>
        <v>11</v>
      </c>
      <c r="P383" s="40">
        <f t="shared" ref="P383:T383" si="386">H383/H$396</f>
        <v>0.07584830339</v>
      </c>
      <c r="Q383" s="40">
        <f t="shared" si="386"/>
        <v>0.05851585485</v>
      </c>
      <c r="R383" s="40">
        <f t="shared" si="386"/>
        <v>0.04166666667</v>
      </c>
      <c r="S383" s="40">
        <f t="shared" si="386"/>
        <v>0.01226993865</v>
      </c>
      <c r="T383" s="40">
        <f t="shared" si="386"/>
        <v>0.06338028169</v>
      </c>
    </row>
    <row r="384" ht="15.75" customHeight="1">
      <c r="F384" s="24"/>
      <c r="G384" s="19">
        <f>$G$20</f>
        <v>12</v>
      </c>
      <c r="H384" s="20">
        <v>639.0</v>
      </c>
      <c r="I384" s="20">
        <v>196.0</v>
      </c>
      <c r="J384" s="20">
        <v>11.0</v>
      </c>
      <c r="K384" s="20">
        <v>10.0</v>
      </c>
      <c r="L384" s="20">
        <v>6.0</v>
      </c>
      <c r="N384" s="24"/>
      <c r="O384" s="19">
        <f>$G$20</f>
        <v>12</v>
      </c>
      <c r="P384" s="40">
        <f t="shared" ref="P384:T384" si="387">H384/H$396</f>
        <v>0.05797495917</v>
      </c>
      <c r="Q384" s="40">
        <f t="shared" si="387"/>
        <v>0.06407322654</v>
      </c>
      <c r="R384" s="40">
        <f t="shared" si="387"/>
        <v>0.05729166667</v>
      </c>
      <c r="S384" s="40">
        <f t="shared" si="387"/>
        <v>0.06134969325</v>
      </c>
      <c r="T384" s="40">
        <f t="shared" si="387"/>
        <v>0.04225352113</v>
      </c>
    </row>
    <row r="385" ht="15.75" customHeight="1">
      <c r="F385" s="24"/>
      <c r="G385" s="19">
        <f>$G$21</f>
        <v>13</v>
      </c>
      <c r="H385" s="20">
        <v>796.0</v>
      </c>
      <c r="I385" s="20">
        <v>170.0</v>
      </c>
      <c r="J385" s="20">
        <v>10.0</v>
      </c>
      <c r="K385" s="20">
        <v>5.0</v>
      </c>
      <c r="L385" s="20">
        <v>4.0</v>
      </c>
      <c r="N385" s="24"/>
      <c r="O385" s="19">
        <f>$G$21</f>
        <v>13</v>
      </c>
      <c r="P385" s="40">
        <f t="shared" ref="P385:T385" si="388">H385/H$396</f>
        <v>0.07221919797</v>
      </c>
      <c r="Q385" s="40">
        <f t="shared" si="388"/>
        <v>0.0555737169</v>
      </c>
      <c r="R385" s="40">
        <f t="shared" si="388"/>
        <v>0.05208333333</v>
      </c>
      <c r="S385" s="40">
        <f t="shared" si="388"/>
        <v>0.03067484663</v>
      </c>
      <c r="T385" s="40">
        <f t="shared" si="388"/>
        <v>0.02816901408</v>
      </c>
    </row>
    <row r="386" ht="15.75" customHeight="1">
      <c r="F386" s="24"/>
      <c r="G386" s="19">
        <f>$G$22</f>
        <v>14</v>
      </c>
      <c r="H386" s="20">
        <v>714.0</v>
      </c>
      <c r="I386" s="20">
        <v>219.0</v>
      </c>
      <c r="J386" s="20">
        <v>14.0</v>
      </c>
      <c r="K386" s="20">
        <v>11.0</v>
      </c>
      <c r="L386" s="20">
        <v>6.0</v>
      </c>
      <c r="N386" s="24"/>
      <c r="O386" s="19">
        <f>$G$22</f>
        <v>14</v>
      </c>
      <c r="P386" s="40">
        <f t="shared" ref="P386:T386" si="389">H386/H$396</f>
        <v>0.06477953185</v>
      </c>
      <c r="Q386" s="40">
        <f t="shared" si="389"/>
        <v>0.07159202354</v>
      </c>
      <c r="R386" s="40">
        <f t="shared" si="389"/>
        <v>0.07291666667</v>
      </c>
      <c r="S386" s="40">
        <f t="shared" si="389"/>
        <v>0.06748466258</v>
      </c>
      <c r="T386" s="40">
        <f t="shared" si="389"/>
        <v>0.04225352113</v>
      </c>
    </row>
    <row r="387" ht="15.75" customHeight="1">
      <c r="F387" s="24"/>
      <c r="G387" s="19">
        <f>$G$23</f>
        <v>15</v>
      </c>
      <c r="H387" s="20">
        <v>653.0</v>
      </c>
      <c r="I387" s="20">
        <v>175.0</v>
      </c>
      <c r="J387" s="20">
        <v>10.0</v>
      </c>
      <c r="K387" s="20">
        <v>5.0</v>
      </c>
      <c r="L387" s="20">
        <v>9.0</v>
      </c>
      <c r="N387" s="24"/>
      <c r="O387" s="19">
        <f>$G$23</f>
        <v>15</v>
      </c>
      <c r="P387" s="40">
        <f t="shared" ref="P387:T387" si="390">H387/H$396</f>
        <v>0.05924514607</v>
      </c>
      <c r="Q387" s="40">
        <f t="shared" si="390"/>
        <v>0.05720823799</v>
      </c>
      <c r="R387" s="40">
        <f t="shared" si="390"/>
        <v>0.05208333333</v>
      </c>
      <c r="S387" s="40">
        <f t="shared" si="390"/>
        <v>0.03067484663</v>
      </c>
      <c r="T387" s="40">
        <f t="shared" si="390"/>
        <v>0.06338028169</v>
      </c>
    </row>
    <row r="388" ht="15.75" customHeight="1">
      <c r="F388" s="24"/>
      <c r="G388" s="19">
        <f>$G$24</f>
        <v>16</v>
      </c>
      <c r="H388" s="20">
        <v>628.0</v>
      </c>
      <c r="I388" s="20">
        <v>154.0</v>
      </c>
      <c r="J388" s="20">
        <v>11.0</v>
      </c>
      <c r="K388" s="20">
        <v>4.0</v>
      </c>
      <c r="L388" s="20">
        <v>7.0</v>
      </c>
      <c r="N388" s="24"/>
      <c r="O388" s="19">
        <f>$G$24</f>
        <v>16</v>
      </c>
      <c r="P388" s="40">
        <f t="shared" ref="P388:T388" si="391">H388/H$396</f>
        <v>0.05697695518</v>
      </c>
      <c r="Q388" s="40">
        <f t="shared" si="391"/>
        <v>0.05034324943</v>
      </c>
      <c r="R388" s="40">
        <f t="shared" si="391"/>
        <v>0.05729166667</v>
      </c>
      <c r="S388" s="40">
        <f t="shared" si="391"/>
        <v>0.0245398773</v>
      </c>
      <c r="T388" s="40">
        <f t="shared" si="391"/>
        <v>0.04929577465</v>
      </c>
    </row>
    <row r="389" ht="15.75" customHeight="1">
      <c r="F389" s="24"/>
      <c r="G389" s="19">
        <f>$G$25</f>
        <v>17</v>
      </c>
      <c r="H389" s="20">
        <v>558.0</v>
      </c>
      <c r="I389" s="20">
        <v>151.0</v>
      </c>
      <c r="J389" s="20">
        <v>8.0</v>
      </c>
      <c r="K389" s="20">
        <v>1.0</v>
      </c>
      <c r="L389" s="20">
        <v>3.0</v>
      </c>
      <c r="N389" s="24"/>
      <c r="O389" s="19">
        <f>$G$25</f>
        <v>17</v>
      </c>
      <c r="P389" s="40">
        <f t="shared" ref="P389:T389" si="392">H389/H$396</f>
        <v>0.05062602069</v>
      </c>
      <c r="Q389" s="40">
        <f t="shared" si="392"/>
        <v>0.04936253678</v>
      </c>
      <c r="R389" s="40">
        <f t="shared" si="392"/>
        <v>0.04166666667</v>
      </c>
      <c r="S389" s="40">
        <f t="shared" si="392"/>
        <v>0.006134969325</v>
      </c>
      <c r="T389" s="40">
        <f t="shared" si="392"/>
        <v>0.02112676056</v>
      </c>
    </row>
    <row r="390" ht="15.75" customHeight="1">
      <c r="F390" s="24"/>
      <c r="G390" s="19">
        <f>$G$26</f>
        <v>18</v>
      </c>
      <c r="H390" s="20">
        <v>450.0</v>
      </c>
      <c r="I390" s="20">
        <v>143.0</v>
      </c>
      <c r="J390" s="20">
        <v>4.0</v>
      </c>
      <c r="K390" s="20">
        <v>3.0</v>
      </c>
      <c r="L390" s="20">
        <v>5.0</v>
      </c>
      <c r="N390" s="24"/>
      <c r="O390" s="19">
        <f>$G$26</f>
        <v>18</v>
      </c>
      <c r="P390" s="40">
        <f t="shared" ref="P390:T390" si="393">H390/H$396</f>
        <v>0.04082743604</v>
      </c>
      <c r="Q390" s="40">
        <f t="shared" si="393"/>
        <v>0.04674730304</v>
      </c>
      <c r="R390" s="40">
        <f t="shared" si="393"/>
        <v>0.02083333333</v>
      </c>
      <c r="S390" s="40">
        <f t="shared" si="393"/>
        <v>0.01840490798</v>
      </c>
      <c r="T390" s="40">
        <f t="shared" si="393"/>
        <v>0.03521126761</v>
      </c>
    </row>
    <row r="391" ht="15.75" customHeight="1">
      <c r="F391" s="24"/>
      <c r="G391" s="19">
        <f>$G$27</f>
        <v>19</v>
      </c>
      <c r="H391" s="20">
        <v>459.0</v>
      </c>
      <c r="I391" s="20">
        <v>105.0</v>
      </c>
      <c r="J391" s="20">
        <v>6.0</v>
      </c>
      <c r="K391" s="20">
        <v>7.0</v>
      </c>
      <c r="L391" s="20">
        <v>5.0</v>
      </c>
      <c r="N391" s="24"/>
      <c r="O391" s="19">
        <f>$G$27</f>
        <v>19</v>
      </c>
      <c r="P391" s="40">
        <f t="shared" ref="P391:T391" si="394">H391/H$396</f>
        <v>0.04164398476</v>
      </c>
      <c r="Q391" s="40">
        <f t="shared" si="394"/>
        <v>0.03432494279</v>
      </c>
      <c r="R391" s="40">
        <f t="shared" si="394"/>
        <v>0.03125</v>
      </c>
      <c r="S391" s="40">
        <f t="shared" si="394"/>
        <v>0.04294478528</v>
      </c>
      <c r="T391" s="40">
        <f t="shared" si="394"/>
        <v>0.03521126761</v>
      </c>
    </row>
    <row r="392" ht="15.75" customHeight="1">
      <c r="F392" s="24"/>
      <c r="G392" s="19">
        <f>$G$28</f>
        <v>20</v>
      </c>
      <c r="H392" s="20">
        <v>455.0</v>
      </c>
      <c r="I392" s="20">
        <v>101.0</v>
      </c>
      <c r="J392" s="20">
        <v>3.0</v>
      </c>
      <c r="K392" s="20">
        <v>4.0</v>
      </c>
      <c r="L392" s="20">
        <v>4.0</v>
      </c>
      <c r="N392" s="24"/>
      <c r="O392" s="19">
        <f>$G$28</f>
        <v>20</v>
      </c>
      <c r="P392" s="40">
        <f t="shared" ref="P392:T392" si="395">H392/H$396</f>
        <v>0.04128107422</v>
      </c>
      <c r="Q392" s="40">
        <f t="shared" si="395"/>
        <v>0.03301732592</v>
      </c>
      <c r="R392" s="40">
        <f t="shared" si="395"/>
        <v>0.015625</v>
      </c>
      <c r="S392" s="40">
        <f t="shared" si="395"/>
        <v>0.0245398773</v>
      </c>
      <c r="T392" s="40">
        <f t="shared" si="395"/>
        <v>0.02816901408</v>
      </c>
    </row>
    <row r="393" ht="15.75" customHeight="1">
      <c r="F393" s="24"/>
      <c r="G393" s="19">
        <f>$G$29</f>
        <v>21</v>
      </c>
      <c r="H393" s="20">
        <v>362.0</v>
      </c>
      <c r="I393" s="20">
        <v>105.0</v>
      </c>
      <c r="J393" s="20">
        <v>5.0</v>
      </c>
      <c r="K393" s="20">
        <v>2.0</v>
      </c>
      <c r="L393" s="20">
        <v>6.0</v>
      </c>
      <c r="N393" s="24"/>
      <c r="O393" s="19">
        <f>$G$29</f>
        <v>21</v>
      </c>
      <c r="P393" s="40">
        <f t="shared" ref="P393:T393" si="396">H393/H$396</f>
        <v>0.0328434041</v>
      </c>
      <c r="Q393" s="40">
        <f t="shared" si="396"/>
        <v>0.03432494279</v>
      </c>
      <c r="R393" s="40">
        <f t="shared" si="396"/>
        <v>0.02604166667</v>
      </c>
      <c r="S393" s="40">
        <f t="shared" si="396"/>
        <v>0.01226993865</v>
      </c>
      <c r="T393" s="40">
        <f t="shared" si="396"/>
        <v>0.04225352113</v>
      </c>
    </row>
    <row r="394" ht="15.75" customHeight="1">
      <c r="F394" s="24"/>
      <c r="G394" s="19">
        <f>$G$30</f>
        <v>22</v>
      </c>
      <c r="H394" s="20">
        <v>220.0</v>
      </c>
      <c r="I394" s="20">
        <v>63.0</v>
      </c>
      <c r="J394" s="20">
        <v>1.0</v>
      </c>
      <c r="K394" s="20">
        <v>8.0</v>
      </c>
      <c r="L394" s="20">
        <v>13.0</v>
      </c>
      <c r="N394" s="24"/>
      <c r="O394" s="19">
        <f>$G$30</f>
        <v>22</v>
      </c>
      <c r="P394" s="40">
        <f t="shared" ref="P394:T394" si="397">H394/H$396</f>
        <v>0.01996007984</v>
      </c>
      <c r="Q394" s="40">
        <f t="shared" si="397"/>
        <v>0.02059496568</v>
      </c>
      <c r="R394" s="40">
        <f t="shared" si="397"/>
        <v>0.005208333333</v>
      </c>
      <c r="S394" s="40">
        <f t="shared" si="397"/>
        <v>0.0490797546</v>
      </c>
      <c r="T394" s="40">
        <f t="shared" si="397"/>
        <v>0.09154929577</v>
      </c>
    </row>
    <row r="395" ht="15.75" customHeight="1">
      <c r="F395" s="28"/>
      <c r="G395" s="19">
        <f>$G$31</f>
        <v>23</v>
      </c>
      <c r="H395" s="20">
        <v>101.0</v>
      </c>
      <c r="I395" s="20">
        <v>26.0</v>
      </c>
      <c r="J395" s="20">
        <v>2.0</v>
      </c>
      <c r="K395" s="20">
        <v>2.0</v>
      </c>
      <c r="L395" s="20">
        <v>6.0</v>
      </c>
      <c r="N395" s="28"/>
      <c r="O395" s="19">
        <f>$G$31</f>
        <v>23</v>
      </c>
      <c r="P395" s="40">
        <f t="shared" ref="P395:T395" si="398">H395/H$396</f>
        <v>0.009163491199</v>
      </c>
      <c r="Q395" s="40">
        <f t="shared" si="398"/>
        <v>0.008499509644</v>
      </c>
      <c r="R395" s="40">
        <f t="shared" si="398"/>
        <v>0.01041666667</v>
      </c>
      <c r="S395" s="40">
        <f t="shared" si="398"/>
        <v>0.01226993865</v>
      </c>
      <c r="T395" s="40">
        <f t="shared" si="398"/>
        <v>0.04225352113</v>
      </c>
    </row>
    <row r="396" ht="15.75" customHeight="1">
      <c r="F396" s="111"/>
      <c r="G396" s="112"/>
      <c r="H396" s="26">
        <f t="shared" ref="H396:L396" si="399">SUM(H372:H395)</f>
        <v>11022</v>
      </c>
      <c r="I396" s="26">
        <f t="shared" si="399"/>
        <v>3059</v>
      </c>
      <c r="J396" s="26">
        <f t="shared" si="399"/>
        <v>192</v>
      </c>
      <c r="K396" s="26">
        <f t="shared" si="399"/>
        <v>163</v>
      </c>
      <c r="L396" s="26">
        <f t="shared" si="399"/>
        <v>142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240:G240"/>
    <mergeCell ref="F266:G266"/>
    <mergeCell ref="F292:G292"/>
    <mergeCell ref="F318:G318"/>
    <mergeCell ref="F344:G344"/>
    <mergeCell ref="F370:G370"/>
    <mergeCell ref="F86:F109"/>
    <mergeCell ref="F110:G110"/>
    <mergeCell ref="F112:F135"/>
    <mergeCell ref="F136:G136"/>
    <mergeCell ref="F138:F161"/>
    <mergeCell ref="F162:G162"/>
    <mergeCell ref="F188:G188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46:F369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0.25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316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67</v>
      </c>
      <c r="I4" s="7"/>
      <c r="J4" s="7"/>
      <c r="K4" s="7"/>
      <c r="L4" s="8"/>
    </row>
    <row r="5" ht="15.75" customHeight="1">
      <c r="A5" s="12" t="s">
        <v>10</v>
      </c>
      <c r="B5" s="92" t="s">
        <v>11</v>
      </c>
      <c r="C5" s="70" t="s">
        <v>12</v>
      </c>
      <c r="D5" s="93" t="s">
        <v>13</v>
      </c>
      <c r="E5" s="93" t="s">
        <v>14</v>
      </c>
    </row>
    <row r="6" ht="15.75" customHeight="1">
      <c r="B6" s="94"/>
      <c r="C6" s="94"/>
      <c r="D6" s="94"/>
      <c r="E6" s="94"/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O7" s="16"/>
      <c r="P7" s="17">
        <v>31.0</v>
      </c>
      <c r="Q7" s="17">
        <v>32.0</v>
      </c>
      <c r="R7" s="17">
        <v>41.0</v>
      </c>
      <c r="S7" s="17">
        <v>42.0</v>
      </c>
      <c r="T7" s="17">
        <v>5.0</v>
      </c>
    </row>
    <row r="8" ht="15.75" customHeight="1">
      <c r="F8" s="56">
        <v>45217.0</v>
      </c>
      <c r="G8" s="19">
        <v>0.0</v>
      </c>
      <c r="H8" s="20">
        <v>190.0</v>
      </c>
      <c r="I8" s="20">
        <v>41.0</v>
      </c>
      <c r="J8" s="20">
        <v>1.0</v>
      </c>
      <c r="K8" s="20">
        <v>4.0</v>
      </c>
      <c r="L8" s="20">
        <v>1.0</v>
      </c>
      <c r="O8" s="19">
        <v>0.0</v>
      </c>
      <c r="P8" s="40">
        <f t="shared" ref="P8:T8" si="1">H8/H$32</f>
        <v>0.04811344644</v>
      </c>
      <c r="Q8" s="40">
        <f t="shared" si="1"/>
        <v>0.03744292237</v>
      </c>
      <c r="R8" s="40">
        <f t="shared" si="1"/>
        <v>0.01923076923</v>
      </c>
      <c r="S8" s="40">
        <f t="shared" si="1"/>
        <v>0.02547770701</v>
      </c>
      <c r="T8" s="40">
        <f t="shared" si="1"/>
        <v>0.0303030303</v>
      </c>
    </row>
    <row r="9" ht="15.75" customHeight="1">
      <c r="F9" s="24"/>
      <c r="G9" s="19">
        <v>1.0</v>
      </c>
      <c r="H9" s="20">
        <v>24.0</v>
      </c>
      <c r="I9" s="20">
        <v>5.0</v>
      </c>
      <c r="J9" s="20">
        <v>0.0</v>
      </c>
      <c r="K9" s="20">
        <v>2.0</v>
      </c>
      <c r="L9" s="20">
        <v>1.0</v>
      </c>
      <c r="O9" s="19">
        <v>1.0</v>
      </c>
      <c r="P9" s="40">
        <f t="shared" ref="P9:T9" si="2">H9/H$32</f>
        <v>0.006077487972</v>
      </c>
      <c r="Q9" s="40">
        <f t="shared" si="2"/>
        <v>0.004566210046</v>
      </c>
      <c r="R9" s="40">
        <f t="shared" si="2"/>
        <v>0</v>
      </c>
      <c r="S9" s="40">
        <f t="shared" si="2"/>
        <v>0.0127388535</v>
      </c>
      <c r="T9" s="40">
        <f t="shared" si="2"/>
        <v>0.0303030303</v>
      </c>
    </row>
    <row r="10" ht="15.75" customHeight="1">
      <c r="F10" s="24"/>
      <c r="G10" s="19">
        <v>2.0</v>
      </c>
      <c r="H10" s="20">
        <v>19.0</v>
      </c>
      <c r="I10" s="20">
        <v>1.0</v>
      </c>
      <c r="J10" s="20">
        <v>0.0</v>
      </c>
      <c r="K10" s="20">
        <v>1.0</v>
      </c>
      <c r="L10" s="20">
        <v>1.0</v>
      </c>
      <c r="O10" s="19">
        <v>2.0</v>
      </c>
      <c r="P10" s="40">
        <f t="shared" ref="P10:T10" si="3">H10/H$32</f>
        <v>0.004811344644</v>
      </c>
      <c r="Q10" s="40">
        <f t="shared" si="3"/>
        <v>0.0009132420091</v>
      </c>
      <c r="R10" s="40">
        <f t="shared" si="3"/>
        <v>0</v>
      </c>
      <c r="S10" s="40">
        <f t="shared" si="3"/>
        <v>0.006369426752</v>
      </c>
      <c r="T10" s="40">
        <f t="shared" si="3"/>
        <v>0.0303030303</v>
      </c>
    </row>
    <row r="11" ht="15.75" customHeight="1">
      <c r="F11" s="24"/>
      <c r="G11" s="19">
        <v>3.0</v>
      </c>
      <c r="H11" s="20">
        <v>7.0</v>
      </c>
      <c r="I11" s="20">
        <v>8.0</v>
      </c>
      <c r="J11" s="20">
        <v>0.0</v>
      </c>
      <c r="K11" s="20">
        <v>0.0</v>
      </c>
      <c r="L11" s="20">
        <v>0.0</v>
      </c>
      <c r="O11" s="19">
        <v>3.0</v>
      </c>
      <c r="P11" s="40">
        <f t="shared" ref="P11:T11" si="4">H11/H$32</f>
        <v>0.001772600658</v>
      </c>
      <c r="Q11" s="40">
        <f t="shared" si="4"/>
        <v>0.007305936073</v>
      </c>
      <c r="R11" s="40">
        <f t="shared" si="4"/>
        <v>0</v>
      </c>
      <c r="S11" s="40">
        <f t="shared" si="4"/>
        <v>0</v>
      </c>
      <c r="T11" s="40">
        <f t="shared" si="4"/>
        <v>0</v>
      </c>
    </row>
    <row r="12" ht="15.75" customHeight="1">
      <c r="F12" s="24"/>
      <c r="G12" s="19">
        <v>4.0</v>
      </c>
      <c r="H12" s="20">
        <v>17.0</v>
      </c>
      <c r="I12" s="20">
        <v>7.0</v>
      </c>
      <c r="J12" s="20">
        <v>1.0</v>
      </c>
      <c r="K12" s="20">
        <v>2.0</v>
      </c>
      <c r="L12" s="20">
        <v>1.0</v>
      </c>
      <c r="O12" s="19">
        <v>4.0</v>
      </c>
      <c r="P12" s="40">
        <f t="shared" ref="P12:T12" si="5">H12/H$32</f>
        <v>0.004304887313</v>
      </c>
      <c r="Q12" s="40">
        <f t="shared" si="5"/>
        <v>0.006392694064</v>
      </c>
      <c r="R12" s="40">
        <f t="shared" si="5"/>
        <v>0.01923076923</v>
      </c>
      <c r="S12" s="40">
        <f t="shared" si="5"/>
        <v>0.0127388535</v>
      </c>
      <c r="T12" s="40">
        <f t="shared" si="5"/>
        <v>0.0303030303</v>
      </c>
    </row>
    <row r="13" ht="15.75" customHeight="1">
      <c r="F13" s="24"/>
      <c r="G13" s="19">
        <v>5.0</v>
      </c>
      <c r="H13" s="20">
        <v>33.0</v>
      </c>
      <c r="I13" s="20">
        <v>14.0</v>
      </c>
      <c r="J13" s="20">
        <v>0.0</v>
      </c>
      <c r="K13" s="20">
        <v>3.0</v>
      </c>
      <c r="L13" s="20">
        <v>3.0</v>
      </c>
      <c r="O13" s="19">
        <v>5.0</v>
      </c>
      <c r="P13" s="40">
        <f t="shared" ref="P13:T13" si="6">H13/H$32</f>
        <v>0.008356545961</v>
      </c>
      <c r="Q13" s="40">
        <f t="shared" si="6"/>
        <v>0.01278538813</v>
      </c>
      <c r="R13" s="40">
        <f t="shared" si="6"/>
        <v>0</v>
      </c>
      <c r="S13" s="40">
        <f t="shared" si="6"/>
        <v>0.01910828025</v>
      </c>
      <c r="T13" s="40">
        <f t="shared" si="6"/>
        <v>0.09090909091</v>
      </c>
    </row>
    <row r="14" ht="15.75" customHeight="1">
      <c r="F14" s="24"/>
      <c r="G14" s="19">
        <v>6.0</v>
      </c>
      <c r="H14" s="20">
        <v>130.0</v>
      </c>
      <c r="I14" s="20">
        <v>23.0</v>
      </c>
      <c r="J14" s="20">
        <v>3.0</v>
      </c>
      <c r="K14" s="20">
        <v>7.0</v>
      </c>
      <c r="L14" s="20">
        <v>2.0</v>
      </c>
      <c r="O14" s="19">
        <v>6.0</v>
      </c>
      <c r="P14" s="40">
        <f t="shared" ref="P14:T14" si="7">H14/H$32</f>
        <v>0.03291972651</v>
      </c>
      <c r="Q14" s="40">
        <f t="shared" si="7"/>
        <v>0.02100456621</v>
      </c>
      <c r="R14" s="40">
        <f t="shared" si="7"/>
        <v>0.05769230769</v>
      </c>
      <c r="S14" s="40">
        <f t="shared" si="7"/>
        <v>0.04458598726</v>
      </c>
      <c r="T14" s="40">
        <f t="shared" si="7"/>
        <v>0.06060606061</v>
      </c>
    </row>
    <row r="15" ht="15.75" customHeight="1">
      <c r="F15" s="24"/>
      <c r="G15" s="19">
        <v>7.0</v>
      </c>
      <c r="H15" s="20">
        <v>509.0</v>
      </c>
      <c r="I15" s="20">
        <v>96.0</v>
      </c>
      <c r="J15" s="20">
        <v>5.0</v>
      </c>
      <c r="K15" s="20">
        <v>14.0</v>
      </c>
      <c r="L15" s="20">
        <v>7.0</v>
      </c>
      <c r="O15" s="19">
        <v>7.0</v>
      </c>
      <c r="P15" s="40">
        <f t="shared" ref="P15:T15" si="8">H15/H$32</f>
        <v>0.1288933907</v>
      </c>
      <c r="Q15" s="40">
        <f t="shared" si="8"/>
        <v>0.08767123288</v>
      </c>
      <c r="R15" s="40">
        <f t="shared" si="8"/>
        <v>0.09615384615</v>
      </c>
      <c r="S15" s="40">
        <f t="shared" si="8"/>
        <v>0.08917197452</v>
      </c>
      <c r="T15" s="40">
        <f t="shared" si="8"/>
        <v>0.2121212121</v>
      </c>
    </row>
    <row r="16" ht="15.75" customHeight="1">
      <c r="F16" s="24"/>
      <c r="G16" s="19">
        <v>8.0</v>
      </c>
      <c r="H16" s="20">
        <v>414.0</v>
      </c>
      <c r="I16" s="20">
        <v>87.0</v>
      </c>
      <c r="J16" s="20">
        <v>10.0</v>
      </c>
      <c r="K16" s="20">
        <v>9.0</v>
      </c>
      <c r="L16" s="20">
        <v>1.0</v>
      </c>
      <c r="O16" s="19">
        <v>8.0</v>
      </c>
      <c r="P16" s="40">
        <f t="shared" ref="P16:T16" si="9">H16/H$32</f>
        <v>0.1048366675</v>
      </c>
      <c r="Q16" s="40">
        <f t="shared" si="9"/>
        <v>0.07945205479</v>
      </c>
      <c r="R16" s="40">
        <f t="shared" si="9"/>
        <v>0.1923076923</v>
      </c>
      <c r="S16" s="40">
        <f t="shared" si="9"/>
        <v>0.05732484076</v>
      </c>
      <c r="T16" s="40">
        <f t="shared" si="9"/>
        <v>0.0303030303</v>
      </c>
    </row>
    <row r="17" ht="15.75" customHeight="1">
      <c r="F17" s="24"/>
      <c r="G17" s="19">
        <v>9.0</v>
      </c>
      <c r="H17" s="20">
        <v>245.0</v>
      </c>
      <c r="I17" s="20">
        <v>73.0</v>
      </c>
      <c r="J17" s="20">
        <v>3.0</v>
      </c>
      <c r="K17" s="20">
        <v>15.0</v>
      </c>
      <c r="L17" s="20">
        <v>6.0</v>
      </c>
      <c r="O17" s="19">
        <v>9.0</v>
      </c>
      <c r="P17" s="40">
        <f t="shared" ref="P17:T17" si="10">H17/H$32</f>
        <v>0.06204102304</v>
      </c>
      <c r="Q17" s="40">
        <f t="shared" si="10"/>
        <v>0.06666666667</v>
      </c>
      <c r="R17" s="40">
        <f t="shared" si="10"/>
        <v>0.05769230769</v>
      </c>
      <c r="S17" s="40">
        <f t="shared" si="10"/>
        <v>0.09554140127</v>
      </c>
      <c r="T17" s="40">
        <f t="shared" si="10"/>
        <v>0.1818181818</v>
      </c>
    </row>
    <row r="18" ht="15.75" customHeight="1">
      <c r="F18" s="24"/>
      <c r="G18" s="19">
        <v>10.0</v>
      </c>
      <c r="H18" s="20">
        <v>154.0</v>
      </c>
      <c r="I18" s="20">
        <v>64.0</v>
      </c>
      <c r="J18" s="20">
        <v>5.0</v>
      </c>
      <c r="K18" s="20">
        <v>6.0</v>
      </c>
      <c r="L18" s="20">
        <v>1.0</v>
      </c>
      <c r="O18" s="19">
        <v>10.0</v>
      </c>
      <c r="P18" s="40">
        <f t="shared" ref="P18:T18" si="11">H18/H$32</f>
        <v>0.03899721448</v>
      </c>
      <c r="Q18" s="40">
        <f t="shared" si="11"/>
        <v>0.05844748858</v>
      </c>
      <c r="R18" s="40">
        <f t="shared" si="11"/>
        <v>0.09615384615</v>
      </c>
      <c r="S18" s="40">
        <f t="shared" si="11"/>
        <v>0.03821656051</v>
      </c>
      <c r="T18" s="40">
        <f t="shared" si="11"/>
        <v>0.0303030303</v>
      </c>
    </row>
    <row r="19" ht="15.75" customHeight="1">
      <c r="F19" s="24"/>
      <c r="G19" s="19">
        <v>11.0</v>
      </c>
      <c r="H19" s="20">
        <v>172.0</v>
      </c>
      <c r="I19" s="20">
        <v>56.0</v>
      </c>
      <c r="J19" s="20">
        <v>0.0</v>
      </c>
      <c r="K19" s="20">
        <v>18.0</v>
      </c>
      <c r="L19" s="20">
        <v>3.0</v>
      </c>
      <c r="O19" s="19">
        <v>11.0</v>
      </c>
      <c r="P19" s="40">
        <f t="shared" ref="P19:T19" si="12">H19/H$32</f>
        <v>0.04355533046</v>
      </c>
      <c r="Q19" s="40">
        <f t="shared" si="12"/>
        <v>0.05114155251</v>
      </c>
      <c r="R19" s="40">
        <f t="shared" si="12"/>
        <v>0</v>
      </c>
      <c r="S19" s="40">
        <f t="shared" si="12"/>
        <v>0.1146496815</v>
      </c>
      <c r="T19" s="40">
        <f t="shared" si="12"/>
        <v>0.09090909091</v>
      </c>
    </row>
    <row r="20" ht="15.75" customHeight="1">
      <c r="F20" s="24"/>
      <c r="G20" s="19">
        <v>12.0</v>
      </c>
      <c r="H20" s="20">
        <v>157.0</v>
      </c>
      <c r="I20" s="20">
        <v>54.0</v>
      </c>
      <c r="J20" s="20">
        <v>2.0</v>
      </c>
      <c r="K20" s="20">
        <v>12.0</v>
      </c>
      <c r="L20" s="20">
        <v>1.0</v>
      </c>
      <c r="O20" s="19">
        <v>12.0</v>
      </c>
      <c r="P20" s="40">
        <f t="shared" ref="P20:T20" si="13">H20/H$32</f>
        <v>0.03975690048</v>
      </c>
      <c r="Q20" s="40">
        <f t="shared" si="13"/>
        <v>0.04931506849</v>
      </c>
      <c r="R20" s="40">
        <f t="shared" si="13"/>
        <v>0.03846153846</v>
      </c>
      <c r="S20" s="40">
        <f t="shared" si="13"/>
        <v>0.07643312102</v>
      </c>
      <c r="T20" s="40">
        <f t="shared" si="13"/>
        <v>0.0303030303</v>
      </c>
    </row>
    <row r="21" ht="15.75" customHeight="1">
      <c r="F21" s="24"/>
      <c r="G21" s="19">
        <v>13.0</v>
      </c>
      <c r="H21" s="20">
        <v>144.0</v>
      </c>
      <c r="I21" s="20">
        <v>77.0</v>
      </c>
      <c r="J21" s="20">
        <v>1.0</v>
      </c>
      <c r="K21" s="20">
        <v>14.0</v>
      </c>
      <c r="L21" s="20">
        <v>1.0</v>
      </c>
      <c r="O21" s="19">
        <v>13.0</v>
      </c>
      <c r="P21" s="40">
        <f t="shared" ref="P21:T21" si="14">H21/H$32</f>
        <v>0.03646492783</v>
      </c>
      <c r="Q21" s="40">
        <f t="shared" si="14"/>
        <v>0.0703196347</v>
      </c>
      <c r="R21" s="40">
        <f t="shared" si="14"/>
        <v>0.01923076923</v>
      </c>
      <c r="S21" s="40">
        <f t="shared" si="14"/>
        <v>0.08917197452</v>
      </c>
      <c r="T21" s="40">
        <f t="shared" si="14"/>
        <v>0.0303030303</v>
      </c>
    </row>
    <row r="22" ht="15.75" customHeight="1">
      <c r="F22" s="24"/>
      <c r="G22" s="19">
        <v>14.0</v>
      </c>
      <c r="H22" s="20">
        <v>157.0</v>
      </c>
      <c r="I22" s="20">
        <v>76.0</v>
      </c>
      <c r="J22" s="20">
        <v>1.0</v>
      </c>
      <c r="K22" s="20">
        <v>13.0</v>
      </c>
      <c r="L22" s="20">
        <v>0.0</v>
      </c>
      <c r="O22" s="19">
        <v>14.0</v>
      </c>
      <c r="P22" s="40">
        <f t="shared" ref="P22:T22" si="15">H22/H$32</f>
        <v>0.03975690048</v>
      </c>
      <c r="Q22" s="40">
        <f t="shared" si="15"/>
        <v>0.06940639269</v>
      </c>
      <c r="R22" s="40">
        <f t="shared" si="15"/>
        <v>0.01923076923</v>
      </c>
      <c r="S22" s="40">
        <f t="shared" si="15"/>
        <v>0.08280254777</v>
      </c>
      <c r="T22" s="40">
        <f t="shared" si="15"/>
        <v>0</v>
      </c>
    </row>
    <row r="23" ht="15.75" customHeight="1">
      <c r="F23" s="24"/>
      <c r="G23" s="19">
        <v>15.0</v>
      </c>
      <c r="H23" s="20">
        <v>204.0</v>
      </c>
      <c r="I23" s="20">
        <v>73.0</v>
      </c>
      <c r="J23" s="20">
        <v>3.0</v>
      </c>
      <c r="K23" s="20">
        <v>9.0</v>
      </c>
      <c r="L23" s="20">
        <v>0.0</v>
      </c>
      <c r="O23" s="19">
        <v>15.0</v>
      </c>
      <c r="P23" s="40">
        <f t="shared" ref="P23:T23" si="16">H23/H$32</f>
        <v>0.05165864776</v>
      </c>
      <c r="Q23" s="40">
        <f t="shared" si="16"/>
        <v>0.06666666667</v>
      </c>
      <c r="R23" s="40">
        <f t="shared" si="16"/>
        <v>0.05769230769</v>
      </c>
      <c r="S23" s="40">
        <f t="shared" si="16"/>
        <v>0.05732484076</v>
      </c>
      <c r="T23" s="40">
        <f t="shared" si="16"/>
        <v>0</v>
      </c>
    </row>
    <row r="24" ht="15.75" customHeight="1">
      <c r="F24" s="24"/>
      <c r="G24" s="19">
        <v>16.0</v>
      </c>
      <c r="H24" s="20">
        <v>242.0</v>
      </c>
      <c r="I24" s="20">
        <v>91.0</v>
      </c>
      <c r="J24" s="20">
        <v>1.0</v>
      </c>
      <c r="K24" s="20">
        <v>9.0</v>
      </c>
      <c r="L24" s="20">
        <v>1.0</v>
      </c>
      <c r="O24" s="19">
        <v>16.0</v>
      </c>
      <c r="P24" s="40">
        <f t="shared" ref="P24:T24" si="17">H24/H$32</f>
        <v>0.06128133705</v>
      </c>
      <c r="Q24" s="40">
        <f t="shared" si="17"/>
        <v>0.08310502283</v>
      </c>
      <c r="R24" s="40">
        <f t="shared" si="17"/>
        <v>0.01923076923</v>
      </c>
      <c r="S24" s="40">
        <f t="shared" si="17"/>
        <v>0.05732484076</v>
      </c>
      <c r="T24" s="40">
        <f t="shared" si="17"/>
        <v>0.0303030303</v>
      </c>
    </row>
    <row r="25" ht="15.75" customHeight="1">
      <c r="F25" s="24"/>
      <c r="G25" s="19">
        <v>17.0</v>
      </c>
      <c r="H25" s="20">
        <v>381.0</v>
      </c>
      <c r="I25" s="20">
        <v>105.0</v>
      </c>
      <c r="J25" s="20">
        <v>4.0</v>
      </c>
      <c r="K25" s="20">
        <v>12.0</v>
      </c>
      <c r="L25" s="20">
        <v>0.0</v>
      </c>
      <c r="O25" s="19">
        <v>17.0</v>
      </c>
      <c r="P25" s="40">
        <f t="shared" ref="P25:T25" si="18">H25/H$32</f>
        <v>0.09648012155</v>
      </c>
      <c r="Q25" s="40">
        <f t="shared" si="18"/>
        <v>0.09589041096</v>
      </c>
      <c r="R25" s="40">
        <f t="shared" si="18"/>
        <v>0.07692307692</v>
      </c>
      <c r="S25" s="40">
        <f t="shared" si="18"/>
        <v>0.07643312102</v>
      </c>
      <c r="T25" s="40">
        <f t="shared" si="18"/>
        <v>0</v>
      </c>
    </row>
    <row r="26" ht="15.75" customHeight="1">
      <c r="F26" s="24"/>
      <c r="G26" s="19">
        <v>18.0</v>
      </c>
      <c r="H26" s="20">
        <v>268.0</v>
      </c>
      <c r="I26" s="20">
        <v>51.0</v>
      </c>
      <c r="J26" s="20">
        <v>3.0</v>
      </c>
      <c r="K26" s="20">
        <v>3.0</v>
      </c>
      <c r="L26" s="20">
        <v>0.0</v>
      </c>
      <c r="O26" s="19">
        <v>18.0</v>
      </c>
      <c r="P26" s="40">
        <f t="shared" ref="P26:T26" si="19">H26/H$32</f>
        <v>0.06786528235</v>
      </c>
      <c r="Q26" s="40">
        <f t="shared" si="19"/>
        <v>0.04657534247</v>
      </c>
      <c r="R26" s="40">
        <f t="shared" si="19"/>
        <v>0.05769230769</v>
      </c>
      <c r="S26" s="40">
        <f t="shared" si="19"/>
        <v>0.01910828025</v>
      </c>
      <c r="T26" s="40">
        <f t="shared" si="19"/>
        <v>0</v>
      </c>
    </row>
    <row r="27" ht="15.75" customHeight="1">
      <c r="F27" s="24"/>
      <c r="G27" s="19">
        <v>19.0</v>
      </c>
      <c r="H27" s="20">
        <v>168.0</v>
      </c>
      <c r="I27" s="20">
        <v>38.0</v>
      </c>
      <c r="J27" s="20">
        <v>8.0</v>
      </c>
      <c r="K27" s="20">
        <v>3.0</v>
      </c>
      <c r="L27" s="20">
        <v>1.0</v>
      </c>
      <c r="O27" s="19">
        <v>19.0</v>
      </c>
      <c r="P27" s="40">
        <f t="shared" ref="P27:T27" si="20">H27/H$32</f>
        <v>0.0425424158</v>
      </c>
      <c r="Q27" s="40">
        <f t="shared" si="20"/>
        <v>0.03470319635</v>
      </c>
      <c r="R27" s="40">
        <f t="shared" si="20"/>
        <v>0.1538461538</v>
      </c>
      <c r="S27" s="40">
        <f t="shared" si="20"/>
        <v>0.01910828025</v>
      </c>
      <c r="T27" s="40">
        <f t="shared" si="20"/>
        <v>0.0303030303</v>
      </c>
    </row>
    <row r="28" ht="15.75" customHeight="1">
      <c r="F28" s="24"/>
      <c r="G28" s="19">
        <v>20.0</v>
      </c>
      <c r="H28" s="20">
        <v>35.0</v>
      </c>
      <c r="I28" s="20">
        <v>7.0</v>
      </c>
      <c r="J28" s="20">
        <v>0.0</v>
      </c>
      <c r="K28" s="20">
        <v>0.0</v>
      </c>
      <c r="L28" s="20">
        <v>1.0</v>
      </c>
      <c r="O28" s="19">
        <v>20.0</v>
      </c>
      <c r="P28" s="40">
        <f t="shared" ref="P28:T28" si="21">H28/H$32</f>
        <v>0.008863003292</v>
      </c>
      <c r="Q28" s="40">
        <f t="shared" si="21"/>
        <v>0.006392694064</v>
      </c>
      <c r="R28" s="40">
        <f t="shared" si="21"/>
        <v>0</v>
      </c>
      <c r="S28" s="40">
        <f t="shared" si="21"/>
        <v>0</v>
      </c>
      <c r="T28" s="40">
        <f t="shared" si="21"/>
        <v>0.0303030303</v>
      </c>
    </row>
    <row r="29" ht="15.75" customHeight="1">
      <c r="F29" s="24"/>
      <c r="G29" s="19">
        <v>21.0</v>
      </c>
      <c r="H29" s="20">
        <v>146.0</v>
      </c>
      <c r="I29" s="20">
        <v>28.0</v>
      </c>
      <c r="J29" s="20">
        <v>0.0</v>
      </c>
      <c r="K29" s="20">
        <v>1.0</v>
      </c>
      <c r="L29" s="20">
        <v>0.0</v>
      </c>
      <c r="O29" s="19">
        <v>21.0</v>
      </c>
      <c r="P29" s="40">
        <f t="shared" ref="P29:T29" si="22">H29/H$32</f>
        <v>0.03697138516</v>
      </c>
      <c r="Q29" s="40">
        <f t="shared" si="22"/>
        <v>0.02557077626</v>
      </c>
      <c r="R29" s="40">
        <f t="shared" si="22"/>
        <v>0</v>
      </c>
      <c r="S29" s="40">
        <f t="shared" si="22"/>
        <v>0.006369426752</v>
      </c>
      <c r="T29" s="40">
        <f t="shared" si="22"/>
        <v>0</v>
      </c>
    </row>
    <row r="30" ht="15.75" customHeight="1">
      <c r="F30" s="24"/>
      <c r="G30" s="19">
        <v>22.0</v>
      </c>
      <c r="H30" s="16">
        <v>92.0</v>
      </c>
      <c r="I30" s="16">
        <v>14.0</v>
      </c>
      <c r="J30" s="16">
        <v>1.0</v>
      </c>
      <c r="K30" s="16">
        <v>0.0</v>
      </c>
      <c r="L30" s="16">
        <v>0.0</v>
      </c>
      <c r="O30" s="19">
        <v>22.0</v>
      </c>
      <c r="P30" s="40">
        <f t="shared" ref="P30:T30" si="23">H30/H$32</f>
        <v>0.02329703722</v>
      </c>
      <c r="Q30" s="40">
        <f t="shared" si="23"/>
        <v>0.01278538813</v>
      </c>
      <c r="R30" s="40">
        <f t="shared" si="23"/>
        <v>0.01923076923</v>
      </c>
      <c r="S30" s="40">
        <f t="shared" si="23"/>
        <v>0</v>
      </c>
      <c r="T30" s="40">
        <f t="shared" si="23"/>
        <v>0</v>
      </c>
    </row>
    <row r="31" ht="15.75" customHeight="1">
      <c r="F31" s="28"/>
      <c r="G31" s="19">
        <v>23.0</v>
      </c>
      <c r="H31" s="16">
        <v>41.0</v>
      </c>
      <c r="I31" s="16">
        <v>6.0</v>
      </c>
      <c r="J31" s="16">
        <v>0.0</v>
      </c>
      <c r="K31" s="16">
        <v>0.0</v>
      </c>
      <c r="L31" s="16">
        <v>1.0</v>
      </c>
      <c r="O31" s="19">
        <v>23.0</v>
      </c>
      <c r="P31" s="40">
        <f t="shared" ref="P31:T31" si="24">H31/H$32</f>
        <v>0.01038237528</v>
      </c>
      <c r="Q31" s="40">
        <f t="shared" si="24"/>
        <v>0.005479452055</v>
      </c>
      <c r="R31" s="40">
        <f t="shared" si="24"/>
        <v>0</v>
      </c>
      <c r="S31" s="40">
        <f t="shared" si="24"/>
        <v>0</v>
      </c>
      <c r="T31" s="40">
        <f t="shared" si="24"/>
        <v>0.0303030303</v>
      </c>
    </row>
    <row r="32" ht="15.75" customHeight="1">
      <c r="F32" s="113"/>
      <c r="G32" s="114"/>
      <c r="H32" s="26">
        <f t="shared" ref="H32:L32" si="25">SUM(H8:H31)</f>
        <v>3949</v>
      </c>
      <c r="I32" s="26">
        <f t="shared" si="25"/>
        <v>1095</v>
      </c>
      <c r="J32" s="26">
        <f t="shared" si="25"/>
        <v>52</v>
      </c>
      <c r="K32" s="26">
        <f t="shared" si="25"/>
        <v>157</v>
      </c>
      <c r="L32" s="26">
        <f t="shared" si="25"/>
        <v>33</v>
      </c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F34" s="56">
        <v>45208.0</v>
      </c>
      <c r="G34" s="19">
        <f>$G$8</f>
        <v>0</v>
      </c>
      <c r="H34" s="20">
        <v>6.0</v>
      </c>
      <c r="I34" s="20">
        <v>3.0</v>
      </c>
      <c r="J34" s="20">
        <v>0.0</v>
      </c>
      <c r="K34" s="20">
        <v>0.0</v>
      </c>
      <c r="L34" s="20">
        <v>0.0</v>
      </c>
      <c r="N34" s="56">
        <v>45208.0</v>
      </c>
      <c r="O34" s="19">
        <f>$G$8</f>
        <v>0</v>
      </c>
      <c r="P34" s="40">
        <f t="shared" ref="P34:T34" si="26">H34/H$58</f>
        <v>0.01694915254</v>
      </c>
      <c r="Q34" s="40">
        <f t="shared" si="26"/>
        <v>0.02521008403</v>
      </c>
      <c r="R34" s="40">
        <f t="shared" si="26"/>
        <v>0</v>
      </c>
      <c r="S34" s="40">
        <f t="shared" si="26"/>
        <v>0</v>
      </c>
      <c r="T34" s="40">
        <f t="shared" si="26"/>
        <v>0</v>
      </c>
    </row>
    <row r="35" ht="15.75" customHeight="1">
      <c r="F35" s="24"/>
      <c r="G35" s="19">
        <f>$G$9</f>
        <v>1</v>
      </c>
      <c r="H35" s="20">
        <v>3.0</v>
      </c>
      <c r="I35" s="20">
        <v>0.0</v>
      </c>
      <c r="J35" s="20">
        <v>0.0</v>
      </c>
      <c r="K35" s="20">
        <v>0.0</v>
      </c>
      <c r="L35" s="20">
        <v>0.0</v>
      </c>
      <c r="N35" s="24"/>
      <c r="O35" s="19">
        <f>$G$9</f>
        <v>1</v>
      </c>
      <c r="P35" s="40">
        <f t="shared" ref="P35:T35" si="27">H35/H$58</f>
        <v>0.008474576271</v>
      </c>
      <c r="Q35" s="40">
        <f t="shared" si="27"/>
        <v>0</v>
      </c>
      <c r="R35" s="40">
        <f t="shared" si="27"/>
        <v>0</v>
      </c>
      <c r="S35" s="40">
        <f t="shared" si="27"/>
        <v>0</v>
      </c>
      <c r="T35" s="40">
        <f t="shared" si="27"/>
        <v>0</v>
      </c>
    </row>
    <row r="36" ht="15.75" customHeight="1">
      <c r="F36" s="24"/>
      <c r="G36" s="19">
        <f>$G$10</f>
        <v>2</v>
      </c>
      <c r="H36" s="16">
        <v>4.0</v>
      </c>
      <c r="I36" s="16">
        <v>0.0</v>
      </c>
      <c r="J36" s="16">
        <v>0.0</v>
      </c>
      <c r="K36" s="16">
        <v>1.0</v>
      </c>
      <c r="L36" s="16">
        <v>0.0</v>
      </c>
      <c r="N36" s="24"/>
      <c r="O36" s="19">
        <f>$G$10</f>
        <v>2</v>
      </c>
      <c r="P36" s="40">
        <f t="shared" ref="P36:T36" si="28">H36/H$58</f>
        <v>0.01129943503</v>
      </c>
      <c r="Q36" s="40">
        <f t="shared" si="28"/>
        <v>0</v>
      </c>
      <c r="R36" s="40">
        <f t="shared" si="28"/>
        <v>0</v>
      </c>
      <c r="S36" s="40">
        <f t="shared" si="28"/>
        <v>0.04347826087</v>
      </c>
      <c r="T36" s="40">
        <f t="shared" si="28"/>
        <v>0</v>
      </c>
    </row>
    <row r="37" ht="15.75" customHeight="1">
      <c r="F37" s="24"/>
      <c r="G37" s="19">
        <f>$G$11</f>
        <v>3</v>
      </c>
      <c r="H37" s="20">
        <v>0.0</v>
      </c>
      <c r="I37" s="20">
        <v>1.0</v>
      </c>
      <c r="J37" s="20">
        <v>0.0</v>
      </c>
      <c r="K37" s="20">
        <v>0.0</v>
      </c>
      <c r="L37" s="20">
        <v>0.0</v>
      </c>
      <c r="N37" s="24"/>
      <c r="O37" s="19">
        <f>$G$11</f>
        <v>3</v>
      </c>
      <c r="P37" s="40">
        <f t="shared" ref="P37:T37" si="29">H37/H$58</f>
        <v>0</v>
      </c>
      <c r="Q37" s="40">
        <f t="shared" si="29"/>
        <v>0.008403361345</v>
      </c>
      <c r="R37" s="40">
        <f t="shared" si="29"/>
        <v>0</v>
      </c>
      <c r="S37" s="40">
        <f t="shared" si="29"/>
        <v>0</v>
      </c>
      <c r="T37" s="40">
        <f t="shared" si="29"/>
        <v>0</v>
      </c>
    </row>
    <row r="38" ht="15.75" customHeight="1">
      <c r="F38" s="24"/>
      <c r="G38" s="19">
        <f>$G$12</f>
        <v>4</v>
      </c>
      <c r="H38" s="20">
        <v>1.0</v>
      </c>
      <c r="I38" s="20">
        <v>1.0</v>
      </c>
      <c r="J38" s="20">
        <v>0.0</v>
      </c>
      <c r="K38" s="20">
        <v>0.0</v>
      </c>
      <c r="L38" s="20">
        <v>0.0</v>
      </c>
      <c r="N38" s="24"/>
      <c r="O38" s="19">
        <f>$G$12</f>
        <v>4</v>
      </c>
      <c r="P38" s="40">
        <f t="shared" ref="P38:T38" si="30">H38/H$58</f>
        <v>0.002824858757</v>
      </c>
      <c r="Q38" s="40">
        <f t="shared" si="30"/>
        <v>0.008403361345</v>
      </c>
      <c r="R38" s="40">
        <f t="shared" si="30"/>
        <v>0</v>
      </c>
      <c r="S38" s="40">
        <f t="shared" si="30"/>
        <v>0</v>
      </c>
      <c r="T38" s="40">
        <f t="shared" si="30"/>
        <v>0</v>
      </c>
    </row>
    <row r="39" ht="15.75" customHeight="1">
      <c r="F39" s="24"/>
      <c r="G39" s="19">
        <f>$G$13</f>
        <v>5</v>
      </c>
      <c r="H39" s="20">
        <v>5.0</v>
      </c>
      <c r="I39" s="20">
        <v>3.0</v>
      </c>
      <c r="J39" s="20">
        <v>0.0</v>
      </c>
      <c r="K39" s="20">
        <v>0.0</v>
      </c>
      <c r="L39" s="20">
        <v>0.0</v>
      </c>
      <c r="N39" s="24"/>
      <c r="O39" s="19">
        <f>$G$13</f>
        <v>5</v>
      </c>
      <c r="P39" s="40">
        <f t="shared" ref="P39:T39" si="31">H39/H$58</f>
        <v>0.01412429379</v>
      </c>
      <c r="Q39" s="40">
        <f t="shared" si="31"/>
        <v>0.02521008403</v>
      </c>
      <c r="R39" s="40">
        <f t="shared" si="31"/>
        <v>0</v>
      </c>
      <c r="S39" s="40">
        <f t="shared" si="31"/>
        <v>0</v>
      </c>
      <c r="T39" s="40">
        <f t="shared" si="31"/>
        <v>0</v>
      </c>
    </row>
    <row r="40" ht="15.75" customHeight="1">
      <c r="F40" s="24"/>
      <c r="G40" s="19">
        <f>$G$14</f>
        <v>6</v>
      </c>
      <c r="H40" s="20">
        <v>7.0</v>
      </c>
      <c r="I40" s="20">
        <v>3.0</v>
      </c>
      <c r="J40" s="20">
        <v>0.0</v>
      </c>
      <c r="K40" s="20">
        <v>0.0</v>
      </c>
      <c r="L40" s="20">
        <v>0.0</v>
      </c>
      <c r="N40" s="24"/>
      <c r="O40" s="19">
        <f>$G$14</f>
        <v>6</v>
      </c>
      <c r="P40" s="40">
        <f t="shared" ref="P40:T40" si="32">H40/H$58</f>
        <v>0.0197740113</v>
      </c>
      <c r="Q40" s="40">
        <f t="shared" si="32"/>
        <v>0.02521008403</v>
      </c>
      <c r="R40" s="40">
        <f t="shared" si="32"/>
        <v>0</v>
      </c>
      <c r="S40" s="40">
        <f t="shared" si="32"/>
        <v>0</v>
      </c>
      <c r="T40" s="40">
        <f t="shared" si="32"/>
        <v>0</v>
      </c>
    </row>
    <row r="41" ht="15.75" customHeight="1">
      <c r="F41" s="24"/>
      <c r="G41" s="19">
        <f>$G$15</f>
        <v>7</v>
      </c>
      <c r="H41" s="20">
        <v>10.0</v>
      </c>
      <c r="I41" s="20">
        <v>2.0</v>
      </c>
      <c r="J41" s="20">
        <v>0.0</v>
      </c>
      <c r="K41" s="20">
        <v>0.0</v>
      </c>
      <c r="L41" s="20">
        <v>2.0</v>
      </c>
      <c r="N41" s="24"/>
      <c r="O41" s="19">
        <f>$G$15</f>
        <v>7</v>
      </c>
      <c r="P41" s="40">
        <f t="shared" ref="P41:T41" si="33">H41/H$58</f>
        <v>0.02824858757</v>
      </c>
      <c r="Q41" s="40">
        <f t="shared" si="33"/>
        <v>0.01680672269</v>
      </c>
      <c r="R41" s="40">
        <f t="shared" si="33"/>
        <v>0</v>
      </c>
      <c r="S41" s="40">
        <f t="shared" si="33"/>
        <v>0</v>
      </c>
      <c r="T41" s="40">
        <f t="shared" si="33"/>
        <v>0.1052631579</v>
      </c>
    </row>
    <row r="42" ht="15.75" customHeight="1">
      <c r="F42" s="24"/>
      <c r="G42" s="19">
        <f>$G$16</f>
        <v>8</v>
      </c>
      <c r="H42" s="20">
        <v>10.0</v>
      </c>
      <c r="I42" s="20">
        <v>4.0</v>
      </c>
      <c r="J42" s="20">
        <v>0.0</v>
      </c>
      <c r="K42" s="20">
        <v>0.0</v>
      </c>
      <c r="L42" s="20">
        <v>1.0</v>
      </c>
      <c r="N42" s="24"/>
      <c r="O42" s="19">
        <f>$G$16</f>
        <v>8</v>
      </c>
      <c r="P42" s="40">
        <f t="shared" ref="P42:T42" si="34">H42/H$58</f>
        <v>0.02824858757</v>
      </c>
      <c r="Q42" s="40">
        <f t="shared" si="34"/>
        <v>0.03361344538</v>
      </c>
      <c r="R42" s="40">
        <f t="shared" si="34"/>
        <v>0</v>
      </c>
      <c r="S42" s="40">
        <f t="shared" si="34"/>
        <v>0</v>
      </c>
      <c r="T42" s="40">
        <f t="shared" si="34"/>
        <v>0.05263157895</v>
      </c>
    </row>
    <row r="43" ht="15.75" customHeight="1">
      <c r="F43" s="24"/>
      <c r="G43" s="19">
        <f>$G$17</f>
        <v>9</v>
      </c>
      <c r="H43" s="20">
        <v>10.0</v>
      </c>
      <c r="I43" s="20">
        <v>4.0</v>
      </c>
      <c r="J43" s="20">
        <v>0.0</v>
      </c>
      <c r="K43" s="20">
        <v>1.0</v>
      </c>
      <c r="L43" s="20">
        <v>2.0</v>
      </c>
      <c r="N43" s="24"/>
      <c r="O43" s="19">
        <f>$G$17</f>
        <v>9</v>
      </c>
      <c r="P43" s="40">
        <f t="shared" ref="P43:T43" si="35">H43/H$58</f>
        <v>0.02824858757</v>
      </c>
      <c r="Q43" s="40">
        <f t="shared" si="35"/>
        <v>0.03361344538</v>
      </c>
      <c r="R43" s="40">
        <f t="shared" si="35"/>
        <v>0</v>
      </c>
      <c r="S43" s="40">
        <f t="shared" si="35"/>
        <v>0.04347826087</v>
      </c>
      <c r="T43" s="40">
        <f t="shared" si="35"/>
        <v>0.1052631579</v>
      </c>
    </row>
    <row r="44" ht="15.75" customHeight="1">
      <c r="F44" s="24"/>
      <c r="G44" s="19">
        <f>$G$18</f>
        <v>10</v>
      </c>
      <c r="H44" s="20">
        <v>27.0</v>
      </c>
      <c r="I44" s="20">
        <v>8.0</v>
      </c>
      <c r="J44" s="20">
        <v>0.0</v>
      </c>
      <c r="K44" s="20">
        <v>2.0</v>
      </c>
      <c r="L44" s="20">
        <v>4.0</v>
      </c>
      <c r="N44" s="24"/>
      <c r="O44" s="19">
        <f>$G$18</f>
        <v>10</v>
      </c>
      <c r="P44" s="40">
        <f t="shared" ref="P44:T44" si="36">H44/H$58</f>
        <v>0.07627118644</v>
      </c>
      <c r="Q44" s="40">
        <f t="shared" si="36"/>
        <v>0.06722689076</v>
      </c>
      <c r="R44" s="40">
        <f t="shared" si="36"/>
        <v>0</v>
      </c>
      <c r="S44" s="40">
        <f t="shared" si="36"/>
        <v>0.08695652174</v>
      </c>
      <c r="T44" s="40">
        <f t="shared" si="36"/>
        <v>0.2105263158</v>
      </c>
    </row>
    <row r="45" ht="15.75" customHeight="1">
      <c r="F45" s="24"/>
      <c r="G45" s="19">
        <f>$G$19</f>
        <v>11</v>
      </c>
      <c r="H45" s="20">
        <v>22.0</v>
      </c>
      <c r="I45" s="20">
        <v>9.0</v>
      </c>
      <c r="J45" s="20">
        <v>1.0</v>
      </c>
      <c r="K45" s="20">
        <v>2.0</v>
      </c>
      <c r="L45" s="20">
        <v>2.0</v>
      </c>
      <c r="N45" s="24"/>
      <c r="O45" s="19">
        <f>$G$19</f>
        <v>11</v>
      </c>
      <c r="P45" s="40">
        <f t="shared" ref="P45:T45" si="37">H45/H$58</f>
        <v>0.06214689266</v>
      </c>
      <c r="Q45" s="40">
        <f t="shared" si="37"/>
        <v>0.0756302521</v>
      </c>
      <c r="R45" s="40">
        <f t="shared" si="37"/>
        <v>1</v>
      </c>
      <c r="S45" s="40">
        <f t="shared" si="37"/>
        <v>0.08695652174</v>
      </c>
      <c r="T45" s="40">
        <f t="shared" si="37"/>
        <v>0.1052631579</v>
      </c>
    </row>
    <row r="46" ht="15.75" customHeight="1">
      <c r="F46" s="24"/>
      <c r="G46" s="19">
        <f>$G$20</f>
        <v>12</v>
      </c>
      <c r="H46" s="20">
        <v>22.0</v>
      </c>
      <c r="I46" s="20">
        <v>13.0</v>
      </c>
      <c r="J46" s="20">
        <v>0.0</v>
      </c>
      <c r="K46" s="20">
        <v>4.0</v>
      </c>
      <c r="L46" s="20">
        <v>0.0</v>
      </c>
      <c r="N46" s="24"/>
      <c r="O46" s="19">
        <f>$G$20</f>
        <v>12</v>
      </c>
      <c r="P46" s="40">
        <f t="shared" ref="P46:T46" si="38">H46/H$58</f>
        <v>0.06214689266</v>
      </c>
      <c r="Q46" s="40">
        <f t="shared" si="38"/>
        <v>0.1092436975</v>
      </c>
      <c r="R46" s="40">
        <f t="shared" si="38"/>
        <v>0</v>
      </c>
      <c r="S46" s="40">
        <f t="shared" si="38"/>
        <v>0.1739130435</v>
      </c>
      <c r="T46" s="40">
        <f t="shared" si="38"/>
        <v>0</v>
      </c>
    </row>
    <row r="47" ht="15.75" customHeight="1">
      <c r="F47" s="24"/>
      <c r="G47" s="19">
        <f>$G$21</f>
        <v>13</v>
      </c>
      <c r="H47" s="20">
        <v>22.0</v>
      </c>
      <c r="I47" s="20">
        <v>3.0</v>
      </c>
      <c r="J47" s="20">
        <v>0.0</v>
      </c>
      <c r="K47" s="20">
        <v>3.0</v>
      </c>
      <c r="L47" s="20">
        <v>3.0</v>
      </c>
      <c r="N47" s="24"/>
      <c r="O47" s="19">
        <f>$G$21</f>
        <v>13</v>
      </c>
      <c r="P47" s="40">
        <f t="shared" ref="P47:T47" si="39">H47/H$58</f>
        <v>0.06214689266</v>
      </c>
      <c r="Q47" s="40">
        <f t="shared" si="39"/>
        <v>0.02521008403</v>
      </c>
      <c r="R47" s="40">
        <f t="shared" si="39"/>
        <v>0</v>
      </c>
      <c r="S47" s="40">
        <f t="shared" si="39"/>
        <v>0.1304347826</v>
      </c>
      <c r="T47" s="40">
        <f t="shared" si="39"/>
        <v>0.1578947368</v>
      </c>
    </row>
    <row r="48" ht="15.75" customHeight="1">
      <c r="F48" s="24"/>
      <c r="G48" s="19">
        <f>$G$22</f>
        <v>14</v>
      </c>
      <c r="H48" s="20">
        <v>25.0</v>
      </c>
      <c r="I48" s="20">
        <v>12.0</v>
      </c>
      <c r="J48" s="20">
        <v>0.0</v>
      </c>
      <c r="K48" s="20">
        <v>4.0</v>
      </c>
      <c r="L48" s="20">
        <v>0.0</v>
      </c>
      <c r="N48" s="24"/>
      <c r="O48" s="19">
        <f>$G$22</f>
        <v>14</v>
      </c>
      <c r="P48" s="40">
        <f t="shared" ref="P48:T48" si="40">H48/H$58</f>
        <v>0.07062146893</v>
      </c>
      <c r="Q48" s="40">
        <f t="shared" si="40"/>
        <v>0.1008403361</v>
      </c>
      <c r="R48" s="40">
        <f t="shared" si="40"/>
        <v>0</v>
      </c>
      <c r="S48" s="40">
        <f t="shared" si="40"/>
        <v>0.1739130435</v>
      </c>
      <c r="T48" s="40">
        <f t="shared" si="40"/>
        <v>0</v>
      </c>
    </row>
    <row r="49" ht="15.75" customHeight="1">
      <c r="F49" s="24"/>
      <c r="G49" s="19">
        <f>$G$23</f>
        <v>15</v>
      </c>
      <c r="H49" s="20">
        <v>30.0</v>
      </c>
      <c r="I49" s="20">
        <v>9.0</v>
      </c>
      <c r="J49" s="20">
        <v>0.0</v>
      </c>
      <c r="K49" s="20">
        <v>0.0</v>
      </c>
      <c r="L49" s="20">
        <v>0.0</v>
      </c>
      <c r="N49" s="24"/>
      <c r="O49" s="19">
        <f>$G$23</f>
        <v>15</v>
      </c>
      <c r="P49" s="40">
        <f t="shared" ref="P49:T49" si="41">H49/H$58</f>
        <v>0.08474576271</v>
      </c>
      <c r="Q49" s="40">
        <f t="shared" si="41"/>
        <v>0.0756302521</v>
      </c>
      <c r="R49" s="40">
        <f t="shared" si="41"/>
        <v>0</v>
      </c>
      <c r="S49" s="40">
        <f t="shared" si="41"/>
        <v>0</v>
      </c>
      <c r="T49" s="40">
        <f t="shared" si="41"/>
        <v>0</v>
      </c>
    </row>
    <row r="50" ht="15.75" customHeight="1">
      <c r="F50" s="24"/>
      <c r="G50" s="19">
        <f>$G$24</f>
        <v>16</v>
      </c>
      <c r="H50" s="20">
        <v>41.0</v>
      </c>
      <c r="I50" s="20">
        <v>10.0</v>
      </c>
      <c r="J50" s="20">
        <v>0.0</v>
      </c>
      <c r="K50" s="20">
        <v>4.0</v>
      </c>
      <c r="L50" s="20">
        <v>0.0</v>
      </c>
      <c r="N50" s="24"/>
      <c r="O50" s="19">
        <f>$G$24</f>
        <v>16</v>
      </c>
      <c r="P50" s="40">
        <f t="shared" ref="P50:T50" si="42">H50/H$58</f>
        <v>0.115819209</v>
      </c>
      <c r="Q50" s="40">
        <f t="shared" si="42"/>
        <v>0.08403361345</v>
      </c>
      <c r="R50" s="40">
        <f t="shared" si="42"/>
        <v>0</v>
      </c>
      <c r="S50" s="40">
        <f t="shared" si="42"/>
        <v>0.1739130435</v>
      </c>
      <c r="T50" s="40">
        <f t="shared" si="42"/>
        <v>0</v>
      </c>
    </row>
    <row r="51" ht="15.75" customHeight="1">
      <c r="F51" s="24"/>
      <c r="G51" s="19">
        <f>$G$25</f>
        <v>17</v>
      </c>
      <c r="H51" s="20">
        <v>39.0</v>
      </c>
      <c r="I51" s="20">
        <v>10.0</v>
      </c>
      <c r="J51" s="20">
        <v>0.0</v>
      </c>
      <c r="K51" s="20">
        <v>1.0</v>
      </c>
      <c r="L51" s="20">
        <v>1.0</v>
      </c>
      <c r="N51" s="24"/>
      <c r="O51" s="19">
        <f>$G$25</f>
        <v>17</v>
      </c>
      <c r="P51" s="40">
        <f t="shared" ref="P51:T51" si="43">H51/H$58</f>
        <v>0.1101694915</v>
      </c>
      <c r="Q51" s="40">
        <f t="shared" si="43"/>
        <v>0.08403361345</v>
      </c>
      <c r="R51" s="40">
        <f t="shared" si="43"/>
        <v>0</v>
      </c>
      <c r="S51" s="40">
        <f t="shared" si="43"/>
        <v>0.04347826087</v>
      </c>
      <c r="T51" s="40">
        <f t="shared" si="43"/>
        <v>0.05263157895</v>
      </c>
    </row>
    <row r="52" ht="15.75" customHeight="1">
      <c r="F52" s="24"/>
      <c r="G52" s="19">
        <f>$G$26</f>
        <v>18</v>
      </c>
      <c r="H52" s="20">
        <v>22.0</v>
      </c>
      <c r="I52" s="20">
        <v>7.0</v>
      </c>
      <c r="J52" s="20">
        <v>0.0</v>
      </c>
      <c r="K52" s="20">
        <v>1.0</v>
      </c>
      <c r="L52" s="20">
        <v>1.0</v>
      </c>
      <c r="N52" s="24"/>
      <c r="O52" s="19">
        <f>$G$26</f>
        <v>18</v>
      </c>
      <c r="P52" s="40">
        <f t="shared" ref="P52:T52" si="44">H52/H$58</f>
        <v>0.06214689266</v>
      </c>
      <c r="Q52" s="40">
        <f t="shared" si="44"/>
        <v>0.05882352941</v>
      </c>
      <c r="R52" s="40">
        <f t="shared" si="44"/>
        <v>0</v>
      </c>
      <c r="S52" s="40">
        <f t="shared" si="44"/>
        <v>0.04347826087</v>
      </c>
      <c r="T52" s="40">
        <f t="shared" si="44"/>
        <v>0.05263157895</v>
      </c>
    </row>
    <row r="53" ht="15.75" customHeight="1">
      <c r="F53" s="24"/>
      <c r="G53" s="19">
        <f>$G$27</f>
        <v>19</v>
      </c>
      <c r="H53" s="20">
        <v>11.0</v>
      </c>
      <c r="I53" s="20">
        <v>7.0</v>
      </c>
      <c r="J53" s="20">
        <v>0.0</v>
      </c>
      <c r="K53" s="20">
        <v>0.0</v>
      </c>
      <c r="L53" s="20">
        <v>0.0</v>
      </c>
      <c r="N53" s="24"/>
      <c r="O53" s="19">
        <f>$G$27</f>
        <v>19</v>
      </c>
      <c r="P53" s="40">
        <f t="shared" ref="P53:T53" si="45">H53/H$58</f>
        <v>0.03107344633</v>
      </c>
      <c r="Q53" s="40">
        <f t="shared" si="45"/>
        <v>0.05882352941</v>
      </c>
      <c r="R53" s="40">
        <f t="shared" si="45"/>
        <v>0</v>
      </c>
      <c r="S53" s="40">
        <f t="shared" si="45"/>
        <v>0</v>
      </c>
      <c r="T53" s="40">
        <f t="shared" si="45"/>
        <v>0</v>
      </c>
    </row>
    <row r="54" ht="15.75" customHeight="1">
      <c r="F54" s="24"/>
      <c r="G54" s="19">
        <f>$G$28</f>
        <v>20</v>
      </c>
      <c r="H54" s="20">
        <v>11.0</v>
      </c>
      <c r="I54" s="20">
        <v>2.0</v>
      </c>
      <c r="J54" s="20">
        <v>0.0</v>
      </c>
      <c r="K54" s="20">
        <v>0.0</v>
      </c>
      <c r="L54" s="20">
        <v>1.0</v>
      </c>
      <c r="N54" s="24"/>
      <c r="O54" s="19">
        <f>$G$28</f>
        <v>20</v>
      </c>
      <c r="P54" s="40">
        <f t="shared" ref="P54:T54" si="46">H54/H$58</f>
        <v>0.03107344633</v>
      </c>
      <c r="Q54" s="40">
        <f t="shared" si="46"/>
        <v>0.01680672269</v>
      </c>
      <c r="R54" s="40">
        <f t="shared" si="46"/>
        <v>0</v>
      </c>
      <c r="S54" s="40">
        <f t="shared" si="46"/>
        <v>0</v>
      </c>
      <c r="T54" s="40">
        <f t="shared" si="46"/>
        <v>0.05263157895</v>
      </c>
    </row>
    <row r="55" ht="15.75" customHeight="1">
      <c r="F55" s="24"/>
      <c r="G55" s="19">
        <f>$G$29</f>
        <v>21</v>
      </c>
      <c r="H55" s="20">
        <v>13.0</v>
      </c>
      <c r="I55" s="20">
        <v>5.0</v>
      </c>
      <c r="J55" s="20">
        <v>0.0</v>
      </c>
      <c r="K55" s="20">
        <v>0.0</v>
      </c>
      <c r="L55" s="20">
        <v>1.0</v>
      </c>
      <c r="N55" s="24"/>
      <c r="O55" s="19">
        <f>$G$29</f>
        <v>21</v>
      </c>
      <c r="P55" s="40">
        <f t="shared" ref="P55:T55" si="47">H55/H$58</f>
        <v>0.03672316384</v>
      </c>
      <c r="Q55" s="40">
        <f t="shared" si="47"/>
        <v>0.04201680672</v>
      </c>
      <c r="R55" s="40">
        <f t="shared" si="47"/>
        <v>0</v>
      </c>
      <c r="S55" s="40">
        <f t="shared" si="47"/>
        <v>0</v>
      </c>
      <c r="T55" s="40">
        <f t="shared" si="47"/>
        <v>0.05263157895</v>
      </c>
    </row>
    <row r="56" ht="15.75" customHeight="1">
      <c r="F56" s="24"/>
      <c r="G56" s="19">
        <f>$G$30</f>
        <v>22</v>
      </c>
      <c r="H56" s="20">
        <v>8.0</v>
      </c>
      <c r="I56" s="20">
        <v>2.0</v>
      </c>
      <c r="J56" s="20">
        <v>0.0</v>
      </c>
      <c r="K56" s="20">
        <v>0.0</v>
      </c>
      <c r="L56" s="20">
        <v>0.0</v>
      </c>
      <c r="N56" s="24"/>
      <c r="O56" s="19">
        <f>$G$30</f>
        <v>22</v>
      </c>
      <c r="P56" s="40">
        <f t="shared" ref="P56:T56" si="48">H56/H$58</f>
        <v>0.02259887006</v>
      </c>
      <c r="Q56" s="40">
        <f t="shared" si="48"/>
        <v>0.01680672269</v>
      </c>
      <c r="R56" s="40">
        <f t="shared" si="48"/>
        <v>0</v>
      </c>
      <c r="S56" s="40">
        <f t="shared" si="48"/>
        <v>0</v>
      </c>
      <c r="T56" s="40">
        <f t="shared" si="48"/>
        <v>0</v>
      </c>
    </row>
    <row r="57" ht="15.75" customHeight="1">
      <c r="F57" s="28"/>
      <c r="G57" s="19">
        <f>$G$31</f>
        <v>23</v>
      </c>
      <c r="H57" s="20">
        <v>5.0</v>
      </c>
      <c r="I57" s="20">
        <v>1.0</v>
      </c>
      <c r="J57" s="20">
        <v>0.0</v>
      </c>
      <c r="K57" s="20">
        <v>0.0</v>
      </c>
      <c r="L57" s="20">
        <v>1.0</v>
      </c>
      <c r="N57" s="28"/>
      <c r="O57" s="19">
        <f>$G$31</f>
        <v>23</v>
      </c>
      <c r="P57" s="40">
        <f t="shared" ref="P57:T57" si="49">H57/H$58</f>
        <v>0.01412429379</v>
      </c>
      <c r="Q57" s="40">
        <f t="shared" si="49"/>
        <v>0.008403361345</v>
      </c>
      <c r="R57" s="40">
        <f t="shared" si="49"/>
        <v>0</v>
      </c>
      <c r="S57" s="40">
        <f t="shared" si="49"/>
        <v>0</v>
      </c>
      <c r="T57" s="40">
        <f t="shared" si="49"/>
        <v>0.05263157895</v>
      </c>
    </row>
    <row r="58" ht="15.75" customHeight="1">
      <c r="A58" s="16" t="s">
        <v>68</v>
      </c>
      <c r="F58" s="111"/>
      <c r="G58" s="112"/>
      <c r="H58" s="26">
        <f t="shared" ref="H58:L58" si="50">SUM(H34:H57)</f>
        <v>354</v>
      </c>
      <c r="I58" s="26">
        <f t="shared" si="50"/>
        <v>119</v>
      </c>
      <c r="J58" s="26">
        <f t="shared" si="50"/>
        <v>1</v>
      </c>
      <c r="K58" s="26">
        <f t="shared" si="50"/>
        <v>23</v>
      </c>
      <c r="L58" s="26">
        <f t="shared" si="50"/>
        <v>19</v>
      </c>
    </row>
    <row r="59" ht="15.75" customHeight="1">
      <c r="A59" s="16" t="s">
        <v>69</v>
      </c>
      <c r="G59" s="16"/>
      <c r="H59" s="17">
        <f>$H$7</f>
        <v>31</v>
      </c>
      <c r="I59" s="17">
        <f>$I$7</f>
        <v>32</v>
      </c>
      <c r="J59" s="17">
        <f>$J$7</f>
        <v>41</v>
      </c>
      <c r="K59" s="17">
        <f>$K$7</f>
        <v>42</v>
      </c>
      <c r="L59" s="17">
        <f>$L$7</f>
        <v>5</v>
      </c>
      <c r="O59" s="16"/>
      <c r="P59" s="17">
        <f>$H$7</f>
        <v>31</v>
      </c>
      <c r="Q59" s="17">
        <f>$I$7</f>
        <v>32</v>
      </c>
      <c r="R59" s="17">
        <f>$J$7</f>
        <v>41</v>
      </c>
      <c r="S59" s="17">
        <f>$K$7</f>
        <v>42</v>
      </c>
      <c r="T59" s="17">
        <f>$L$7</f>
        <v>5</v>
      </c>
    </row>
    <row r="60" ht="15.75" customHeight="1">
      <c r="A60" s="16" t="s">
        <v>70</v>
      </c>
      <c r="F60" s="56">
        <v>45209.0</v>
      </c>
      <c r="G60" s="19">
        <f>$G$8</f>
        <v>0</v>
      </c>
      <c r="H60" s="20">
        <v>6.0</v>
      </c>
      <c r="I60" s="20">
        <v>1.0</v>
      </c>
      <c r="J60" s="20">
        <v>0.0</v>
      </c>
      <c r="K60" s="20">
        <v>0.0</v>
      </c>
      <c r="L60" s="20">
        <v>0.0</v>
      </c>
      <c r="N60" s="56">
        <v>45209.0</v>
      </c>
      <c r="O60" s="19">
        <f>$G$8</f>
        <v>0</v>
      </c>
      <c r="P60" s="40">
        <f t="shared" ref="P60:T60" si="51">H60/H$84</f>
        <v>0.02205882353</v>
      </c>
      <c r="Q60" s="40">
        <f t="shared" si="51"/>
        <v>0.01204819277</v>
      </c>
      <c r="R60" s="40">
        <f t="shared" si="51"/>
        <v>0</v>
      </c>
      <c r="S60" s="40">
        <f t="shared" si="51"/>
        <v>0</v>
      </c>
      <c r="T60" s="40">
        <f t="shared" si="51"/>
        <v>0</v>
      </c>
    </row>
    <row r="61" ht="15.75" customHeight="1">
      <c r="A61" s="16" t="s">
        <v>71</v>
      </c>
      <c r="F61" s="24"/>
      <c r="G61" s="19">
        <f>$G$9</f>
        <v>1</v>
      </c>
      <c r="H61" s="20">
        <v>2.0</v>
      </c>
      <c r="I61" s="20">
        <v>1.0</v>
      </c>
      <c r="J61" s="20">
        <v>0.0</v>
      </c>
      <c r="K61" s="20">
        <v>0.0</v>
      </c>
      <c r="L61" s="20">
        <v>0.0</v>
      </c>
      <c r="N61" s="24"/>
      <c r="O61" s="19">
        <f>$G$9</f>
        <v>1</v>
      </c>
      <c r="P61" s="40">
        <f t="shared" ref="P61:T61" si="52">H61/H$84</f>
        <v>0.007352941176</v>
      </c>
      <c r="Q61" s="40">
        <f t="shared" si="52"/>
        <v>0.01204819277</v>
      </c>
      <c r="R61" s="40">
        <f t="shared" si="52"/>
        <v>0</v>
      </c>
      <c r="S61" s="40">
        <f t="shared" si="52"/>
        <v>0</v>
      </c>
      <c r="T61" s="40">
        <f t="shared" si="52"/>
        <v>0</v>
      </c>
    </row>
    <row r="62" ht="15.75" customHeight="1">
      <c r="A62" s="16" t="s">
        <v>72</v>
      </c>
      <c r="F62" s="24"/>
      <c r="G62" s="19">
        <f>$G$10</f>
        <v>2</v>
      </c>
      <c r="H62" s="16">
        <v>2.0</v>
      </c>
      <c r="I62" s="16">
        <v>0.0</v>
      </c>
      <c r="J62" s="16">
        <v>0.0</v>
      </c>
      <c r="K62" s="16">
        <v>0.0</v>
      </c>
      <c r="L62" s="16">
        <v>0.0</v>
      </c>
      <c r="N62" s="24"/>
      <c r="O62" s="19">
        <f>$G$10</f>
        <v>2</v>
      </c>
      <c r="P62" s="40">
        <f t="shared" ref="P62:T62" si="53">H62/H$84</f>
        <v>0.007352941176</v>
      </c>
      <c r="Q62" s="40">
        <f t="shared" si="53"/>
        <v>0</v>
      </c>
      <c r="R62" s="40">
        <f t="shared" si="53"/>
        <v>0</v>
      </c>
      <c r="S62" s="40">
        <f t="shared" si="53"/>
        <v>0</v>
      </c>
      <c r="T62" s="40">
        <f t="shared" si="53"/>
        <v>0</v>
      </c>
    </row>
    <row r="63" ht="15.75" customHeight="1">
      <c r="A63" s="16" t="s">
        <v>73</v>
      </c>
      <c r="F63" s="24"/>
      <c r="G63" s="19">
        <f>$G$11</f>
        <v>3</v>
      </c>
      <c r="H63" s="20">
        <v>2.0</v>
      </c>
      <c r="I63" s="20">
        <v>1.0</v>
      </c>
      <c r="J63" s="20">
        <v>0.0</v>
      </c>
      <c r="K63" s="20">
        <v>1.0</v>
      </c>
      <c r="L63" s="20">
        <v>0.0</v>
      </c>
      <c r="N63" s="24"/>
      <c r="O63" s="19">
        <f>$G$11</f>
        <v>3</v>
      </c>
      <c r="P63" s="40">
        <f t="shared" ref="P63:T63" si="54">H63/H$84</f>
        <v>0.007352941176</v>
      </c>
      <c r="Q63" s="40">
        <f t="shared" si="54"/>
        <v>0.01204819277</v>
      </c>
      <c r="R63" s="40">
        <f t="shared" si="54"/>
        <v>0</v>
      </c>
      <c r="S63" s="40">
        <f t="shared" si="54"/>
        <v>0.07142857143</v>
      </c>
      <c r="T63" s="40">
        <f t="shared" si="54"/>
        <v>0</v>
      </c>
    </row>
    <row r="64" ht="15.75" customHeight="1">
      <c r="A64" s="16" t="s">
        <v>74</v>
      </c>
      <c r="F64" s="24"/>
      <c r="G64" s="19">
        <f>$G$12</f>
        <v>4</v>
      </c>
      <c r="H64" s="20">
        <v>4.0</v>
      </c>
      <c r="I64" s="20">
        <v>1.0</v>
      </c>
      <c r="J64" s="20">
        <v>1.0</v>
      </c>
      <c r="K64" s="20">
        <v>0.0</v>
      </c>
      <c r="L64" s="20">
        <v>0.0</v>
      </c>
      <c r="N64" s="24"/>
      <c r="O64" s="19">
        <f>$G$12</f>
        <v>4</v>
      </c>
      <c r="P64" s="40">
        <f t="shared" ref="P64:T64" si="55">H64/H$84</f>
        <v>0.01470588235</v>
      </c>
      <c r="Q64" s="40">
        <f t="shared" si="55"/>
        <v>0.01204819277</v>
      </c>
      <c r="R64" s="40">
        <f t="shared" si="55"/>
        <v>0.1666666667</v>
      </c>
      <c r="S64" s="40">
        <f t="shared" si="55"/>
        <v>0</v>
      </c>
      <c r="T64" s="40">
        <f t="shared" si="55"/>
        <v>0</v>
      </c>
    </row>
    <row r="65" ht="15.75" customHeight="1">
      <c r="A65" s="16" t="s">
        <v>75</v>
      </c>
      <c r="F65" s="24"/>
      <c r="G65" s="19">
        <f>$G$13</f>
        <v>5</v>
      </c>
      <c r="H65" s="20">
        <v>3.0</v>
      </c>
      <c r="I65" s="20">
        <v>1.0</v>
      </c>
      <c r="J65" s="20">
        <v>0.0</v>
      </c>
      <c r="K65" s="20">
        <v>0.0</v>
      </c>
      <c r="L65" s="20">
        <v>0.0</v>
      </c>
      <c r="N65" s="24"/>
      <c r="O65" s="19">
        <f>$G$13</f>
        <v>5</v>
      </c>
      <c r="P65" s="40">
        <f t="shared" ref="P65:T65" si="56">H65/H$84</f>
        <v>0.01102941176</v>
      </c>
      <c r="Q65" s="40">
        <f t="shared" si="56"/>
        <v>0.01204819277</v>
      </c>
      <c r="R65" s="40">
        <f t="shared" si="56"/>
        <v>0</v>
      </c>
      <c r="S65" s="40">
        <f t="shared" si="56"/>
        <v>0</v>
      </c>
      <c r="T65" s="40">
        <f t="shared" si="56"/>
        <v>0</v>
      </c>
    </row>
    <row r="66" ht="15.75" customHeight="1">
      <c r="A66" s="16" t="s">
        <v>76</v>
      </c>
      <c r="F66" s="24"/>
      <c r="G66" s="19">
        <f>$G$14</f>
        <v>6</v>
      </c>
      <c r="H66" s="20">
        <v>5.0</v>
      </c>
      <c r="I66" s="20">
        <v>2.0</v>
      </c>
      <c r="J66" s="20">
        <v>0.0</v>
      </c>
      <c r="K66" s="20">
        <v>0.0</v>
      </c>
      <c r="L66" s="20">
        <v>0.0</v>
      </c>
      <c r="N66" s="24"/>
      <c r="O66" s="19">
        <f>$G$14</f>
        <v>6</v>
      </c>
      <c r="P66" s="40">
        <f t="shared" ref="P66:T66" si="57">H66/H$84</f>
        <v>0.01838235294</v>
      </c>
      <c r="Q66" s="40">
        <f t="shared" si="57"/>
        <v>0.02409638554</v>
      </c>
      <c r="R66" s="40">
        <f t="shared" si="57"/>
        <v>0</v>
      </c>
      <c r="S66" s="40">
        <f t="shared" si="57"/>
        <v>0</v>
      </c>
      <c r="T66" s="40">
        <f t="shared" si="57"/>
        <v>0</v>
      </c>
    </row>
    <row r="67" ht="15.75" customHeight="1">
      <c r="A67" s="16" t="s">
        <v>77</v>
      </c>
      <c r="F67" s="24"/>
      <c r="G67" s="19">
        <f>$G$15</f>
        <v>7</v>
      </c>
      <c r="H67" s="20">
        <v>5.0</v>
      </c>
      <c r="I67" s="20">
        <v>4.0</v>
      </c>
      <c r="J67" s="20">
        <v>0.0</v>
      </c>
      <c r="K67" s="20">
        <v>0.0</v>
      </c>
      <c r="L67" s="20">
        <v>2.0</v>
      </c>
      <c r="N67" s="24"/>
      <c r="O67" s="19">
        <f>$G$15</f>
        <v>7</v>
      </c>
      <c r="P67" s="40">
        <f t="shared" ref="P67:T67" si="58">H67/H$84</f>
        <v>0.01838235294</v>
      </c>
      <c r="Q67" s="40">
        <f t="shared" si="58"/>
        <v>0.04819277108</v>
      </c>
      <c r="R67" s="40">
        <f t="shared" si="58"/>
        <v>0</v>
      </c>
      <c r="S67" s="40">
        <f t="shared" si="58"/>
        <v>0</v>
      </c>
      <c r="T67" s="40">
        <f t="shared" si="58"/>
        <v>0.125</v>
      </c>
    </row>
    <row r="68" ht="15.75" customHeight="1">
      <c r="A68" s="16" t="s">
        <v>78</v>
      </c>
      <c r="F68" s="24"/>
      <c r="G68" s="19">
        <f>$G$16</f>
        <v>8</v>
      </c>
      <c r="H68" s="20">
        <v>9.0</v>
      </c>
      <c r="I68" s="20">
        <v>3.0</v>
      </c>
      <c r="J68" s="20">
        <v>0.0</v>
      </c>
      <c r="K68" s="20">
        <v>3.0</v>
      </c>
      <c r="L68" s="20">
        <v>1.0</v>
      </c>
      <c r="N68" s="24"/>
      <c r="O68" s="19">
        <f>$G$16</f>
        <v>8</v>
      </c>
      <c r="P68" s="40">
        <f t="shared" ref="P68:T68" si="59">H68/H$84</f>
        <v>0.03308823529</v>
      </c>
      <c r="Q68" s="40">
        <f t="shared" si="59"/>
        <v>0.03614457831</v>
      </c>
      <c r="R68" s="40">
        <f t="shared" si="59"/>
        <v>0</v>
      </c>
      <c r="S68" s="40">
        <f t="shared" si="59"/>
        <v>0.2142857143</v>
      </c>
      <c r="T68" s="40">
        <f t="shared" si="59"/>
        <v>0.0625</v>
      </c>
    </row>
    <row r="69" ht="15.75" customHeight="1">
      <c r="A69" s="16" t="s">
        <v>79</v>
      </c>
      <c r="F69" s="24"/>
      <c r="G69" s="19">
        <f>$G$17</f>
        <v>9</v>
      </c>
      <c r="H69" s="20">
        <v>17.0</v>
      </c>
      <c r="I69" s="20">
        <v>1.0</v>
      </c>
      <c r="J69" s="20">
        <v>0.0</v>
      </c>
      <c r="K69" s="20">
        <v>0.0</v>
      </c>
      <c r="L69" s="20">
        <v>2.0</v>
      </c>
      <c r="N69" s="24"/>
      <c r="O69" s="19">
        <f>$G$17</f>
        <v>9</v>
      </c>
      <c r="P69" s="40">
        <f t="shared" ref="P69:T69" si="60">H69/H$84</f>
        <v>0.0625</v>
      </c>
      <c r="Q69" s="40">
        <f t="shared" si="60"/>
        <v>0.01204819277</v>
      </c>
      <c r="R69" s="40">
        <f t="shared" si="60"/>
        <v>0</v>
      </c>
      <c r="S69" s="40">
        <f t="shared" si="60"/>
        <v>0</v>
      </c>
      <c r="T69" s="40">
        <f t="shared" si="60"/>
        <v>0.125</v>
      </c>
    </row>
    <row r="70" ht="15.75" customHeight="1">
      <c r="A70" s="16" t="s">
        <v>80</v>
      </c>
      <c r="F70" s="24"/>
      <c r="G70" s="19">
        <f>$G$18</f>
        <v>10</v>
      </c>
      <c r="H70" s="20">
        <v>16.0</v>
      </c>
      <c r="I70" s="20">
        <v>7.0</v>
      </c>
      <c r="J70" s="20">
        <v>0.0</v>
      </c>
      <c r="K70" s="20">
        <v>1.0</v>
      </c>
      <c r="L70" s="20">
        <v>1.0</v>
      </c>
      <c r="N70" s="24"/>
      <c r="O70" s="19">
        <f>$G$18</f>
        <v>10</v>
      </c>
      <c r="P70" s="40">
        <f t="shared" ref="P70:T70" si="61">H70/H$84</f>
        <v>0.05882352941</v>
      </c>
      <c r="Q70" s="40">
        <f t="shared" si="61"/>
        <v>0.0843373494</v>
      </c>
      <c r="R70" s="40">
        <f t="shared" si="61"/>
        <v>0</v>
      </c>
      <c r="S70" s="40">
        <f t="shared" si="61"/>
        <v>0.07142857143</v>
      </c>
      <c r="T70" s="40">
        <f t="shared" si="61"/>
        <v>0.0625</v>
      </c>
    </row>
    <row r="71" ht="15.75" customHeight="1">
      <c r="A71" s="16" t="s">
        <v>81</v>
      </c>
      <c r="F71" s="24"/>
      <c r="G71" s="19">
        <f>$G$19</f>
        <v>11</v>
      </c>
      <c r="H71" s="20">
        <v>21.0</v>
      </c>
      <c r="I71" s="20">
        <v>8.0</v>
      </c>
      <c r="J71" s="20">
        <v>0.0</v>
      </c>
      <c r="K71" s="20">
        <v>2.0</v>
      </c>
      <c r="L71" s="20">
        <v>1.0</v>
      </c>
      <c r="N71" s="24"/>
      <c r="O71" s="19">
        <f>$G$19</f>
        <v>11</v>
      </c>
      <c r="P71" s="40">
        <f t="shared" ref="P71:T71" si="62">H71/H$84</f>
        <v>0.07720588235</v>
      </c>
      <c r="Q71" s="40">
        <f t="shared" si="62"/>
        <v>0.09638554217</v>
      </c>
      <c r="R71" s="40">
        <f t="shared" si="62"/>
        <v>0</v>
      </c>
      <c r="S71" s="40">
        <f t="shared" si="62"/>
        <v>0.1428571429</v>
      </c>
      <c r="T71" s="40">
        <f t="shared" si="62"/>
        <v>0.0625</v>
      </c>
    </row>
    <row r="72" ht="15.75" customHeight="1">
      <c r="A72" s="16" t="s">
        <v>82</v>
      </c>
      <c r="F72" s="24"/>
      <c r="G72" s="19">
        <f>$G$20</f>
        <v>12</v>
      </c>
      <c r="H72" s="20">
        <v>15.0</v>
      </c>
      <c r="I72" s="20">
        <v>7.0</v>
      </c>
      <c r="J72" s="20">
        <v>1.0</v>
      </c>
      <c r="K72" s="20">
        <v>2.0</v>
      </c>
      <c r="L72" s="20">
        <v>1.0</v>
      </c>
      <c r="N72" s="24"/>
      <c r="O72" s="19">
        <f>$G$20</f>
        <v>12</v>
      </c>
      <c r="P72" s="40">
        <f t="shared" ref="P72:T72" si="63">H72/H$84</f>
        <v>0.05514705882</v>
      </c>
      <c r="Q72" s="40">
        <f t="shared" si="63"/>
        <v>0.0843373494</v>
      </c>
      <c r="R72" s="40">
        <f t="shared" si="63"/>
        <v>0.1666666667</v>
      </c>
      <c r="S72" s="40">
        <f t="shared" si="63"/>
        <v>0.1428571429</v>
      </c>
      <c r="T72" s="40">
        <f t="shared" si="63"/>
        <v>0.0625</v>
      </c>
    </row>
    <row r="73" ht="15.75" customHeight="1">
      <c r="A73" s="16" t="s">
        <v>83</v>
      </c>
      <c r="F73" s="24"/>
      <c r="G73" s="19">
        <f>$G$21</f>
        <v>13</v>
      </c>
      <c r="H73" s="20">
        <v>14.0</v>
      </c>
      <c r="I73" s="20">
        <v>2.0</v>
      </c>
      <c r="J73" s="20">
        <v>0.0</v>
      </c>
      <c r="K73" s="20">
        <v>1.0</v>
      </c>
      <c r="L73" s="20">
        <v>5.0</v>
      </c>
      <c r="N73" s="24"/>
      <c r="O73" s="19">
        <f>$G$21</f>
        <v>13</v>
      </c>
      <c r="P73" s="40">
        <f t="shared" ref="P73:T73" si="64">H73/H$84</f>
        <v>0.05147058824</v>
      </c>
      <c r="Q73" s="40">
        <f t="shared" si="64"/>
        <v>0.02409638554</v>
      </c>
      <c r="R73" s="40">
        <f t="shared" si="64"/>
        <v>0</v>
      </c>
      <c r="S73" s="40">
        <f t="shared" si="64"/>
        <v>0.07142857143</v>
      </c>
      <c r="T73" s="40">
        <f t="shared" si="64"/>
        <v>0.3125</v>
      </c>
    </row>
    <row r="74" ht="15.75" customHeight="1">
      <c r="A74" s="16" t="s">
        <v>84</v>
      </c>
      <c r="F74" s="24"/>
      <c r="G74" s="19">
        <f>$G$22</f>
        <v>14</v>
      </c>
      <c r="H74" s="20">
        <v>8.0</v>
      </c>
      <c r="I74" s="20">
        <v>6.0</v>
      </c>
      <c r="J74" s="20">
        <v>0.0</v>
      </c>
      <c r="K74" s="20">
        <v>1.0</v>
      </c>
      <c r="L74" s="20">
        <v>1.0</v>
      </c>
      <c r="N74" s="24"/>
      <c r="O74" s="19">
        <f>$G$22</f>
        <v>14</v>
      </c>
      <c r="P74" s="40">
        <f t="shared" ref="P74:T74" si="65">H74/H$84</f>
        <v>0.02941176471</v>
      </c>
      <c r="Q74" s="40">
        <f t="shared" si="65"/>
        <v>0.07228915663</v>
      </c>
      <c r="R74" s="40">
        <f t="shared" si="65"/>
        <v>0</v>
      </c>
      <c r="S74" s="40">
        <f t="shared" si="65"/>
        <v>0.07142857143</v>
      </c>
      <c r="T74" s="40">
        <f t="shared" si="65"/>
        <v>0.0625</v>
      </c>
    </row>
    <row r="75" ht="15.75" customHeight="1">
      <c r="A75" s="16" t="s">
        <v>85</v>
      </c>
      <c r="F75" s="24"/>
      <c r="G75" s="19">
        <f>$G$23</f>
        <v>15</v>
      </c>
      <c r="H75" s="20">
        <v>26.0</v>
      </c>
      <c r="I75" s="20">
        <v>6.0</v>
      </c>
      <c r="J75" s="20">
        <v>4.0</v>
      </c>
      <c r="K75" s="20">
        <v>0.0</v>
      </c>
      <c r="L75" s="20">
        <v>0.0</v>
      </c>
      <c r="N75" s="24"/>
      <c r="O75" s="19">
        <f>$G$23</f>
        <v>15</v>
      </c>
      <c r="P75" s="40">
        <f t="shared" ref="P75:T75" si="66">H75/H$84</f>
        <v>0.09558823529</v>
      </c>
      <c r="Q75" s="40">
        <f t="shared" si="66"/>
        <v>0.07228915663</v>
      </c>
      <c r="R75" s="40">
        <f t="shared" si="66"/>
        <v>0.6666666667</v>
      </c>
      <c r="S75" s="40">
        <f t="shared" si="66"/>
        <v>0</v>
      </c>
      <c r="T75" s="40">
        <f t="shared" si="66"/>
        <v>0</v>
      </c>
    </row>
    <row r="76" ht="15.75" customHeight="1">
      <c r="A76" s="16" t="s">
        <v>86</v>
      </c>
      <c r="F76" s="24"/>
      <c r="G76" s="19">
        <f>$G$24</f>
        <v>16</v>
      </c>
      <c r="H76" s="20">
        <v>20.0</v>
      </c>
      <c r="I76" s="20">
        <v>6.0</v>
      </c>
      <c r="J76" s="20">
        <v>0.0</v>
      </c>
      <c r="K76" s="20">
        <v>0.0</v>
      </c>
      <c r="L76" s="20">
        <v>1.0</v>
      </c>
      <c r="N76" s="24"/>
      <c r="O76" s="19">
        <f>$G$24</f>
        <v>16</v>
      </c>
      <c r="P76" s="40">
        <f t="shared" ref="P76:T76" si="67">H76/H$84</f>
        <v>0.07352941176</v>
      </c>
      <c r="Q76" s="40">
        <f t="shared" si="67"/>
        <v>0.07228915663</v>
      </c>
      <c r="R76" s="40">
        <f t="shared" si="67"/>
        <v>0</v>
      </c>
      <c r="S76" s="40">
        <f t="shared" si="67"/>
        <v>0</v>
      </c>
      <c r="T76" s="40">
        <f t="shared" si="67"/>
        <v>0.0625</v>
      </c>
    </row>
    <row r="77" ht="15.75" customHeight="1">
      <c r="A77" s="16" t="s">
        <v>87</v>
      </c>
      <c r="F77" s="24"/>
      <c r="G77" s="19">
        <f>$G$25</f>
        <v>17</v>
      </c>
      <c r="H77" s="20">
        <v>23.0</v>
      </c>
      <c r="I77" s="20">
        <v>5.0</v>
      </c>
      <c r="J77" s="20">
        <v>0.0</v>
      </c>
      <c r="K77" s="20">
        <v>0.0</v>
      </c>
      <c r="L77" s="20">
        <v>0.0</v>
      </c>
      <c r="N77" s="24"/>
      <c r="O77" s="19">
        <f>$G$25</f>
        <v>17</v>
      </c>
      <c r="P77" s="40">
        <f t="shared" ref="P77:T77" si="68">H77/H$84</f>
        <v>0.08455882353</v>
      </c>
      <c r="Q77" s="40">
        <f t="shared" si="68"/>
        <v>0.06024096386</v>
      </c>
      <c r="R77" s="40">
        <f t="shared" si="68"/>
        <v>0</v>
      </c>
      <c r="S77" s="40">
        <f t="shared" si="68"/>
        <v>0</v>
      </c>
      <c r="T77" s="40">
        <f t="shared" si="68"/>
        <v>0</v>
      </c>
    </row>
    <row r="78" ht="15.75" customHeight="1">
      <c r="A78" s="16" t="s">
        <v>88</v>
      </c>
      <c r="F78" s="24"/>
      <c r="G78" s="19">
        <f>$G$26</f>
        <v>18</v>
      </c>
      <c r="H78" s="20">
        <v>25.0</v>
      </c>
      <c r="I78" s="20">
        <v>5.0</v>
      </c>
      <c r="J78" s="20">
        <v>0.0</v>
      </c>
      <c r="K78" s="20">
        <v>0.0</v>
      </c>
      <c r="L78" s="20">
        <v>1.0</v>
      </c>
      <c r="N78" s="24"/>
      <c r="O78" s="19">
        <f>$G$26</f>
        <v>18</v>
      </c>
      <c r="P78" s="40">
        <f t="shared" ref="P78:T78" si="69">H78/H$84</f>
        <v>0.09191176471</v>
      </c>
      <c r="Q78" s="40">
        <f t="shared" si="69"/>
        <v>0.06024096386</v>
      </c>
      <c r="R78" s="40">
        <f t="shared" si="69"/>
        <v>0</v>
      </c>
      <c r="S78" s="40">
        <f t="shared" si="69"/>
        <v>0</v>
      </c>
      <c r="T78" s="40">
        <f t="shared" si="69"/>
        <v>0.0625</v>
      </c>
    </row>
    <row r="79" ht="15.75" customHeight="1">
      <c r="A79" s="16" t="s">
        <v>89</v>
      </c>
      <c r="F79" s="24"/>
      <c r="G79" s="19">
        <f>$G$27</f>
        <v>19</v>
      </c>
      <c r="H79" s="20">
        <v>12.0</v>
      </c>
      <c r="I79" s="20">
        <v>4.0</v>
      </c>
      <c r="J79" s="20">
        <v>0.0</v>
      </c>
      <c r="K79" s="20">
        <v>2.0</v>
      </c>
      <c r="L79" s="20">
        <v>0.0</v>
      </c>
      <c r="N79" s="24"/>
      <c r="O79" s="19">
        <f>$G$27</f>
        <v>19</v>
      </c>
      <c r="P79" s="40">
        <f t="shared" ref="P79:T79" si="70">H79/H$84</f>
        <v>0.04411764706</v>
      </c>
      <c r="Q79" s="40">
        <f t="shared" si="70"/>
        <v>0.04819277108</v>
      </c>
      <c r="R79" s="40">
        <f t="shared" si="70"/>
        <v>0</v>
      </c>
      <c r="S79" s="40">
        <f t="shared" si="70"/>
        <v>0.1428571429</v>
      </c>
      <c r="T79" s="40">
        <f t="shared" si="70"/>
        <v>0</v>
      </c>
    </row>
    <row r="80" ht="15.75" customHeight="1">
      <c r="A80" s="16" t="s">
        <v>90</v>
      </c>
      <c r="F80" s="24"/>
      <c r="G80" s="19">
        <f>$G$28</f>
        <v>20</v>
      </c>
      <c r="H80" s="20">
        <v>6.0</v>
      </c>
      <c r="I80" s="20">
        <v>3.0</v>
      </c>
      <c r="J80" s="20">
        <v>0.0</v>
      </c>
      <c r="K80" s="20">
        <v>0.0</v>
      </c>
      <c r="L80" s="20">
        <v>0.0</v>
      </c>
      <c r="N80" s="24"/>
      <c r="O80" s="19">
        <f>$G$28</f>
        <v>20</v>
      </c>
      <c r="P80" s="40">
        <f t="shared" ref="P80:T80" si="71">H80/H$84</f>
        <v>0.02205882353</v>
      </c>
      <c r="Q80" s="40">
        <f t="shared" si="71"/>
        <v>0.03614457831</v>
      </c>
      <c r="R80" s="40">
        <f t="shared" si="71"/>
        <v>0</v>
      </c>
      <c r="S80" s="40">
        <f t="shared" si="71"/>
        <v>0</v>
      </c>
      <c r="T80" s="40">
        <f t="shared" si="71"/>
        <v>0</v>
      </c>
    </row>
    <row r="81" ht="15.75" customHeight="1">
      <c r="A81" s="16" t="s">
        <v>91</v>
      </c>
      <c r="F81" s="24"/>
      <c r="G81" s="19">
        <f>$G$29</f>
        <v>21</v>
      </c>
      <c r="H81" s="20">
        <v>14.0</v>
      </c>
      <c r="I81" s="20">
        <v>7.0</v>
      </c>
      <c r="J81" s="20">
        <v>0.0</v>
      </c>
      <c r="K81" s="20">
        <v>0.0</v>
      </c>
      <c r="L81" s="20">
        <v>0.0</v>
      </c>
      <c r="N81" s="24"/>
      <c r="O81" s="19">
        <f>$G$29</f>
        <v>21</v>
      </c>
      <c r="P81" s="40">
        <f t="shared" ref="P81:T81" si="72">H81/H$84</f>
        <v>0.05147058824</v>
      </c>
      <c r="Q81" s="40">
        <f t="shared" si="72"/>
        <v>0.0843373494</v>
      </c>
      <c r="R81" s="40">
        <f t="shared" si="72"/>
        <v>0</v>
      </c>
      <c r="S81" s="40">
        <f t="shared" si="72"/>
        <v>0</v>
      </c>
      <c r="T81" s="40">
        <f t="shared" si="72"/>
        <v>0</v>
      </c>
    </row>
    <row r="82" ht="15.75" customHeight="1">
      <c r="F82" s="24"/>
      <c r="G82" s="19">
        <f>$G$30</f>
        <v>22</v>
      </c>
      <c r="H82" s="20">
        <v>10.0</v>
      </c>
      <c r="I82" s="20">
        <v>1.0</v>
      </c>
      <c r="J82" s="20">
        <v>0.0</v>
      </c>
      <c r="K82" s="20">
        <v>0.0</v>
      </c>
      <c r="L82" s="20">
        <v>0.0</v>
      </c>
      <c r="N82" s="24"/>
      <c r="O82" s="19">
        <f>$G$30</f>
        <v>22</v>
      </c>
      <c r="P82" s="40">
        <f t="shared" ref="P82:T82" si="73">H82/H$84</f>
        <v>0.03676470588</v>
      </c>
      <c r="Q82" s="40">
        <f t="shared" si="73"/>
        <v>0.01204819277</v>
      </c>
      <c r="R82" s="40">
        <f t="shared" si="73"/>
        <v>0</v>
      </c>
      <c r="S82" s="40">
        <f t="shared" si="73"/>
        <v>0</v>
      </c>
      <c r="T82" s="40">
        <f t="shared" si="73"/>
        <v>0</v>
      </c>
    </row>
    <row r="83" ht="15.75" customHeight="1">
      <c r="F83" s="28"/>
      <c r="G83" s="19">
        <f>$G$31</f>
        <v>23</v>
      </c>
      <c r="H83" s="20">
        <v>7.0</v>
      </c>
      <c r="I83" s="20">
        <v>1.0</v>
      </c>
      <c r="J83" s="20">
        <v>0.0</v>
      </c>
      <c r="K83" s="20">
        <v>1.0</v>
      </c>
      <c r="L83" s="20">
        <v>0.0</v>
      </c>
      <c r="N83" s="28"/>
      <c r="O83" s="19">
        <f>$G$31</f>
        <v>23</v>
      </c>
      <c r="P83" s="40">
        <f t="shared" ref="P83:T83" si="74">H83/H$84</f>
        <v>0.02573529412</v>
      </c>
      <c r="Q83" s="40">
        <f t="shared" si="74"/>
        <v>0.01204819277</v>
      </c>
      <c r="R83" s="40">
        <f t="shared" si="74"/>
        <v>0</v>
      </c>
      <c r="S83" s="40">
        <f t="shared" si="74"/>
        <v>0.07142857143</v>
      </c>
      <c r="T83" s="40">
        <f t="shared" si="74"/>
        <v>0</v>
      </c>
    </row>
    <row r="84" ht="15.75" customHeight="1">
      <c r="F84" s="111"/>
      <c r="G84" s="112"/>
      <c r="H84" s="26">
        <f t="shared" ref="H84:L84" si="75">SUM(H60:H83)</f>
        <v>272</v>
      </c>
      <c r="I84" s="26">
        <f t="shared" si="75"/>
        <v>83</v>
      </c>
      <c r="J84" s="26">
        <f t="shared" si="75"/>
        <v>6</v>
      </c>
      <c r="K84" s="26">
        <f t="shared" si="75"/>
        <v>14</v>
      </c>
      <c r="L84" s="26">
        <f t="shared" si="75"/>
        <v>16</v>
      </c>
    </row>
    <row r="85" ht="15.75" customHeight="1">
      <c r="A85" s="16" t="s">
        <v>92</v>
      </c>
      <c r="G85" s="16"/>
      <c r="H85" s="17">
        <f>$H$7</f>
        <v>31</v>
      </c>
      <c r="I85" s="17">
        <f>$I$7</f>
        <v>32</v>
      </c>
      <c r="J85" s="17">
        <f>$J$7</f>
        <v>41</v>
      </c>
      <c r="K85" s="17">
        <f>$K$7</f>
        <v>42</v>
      </c>
      <c r="L85" s="17">
        <f>$L$7</f>
        <v>5</v>
      </c>
      <c r="O85" s="16"/>
      <c r="P85" s="17">
        <f>$H$7</f>
        <v>31</v>
      </c>
      <c r="Q85" s="17">
        <f>$I$7</f>
        <v>32</v>
      </c>
      <c r="R85" s="17">
        <f>$J$7</f>
        <v>41</v>
      </c>
      <c r="S85" s="17">
        <f>$K$7</f>
        <v>42</v>
      </c>
      <c r="T85" s="17">
        <f>$L$7</f>
        <v>5</v>
      </c>
    </row>
    <row r="86" ht="15.75" customHeight="1">
      <c r="A86" s="16" t="s">
        <v>93</v>
      </c>
      <c r="F86" s="56">
        <v>45210.0</v>
      </c>
      <c r="G86" s="19">
        <f>$G$8</f>
        <v>0</v>
      </c>
      <c r="H86" s="20">
        <v>1.0</v>
      </c>
      <c r="I86" s="20">
        <v>2.0</v>
      </c>
      <c r="J86" s="20">
        <v>0.0</v>
      </c>
      <c r="K86" s="20">
        <v>0.0</v>
      </c>
      <c r="L86" s="20">
        <v>0.0</v>
      </c>
      <c r="N86" s="56">
        <v>45210.0</v>
      </c>
      <c r="O86" s="19">
        <f>$G$8</f>
        <v>0</v>
      </c>
      <c r="P86" s="40">
        <f t="shared" ref="P86:T86" si="76">H86/H$110</f>
        <v>0.003937007874</v>
      </c>
      <c r="Q86" s="40">
        <f t="shared" si="76"/>
        <v>0.01739130435</v>
      </c>
      <c r="R86" s="40">
        <f t="shared" si="76"/>
        <v>0</v>
      </c>
      <c r="S86" s="40">
        <f t="shared" si="76"/>
        <v>0</v>
      </c>
      <c r="T86" s="40">
        <f t="shared" si="76"/>
        <v>0</v>
      </c>
    </row>
    <row r="87" ht="15.75" customHeight="1">
      <c r="A87" s="16" t="s">
        <v>94</v>
      </c>
      <c r="F87" s="24"/>
      <c r="G87" s="19">
        <f>$G$9</f>
        <v>1</v>
      </c>
      <c r="H87" s="20">
        <v>0.0</v>
      </c>
      <c r="I87" s="20">
        <v>1.0</v>
      </c>
      <c r="J87" s="20">
        <v>0.0</v>
      </c>
      <c r="K87" s="20">
        <v>0.0</v>
      </c>
      <c r="L87" s="20">
        <v>0.0</v>
      </c>
      <c r="N87" s="24"/>
      <c r="O87" s="19">
        <f>$G$9</f>
        <v>1</v>
      </c>
      <c r="P87" s="40">
        <f t="shared" ref="P87:T87" si="77">H87/H$110</f>
        <v>0</v>
      </c>
      <c r="Q87" s="40">
        <f t="shared" si="77"/>
        <v>0.008695652174</v>
      </c>
      <c r="R87" s="40">
        <f t="shared" si="77"/>
        <v>0</v>
      </c>
      <c r="S87" s="40">
        <f t="shared" si="77"/>
        <v>0</v>
      </c>
      <c r="T87" s="40">
        <f t="shared" si="77"/>
        <v>0</v>
      </c>
    </row>
    <row r="88" ht="15.75" customHeight="1">
      <c r="A88" s="16" t="s">
        <v>70</v>
      </c>
      <c r="F88" s="24"/>
      <c r="G88" s="19">
        <f>$G$10</f>
        <v>2</v>
      </c>
      <c r="H88" s="16">
        <v>1.0</v>
      </c>
      <c r="I88" s="16">
        <v>0.0</v>
      </c>
      <c r="J88" s="16">
        <v>0.0</v>
      </c>
      <c r="K88" s="16">
        <v>0.0</v>
      </c>
      <c r="L88" s="16">
        <v>0.0</v>
      </c>
      <c r="N88" s="24"/>
      <c r="O88" s="19">
        <f>$G$10</f>
        <v>2</v>
      </c>
      <c r="P88" s="40">
        <f t="shared" ref="P88:T88" si="78">H88/H$110</f>
        <v>0.003937007874</v>
      </c>
      <c r="Q88" s="40">
        <f t="shared" si="78"/>
        <v>0</v>
      </c>
      <c r="R88" s="40">
        <f t="shared" si="78"/>
        <v>0</v>
      </c>
      <c r="S88" s="40">
        <f t="shared" si="78"/>
        <v>0</v>
      </c>
      <c r="T88" s="40">
        <f t="shared" si="78"/>
        <v>0</v>
      </c>
    </row>
    <row r="89" ht="15.75" customHeight="1">
      <c r="A89" s="16" t="s">
        <v>95</v>
      </c>
      <c r="F89" s="24"/>
      <c r="G89" s="19">
        <f>$G$11</f>
        <v>3</v>
      </c>
      <c r="H89" s="20">
        <v>2.0</v>
      </c>
      <c r="I89" s="20">
        <v>0.0</v>
      </c>
      <c r="J89" s="20">
        <v>0.0</v>
      </c>
      <c r="K89" s="20">
        <v>0.0</v>
      </c>
      <c r="L89" s="20">
        <v>0.0</v>
      </c>
      <c r="N89" s="24"/>
      <c r="O89" s="19">
        <f>$G$11</f>
        <v>3</v>
      </c>
      <c r="P89" s="40">
        <f t="shared" ref="P89:T89" si="79">H89/H$110</f>
        <v>0.007874015748</v>
      </c>
      <c r="Q89" s="40">
        <f t="shared" si="79"/>
        <v>0</v>
      </c>
      <c r="R89" s="40">
        <f t="shared" si="79"/>
        <v>0</v>
      </c>
      <c r="S89" s="40">
        <f t="shared" si="79"/>
        <v>0</v>
      </c>
      <c r="T89" s="40">
        <f t="shared" si="79"/>
        <v>0</v>
      </c>
    </row>
    <row r="90" ht="15.75" customHeight="1">
      <c r="A90" s="16" t="s">
        <v>96</v>
      </c>
      <c r="F90" s="24"/>
      <c r="G90" s="19">
        <f>$G$12</f>
        <v>4</v>
      </c>
      <c r="H90" s="20">
        <v>1.0</v>
      </c>
      <c r="I90" s="20">
        <v>4.0</v>
      </c>
      <c r="J90" s="20">
        <v>0.0</v>
      </c>
      <c r="K90" s="20">
        <v>1.0</v>
      </c>
      <c r="L90" s="20">
        <v>0.0</v>
      </c>
      <c r="N90" s="24"/>
      <c r="O90" s="19">
        <f>$G$12</f>
        <v>4</v>
      </c>
      <c r="P90" s="40">
        <f t="shared" ref="P90:T90" si="80">H90/H$110</f>
        <v>0.003937007874</v>
      </c>
      <c r="Q90" s="40">
        <f t="shared" si="80"/>
        <v>0.0347826087</v>
      </c>
      <c r="R90" s="40">
        <f t="shared" si="80"/>
        <v>0</v>
      </c>
      <c r="S90" s="40">
        <f t="shared" si="80"/>
        <v>0.1</v>
      </c>
      <c r="T90" s="40">
        <f t="shared" si="80"/>
        <v>0</v>
      </c>
    </row>
    <row r="91" ht="15.75" customHeight="1">
      <c r="A91" s="16" t="s">
        <v>97</v>
      </c>
      <c r="F91" s="24"/>
      <c r="G91" s="19">
        <f>$G$13</f>
        <v>5</v>
      </c>
      <c r="H91" s="20">
        <v>2.0</v>
      </c>
      <c r="I91" s="20">
        <v>2.0</v>
      </c>
      <c r="J91" s="20">
        <v>0.0</v>
      </c>
      <c r="K91" s="20">
        <v>0.0</v>
      </c>
      <c r="L91" s="20">
        <v>0.0</v>
      </c>
      <c r="N91" s="24"/>
      <c r="O91" s="19">
        <f>$G$13</f>
        <v>5</v>
      </c>
      <c r="P91" s="40">
        <f t="shared" ref="P91:T91" si="81">H91/H$110</f>
        <v>0.007874015748</v>
      </c>
      <c r="Q91" s="40">
        <f t="shared" si="81"/>
        <v>0.01739130435</v>
      </c>
      <c r="R91" s="40">
        <f t="shared" si="81"/>
        <v>0</v>
      </c>
      <c r="S91" s="40">
        <f t="shared" si="81"/>
        <v>0</v>
      </c>
      <c r="T91" s="40">
        <f t="shared" si="81"/>
        <v>0</v>
      </c>
    </row>
    <row r="92" ht="15.75" customHeight="1">
      <c r="A92" s="16" t="s">
        <v>98</v>
      </c>
      <c r="F92" s="24"/>
      <c r="G92" s="19">
        <f>$G$14</f>
        <v>6</v>
      </c>
      <c r="H92" s="20">
        <v>3.0</v>
      </c>
      <c r="I92" s="20">
        <v>3.0</v>
      </c>
      <c r="J92" s="20">
        <v>0.0</v>
      </c>
      <c r="K92" s="20">
        <v>0.0</v>
      </c>
      <c r="L92" s="20">
        <v>1.0</v>
      </c>
      <c r="N92" s="24"/>
      <c r="O92" s="19">
        <f>$G$14</f>
        <v>6</v>
      </c>
      <c r="P92" s="40">
        <f t="shared" ref="P92:T92" si="82">H92/H$110</f>
        <v>0.01181102362</v>
      </c>
      <c r="Q92" s="40">
        <f t="shared" si="82"/>
        <v>0.02608695652</v>
      </c>
      <c r="R92" s="40">
        <f t="shared" si="82"/>
        <v>0</v>
      </c>
      <c r="S92" s="40">
        <f t="shared" si="82"/>
        <v>0</v>
      </c>
      <c r="T92" s="40">
        <f t="shared" si="82"/>
        <v>0.06666666667</v>
      </c>
    </row>
    <row r="93" ht="15.75" customHeight="1">
      <c r="A93" s="16" t="s">
        <v>99</v>
      </c>
      <c r="F93" s="24"/>
      <c r="G93" s="19">
        <f>$G$15</f>
        <v>7</v>
      </c>
      <c r="H93" s="20">
        <v>31.0</v>
      </c>
      <c r="I93" s="20">
        <v>5.0</v>
      </c>
      <c r="J93" s="20">
        <v>0.0</v>
      </c>
      <c r="K93" s="20">
        <v>2.0</v>
      </c>
      <c r="L93" s="20">
        <v>1.0</v>
      </c>
      <c r="N93" s="24"/>
      <c r="O93" s="19">
        <f>$G$15</f>
        <v>7</v>
      </c>
      <c r="P93" s="40">
        <f t="shared" ref="P93:T93" si="83">H93/H$110</f>
        <v>0.1220472441</v>
      </c>
      <c r="Q93" s="40">
        <f t="shared" si="83"/>
        <v>0.04347826087</v>
      </c>
      <c r="R93" s="40">
        <f t="shared" si="83"/>
        <v>0</v>
      </c>
      <c r="S93" s="40">
        <f t="shared" si="83"/>
        <v>0.2</v>
      </c>
      <c r="T93" s="40">
        <f t="shared" si="83"/>
        <v>0.06666666667</v>
      </c>
    </row>
    <row r="94" ht="15.75" customHeight="1">
      <c r="A94" s="16" t="s">
        <v>100</v>
      </c>
      <c r="F94" s="24"/>
      <c r="G94" s="19">
        <f>$G$16</f>
        <v>8</v>
      </c>
      <c r="H94" s="20">
        <v>12.0</v>
      </c>
      <c r="I94" s="20">
        <v>4.0</v>
      </c>
      <c r="J94" s="20">
        <v>0.0</v>
      </c>
      <c r="K94" s="20">
        <v>0.0</v>
      </c>
      <c r="L94" s="20">
        <v>1.0</v>
      </c>
      <c r="N94" s="24"/>
      <c r="O94" s="19">
        <f>$G$16</f>
        <v>8</v>
      </c>
      <c r="P94" s="40">
        <f t="shared" ref="P94:T94" si="84">H94/H$110</f>
        <v>0.04724409449</v>
      </c>
      <c r="Q94" s="40">
        <f t="shared" si="84"/>
        <v>0.0347826087</v>
      </c>
      <c r="R94" s="40">
        <f t="shared" si="84"/>
        <v>0</v>
      </c>
      <c r="S94" s="40">
        <f t="shared" si="84"/>
        <v>0</v>
      </c>
      <c r="T94" s="40">
        <f t="shared" si="84"/>
        <v>0.06666666667</v>
      </c>
    </row>
    <row r="95" ht="15.75" customHeight="1">
      <c r="A95" s="16" t="s">
        <v>101</v>
      </c>
      <c r="F95" s="24"/>
      <c r="G95" s="19">
        <f>$G$17</f>
        <v>9</v>
      </c>
      <c r="H95" s="20">
        <v>15.0</v>
      </c>
      <c r="I95" s="20">
        <v>5.0</v>
      </c>
      <c r="J95" s="20">
        <v>0.0</v>
      </c>
      <c r="K95" s="20">
        <v>0.0</v>
      </c>
      <c r="L95" s="20">
        <v>3.0</v>
      </c>
      <c r="N95" s="24"/>
      <c r="O95" s="19">
        <f>$G$17</f>
        <v>9</v>
      </c>
      <c r="P95" s="40">
        <f t="shared" ref="P95:T95" si="85">H95/H$110</f>
        <v>0.05905511811</v>
      </c>
      <c r="Q95" s="40">
        <f t="shared" si="85"/>
        <v>0.04347826087</v>
      </c>
      <c r="R95" s="40">
        <f t="shared" si="85"/>
        <v>0</v>
      </c>
      <c r="S95" s="40">
        <f t="shared" si="85"/>
        <v>0</v>
      </c>
      <c r="T95" s="40">
        <f t="shared" si="85"/>
        <v>0.2</v>
      </c>
    </row>
    <row r="96" ht="15.75" customHeight="1">
      <c r="A96" s="16" t="s">
        <v>102</v>
      </c>
      <c r="F96" s="24"/>
      <c r="G96" s="19">
        <f>$G$18</f>
        <v>10</v>
      </c>
      <c r="H96" s="20">
        <v>9.0</v>
      </c>
      <c r="I96" s="20">
        <v>6.0</v>
      </c>
      <c r="J96" s="20">
        <v>0.0</v>
      </c>
      <c r="K96" s="20">
        <v>1.0</v>
      </c>
      <c r="L96" s="20">
        <v>0.0</v>
      </c>
      <c r="N96" s="24"/>
      <c r="O96" s="19">
        <f>$G$18</f>
        <v>10</v>
      </c>
      <c r="P96" s="40">
        <f t="shared" ref="P96:T96" si="86">H96/H$110</f>
        <v>0.03543307087</v>
      </c>
      <c r="Q96" s="40">
        <f t="shared" si="86"/>
        <v>0.05217391304</v>
      </c>
      <c r="R96" s="40">
        <f t="shared" si="86"/>
        <v>0</v>
      </c>
      <c r="S96" s="40">
        <f t="shared" si="86"/>
        <v>0.1</v>
      </c>
      <c r="T96" s="40">
        <f t="shared" si="86"/>
        <v>0</v>
      </c>
    </row>
    <row r="97" ht="15.75" customHeight="1">
      <c r="A97" s="16" t="s">
        <v>103</v>
      </c>
      <c r="F97" s="24"/>
      <c r="G97" s="19">
        <f>$G$19</f>
        <v>11</v>
      </c>
      <c r="H97" s="20">
        <v>21.0</v>
      </c>
      <c r="I97" s="20">
        <v>11.0</v>
      </c>
      <c r="J97" s="20">
        <v>0.0</v>
      </c>
      <c r="K97" s="20">
        <v>0.0</v>
      </c>
      <c r="L97" s="20">
        <v>1.0</v>
      </c>
      <c r="N97" s="24"/>
      <c r="O97" s="19">
        <f>$G$19</f>
        <v>11</v>
      </c>
      <c r="P97" s="40">
        <f t="shared" ref="P97:T97" si="87">H97/H$110</f>
        <v>0.08267716535</v>
      </c>
      <c r="Q97" s="40">
        <f t="shared" si="87"/>
        <v>0.09565217391</v>
      </c>
      <c r="R97" s="40">
        <f t="shared" si="87"/>
        <v>0</v>
      </c>
      <c r="S97" s="40">
        <f t="shared" si="87"/>
        <v>0</v>
      </c>
      <c r="T97" s="40">
        <f t="shared" si="87"/>
        <v>0.06666666667</v>
      </c>
    </row>
    <row r="98" ht="15.75" customHeight="1">
      <c r="A98" s="16" t="s">
        <v>104</v>
      </c>
      <c r="F98" s="24"/>
      <c r="G98" s="19">
        <f>$G$20</f>
        <v>12</v>
      </c>
      <c r="H98" s="20">
        <v>10.0</v>
      </c>
      <c r="I98" s="20">
        <v>7.0</v>
      </c>
      <c r="J98" s="20">
        <v>0.0</v>
      </c>
      <c r="K98" s="20">
        <v>1.0</v>
      </c>
      <c r="L98" s="20">
        <v>1.0</v>
      </c>
      <c r="N98" s="24"/>
      <c r="O98" s="19">
        <f>$G$20</f>
        <v>12</v>
      </c>
      <c r="P98" s="40">
        <f t="shared" ref="P98:T98" si="88">H98/H$110</f>
        <v>0.03937007874</v>
      </c>
      <c r="Q98" s="40">
        <f t="shared" si="88"/>
        <v>0.06086956522</v>
      </c>
      <c r="R98" s="40">
        <f t="shared" si="88"/>
        <v>0</v>
      </c>
      <c r="S98" s="40">
        <f t="shared" si="88"/>
        <v>0.1</v>
      </c>
      <c r="T98" s="40">
        <f t="shared" si="88"/>
        <v>0.06666666667</v>
      </c>
    </row>
    <row r="99" ht="15.75" customHeight="1">
      <c r="A99" s="16" t="s">
        <v>105</v>
      </c>
      <c r="F99" s="24"/>
      <c r="G99" s="19">
        <f>$G$21</f>
        <v>13</v>
      </c>
      <c r="H99" s="20">
        <v>5.0</v>
      </c>
      <c r="I99" s="20">
        <v>5.0</v>
      </c>
      <c r="J99" s="20">
        <v>0.0</v>
      </c>
      <c r="K99" s="20">
        <v>0.0</v>
      </c>
      <c r="L99" s="20">
        <v>3.0</v>
      </c>
      <c r="N99" s="24"/>
      <c r="O99" s="19">
        <f>$G$21</f>
        <v>13</v>
      </c>
      <c r="P99" s="40">
        <f t="shared" ref="P99:T99" si="89">H99/H$110</f>
        <v>0.01968503937</v>
      </c>
      <c r="Q99" s="40">
        <f t="shared" si="89"/>
        <v>0.04347826087</v>
      </c>
      <c r="R99" s="40">
        <f t="shared" si="89"/>
        <v>0</v>
      </c>
      <c r="S99" s="40">
        <f t="shared" si="89"/>
        <v>0</v>
      </c>
      <c r="T99" s="40">
        <f t="shared" si="89"/>
        <v>0.2</v>
      </c>
    </row>
    <row r="100" ht="15.75" customHeight="1">
      <c r="A100" s="16" t="s">
        <v>106</v>
      </c>
      <c r="F100" s="24"/>
      <c r="G100" s="19">
        <f>$G$22</f>
        <v>14</v>
      </c>
      <c r="H100" s="20">
        <v>17.0</v>
      </c>
      <c r="I100" s="20">
        <v>5.0</v>
      </c>
      <c r="J100" s="20">
        <v>0.0</v>
      </c>
      <c r="K100" s="20">
        <v>3.0</v>
      </c>
      <c r="L100" s="20">
        <v>1.0</v>
      </c>
      <c r="N100" s="24"/>
      <c r="O100" s="19">
        <f>$G$22</f>
        <v>14</v>
      </c>
      <c r="P100" s="40">
        <f t="shared" ref="P100:T100" si="90">H100/H$110</f>
        <v>0.06692913386</v>
      </c>
      <c r="Q100" s="40">
        <f t="shared" si="90"/>
        <v>0.04347826087</v>
      </c>
      <c r="R100" s="40">
        <f t="shared" si="90"/>
        <v>0</v>
      </c>
      <c r="S100" s="40">
        <f t="shared" si="90"/>
        <v>0.3</v>
      </c>
      <c r="T100" s="40">
        <f t="shared" si="90"/>
        <v>0.06666666667</v>
      </c>
    </row>
    <row r="101" ht="15.75" customHeight="1">
      <c r="A101" s="16" t="s">
        <v>107</v>
      </c>
      <c r="F101" s="24"/>
      <c r="G101" s="19">
        <f>$G$23</f>
        <v>15</v>
      </c>
      <c r="H101" s="20">
        <v>13.0</v>
      </c>
      <c r="I101" s="20">
        <v>8.0</v>
      </c>
      <c r="J101" s="20">
        <v>0.0</v>
      </c>
      <c r="K101" s="20">
        <v>1.0</v>
      </c>
      <c r="L101" s="20">
        <v>2.0</v>
      </c>
      <c r="N101" s="24"/>
      <c r="O101" s="19">
        <f>$G$23</f>
        <v>15</v>
      </c>
      <c r="P101" s="40">
        <f t="shared" ref="P101:T101" si="91">H101/H$110</f>
        <v>0.05118110236</v>
      </c>
      <c r="Q101" s="40">
        <f t="shared" si="91"/>
        <v>0.06956521739</v>
      </c>
      <c r="R101" s="40">
        <f t="shared" si="91"/>
        <v>0</v>
      </c>
      <c r="S101" s="40">
        <f t="shared" si="91"/>
        <v>0.1</v>
      </c>
      <c r="T101" s="40">
        <f t="shared" si="91"/>
        <v>0.1333333333</v>
      </c>
    </row>
    <row r="102" ht="15.75" customHeight="1">
      <c r="A102" s="16" t="s">
        <v>108</v>
      </c>
      <c r="F102" s="24"/>
      <c r="G102" s="19">
        <f>$G$24</f>
        <v>16</v>
      </c>
      <c r="H102" s="20">
        <v>19.0</v>
      </c>
      <c r="I102" s="20">
        <v>12.0</v>
      </c>
      <c r="J102" s="20">
        <v>0.0</v>
      </c>
      <c r="K102" s="20">
        <v>0.0</v>
      </c>
      <c r="L102" s="20">
        <v>1.0</v>
      </c>
      <c r="N102" s="24"/>
      <c r="O102" s="19">
        <f>$G$24</f>
        <v>16</v>
      </c>
      <c r="P102" s="40">
        <f t="shared" ref="P102:T102" si="92">H102/H$110</f>
        <v>0.07480314961</v>
      </c>
      <c r="Q102" s="40">
        <f t="shared" si="92"/>
        <v>0.1043478261</v>
      </c>
      <c r="R102" s="40">
        <f t="shared" si="92"/>
        <v>0</v>
      </c>
      <c r="S102" s="40">
        <f t="shared" si="92"/>
        <v>0</v>
      </c>
      <c r="T102" s="40">
        <f t="shared" si="92"/>
        <v>0.06666666667</v>
      </c>
    </row>
    <row r="103" ht="15.75" customHeight="1">
      <c r="A103" s="16" t="s">
        <v>109</v>
      </c>
      <c r="F103" s="24"/>
      <c r="G103" s="19">
        <f>$G$25</f>
        <v>17</v>
      </c>
      <c r="H103" s="20">
        <v>29.0</v>
      </c>
      <c r="I103" s="20">
        <v>11.0</v>
      </c>
      <c r="J103" s="20">
        <v>1.0</v>
      </c>
      <c r="K103" s="20">
        <v>1.0</v>
      </c>
      <c r="L103" s="20">
        <v>0.0</v>
      </c>
      <c r="N103" s="24"/>
      <c r="O103" s="19">
        <f>$G$25</f>
        <v>17</v>
      </c>
      <c r="P103" s="40">
        <f t="shared" ref="P103:T103" si="93">H103/H$110</f>
        <v>0.1141732283</v>
      </c>
      <c r="Q103" s="40">
        <f t="shared" si="93"/>
        <v>0.09565217391</v>
      </c>
      <c r="R103" s="40">
        <f t="shared" si="93"/>
        <v>1</v>
      </c>
      <c r="S103" s="40">
        <f t="shared" si="93"/>
        <v>0.1</v>
      </c>
      <c r="T103" s="40">
        <f t="shared" si="93"/>
        <v>0</v>
      </c>
    </row>
    <row r="104" ht="15.75" customHeight="1">
      <c r="A104" s="16" t="s">
        <v>110</v>
      </c>
      <c r="F104" s="24"/>
      <c r="G104" s="19">
        <f>$G$26</f>
        <v>18</v>
      </c>
      <c r="H104" s="20">
        <v>21.0</v>
      </c>
      <c r="I104" s="20">
        <v>6.0</v>
      </c>
      <c r="J104" s="20">
        <v>0.0</v>
      </c>
      <c r="K104" s="20">
        <v>0.0</v>
      </c>
      <c r="L104" s="20">
        <v>0.0</v>
      </c>
      <c r="N104" s="24"/>
      <c r="O104" s="19">
        <f>$G$26</f>
        <v>18</v>
      </c>
      <c r="P104" s="40">
        <f t="shared" ref="P104:T104" si="94">H104/H$110</f>
        <v>0.08267716535</v>
      </c>
      <c r="Q104" s="40">
        <f t="shared" si="94"/>
        <v>0.05217391304</v>
      </c>
      <c r="R104" s="40">
        <f t="shared" si="94"/>
        <v>0</v>
      </c>
      <c r="S104" s="40">
        <f t="shared" si="94"/>
        <v>0</v>
      </c>
      <c r="T104" s="40">
        <f t="shared" si="94"/>
        <v>0</v>
      </c>
    </row>
    <row r="105" ht="15.75" customHeight="1">
      <c r="A105" s="16" t="s">
        <v>111</v>
      </c>
      <c r="F105" s="24"/>
      <c r="G105" s="19">
        <f>$G$27</f>
        <v>19</v>
      </c>
      <c r="H105" s="20">
        <v>13.0</v>
      </c>
      <c r="I105" s="20">
        <v>7.0</v>
      </c>
      <c r="J105" s="20">
        <v>0.0</v>
      </c>
      <c r="K105" s="20">
        <v>0.0</v>
      </c>
      <c r="L105" s="20">
        <v>0.0</v>
      </c>
      <c r="N105" s="24"/>
      <c r="O105" s="19">
        <f>$G$27</f>
        <v>19</v>
      </c>
      <c r="P105" s="40">
        <f t="shared" ref="P105:T105" si="95">H105/H$110</f>
        <v>0.05118110236</v>
      </c>
      <c r="Q105" s="40">
        <f t="shared" si="95"/>
        <v>0.06086956522</v>
      </c>
      <c r="R105" s="40">
        <f t="shared" si="95"/>
        <v>0</v>
      </c>
      <c r="S105" s="40">
        <f t="shared" si="95"/>
        <v>0</v>
      </c>
      <c r="T105" s="40">
        <f t="shared" si="95"/>
        <v>0</v>
      </c>
    </row>
    <row r="106" ht="15.75" customHeight="1">
      <c r="A106" s="16" t="s">
        <v>112</v>
      </c>
      <c r="F106" s="24"/>
      <c r="G106" s="19">
        <f>$G$28</f>
        <v>20</v>
      </c>
      <c r="H106" s="20">
        <v>9.0</v>
      </c>
      <c r="I106" s="20">
        <v>8.0</v>
      </c>
      <c r="J106" s="20">
        <v>0.0</v>
      </c>
      <c r="K106" s="20">
        <v>0.0</v>
      </c>
      <c r="L106" s="20">
        <v>0.0</v>
      </c>
      <c r="N106" s="24"/>
      <c r="O106" s="19">
        <f>$G$28</f>
        <v>20</v>
      </c>
      <c r="P106" s="40">
        <f t="shared" ref="P106:T106" si="96">H106/H$110</f>
        <v>0.03543307087</v>
      </c>
      <c r="Q106" s="40">
        <f t="shared" si="96"/>
        <v>0.06956521739</v>
      </c>
      <c r="R106" s="40">
        <f t="shared" si="96"/>
        <v>0</v>
      </c>
      <c r="S106" s="40">
        <f t="shared" si="96"/>
        <v>0</v>
      </c>
      <c r="T106" s="40">
        <f t="shared" si="96"/>
        <v>0</v>
      </c>
    </row>
    <row r="107" ht="15.75" customHeight="1">
      <c r="A107" s="16" t="s">
        <v>68</v>
      </c>
      <c r="F107" s="24"/>
      <c r="G107" s="19">
        <f>$G$29</f>
        <v>21</v>
      </c>
      <c r="H107" s="20">
        <v>9.0</v>
      </c>
      <c r="I107" s="20">
        <v>1.0</v>
      </c>
      <c r="J107" s="20">
        <v>0.0</v>
      </c>
      <c r="K107" s="20">
        <v>0.0</v>
      </c>
      <c r="L107" s="20">
        <v>0.0</v>
      </c>
      <c r="N107" s="24"/>
      <c r="O107" s="19">
        <f>$G$29</f>
        <v>21</v>
      </c>
      <c r="P107" s="40">
        <f t="shared" ref="P107:T107" si="97">H107/H$110</f>
        <v>0.03543307087</v>
      </c>
      <c r="Q107" s="40">
        <f t="shared" si="97"/>
        <v>0.008695652174</v>
      </c>
      <c r="R107" s="40">
        <f t="shared" si="97"/>
        <v>0</v>
      </c>
      <c r="S107" s="40">
        <f t="shared" si="97"/>
        <v>0</v>
      </c>
      <c r="T107" s="40">
        <f t="shared" si="97"/>
        <v>0</v>
      </c>
    </row>
    <row r="108" ht="15.75" customHeight="1">
      <c r="A108" s="16" t="s">
        <v>113</v>
      </c>
      <c r="F108" s="24"/>
      <c r="G108" s="19">
        <f>$G$30</f>
        <v>22</v>
      </c>
      <c r="H108" s="20">
        <v>6.0</v>
      </c>
      <c r="I108" s="20">
        <v>1.0</v>
      </c>
      <c r="J108" s="20">
        <v>0.0</v>
      </c>
      <c r="K108" s="20">
        <v>0.0</v>
      </c>
      <c r="L108" s="20">
        <v>0.0</v>
      </c>
      <c r="N108" s="24"/>
      <c r="O108" s="19">
        <f>$G$30</f>
        <v>22</v>
      </c>
      <c r="P108" s="40">
        <f t="shared" ref="P108:T108" si="98">H108/H$110</f>
        <v>0.02362204724</v>
      </c>
      <c r="Q108" s="40">
        <f t="shared" si="98"/>
        <v>0.008695652174</v>
      </c>
      <c r="R108" s="40">
        <f t="shared" si="98"/>
        <v>0</v>
      </c>
      <c r="S108" s="40">
        <f t="shared" si="98"/>
        <v>0</v>
      </c>
      <c r="T108" s="40">
        <f t="shared" si="98"/>
        <v>0</v>
      </c>
    </row>
    <row r="109" ht="15.75" customHeight="1">
      <c r="F109" s="28"/>
      <c r="G109" s="19">
        <f>$G$31</f>
        <v>23</v>
      </c>
      <c r="H109" s="20">
        <v>5.0</v>
      </c>
      <c r="I109" s="20">
        <v>1.0</v>
      </c>
      <c r="J109" s="20">
        <v>0.0</v>
      </c>
      <c r="K109" s="20">
        <v>0.0</v>
      </c>
      <c r="L109" s="20">
        <v>0.0</v>
      </c>
      <c r="N109" s="28"/>
      <c r="O109" s="19">
        <f>$G$31</f>
        <v>23</v>
      </c>
      <c r="P109" s="40">
        <f t="shared" ref="P109:T109" si="99">H109/H$110</f>
        <v>0.01968503937</v>
      </c>
      <c r="Q109" s="40">
        <f t="shared" si="99"/>
        <v>0.008695652174</v>
      </c>
      <c r="R109" s="40">
        <f t="shared" si="99"/>
        <v>0</v>
      </c>
      <c r="S109" s="40">
        <f t="shared" si="99"/>
        <v>0</v>
      </c>
      <c r="T109" s="40">
        <f t="shared" si="99"/>
        <v>0</v>
      </c>
    </row>
    <row r="110" ht="15.75" customHeight="1">
      <c r="F110" s="111"/>
      <c r="G110" s="112"/>
      <c r="H110" s="26">
        <f t="shared" ref="H110:L110" si="100">SUM(H86:H109)</f>
        <v>254</v>
      </c>
      <c r="I110" s="26">
        <f t="shared" si="100"/>
        <v>115</v>
      </c>
      <c r="J110" s="26">
        <f t="shared" si="100"/>
        <v>1</v>
      </c>
      <c r="K110" s="26">
        <f t="shared" si="100"/>
        <v>10</v>
      </c>
      <c r="L110" s="26">
        <f t="shared" si="100"/>
        <v>15</v>
      </c>
    </row>
    <row r="111" ht="15.75" customHeight="1">
      <c r="G111" s="16"/>
      <c r="H111" s="17">
        <f>$H$7</f>
        <v>31</v>
      </c>
      <c r="I111" s="17">
        <f>$I$7</f>
        <v>32</v>
      </c>
      <c r="J111" s="17">
        <f>$J$7</f>
        <v>41</v>
      </c>
      <c r="K111" s="17">
        <f>$K$7</f>
        <v>42</v>
      </c>
      <c r="L111" s="17">
        <f>$L$7</f>
        <v>5</v>
      </c>
      <c r="O111" s="16"/>
      <c r="P111" s="17">
        <f>$H$7</f>
        <v>31</v>
      </c>
      <c r="Q111" s="17">
        <f>$I$7</f>
        <v>32</v>
      </c>
      <c r="R111" s="17">
        <f>$J$7</f>
        <v>41</v>
      </c>
      <c r="S111" s="17">
        <f>$K$7</f>
        <v>42</v>
      </c>
      <c r="T111" s="17">
        <f>$L$7</f>
        <v>5</v>
      </c>
    </row>
    <row r="112" ht="15.75" customHeight="1">
      <c r="A112" s="16" t="s">
        <v>114</v>
      </c>
      <c r="F112" s="56">
        <v>45211.0</v>
      </c>
      <c r="G112" s="19">
        <f>$G$8</f>
        <v>0</v>
      </c>
      <c r="H112" s="20">
        <v>4.0</v>
      </c>
      <c r="I112" s="20">
        <v>0.0</v>
      </c>
      <c r="J112" s="20">
        <v>0.0</v>
      </c>
      <c r="K112" s="20">
        <v>0.0</v>
      </c>
      <c r="L112" s="20">
        <v>0.0</v>
      </c>
      <c r="N112" s="56">
        <v>45211.0</v>
      </c>
      <c r="O112" s="19">
        <f>$G$8</f>
        <v>0</v>
      </c>
      <c r="P112" s="40">
        <f t="shared" ref="P112:T112" si="101">H112/H$136</f>
        <v>0.01515151515</v>
      </c>
      <c r="Q112" s="40">
        <f t="shared" si="101"/>
        <v>0</v>
      </c>
      <c r="R112" s="40">
        <f t="shared" si="101"/>
        <v>0</v>
      </c>
      <c r="S112" s="40">
        <f t="shared" si="101"/>
        <v>0</v>
      </c>
      <c r="T112" s="40">
        <f t="shared" si="101"/>
        <v>0</v>
      </c>
    </row>
    <row r="113" ht="15.75" customHeight="1">
      <c r="A113" s="16" t="s">
        <v>70</v>
      </c>
      <c r="F113" s="24"/>
      <c r="G113" s="19">
        <f>$G$9</f>
        <v>1</v>
      </c>
      <c r="H113" s="20">
        <v>2.0</v>
      </c>
      <c r="I113" s="20">
        <v>0.0</v>
      </c>
      <c r="J113" s="20">
        <v>0.0</v>
      </c>
      <c r="K113" s="20">
        <v>0.0</v>
      </c>
      <c r="L113" s="20">
        <v>0.0</v>
      </c>
      <c r="N113" s="24"/>
      <c r="O113" s="19">
        <f>$G$9</f>
        <v>1</v>
      </c>
      <c r="P113" s="40">
        <f t="shared" ref="P113:T113" si="102">H113/H$136</f>
        <v>0.007575757576</v>
      </c>
      <c r="Q113" s="40">
        <f t="shared" si="102"/>
        <v>0</v>
      </c>
      <c r="R113" s="40">
        <f t="shared" si="102"/>
        <v>0</v>
      </c>
      <c r="S113" s="40">
        <f t="shared" si="102"/>
        <v>0</v>
      </c>
      <c r="T113" s="40">
        <f t="shared" si="102"/>
        <v>0</v>
      </c>
    </row>
    <row r="114" ht="15.75" customHeight="1">
      <c r="A114" s="16" t="s">
        <v>94</v>
      </c>
      <c r="F114" s="24"/>
      <c r="G114" s="19">
        <f>$G$10</f>
        <v>2</v>
      </c>
      <c r="H114" s="16">
        <v>1.0</v>
      </c>
      <c r="I114" s="16">
        <v>0.0</v>
      </c>
      <c r="J114" s="16">
        <v>0.0</v>
      </c>
      <c r="K114" s="16">
        <v>0.0</v>
      </c>
      <c r="L114" s="16">
        <v>0.0</v>
      </c>
      <c r="N114" s="24"/>
      <c r="O114" s="19">
        <f>$G$10</f>
        <v>2</v>
      </c>
      <c r="P114" s="40">
        <f t="shared" ref="P114:T114" si="103">H114/H$136</f>
        <v>0.003787878788</v>
      </c>
      <c r="Q114" s="40">
        <f t="shared" si="103"/>
        <v>0</v>
      </c>
      <c r="R114" s="40">
        <f t="shared" si="103"/>
        <v>0</v>
      </c>
      <c r="S114" s="40">
        <f t="shared" si="103"/>
        <v>0</v>
      </c>
      <c r="T114" s="40">
        <f t="shared" si="103"/>
        <v>0</v>
      </c>
    </row>
    <row r="115" ht="15.75" customHeight="1">
      <c r="A115" s="16" t="s">
        <v>69</v>
      </c>
      <c r="F115" s="24"/>
      <c r="G115" s="19">
        <f>$G$11</f>
        <v>3</v>
      </c>
      <c r="H115" s="20">
        <v>2.0</v>
      </c>
      <c r="I115" s="20">
        <v>1.0</v>
      </c>
      <c r="J115" s="20">
        <v>0.0</v>
      </c>
      <c r="K115" s="20">
        <v>0.0</v>
      </c>
      <c r="L115" s="20">
        <v>0.0</v>
      </c>
      <c r="N115" s="24"/>
      <c r="O115" s="19">
        <f>$G$11</f>
        <v>3</v>
      </c>
      <c r="P115" s="40">
        <f t="shared" ref="P115:T115" si="104">H115/H$136</f>
        <v>0.007575757576</v>
      </c>
      <c r="Q115" s="40">
        <f t="shared" si="104"/>
        <v>0.01075268817</v>
      </c>
      <c r="R115" s="40">
        <f t="shared" si="104"/>
        <v>0</v>
      </c>
      <c r="S115" s="40">
        <f t="shared" si="104"/>
        <v>0</v>
      </c>
      <c r="T115" s="40">
        <f t="shared" si="104"/>
        <v>0</v>
      </c>
    </row>
    <row r="116" ht="15.75" customHeight="1">
      <c r="A116" s="16" t="s">
        <v>115</v>
      </c>
      <c r="F116" s="24"/>
      <c r="G116" s="19">
        <f>$G$12</f>
        <v>4</v>
      </c>
      <c r="H116" s="20">
        <v>4.0</v>
      </c>
      <c r="I116" s="20">
        <v>3.0</v>
      </c>
      <c r="J116" s="20">
        <v>0.0</v>
      </c>
      <c r="K116" s="20">
        <v>1.0</v>
      </c>
      <c r="L116" s="20">
        <v>0.0</v>
      </c>
      <c r="N116" s="24"/>
      <c r="O116" s="19">
        <f>$G$12</f>
        <v>4</v>
      </c>
      <c r="P116" s="40">
        <f t="shared" ref="P116:T116" si="105">H116/H$136</f>
        <v>0.01515151515</v>
      </c>
      <c r="Q116" s="40">
        <f t="shared" si="105"/>
        <v>0.03225806452</v>
      </c>
      <c r="R116" s="40">
        <f t="shared" si="105"/>
        <v>0</v>
      </c>
      <c r="S116" s="40">
        <f t="shared" si="105"/>
        <v>0.08333333333</v>
      </c>
      <c r="T116" s="40">
        <f t="shared" si="105"/>
        <v>0</v>
      </c>
    </row>
    <row r="117" ht="15.75" customHeight="1">
      <c r="A117" s="16" t="s">
        <v>116</v>
      </c>
      <c r="F117" s="24"/>
      <c r="G117" s="19">
        <f>$G$13</f>
        <v>5</v>
      </c>
      <c r="H117" s="20">
        <v>4.0</v>
      </c>
      <c r="I117" s="20">
        <v>1.0</v>
      </c>
      <c r="J117" s="20">
        <v>0.0</v>
      </c>
      <c r="K117" s="20">
        <v>1.0</v>
      </c>
      <c r="L117" s="20">
        <v>0.0</v>
      </c>
      <c r="N117" s="24"/>
      <c r="O117" s="19">
        <f>$G$13</f>
        <v>5</v>
      </c>
      <c r="P117" s="40">
        <f t="shared" ref="P117:T117" si="106">H117/H$136</f>
        <v>0.01515151515</v>
      </c>
      <c r="Q117" s="40">
        <f t="shared" si="106"/>
        <v>0.01075268817</v>
      </c>
      <c r="R117" s="40">
        <f t="shared" si="106"/>
        <v>0</v>
      </c>
      <c r="S117" s="40">
        <f t="shared" si="106"/>
        <v>0.08333333333</v>
      </c>
      <c r="T117" s="40">
        <f t="shared" si="106"/>
        <v>0</v>
      </c>
    </row>
    <row r="118" ht="15.75" customHeight="1">
      <c r="A118" s="16" t="s">
        <v>117</v>
      </c>
      <c r="F118" s="24"/>
      <c r="G118" s="19">
        <f>$G$14</f>
        <v>6</v>
      </c>
      <c r="H118" s="20">
        <v>2.0</v>
      </c>
      <c r="I118" s="20">
        <v>3.0</v>
      </c>
      <c r="J118" s="20">
        <v>1.0</v>
      </c>
      <c r="K118" s="20">
        <v>0.0</v>
      </c>
      <c r="L118" s="20">
        <v>0.0</v>
      </c>
      <c r="N118" s="24"/>
      <c r="O118" s="19">
        <f>$G$14</f>
        <v>6</v>
      </c>
      <c r="P118" s="40">
        <f t="shared" ref="P118:T118" si="107">H118/H$136</f>
        <v>0.007575757576</v>
      </c>
      <c r="Q118" s="40">
        <f t="shared" si="107"/>
        <v>0.03225806452</v>
      </c>
      <c r="R118" s="40">
        <f t="shared" si="107"/>
        <v>0.3333333333</v>
      </c>
      <c r="S118" s="40">
        <f t="shared" si="107"/>
        <v>0</v>
      </c>
      <c r="T118" s="40">
        <f t="shared" si="107"/>
        <v>0</v>
      </c>
    </row>
    <row r="119" ht="15.75" customHeight="1">
      <c r="A119" s="16" t="s">
        <v>118</v>
      </c>
      <c r="F119" s="24"/>
      <c r="G119" s="19">
        <f>$G$15</f>
        <v>7</v>
      </c>
      <c r="H119" s="20">
        <v>28.0</v>
      </c>
      <c r="I119" s="20">
        <v>4.0</v>
      </c>
      <c r="J119" s="20">
        <v>0.0</v>
      </c>
      <c r="K119" s="20">
        <v>1.0</v>
      </c>
      <c r="L119" s="20">
        <v>2.0</v>
      </c>
      <c r="N119" s="24"/>
      <c r="O119" s="19">
        <f>$G$15</f>
        <v>7</v>
      </c>
      <c r="P119" s="40">
        <f t="shared" ref="P119:T119" si="108">H119/H$136</f>
        <v>0.1060606061</v>
      </c>
      <c r="Q119" s="40">
        <f t="shared" si="108"/>
        <v>0.04301075269</v>
      </c>
      <c r="R119" s="40">
        <f t="shared" si="108"/>
        <v>0</v>
      </c>
      <c r="S119" s="40">
        <f t="shared" si="108"/>
        <v>0.08333333333</v>
      </c>
      <c r="T119" s="40">
        <f t="shared" si="108"/>
        <v>0.08695652174</v>
      </c>
    </row>
    <row r="120" ht="15.75" customHeight="1">
      <c r="A120" s="16" t="s">
        <v>119</v>
      </c>
      <c r="F120" s="24"/>
      <c r="G120" s="19">
        <f>$G$16</f>
        <v>8</v>
      </c>
      <c r="H120" s="20">
        <v>14.0</v>
      </c>
      <c r="I120" s="20">
        <v>9.0</v>
      </c>
      <c r="J120" s="20">
        <v>0.0</v>
      </c>
      <c r="K120" s="20">
        <v>2.0</v>
      </c>
      <c r="L120" s="20">
        <v>0.0</v>
      </c>
      <c r="N120" s="24"/>
      <c r="O120" s="19">
        <f>$G$16</f>
        <v>8</v>
      </c>
      <c r="P120" s="40">
        <f t="shared" ref="P120:T120" si="109">H120/H$136</f>
        <v>0.05303030303</v>
      </c>
      <c r="Q120" s="40">
        <f t="shared" si="109"/>
        <v>0.09677419355</v>
      </c>
      <c r="R120" s="40">
        <f t="shared" si="109"/>
        <v>0</v>
      </c>
      <c r="S120" s="40">
        <f t="shared" si="109"/>
        <v>0.1666666667</v>
      </c>
      <c r="T120" s="40">
        <f t="shared" si="109"/>
        <v>0</v>
      </c>
    </row>
    <row r="121" ht="15.75" customHeight="1">
      <c r="A121" s="16" t="s">
        <v>120</v>
      </c>
      <c r="F121" s="24"/>
      <c r="G121" s="19">
        <f>$G$17</f>
        <v>9</v>
      </c>
      <c r="H121" s="20">
        <v>11.0</v>
      </c>
      <c r="I121" s="20">
        <v>8.0</v>
      </c>
      <c r="J121" s="20">
        <v>0.0</v>
      </c>
      <c r="K121" s="20">
        <v>1.0</v>
      </c>
      <c r="L121" s="20">
        <v>4.0</v>
      </c>
      <c r="N121" s="24"/>
      <c r="O121" s="19">
        <f>$G$17</f>
        <v>9</v>
      </c>
      <c r="P121" s="40">
        <f t="shared" ref="P121:T121" si="110">H121/H$136</f>
        <v>0.04166666667</v>
      </c>
      <c r="Q121" s="40">
        <f t="shared" si="110"/>
        <v>0.08602150538</v>
      </c>
      <c r="R121" s="40">
        <f t="shared" si="110"/>
        <v>0</v>
      </c>
      <c r="S121" s="40">
        <f t="shared" si="110"/>
        <v>0.08333333333</v>
      </c>
      <c r="T121" s="40">
        <f t="shared" si="110"/>
        <v>0.1739130435</v>
      </c>
    </row>
    <row r="122" ht="15.75" customHeight="1">
      <c r="A122" s="16" t="s">
        <v>121</v>
      </c>
      <c r="F122" s="24"/>
      <c r="G122" s="19">
        <f>$G$18</f>
        <v>10</v>
      </c>
      <c r="H122" s="20">
        <v>10.0</v>
      </c>
      <c r="I122" s="20">
        <v>4.0</v>
      </c>
      <c r="J122" s="20">
        <v>0.0</v>
      </c>
      <c r="K122" s="20">
        <v>2.0</v>
      </c>
      <c r="L122" s="20">
        <v>3.0</v>
      </c>
      <c r="N122" s="24"/>
      <c r="O122" s="19">
        <f>$G$18</f>
        <v>10</v>
      </c>
      <c r="P122" s="40">
        <f t="shared" ref="P122:T122" si="111">H122/H$136</f>
        <v>0.03787878788</v>
      </c>
      <c r="Q122" s="40">
        <f t="shared" si="111"/>
        <v>0.04301075269</v>
      </c>
      <c r="R122" s="40">
        <f t="shared" si="111"/>
        <v>0</v>
      </c>
      <c r="S122" s="40">
        <f t="shared" si="111"/>
        <v>0.1666666667</v>
      </c>
      <c r="T122" s="40">
        <f t="shared" si="111"/>
        <v>0.1304347826</v>
      </c>
    </row>
    <row r="123" ht="15.75" customHeight="1">
      <c r="A123" s="16" t="s">
        <v>122</v>
      </c>
      <c r="F123" s="24"/>
      <c r="G123" s="19">
        <f>$G$19</f>
        <v>11</v>
      </c>
      <c r="H123" s="20">
        <v>12.0</v>
      </c>
      <c r="I123" s="20">
        <v>4.0</v>
      </c>
      <c r="J123" s="20">
        <v>0.0</v>
      </c>
      <c r="K123" s="20">
        <v>1.0</v>
      </c>
      <c r="L123" s="20">
        <v>4.0</v>
      </c>
      <c r="N123" s="24"/>
      <c r="O123" s="19">
        <f>$G$19</f>
        <v>11</v>
      </c>
      <c r="P123" s="40">
        <f t="shared" ref="P123:T123" si="112">H123/H$136</f>
        <v>0.04545454545</v>
      </c>
      <c r="Q123" s="40">
        <f t="shared" si="112"/>
        <v>0.04301075269</v>
      </c>
      <c r="R123" s="40">
        <f t="shared" si="112"/>
        <v>0</v>
      </c>
      <c r="S123" s="40">
        <f t="shared" si="112"/>
        <v>0.08333333333</v>
      </c>
      <c r="T123" s="40">
        <f t="shared" si="112"/>
        <v>0.1739130435</v>
      </c>
    </row>
    <row r="124" ht="15.75" customHeight="1">
      <c r="A124" s="16" t="s">
        <v>123</v>
      </c>
      <c r="F124" s="24"/>
      <c r="G124" s="19">
        <f>$G$20</f>
        <v>12</v>
      </c>
      <c r="H124" s="20">
        <v>13.0</v>
      </c>
      <c r="I124" s="20">
        <v>5.0</v>
      </c>
      <c r="J124" s="20">
        <v>0.0</v>
      </c>
      <c r="K124" s="20">
        <v>2.0</v>
      </c>
      <c r="L124" s="20">
        <v>2.0</v>
      </c>
      <c r="N124" s="24"/>
      <c r="O124" s="19">
        <f>$G$20</f>
        <v>12</v>
      </c>
      <c r="P124" s="40">
        <f t="shared" ref="P124:T124" si="113">H124/H$136</f>
        <v>0.04924242424</v>
      </c>
      <c r="Q124" s="40">
        <f t="shared" si="113"/>
        <v>0.05376344086</v>
      </c>
      <c r="R124" s="40">
        <f t="shared" si="113"/>
        <v>0</v>
      </c>
      <c r="S124" s="40">
        <f t="shared" si="113"/>
        <v>0.1666666667</v>
      </c>
      <c r="T124" s="40">
        <f t="shared" si="113"/>
        <v>0.08695652174</v>
      </c>
    </row>
    <row r="125" ht="15.75" customHeight="1">
      <c r="A125" s="16" t="s">
        <v>124</v>
      </c>
      <c r="F125" s="24"/>
      <c r="G125" s="19">
        <f>$G$21</f>
        <v>13</v>
      </c>
      <c r="H125" s="20">
        <v>12.0</v>
      </c>
      <c r="I125" s="20">
        <v>1.0</v>
      </c>
      <c r="J125" s="20">
        <v>0.0</v>
      </c>
      <c r="K125" s="20">
        <v>0.0</v>
      </c>
      <c r="L125" s="20">
        <v>3.0</v>
      </c>
      <c r="N125" s="24"/>
      <c r="O125" s="19">
        <f>$G$21</f>
        <v>13</v>
      </c>
      <c r="P125" s="40">
        <f t="shared" ref="P125:T125" si="114">H125/H$136</f>
        <v>0.04545454545</v>
      </c>
      <c r="Q125" s="40">
        <f t="shared" si="114"/>
        <v>0.01075268817</v>
      </c>
      <c r="R125" s="40">
        <f t="shared" si="114"/>
        <v>0</v>
      </c>
      <c r="S125" s="40">
        <f t="shared" si="114"/>
        <v>0</v>
      </c>
      <c r="T125" s="40">
        <f t="shared" si="114"/>
        <v>0.1304347826</v>
      </c>
    </row>
    <row r="126" ht="15.75" customHeight="1">
      <c r="A126" s="16" t="s">
        <v>125</v>
      </c>
      <c r="F126" s="24"/>
      <c r="G126" s="19">
        <f>$G$22</f>
        <v>14</v>
      </c>
      <c r="H126" s="20">
        <v>10.0</v>
      </c>
      <c r="I126" s="20">
        <v>8.0</v>
      </c>
      <c r="J126" s="20">
        <v>0.0</v>
      </c>
      <c r="K126" s="20">
        <v>0.0</v>
      </c>
      <c r="L126" s="20">
        <v>2.0</v>
      </c>
      <c r="N126" s="24"/>
      <c r="O126" s="19">
        <f>$G$22</f>
        <v>14</v>
      </c>
      <c r="P126" s="40">
        <f t="shared" ref="P126:T126" si="115">H126/H$136</f>
        <v>0.03787878788</v>
      </c>
      <c r="Q126" s="40">
        <f t="shared" si="115"/>
        <v>0.08602150538</v>
      </c>
      <c r="R126" s="40">
        <f t="shared" si="115"/>
        <v>0</v>
      </c>
      <c r="S126" s="40">
        <f t="shared" si="115"/>
        <v>0</v>
      </c>
      <c r="T126" s="40">
        <f t="shared" si="115"/>
        <v>0.08695652174</v>
      </c>
    </row>
    <row r="127" ht="15.75" customHeight="1">
      <c r="A127" s="16" t="s">
        <v>126</v>
      </c>
      <c r="F127" s="24"/>
      <c r="G127" s="19">
        <f>$G$23</f>
        <v>15</v>
      </c>
      <c r="H127" s="20">
        <v>15.0</v>
      </c>
      <c r="I127" s="20">
        <v>6.0</v>
      </c>
      <c r="J127" s="20">
        <v>0.0</v>
      </c>
      <c r="K127" s="20">
        <v>0.0</v>
      </c>
      <c r="L127" s="20">
        <v>1.0</v>
      </c>
      <c r="N127" s="24"/>
      <c r="O127" s="19">
        <f>$G$23</f>
        <v>15</v>
      </c>
      <c r="P127" s="40">
        <f t="shared" ref="P127:T127" si="116">H127/H$136</f>
        <v>0.05681818182</v>
      </c>
      <c r="Q127" s="40">
        <f t="shared" si="116"/>
        <v>0.06451612903</v>
      </c>
      <c r="R127" s="40">
        <f t="shared" si="116"/>
        <v>0</v>
      </c>
      <c r="S127" s="40">
        <f t="shared" si="116"/>
        <v>0</v>
      </c>
      <c r="T127" s="40">
        <f t="shared" si="116"/>
        <v>0.04347826087</v>
      </c>
    </row>
    <row r="128" ht="15.75" customHeight="1">
      <c r="A128" s="16" t="s">
        <v>127</v>
      </c>
      <c r="F128" s="24"/>
      <c r="G128" s="19">
        <f>$G$24</f>
        <v>16</v>
      </c>
      <c r="H128" s="20">
        <v>19.0</v>
      </c>
      <c r="I128" s="20">
        <v>14.0</v>
      </c>
      <c r="J128" s="20">
        <v>1.0</v>
      </c>
      <c r="K128" s="20">
        <v>0.0</v>
      </c>
      <c r="L128" s="20">
        <v>1.0</v>
      </c>
      <c r="N128" s="24"/>
      <c r="O128" s="19">
        <f>$G$24</f>
        <v>16</v>
      </c>
      <c r="P128" s="40">
        <f t="shared" ref="P128:T128" si="117">H128/H$136</f>
        <v>0.07196969697</v>
      </c>
      <c r="Q128" s="40">
        <f t="shared" si="117"/>
        <v>0.1505376344</v>
      </c>
      <c r="R128" s="40">
        <f t="shared" si="117"/>
        <v>0.3333333333</v>
      </c>
      <c r="S128" s="40">
        <f t="shared" si="117"/>
        <v>0</v>
      </c>
      <c r="T128" s="40">
        <f t="shared" si="117"/>
        <v>0.04347826087</v>
      </c>
    </row>
    <row r="129" ht="15.75" customHeight="1">
      <c r="A129" s="16" t="s">
        <v>128</v>
      </c>
      <c r="F129" s="24"/>
      <c r="G129" s="19">
        <f>$G$25</f>
        <v>17</v>
      </c>
      <c r="H129" s="20">
        <v>32.0</v>
      </c>
      <c r="I129" s="20">
        <v>8.0</v>
      </c>
      <c r="J129" s="20">
        <v>1.0</v>
      </c>
      <c r="K129" s="20">
        <v>0.0</v>
      </c>
      <c r="L129" s="20">
        <v>1.0</v>
      </c>
      <c r="N129" s="24"/>
      <c r="O129" s="19">
        <f>$G$25</f>
        <v>17</v>
      </c>
      <c r="P129" s="40">
        <f t="shared" ref="P129:T129" si="118">H129/H$136</f>
        <v>0.1212121212</v>
      </c>
      <c r="Q129" s="40">
        <f t="shared" si="118"/>
        <v>0.08602150538</v>
      </c>
      <c r="R129" s="40">
        <f t="shared" si="118"/>
        <v>0.3333333333</v>
      </c>
      <c r="S129" s="40">
        <f t="shared" si="118"/>
        <v>0</v>
      </c>
      <c r="T129" s="40">
        <f t="shared" si="118"/>
        <v>0.04347826087</v>
      </c>
    </row>
    <row r="130" ht="15.75" customHeight="1">
      <c r="A130" s="16" t="s">
        <v>129</v>
      </c>
      <c r="F130" s="24"/>
      <c r="G130" s="19">
        <f>$G$26</f>
        <v>18</v>
      </c>
      <c r="H130" s="20">
        <v>20.0</v>
      </c>
      <c r="I130" s="20">
        <v>2.0</v>
      </c>
      <c r="J130" s="20">
        <v>0.0</v>
      </c>
      <c r="K130" s="20">
        <v>1.0</v>
      </c>
      <c r="L130" s="20">
        <v>0.0</v>
      </c>
      <c r="N130" s="24"/>
      <c r="O130" s="19">
        <f>$G$26</f>
        <v>18</v>
      </c>
      <c r="P130" s="40">
        <f t="shared" ref="P130:T130" si="119">H130/H$136</f>
        <v>0.07575757576</v>
      </c>
      <c r="Q130" s="40">
        <f t="shared" si="119"/>
        <v>0.02150537634</v>
      </c>
      <c r="R130" s="40">
        <f t="shared" si="119"/>
        <v>0</v>
      </c>
      <c r="S130" s="40">
        <f t="shared" si="119"/>
        <v>0.08333333333</v>
      </c>
      <c r="T130" s="40">
        <f t="shared" si="119"/>
        <v>0</v>
      </c>
    </row>
    <row r="131" ht="15.75" customHeight="1">
      <c r="A131" s="16" t="s">
        <v>130</v>
      </c>
      <c r="F131" s="24"/>
      <c r="G131" s="19">
        <f>$G$27</f>
        <v>19</v>
      </c>
      <c r="H131" s="20">
        <v>13.0</v>
      </c>
      <c r="I131" s="20">
        <v>5.0</v>
      </c>
      <c r="J131" s="20">
        <v>0.0</v>
      </c>
      <c r="K131" s="20">
        <v>0.0</v>
      </c>
      <c r="L131" s="20">
        <v>0.0</v>
      </c>
      <c r="N131" s="24"/>
      <c r="O131" s="19">
        <f>$G$27</f>
        <v>19</v>
      </c>
      <c r="P131" s="40">
        <f t="shared" ref="P131:T131" si="120">H131/H$136</f>
        <v>0.04924242424</v>
      </c>
      <c r="Q131" s="40">
        <f t="shared" si="120"/>
        <v>0.05376344086</v>
      </c>
      <c r="R131" s="40">
        <f t="shared" si="120"/>
        <v>0</v>
      </c>
      <c r="S131" s="40">
        <f t="shared" si="120"/>
        <v>0</v>
      </c>
      <c r="T131" s="40">
        <f t="shared" si="120"/>
        <v>0</v>
      </c>
    </row>
    <row r="132" ht="15.75" customHeight="1">
      <c r="A132" s="16" t="s">
        <v>131</v>
      </c>
      <c r="F132" s="24"/>
      <c r="G132" s="19">
        <f>$G$28</f>
        <v>20</v>
      </c>
      <c r="H132" s="20">
        <v>13.0</v>
      </c>
      <c r="I132" s="20">
        <v>3.0</v>
      </c>
      <c r="J132" s="20">
        <v>0.0</v>
      </c>
      <c r="K132" s="20">
        <v>0.0</v>
      </c>
      <c r="L132" s="20">
        <v>0.0</v>
      </c>
      <c r="N132" s="24"/>
      <c r="O132" s="19">
        <f>$G$28</f>
        <v>20</v>
      </c>
      <c r="P132" s="40">
        <f t="shared" ref="P132:T132" si="121">H132/H$136</f>
        <v>0.04924242424</v>
      </c>
      <c r="Q132" s="40">
        <f t="shared" si="121"/>
        <v>0.03225806452</v>
      </c>
      <c r="R132" s="40">
        <f t="shared" si="121"/>
        <v>0</v>
      </c>
      <c r="S132" s="40">
        <f t="shared" si="121"/>
        <v>0</v>
      </c>
      <c r="T132" s="40">
        <f t="shared" si="121"/>
        <v>0</v>
      </c>
    </row>
    <row r="133" ht="15.75" customHeight="1">
      <c r="A133" s="16" t="s">
        <v>74</v>
      </c>
      <c r="F133" s="24"/>
      <c r="G133" s="19">
        <f>$G$29</f>
        <v>21</v>
      </c>
      <c r="H133" s="20">
        <v>5.0</v>
      </c>
      <c r="I133" s="20">
        <v>2.0</v>
      </c>
      <c r="J133" s="20">
        <v>0.0</v>
      </c>
      <c r="K133" s="20">
        <v>0.0</v>
      </c>
      <c r="L133" s="20">
        <v>0.0</v>
      </c>
      <c r="N133" s="24"/>
      <c r="O133" s="19">
        <f>$G$29</f>
        <v>21</v>
      </c>
      <c r="P133" s="40">
        <f t="shared" ref="P133:T133" si="122">H133/H$136</f>
        <v>0.01893939394</v>
      </c>
      <c r="Q133" s="40">
        <f t="shared" si="122"/>
        <v>0.02150537634</v>
      </c>
      <c r="R133" s="40">
        <f t="shared" si="122"/>
        <v>0</v>
      </c>
      <c r="S133" s="40">
        <f t="shared" si="122"/>
        <v>0</v>
      </c>
      <c r="T133" s="40">
        <f t="shared" si="122"/>
        <v>0</v>
      </c>
    </row>
    <row r="134" ht="15.75" customHeight="1">
      <c r="A134" s="16" t="s">
        <v>132</v>
      </c>
      <c r="F134" s="24"/>
      <c r="G134" s="19">
        <f>$G$30</f>
        <v>22</v>
      </c>
      <c r="H134" s="20">
        <v>12.0</v>
      </c>
      <c r="I134" s="20">
        <v>0.0</v>
      </c>
      <c r="J134" s="20">
        <v>0.0</v>
      </c>
      <c r="K134" s="20">
        <v>0.0</v>
      </c>
      <c r="L134" s="20">
        <v>0.0</v>
      </c>
      <c r="N134" s="24"/>
      <c r="O134" s="19">
        <f>$G$30</f>
        <v>22</v>
      </c>
      <c r="P134" s="40">
        <f t="shared" ref="P134:T134" si="123">H134/H$136</f>
        <v>0.04545454545</v>
      </c>
      <c r="Q134" s="40">
        <f t="shared" si="123"/>
        <v>0</v>
      </c>
      <c r="R134" s="40">
        <f t="shared" si="123"/>
        <v>0</v>
      </c>
      <c r="S134" s="40">
        <f t="shared" si="123"/>
        <v>0</v>
      </c>
      <c r="T134" s="40">
        <f t="shared" si="123"/>
        <v>0</v>
      </c>
    </row>
    <row r="135" ht="15.75" customHeight="1">
      <c r="A135" s="16" t="s">
        <v>133</v>
      </c>
      <c r="F135" s="28"/>
      <c r="G135" s="19">
        <f>$G$31</f>
        <v>23</v>
      </c>
      <c r="H135" s="20">
        <v>6.0</v>
      </c>
      <c r="I135" s="20">
        <v>2.0</v>
      </c>
      <c r="J135" s="20">
        <v>0.0</v>
      </c>
      <c r="K135" s="20">
        <v>0.0</v>
      </c>
      <c r="L135" s="20">
        <v>0.0</v>
      </c>
      <c r="N135" s="28"/>
      <c r="O135" s="19">
        <f>$G$31</f>
        <v>23</v>
      </c>
      <c r="P135" s="40">
        <f t="shared" ref="P135:T135" si="124">H135/H$136</f>
        <v>0.02272727273</v>
      </c>
      <c r="Q135" s="40">
        <f t="shared" si="124"/>
        <v>0.02150537634</v>
      </c>
      <c r="R135" s="40">
        <f t="shared" si="124"/>
        <v>0</v>
      </c>
      <c r="S135" s="40">
        <f t="shared" si="124"/>
        <v>0</v>
      </c>
      <c r="T135" s="40">
        <f t="shared" si="124"/>
        <v>0</v>
      </c>
    </row>
    <row r="136" ht="15.75" customHeight="1">
      <c r="F136" s="111"/>
      <c r="G136" s="112"/>
      <c r="H136" s="26">
        <f t="shared" ref="H136:L136" si="125">SUM(H112:H135)</f>
        <v>264</v>
      </c>
      <c r="I136" s="26">
        <f t="shared" si="125"/>
        <v>93</v>
      </c>
      <c r="J136" s="26">
        <f t="shared" si="125"/>
        <v>3</v>
      </c>
      <c r="K136" s="26">
        <f t="shared" si="125"/>
        <v>12</v>
      </c>
      <c r="L136" s="26">
        <f t="shared" si="125"/>
        <v>23</v>
      </c>
    </row>
    <row r="137" ht="15.75" customHeight="1">
      <c r="A137" s="16" t="s">
        <v>114</v>
      </c>
      <c r="G137" s="16"/>
      <c r="H137" s="17">
        <f>$H$7</f>
        <v>31</v>
      </c>
      <c r="I137" s="17">
        <f>$I$7</f>
        <v>32</v>
      </c>
      <c r="J137" s="17">
        <f>$J$7</f>
        <v>41</v>
      </c>
      <c r="K137" s="17">
        <f>$K$7</f>
        <v>42</v>
      </c>
      <c r="L137" s="17">
        <f>$L$7</f>
        <v>5</v>
      </c>
      <c r="O137" s="16"/>
      <c r="P137" s="17">
        <f>$H$7</f>
        <v>31</v>
      </c>
      <c r="Q137" s="17">
        <f>$I$7</f>
        <v>32</v>
      </c>
      <c r="R137" s="17">
        <f>$J$7</f>
        <v>41</v>
      </c>
      <c r="S137" s="17">
        <f>$K$7</f>
        <v>42</v>
      </c>
      <c r="T137" s="17">
        <f>$L$7</f>
        <v>5</v>
      </c>
    </row>
    <row r="138" ht="15.75" customHeight="1">
      <c r="A138" s="16" t="s">
        <v>70</v>
      </c>
      <c r="F138" s="56">
        <v>45212.0</v>
      </c>
      <c r="G138" s="19">
        <f>$G$8</f>
        <v>0</v>
      </c>
      <c r="H138" s="20">
        <v>4.0</v>
      </c>
      <c r="I138" s="20">
        <v>0.0</v>
      </c>
      <c r="J138" s="20">
        <v>0.0</v>
      </c>
      <c r="K138" s="20">
        <v>0.0</v>
      </c>
      <c r="L138" s="20">
        <v>0.0</v>
      </c>
      <c r="N138" s="56">
        <v>45212.0</v>
      </c>
      <c r="O138" s="19">
        <f>$G$8</f>
        <v>0</v>
      </c>
      <c r="P138" s="40">
        <f t="shared" ref="P138:T138" si="126">H138/H$162</f>
        <v>0.01515151515</v>
      </c>
      <c r="Q138" s="40">
        <f t="shared" si="126"/>
        <v>0</v>
      </c>
      <c r="R138" s="40">
        <f t="shared" si="126"/>
        <v>0</v>
      </c>
      <c r="S138" s="40">
        <f t="shared" si="126"/>
        <v>0</v>
      </c>
      <c r="T138" s="40">
        <f t="shared" si="126"/>
        <v>0</v>
      </c>
    </row>
    <row r="139" ht="15.75" customHeight="1">
      <c r="A139" s="16" t="s">
        <v>94</v>
      </c>
      <c r="F139" s="24"/>
      <c r="G139" s="19">
        <f>$G$9</f>
        <v>1</v>
      </c>
      <c r="H139" s="20">
        <v>2.0</v>
      </c>
      <c r="I139" s="20">
        <v>0.0</v>
      </c>
      <c r="J139" s="20">
        <v>0.0</v>
      </c>
      <c r="K139" s="20">
        <v>0.0</v>
      </c>
      <c r="L139" s="20">
        <v>0.0</v>
      </c>
      <c r="N139" s="24"/>
      <c r="O139" s="19">
        <f>$G$9</f>
        <v>1</v>
      </c>
      <c r="P139" s="40">
        <f t="shared" ref="P139:T139" si="127">H139/H$162</f>
        <v>0.007575757576</v>
      </c>
      <c r="Q139" s="40">
        <f t="shared" si="127"/>
        <v>0</v>
      </c>
      <c r="R139" s="40">
        <f t="shared" si="127"/>
        <v>0</v>
      </c>
      <c r="S139" s="40">
        <f t="shared" si="127"/>
        <v>0</v>
      </c>
      <c r="T139" s="40">
        <f t="shared" si="127"/>
        <v>0</v>
      </c>
    </row>
    <row r="140" ht="15.75" customHeight="1">
      <c r="A140" s="16" t="s">
        <v>69</v>
      </c>
      <c r="F140" s="24"/>
      <c r="G140" s="19">
        <f>$G$10</f>
        <v>2</v>
      </c>
      <c r="H140" s="16">
        <v>1.0</v>
      </c>
      <c r="I140" s="16">
        <v>0.0</v>
      </c>
      <c r="J140" s="16">
        <v>0.0</v>
      </c>
      <c r="K140" s="16">
        <v>0.0</v>
      </c>
      <c r="L140" s="16">
        <v>0.0</v>
      </c>
      <c r="N140" s="24"/>
      <c r="O140" s="19">
        <f>$G$10</f>
        <v>2</v>
      </c>
      <c r="P140" s="40">
        <f t="shared" ref="P140:T140" si="128">H140/H$162</f>
        <v>0.003787878788</v>
      </c>
      <c r="Q140" s="40">
        <f t="shared" si="128"/>
        <v>0</v>
      </c>
      <c r="R140" s="40">
        <f t="shared" si="128"/>
        <v>0</v>
      </c>
      <c r="S140" s="40">
        <f t="shared" si="128"/>
        <v>0</v>
      </c>
      <c r="T140" s="40">
        <f t="shared" si="128"/>
        <v>0</v>
      </c>
    </row>
    <row r="141" ht="15.75" customHeight="1">
      <c r="A141" s="16" t="s">
        <v>115</v>
      </c>
      <c r="F141" s="24"/>
      <c r="G141" s="19">
        <f>$G$11</f>
        <v>3</v>
      </c>
      <c r="H141" s="20">
        <v>2.0</v>
      </c>
      <c r="I141" s="20">
        <v>1.0</v>
      </c>
      <c r="J141" s="20">
        <v>0.0</v>
      </c>
      <c r="K141" s="20">
        <v>0.0</v>
      </c>
      <c r="L141" s="20">
        <v>0.0</v>
      </c>
      <c r="N141" s="24"/>
      <c r="O141" s="19">
        <f>$G$11</f>
        <v>3</v>
      </c>
      <c r="P141" s="40">
        <f t="shared" ref="P141:T141" si="129">H141/H$162</f>
        <v>0.007575757576</v>
      </c>
      <c r="Q141" s="40">
        <f t="shared" si="129"/>
        <v>0.01075268817</v>
      </c>
      <c r="R141" s="40">
        <f t="shared" si="129"/>
        <v>0</v>
      </c>
      <c r="S141" s="40">
        <f t="shared" si="129"/>
        <v>0</v>
      </c>
      <c r="T141" s="40">
        <f t="shared" si="129"/>
        <v>0</v>
      </c>
    </row>
    <row r="142" ht="15.75" customHeight="1">
      <c r="A142" s="16" t="s">
        <v>116</v>
      </c>
      <c r="F142" s="24"/>
      <c r="G142" s="19">
        <f>$G$12</f>
        <v>4</v>
      </c>
      <c r="H142" s="20">
        <v>4.0</v>
      </c>
      <c r="I142" s="20">
        <v>3.0</v>
      </c>
      <c r="J142" s="20">
        <v>0.0</v>
      </c>
      <c r="K142" s="20">
        <v>1.0</v>
      </c>
      <c r="L142" s="20">
        <v>0.0</v>
      </c>
      <c r="N142" s="24"/>
      <c r="O142" s="19">
        <f>$G$12</f>
        <v>4</v>
      </c>
      <c r="P142" s="40">
        <f t="shared" ref="P142:T142" si="130">H142/H$162</f>
        <v>0.01515151515</v>
      </c>
      <c r="Q142" s="40">
        <f t="shared" si="130"/>
        <v>0.03225806452</v>
      </c>
      <c r="R142" s="40">
        <f t="shared" si="130"/>
        <v>0</v>
      </c>
      <c r="S142" s="40">
        <f t="shared" si="130"/>
        <v>0.08333333333</v>
      </c>
      <c r="T142" s="40">
        <f t="shared" si="130"/>
        <v>0</v>
      </c>
    </row>
    <row r="143" ht="15.75" customHeight="1">
      <c r="A143" s="16" t="s">
        <v>117</v>
      </c>
      <c r="F143" s="24"/>
      <c r="G143" s="19">
        <f>$G$13</f>
        <v>5</v>
      </c>
      <c r="H143" s="20">
        <v>4.0</v>
      </c>
      <c r="I143" s="20">
        <v>1.0</v>
      </c>
      <c r="J143" s="20">
        <v>0.0</v>
      </c>
      <c r="K143" s="20">
        <v>1.0</v>
      </c>
      <c r="L143" s="20">
        <v>0.0</v>
      </c>
      <c r="N143" s="24"/>
      <c r="O143" s="19">
        <f>$G$13</f>
        <v>5</v>
      </c>
      <c r="P143" s="40">
        <f t="shared" ref="P143:T143" si="131">H143/H$162</f>
        <v>0.01515151515</v>
      </c>
      <c r="Q143" s="40">
        <f t="shared" si="131"/>
        <v>0.01075268817</v>
      </c>
      <c r="R143" s="40">
        <f t="shared" si="131"/>
        <v>0</v>
      </c>
      <c r="S143" s="40">
        <f t="shared" si="131"/>
        <v>0.08333333333</v>
      </c>
      <c r="T143" s="40">
        <f t="shared" si="131"/>
        <v>0</v>
      </c>
    </row>
    <row r="144" ht="15.75" customHeight="1">
      <c r="A144" s="16" t="s">
        <v>118</v>
      </c>
      <c r="F144" s="24"/>
      <c r="G144" s="19">
        <f>$G$14</f>
        <v>6</v>
      </c>
      <c r="H144" s="20">
        <v>2.0</v>
      </c>
      <c r="I144" s="20">
        <v>3.0</v>
      </c>
      <c r="J144" s="20">
        <v>1.0</v>
      </c>
      <c r="K144" s="20">
        <v>0.0</v>
      </c>
      <c r="L144" s="20">
        <v>0.0</v>
      </c>
      <c r="N144" s="24"/>
      <c r="O144" s="19">
        <f>$G$14</f>
        <v>6</v>
      </c>
      <c r="P144" s="40">
        <f t="shared" ref="P144:T144" si="132">H144/H$162</f>
        <v>0.007575757576</v>
      </c>
      <c r="Q144" s="40">
        <f t="shared" si="132"/>
        <v>0.03225806452</v>
      </c>
      <c r="R144" s="40">
        <f t="shared" si="132"/>
        <v>0.3333333333</v>
      </c>
      <c r="S144" s="40">
        <f t="shared" si="132"/>
        <v>0</v>
      </c>
      <c r="T144" s="40">
        <f t="shared" si="132"/>
        <v>0</v>
      </c>
    </row>
    <row r="145" ht="15.75" customHeight="1">
      <c r="A145" s="16" t="s">
        <v>119</v>
      </c>
      <c r="F145" s="24"/>
      <c r="G145" s="19">
        <f>$G$15</f>
        <v>7</v>
      </c>
      <c r="H145" s="20">
        <v>28.0</v>
      </c>
      <c r="I145" s="20">
        <v>4.0</v>
      </c>
      <c r="J145" s="20">
        <v>0.0</v>
      </c>
      <c r="K145" s="20">
        <v>1.0</v>
      </c>
      <c r="L145" s="20">
        <v>2.0</v>
      </c>
      <c r="N145" s="24"/>
      <c r="O145" s="19">
        <f>$G$15</f>
        <v>7</v>
      </c>
      <c r="P145" s="40">
        <f t="shared" ref="P145:T145" si="133">H145/H$162</f>
        <v>0.1060606061</v>
      </c>
      <c r="Q145" s="40">
        <f t="shared" si="133"/>
        <v>0.04301075269</v>
      </c>
      <c r="R145" s="40">
        <f t="shared" si="133"/>
        <v>0</v>
      </c>
      <c r="S145" s="40">
        <f t="shared" si="133"/>
        <v>0.08333333333</v>
      </c>
      <c r="T145" s="40">
        <f t="shared" si="133"/>
        <v>0.08695652174</v>
      </c>
    </row>
    <row r="146" ht="15.75" customHeight="1">
      <c r="A146" s="16" t="s">
        <v>120</v>
      </c>
      <c r="F146" s="24"/>
      <c r="G146" s="19">
        <f>$G$16</f>
        <v>8</v>
      </c>
      <c r="H146" s="20">
        <v>14.0</v>
      </c>
      <c r="I146" s="20">
        <v>9.0</v>
      </c>
      <c r="J146" s="20">
        <v>0.0</v>
      </c>
      <c r="K146" s="20">
        <v>2.0</v>
      </c>
      <c r="L146" s="20">
        <v>0.0</v>
      </c>
      <c r="N146" s="24"/>
      <c r="O146" s="19">
        <f>$G$16</f>
        <v>8</v>
      </c>
      <c r="P146" s="40">
        <f t="shared" ref="P146:T146" si="134">H146/H$162</f>
        <v>0.05303030303</v>
      </c>
      <c r="Q146" s="40">
        <f t="shared" si="134"/>
        <v>0.09677419355</v>
      </c>
      <c r="R146" s="40">
        <f t="shared" si="134"/>
        <v>0</v>
      </c>
      <c r="S146" s="40">
        <f t="shared" si="134"/>
        <v>0.1666666667</v>
      </c>
      <c r="T146" s="40">
        <f t="shared" si="134"/>
        <v>0</v>
      </c>
    </row>
    <row r="147" ht="15.75" customHeight="1">
      <c r="A147" s="16" t="s">
        <v>121</v>
      </c>
      <c r="F147" s="24"/>
      <c r="G147" s="19">
        <f>$G$17</f>
        <v>9</v>
      </c>
      <c r="H147" s="20">
        <v>11.0</v>
      </c>
      <c r="I147" s="20">
        <v>8.0</v>
      </c>
      <c r="J147" s="20">
        <v>0.0</v>
      </c>
      <c r="K147" s="20">
        <v>1.0</v>
      </c>
      <c r="L147" s="20">
        <v>4.0</v>
      </c>
      <c r="N147" s="24"/>
      <c r="O147" s="19">
        <f>$G$17</f>
        <v>9</v>
      </c>
      <c r="P147" s="40">
        <f t="shared" ref="P147:T147" si="135">H147/H$162</f>
        <v>0.04166666667</v>
      </c>
      <c r="Q147" s="40">
        <f t="shared" si="135"/>
        <v>0.08602150538</v>
      </c>
      <c r="R147" s="40">
        <f t="shared" si="135"/>
        <v>0</v>
      </c>
      <c r="S147" s="40">
        <f t="shared" si="135"/>
        <v>0.08333333333</v>
      </c>
      <c r="T147" s="40">
        <f t="shared" si="135"/>
        <v>0.1739130435</v>
      </c>
    </row>
    <row r="148" ht="15.75" customHeight="1">
      <c r="A148" s="16" t="s">
        <v>122</v>
      </c>
      <c r="F148" s="24"/>
      <c r="G148" s="19">
        <f>$G$18</f>
        <v>10</v>
      </c>
      <c r="H148" s="20">
        <v>10.0</v>
      </c>
      <c r="I148" s="20">
        <v>4.0</v>
      </c>
      <c r="J148" s="20">
        <v>0.0</v>
      </c>
      <c r="K148" s="20">
        <v>2.0</v>
      </c>
      <c r="L148" s="20">
        <v>3.0</v>
      </c>
      <c r="N148" s="24"/>
      <c r="O148" s="19">
        <f>$G$18</f>
        <v>10</v>
      </c>
      <c r="P148" s="40">
        <f t="shared" ref="P148:T148" si="136">H148/H$162</f>
        <v>0.03787878788</v>
      </c>
      <c r="Q148" s="40">
        <f t="shared" si="136"/>
        <v>0.04301075269</v>
      </c>
      <c r="R148" s="40">
        <f t="shared" si="136"/>
        <v>0</v>
      </c>
      <c r="S148" s="40">
        <f t="shared" si="136"/>
        <v>0.1666666667</v>
      </c>
      <c r="T148" s="40">
        <f t="shared" si="136"/>
        <v>0.1304347826</v>
      </c>
    </row>
    <row r="149" ht="15.75" customHeight="1">
      <c r="A149" s="16" t="s">
        <v>123</v>
      </c>
      <c r="F149" s="24"/>
      <c r="G149" s="19">
        <f>$G$19</f>
        <v>11</v>
      </c>
      <c r="H149" s="20">
        <v>12.0</v>
      </c>
      <c r="I149" s="20">
        <v>4.0</v>
      </c>
      <c r="J149" s="20">
        <v>0.0</v>
      </c>
      <c r="K149" s="20">
        <v>1.0</v>
      </c>
      <c r="L149" s="20">
        <v>4.0</v>
      </c>
      <c r="N149" s="24"/>
      <c r="O149" s="19">
        <f>$G$19</f>
        <v>11</v>
      </c>
      <c r="P149" s="40">
        <f t="shared" ref="P149:T149" si="137">H149/H$162</f>
        <v>0.04545454545</v>
      </c>
      <c r="Q149" s="40">
        <f t="shared" si="137"/>
        <v>0.04301075269</v>
      </c>
      <c r="R149" s="40">
        <f t="shared" si="137"/>
        <v>0</v>
      </c>
      <c r="S149" s="40">
        <f t="shared" si="137"/>
        <v>0.08333333333</v>
      </c>
      <c r="T149" s="40">
        <f t="shared" si="137"/>
        <v>0.1739130435</v>
      </c>
    </row>
    <row r="150" ht="15.75" customHeight="1">
      <c r="A150" s="16" t="s">
        <v>124</v>
      </c>
      <c r="F150" s="24"/>
      <c r="G150" s="19">
        <f>$G$20</f>
        <v>12</v>
      </c>
      <c r="H150" s="20">
        <v>13.0</v>
      </c>
      <c r="I150" s="20">
        <v>5.0</v>
      </c>
      <c r="J150" s="20">
        <v>0.0</v>
      </c>
      <c r="K150" s="20">
        <v>2.0</v>
      </c>
      <c r="L150" s="20">
        <v>2.0</v>
      </c>
      <c r="N150" s="24"/>
      <c r="O150" s="19">
        <f>$G$20</f>
        <v>12</v>
      </c>
      <c r="P150" s="40">
        <f t="shared" ref="P150:T150" si="138">H150/H$162</f>
        <v>0.04924242424</v>
      </c>
      <c r="Q150" s="40">
        <f t="shared" si="138"/>
        <v>0.05376344086</v>
      </c>
      <c r="R150" s="40">
        <f t="shared" si="138"/>
        <v>0</v>
      </c>
      <c r="S150" s="40">
        <f t="shared" si="138"/>
        <v>0.1666666667</v>
      </c>
      <c r="T150" s="40">
        <f t="shared" si="138"/>
        <v>0.08695652174</v>
      </c>
    </row>
    <row r="151" ht="15.75" customHeight="1">
      <c r="A151" s="16" t="s">
        <v>125</v>
      </c>
      <c r="F151" s="24"/>
      <c r="G151" s="19">
        <f>$G$21</f>
        <v>13</v>
      </c>
      <c r="H151" s="20">
        <v>12.0</v>
      </c>
      <c r="I151" s="20">
        <v>1.0</v>
      </c>
      <c r="J151" s="20">
        <v>0.0</v>
      </c>
      <c r="K151" s="20">
        <v>0.0</v>
      </c>
      <c r="L151" s="20">
        <v>3.0</v>
      </c>
      <c r="N151" s="24"/>
      <c r="O151" s="19">
        <f>$G$21</f>
        <v>13</v>
      </c>
      <c r="P151" s="40">
        <f t="shared" ref="P151:T151" si="139">H151/H$162</f>
        <v>0.04545454545</v>
      </c>
      <c r="Q151" s="40">
        <f t="shared" si="139"/>
        <v>0.01075268817</v>
      </c>
      <c r="R151" s="40">
        <f t="shared" si="139"/>
        <v>0</v>
      </c>
      <c r="S151" s="40">
        <f t="shared" si="139"/>
        <v>0</v>
      </c>
      <c r="T151" s="40">
        <f t="shared" si="139"/>
        <v>0.1304347826</v>
      </c>
    </row>
    <row r="152" ht="15.75" customHeight="1">
      <c r="A152" s="16" t="s">
        <v>126</v>
      </c>
      <c r="F152" s="24"/>
      <c r="G152" s="19">
        <f>$G$22</f>
        <v>14</v>
      </c>
      <c r="H152" s="20">
        <v>10.0</v>
      </c>
      <c r="I152" s="20">
        <v>8.0</v>
      </c>
      <c r="J152" s="20">
        <v>0.0</v>
      </c>
      <c r="K152" s="20">
        <v>0.0</v>
      </c>
      <c r="L152" s="20">
        <v>2.0</v>
      </c>
      <c r="N152" s="24"/>
      <c r="O152" s="19">
        <f>$G$22</f>
        <v>14</v>
      </c>
      <c r="P152" s="40">
        <f t="shared" ref="P152:T152" si="140">H152/H$162</f>
        <v>0.03787878788</v>
      </c>
      <c r="Q152" s="40">
        <f t="shared" si="140"/>
        <v>0.08602150538</v>
      </c>
      <c r="R152" s="40">
        <f t="shared" si="140"/>
        <v>0</v>
      </c>
      <c r="S152" s="40">
        <f t="shared" si="140"/>
        <v>0</v>
      </c>
      <c r="T152" s="40">
        <f t="shared" si="140"/>
        <v>0.08695652174</v>
      </c>
    </row>
    <row r="153" ht="15.75" customHeight="1">
      <c r="A153" s="16" t="s">
        <v>127</v>
      </c>
      <c r="F153" s="24"/>
      <c r="G153" s="19">
        <f>$G$23</f>
        <v>15</v>
      </c>
      <c r="H153" s="20">
        <v>15.0</v>
      </c>
      <c r="I153" s="20">
        <v>6.0</v>
      </c>
      <c r="J153" s="20">
        <v>0.0</v>
      </c>
      <c r="K153" s="20">
        <v>0.0</v>
      </c>
      <c r="L153" s="20">
        <v>1.0</v>
      </c>
      <c r="N153" s="24"/>
      <c r="O153" s="19">
        <f>$G$23</f>
        <v>15</v>
      </c>
      <c r="P153" s="40">
        <f t="shared" ref="P153:T153" si="141">H153/H$162</f>
        <v>0.05681818182</v>
      </c>
      <c r="Q153" s="40">
        <f t="shared" si="141"/>
        <v>0.06451612903</v>
      </c>
      <c r="R153" s="40">
        <f t="shared" si="141"/>
        <v>0</v>
      </c>
      <c r="S153" s="40">
        <f t="shared" si="141"/>
        <v>0</v>
      </c>
      <c r="T153" s="40">
        <f t="shared" si="141"/>
        <v>0.04347826087</v>
      </c>
    </row>
    <row r="154" ht="15.75" customHeight="1">
      <c r="A154" s="16" t="s">
        <v>128</v>
      </c>
      <c r="F154" s="24"/>
      <c r="G154" s="19">
        <f>$G$24</f>
        <v>16</v>
      </c>
      <c r="H154" s="20">
        <v>19.0</v>
      </c>
      <c r="I154" s="20">
        <v>14.0</v>
      </c>
      <c r="J154" s="20">
        <v>1.0</v>
      </c>
      <c r="K154" s="20">
        <v>0.0</v>
      </c>
      <c r="L154" s="20">
        <v>1.0</v>
      </c>
      <c r="N154" s="24"/>
      <c r="O154" s="19">
        <f>$G$24</f>
        <v>16</v>
      </c>
      <c r="P154" s="40">
        <f t="shared" ref="P154:T154" si="142">H154/H$162</f>
        <v>0.07196969697</v>
      </c>
      <c r="Q154" s="40">
        <f t="shared" si="142"/>
        <v>0.1505376344</v>
      </c>
      <c r="R154" s="40">
        <f t="shared" si="142"/>
        <v>0.3333333333</v>
      </c>
      <c r="S154" s="40">
        <f t="shared" si="142"/>
        <v>0</v>
      </c>
      <c r="T154" s="40">
        <f t="shared" si="142"/>
        <v>0.04347826087</v>
      </c>
    </row>
    <row r="155" ht="15.75" customHeight="1">
      <c r="A155" s="16" t="s">
        <v>129</v>
      </c>
      <c r="F155" s="24"/>
      <c r="G155" s="19">
        <f>$G$25</f>
        <v>17</v>
      </c>
      <c r="H155" s="20">
        <v>32.0</v>
      </c>
      <c r="I155" s="20">
        <v>8.0</v>
      </c>
      <c r="J155" s="20">
        <v>1.0</v>
      </c>
      <c r="K155" s="20">
        <v>0.0</v>
      </c>
      <c r="L155" s="20">
        <v>1.0</v>
      </c>
      <c r="N155" s="24"/>
      <c r="O155" s="19">
        <f>$G$25</f>
        <v>17</v>
      </c>
      <c r="P155" s="40">
        <f t="shared" ref="P155:T155" si="143">H155/H$162</f>
        <v>0.1212121212</v>
      </c>
      <c r="Q155" s="40">
        <f t="shared" si="143"/>
        <v>0.08602150538</v>
      </c>
      <c r="R155" s="40">
        <f t="shared" si="143"/>
        <v>0.3333333333</v>
      </c>
      <c r="S155" s="40">
        <f t="shared" si="143"/>
        <v>0</v>
      </c>
      <c r="T155" s="40">
        <f t="shared" si="143"/>
        <v>0.04347826087</v>
      </c>
    </row>
    <row r="156" ht="15.75" customHeight="1">
      <c r="A156" s="16" t="s">
        <v>130</v>
      </c>
      <c r="F156" s="24"/>
      <c r="G156" s="19">
        <f>$G$26</f>
        <v>18</v>
      </c>
      <c r="H156" s="20">
        <v>20.0</v>
      </c>
      <c r="I156" s="20">
        <v>2.0</v>
      </c>
      <c r="J156" s="20">
        <v>0.0</v>
      </c>
      <c r="K156" s="20">
        <v>1.0</v>
      </c>
      <c r="L156" s="20">
        <v>0.0</v>
      </c>
      <c r="N156" s="24"/>
      <c r="O156" s="19">
        <f>$G$26</f>
        <v>18</v>
      </c>
      <c r="P156" s="40">
        <f t="shared" ref="P156:T156" si="144">H156/H$162</f>
        <v>0.07575757576</v>
      </c>
      <c r="Q156" s="40">
        <f t="shared" si="144"/>
        <v>0.02150537634</v>
      </c>
      <c r="R156" s="40">
        <f t="shared" si="144"/>
        <v>0</v>
      </c>
      <c r="S156" s="40">
        <f t="shared" si="144"/>
        <v>0.08333333333</v>
      </c>
      <c r="T156" s="40">
        <f t="shared" si="144"/>
        <v>0</v>
      </c>
    </row>
    <row r="157" ht="15.75" customHeight="1">
      <c r="A157" s="16" t="s">
        <v>131</v>
      </c>
      <c r="F157" s="24"/>
      <c r="G157" s="19">
        <f>$G$27</f>
        <v>19</v>
      </c>
      <c r="H157" s="20">
        <v>13.0</v>
      </c>
      <c r="I157" s="20">
        <v>5.0</v>
      </c>
      <c r="J157" s="20">
        <v>0.0</v>
      </c>
      <c r="K157" s="20">
        <v>0.0</v>
      </c>
      <c r="L157" s="20">
        <v>0.0</v>
      </c>
      <c r="N157" s="24"/>
      <c r="O157" s="19">
        <f>$G$27</f>
        <v>19</v>
      </c>
      <c r="P157" s="40">
        <f t="shared" ref="P157:T157" si="145">H157/H$162</f>
        <v>0.04924242424</v>
      </c>
      <c r="Q157" s="40">
        <f t="shared" si="145"/>
        <v>0.05376344086</v>
      </c>
      <c r="R157" s="40">
        <f t="shared" si="145"/>
        <v>0</v>
      </c>
      <c r="S157" s="40">
        <f t="shared" si="145"/>
        <v>0</v>
      </c>
      <c r="T157" s="40">
        <f t="shared" si="145"/>
        <v>0</v>
      </c>
    </row>
    <row r="158" ht="15.75" customHeight="1">
      <c r="A158" s="16" t="s">
        <v>74</v>
      </c>
      <c r="F158" s="24"/>
      <c r="G158" s="19">
        <f>$G$28</f>
        <v>20</v>
      </c>
      <c r="H158" s="20">
        <v>13.0</v>
      </c>
      <c r="I158" s="20">
        <v>3.0</v>
      </c>
      <c r="J158" s="20">
        <v>0.0</v>
      </c>
      <c r="K158" s="20">
        <v>0.0</v>
      </c>
      <c r="L158" s="20">
        <v>0.0</v>
      </c>
      <c r="N158" s="24"/>
      <c r="O158" s="19">
        <f>$G$28</f>
        <v>20</v>
      </c>
      <c r="P158" s="40">
        <f t="shared" ref="P158:T158" si="146">H158/H$162</f>
        <v>0.04924242424</v>
      </c>
      <c r="Q158" s="40">
        <f t="shared" si="146"/>
        <v>0.03225806452</v>
      </c>
      <c r="R158" s="40">
        <f t="shared" si="146"/>
        <v>0</v>
      </c>
      <c r="S158" s="40">
        <f t="shared" si="146"/>
        <v>0</v>
      </c>
      <c r="T158" s="40">
        <f t="shared" si="146"/>
        <v>0</v>
      </c>
    </row>
    <row r="159" ht="15.75" customHeight="1">
      <c r="A159" s="16" t="s">
        <v>132</v>
      </c>
      <c r="F159" s="24"/>
      <c r="G159" s="19">
        <f>$G$29</f>
        <v>21</v>
      </c>
      <c r="H159" s="20">
        <v>5.0</v>
      </c>
      <c r="I159" s="20">
        <v>2.0</v>
      </c>
      <c r="J159" s="20">
        <v>0.0</v>
      </c>
      <c r="K159" s="20">
        <v>0.0</v>
      </c>
      <c r="L159" s="20">
        <v>0.0</v>
      </c>
      <c r="N159" s="24"/>
      <c r="O159" s="19">
        <f>$G$29</f>
        <v>21</v>
      </c>
      <c r="P159" s="40">
        <f t="shared" ref="P159:T159" si="147">H159/H$162</f>
        <v>0.01893939394</v>
      </c>
      <c r="Q159" s="40">
        <f t="shared" si="147"/>
        <v>0.02150537634</v>
      </c>
      <c r="R159" s="40">
        <f t="shared" si="147"/>
        <v>0</v>
      </c>
      <c r="S159" s="40">
        <f t="shared" si="147"/>
        <v>0</v>
      </c>
      <c r="T159" s="40">
        <f t="shared" si="147"/>
        <v>0</v>
      </c>
    </row>
    <row r="160" ht="15.75" customHeight="1">
      <c r="A160" s="16" t="s">
        <v>133</v>
      </c>
      <c r="F160" s="24"/>
      <c r="G160" s="19">
        <f>$G$30</f>
        <v>22</v>
      </c>
      <c r="H160" s="20">
        <v>12.0</v>
      </c>
      <c r="I160" s="20">
        <v>0.0</v>
      </c>
      <c r="J160" s="20">
        <v>0.0</v>
      </c>
      <c r="K160" s="20">
        <v>0.0</v>
      </c>
      <c r="L160" s="20">
        <v>0.0</v>
      </c>
      <c r="N160" s="24"/>
      <c r="O160" s="19">
        <f>$G$30</f>
        <v>22</v>
      </c>
      <c r="P160" s="40">
        <f t="shared" ref="P160:T160" si="148">H160/H$162</f>
        <v>0.04545454545</v>
      </c>
      <c r="Q160" s="40">
        <f t="shared" si="148"/>
        <v>0</v>
      </c>
      <c r="R160" s="40">
        <f t="shared" si="148"/>
        <v>0</v>
      </c>
      <c r="S160" s="40">
        <f t="shared" si="148"/>
        <v>0</v>
      </c>
      <c r="T160" s="40">
        <f t="shared" si="148"/>
        <v>0</v>
      </c>
    </row>
    <row r="161" ht="15.75" customHeight="1">
      <c r="F161" s="28"/>
      <c r="G161" s="19">
        <f>$G$31</f>
        <v>23</v>
      </c>
      <c r="H161" s="20">
        <v>6.0</v>
      </c>
      <c r="I161" s="20">
        <v>2.0</v>
      </c>
      <c r="J161" s="20">
        <v>0.0</v>
      </c>
      <c r="K161" s="20">
        <v>0.0</v>
      </c>
      <c r="L161" s="20">
        <v>0.0</v>
      </c>
      <c r="N161" s="28"/>
      <c r="O161" s="19">
        <f>$G$31</f>
        <v>23</v>
      </c>
      <c r="P161" s="40">
        <f t="shared" ref="P161:T161" si="149">H161/H$162</f>
        <v>0.02272727273</v>
      </c>
      <c r="Q161" s="40">
        <f t="shared" si="149"/>
        <v>0.02150537634</v>
      </c>
      <c r="R161" s="40">
        <f t="shared" si="149"/>
        <v>0</v>
      </c>
      <c r="S161" s="40">
        <f t="shared" si="149"/>
        <v>0</v>
      </c>
      <c r="T161" s="40">
        <f t="shared" si="149"/>
        <v>0</v>
      </c>
    </row>
    <row r="162" ht="15.75" customHeight="1">
      <c r="F162" s="111"/>
      <c r="G162" s="112"/>
      <c r="H162" s="26">
        <f t="shared" ref="H162:L162" si="150">SUM(H138:H161)</f>
        <v>264</v>
      </c>
      <c r="I162" s="26">
        <f t="shared" si="150"/>
        <v>93</v>
      </c>
      <c r="J162" s="26">
        <f t="shared" si="150"/>
        <v>3</v>
      </c>
      <c r="K162" s="26">
        <f t="shared" si="150"/>
        <v>12</v>
      </c>
      <c r="L162" s="26">
        <f t="shared" si="150"/>
        <v>23</v>
      </c>
    </row>
    <row r="163" ht="15.75" customHeight="1">
      <c r="G163" s="16"/>
      <c r="H163" s="17">
        <f>$H$7</f>
        <v>31</v>
      </c>
      <c r="I163" s="17">
        <f>$I$7</f>
        <v>32</v>
      </c>
      <c r="J163" s="17">
        <f>$J$7</f>
        <v>41</v>
      </c>
      <c r="K163" s="17">
        <f>$K$7</f>
        <v>42</v>
      </c>
      <c r="L163" s="17">
        <f>$L$7</f>
        <v>5</v>
      </c>
      <c r="O163" s="16"/>
      <c r="P163" s="17">
        <f>$H$7</f>
        <v>31</v>
      </c>
      <c r="Q163" s="17">
        <f>$I$7</f>
        <v>32</v>
      </c>
      <c r="R163" s="17">
        <f>$J$7</f>
        <v>41</v>
      </c>
      <c r="S163" s="17">
        <f>$K$7</f>
        <v>42</v>
      </c>
      <c r="T163" s="17">
        <f>$L$7</f>
        <v>5</v>
      </c>
    </row>
    <row r="164" ht="15.75" customHeight="1">
      <c r="F164" s="56">
        <v>45213.0</v>
      </c>
      <c r="G164" s="19">
        <f>$G$8</f>
        <v>0</v>
      </c>
      <c r="H164" s="20">
        <v>4.0</v>
      </c>
      <c r="I164" s="20">
        <v>0.0</v>
      </c>
      <c r="J164" s="20">
        <v>0.0</v>
      </c>
      <c r="K164" s="20">
        <v>0.0</v>
      </c>
      <c r="L164" s="20">
        <v>1.0</v>
      </c>
      <c r="N164" s="56">
        <v>45213.0</v>
      </c>
      <c r="O164" s="19">
        <f>$G$8</f>
        <v>0</v>
      </c>
      <c r="P164" s="40">
        <f t="shared" ref="P164:T164" si="151">H164/H$188</f>
        <v>0.01369863014</v>
      </c>
      <c r="Q164" s="40">
        <f t="shared" si="151"/>
        <v>0</v>
      </c>
      <c r="R164" s="40">
        <f t="shared" si="151"/>
        <v>0</v>
      </c>
      <c r="S164" s="40">
        <f t="shared" si="151"/>
        <v>0</v>
      </c>
      <c r="T164" s="40">
        <f t="shared" si="151"/>
        <v>0.0625</v>
      </c>
    </row>
    <row r="165" ht="15.75" customHeight="1">
      <c r="A165" s="16" t="s">
        <v>134</v>
      </c>
      <c r="F165" s="24"/>
      <c r="G165" s="19">
        <f>$G$9</f>
        <v>1</v>
      </c>
      <c r="H165" s="20">
        <v>0.0</v>
      </c>
      <c r="I165" s="20">
        <v>2.0</v>
      </c>
      <c r="J165" s="20">
        <v>0.0</v>
      </c>
      <c r="K165" s="20">
        <v>0.0</v>
      </c>
      <c r="L165" s="20">
        <v>0.0</v>
      </c>
      <c r="N165" s="24"/>
      <c r="O165" s="19">
        <f>$G$9</f>
        <v>1</v>
      </c>
      <c r="P165" s="40">
        <f t="shared" ref="P165:T165" si="152">H165/H$188</f>
        <v>0</v>
      </c>
      <c r="Q165" s="40">
        <f t="shared" si="152"/>
        <v>0.01869158879</v>
      </c>
      <c r="R165" s="40">
        <f t="shared" si="152"/>
        <v>0</v>
      </c>
      <c r="S165" s="40">
        <f t="shared" si="152"/>
        <v>0</v>
      </c>
      <c r="T165" s="40">
        <f t="shared" si="152"/>
        <v>0</v>
      </c>
    </row>
    <row r="166" ht="15.75" customHeight="1">
      <c r="A166" s="16" t="s">
        <v>135</v>
      </c>
      <c r="F166" s="24"/>
      <c r="G166" s="19">
        <f>$G$10</f>
        <v>2</v>
      </c>
      <c r="H166" s="16">
        <v>1.0</v>
      </c>
      <c r="I166" s="16">
        <v>0.0</v>
      </c>
      <c r="J166" s="16">
        <v>0.0</v>
      </c>
      <c r="K166" s="16">
        <v>0.0</v>
      </c>
      <c r="L166" s="16">
        <v>1.0</v>
      </c>
      <c r="N166" s="24"/>
      <c r="O166" s="19">
        <f>$G$10</f>
        <v>2</v>
      </c>
      <c r="P166" s="40">
        <f t="shared" ref="P166:T166" si="153">H166/H$188</f>
        <v>0.003424657534</v>
      </c>
      <c r="Q166" s="40">
        <f t="shared" si="153"/>
        <v>0</v>
      </c>
      <c r="R166" s="40">
        <f t="shared" si="153"/>
        <v>0</v>
      </c>
      <c r="S166" s="40">
        <f t="shared" si="153"/>
        <v>0</v>
      </c>
      <c r="T166" s="40">
        <f t="shared" si="153"/>
        <v>0.0625</v>
      </c>
    </row>
    <row r="167" ht="15.75" customHeight="1">
      <c r="A167" s="16" t="s">
        <v>136</v>
      </c>
      <c r="F167" s="24"/>
      <c r="G167" s="19">
        <f>$G$11</f>
        <v>3</v>
      </c>
      <c r="H167" s="20">
        <v>0.0</v>
      </c>
      <c r="I167" s="20">
        <v>1.0</v>
      </c>
      <c r="J167" s="20">
        <v>0.0</v>
      </c>
      <c r="K167" s="20">
        <v>1.0</v>
      </c>
      <c r="L167" s="20">
        <v>1.0</v>
      </c>
      <c r="N167" s="24"/>
      <c r="O167" s="19">
        <f>$G$11</f>
        <v>3</v>
      </c>
      <c r="P167" s="40">
        <f t="shared" ref="P167:T167" si="154">H167/H$188</f>
        <v>0</v>
      </c>
      <c r="Q167" s="40">
        <f t="shared" si="154"/>
        <v>0.009345794393</v>
      </c>
      <c r="R167" s="40">
        <f t="shared" si="154"/>
        <v>0</v>
      </c>
      <c r="S167" s="40">
        <f t="shared" si="154"/>
        <v>0.1428571429</v>
      </c>
      <c r="T167" s="40">
        <f t="shared" si="154"/>
        <v>0.0625</v>
      </c>
    </row>
    <row r="168" ht="15.75" customHeight="1">
      <c r="A168" s="16" t="s">
        <v>137</v>
      </c>
      <c r="F168" s="24"/>
      <c r="G168" s="19">
        <f>$G$12</f>
        <v>4</v>
      </c>
      <c r="H168" s="20">
        <v>2.0</v>
      </c>
      <c r="I168" s="20">
        <v>2.0</v>
      </c>
      <c r="J168" s="20">
        <v>0.0</v>
      </c>
      <c r="K168" s="20">
        <v>1.0</v>
      </c>
      <c r="L168" s="20">
        <v>0.0</v>
      </c>
      <c r="N168" s="24"/>
      <c r="O168" s="19">
        <f>$G$12</f>
        <v>4</v>
      </c>
      <c r="P168" s="40">
        <f t="shared" ref="P168:T168" si="155">H168/H$188</f>
        <v>0.006849315068</v>
      </c>
      <c r="Q168" s="40">
        <f t="shared" si="155"/>
        <v>0.01869158879</v>
      </c>
      <c r="R168" s="40">
        <f t="shared" si="155"/>
        <v>0</v>
      </c>
      <c r="S168" s="40">
        <f t="shared" si="155"/>
        <v>0.1428571429</v>
      </c>
      <c r="T168" s="40">
        <f t="shared" si="155"/>
        <v>0</v>
      </c>
    </row>
    <row r="169" ht="15.75" customHeight="1">
      <c r="A169" s="16" t="s">
        <v>138</v>
      </c>
      <c r="F169" s="24"/>
      <c r="G169" s="19">
        <f>$G$13</f>
        <v>5</v>
      </c>
      <c r="H169" s="20">
        <v>5.0</v>
      </c>
      <c r="I169" s="20">
        <v>3.0</v>
      </c>
      <c r="J169" s="20">
        <v>0.0</v>
      </c>
      <c r="K169" s="20">
        <v>1.0</v>
      </c>
      <c r="L169" s="20">
        <v>0.0</v>
      </c>
      <c r="N169" s="24"/>
      <c r="O169" s="19">
        <f>$G$13</f>
        <v>5</v>
      </c>
      <c r="P169" s="40">
        <f t="shared" ref="P169:T169" si="156">H169/H$188</f>
        <v>0.01712328767</v>
      </c>
      <c r="Q169" s="40">
        <f t="shared" si="156"/>
        <v>0.02803738318</v>
      </c>
      <c r="R169" s="40">
        <f t="shared" si="156"/>
        <v>0</v>
      </c>
      <c r="S169" s="40">
        <f t="shared" si="156"/>
        <v>0.1428571429</v>
      </c>
      <c r="T169" s="40">
        <f t="shared" si="156"/>
        <v>0</v>
      </c>
    </row>
    <row r="170" ht="15.75" customHeight="1">
      <c r="A170" s="16" t="s">
        <v>139</v>
      </c>
      <c r="F170" s="24"/>
      <c r="G170" s="19">
        <f>$G$14</f>
        <v>6</v>
      </c>
      <c r="H170" s="20">
        <v>5.0</v>
      </c>
      <c r="I170" s="20">
        <v>2.0</v>
      </c>
      <c r="J170" s="20">
        <v>0.0</v>
      </c>
      <c r="K170" s="20">
        <v>0.0</v>
      </c>
      <c r="L170" s="20">
        <v>2.0</v>
      </c>
      <c r="N170" s="24"/>
      <c r="O170" s="19">
        <f>$G$14</f>
        <v>6</v>
      </c>
      <c r="P170" s="40">
        <f t="shared" ref="P170:T170" si="157">H170/H$188</f>
        <v>0.01712328767</v>
      </c>
      <c r="Q170" s="40">
        <f t="shared" si="157"/>
        <v>0.01869158879</v>
      </c>
      <c r="R170" s="40">
        <f t="shared" si="157"/>
        <v>0</v>
      </c>
      <c r="S170" s="40">
        <f t="shared" si="157"/>
        <v>0</v>
      </c>
      <c r="T170" s="40">
        <f t="shared" si="157"/>
        <v>0.125</v>
      </c>
    </row>
    <row r="171" ht="15.75" customHeight="1">
      <c r="A171" s="16" t="s">
        <v>140</v>
      </c>
      <c r="F171" s="24"/>
      <c r="G171" s="19">
        <f>$G$15</f>
        <v>7</v>
      </c>
      <c r="H171" s="20">
        <v>12.0</v>
      </c>
      <c r="I171" s="20">
        <v>3.0</v>
      </c>
      <c r="J171" s="20">
        <v>0.0</v>
      </c>
      <c r="K171" s="20">
        <v>0.0</v>
      </c>
      <c r="L171" s="20">
        <v>1.0</v>
      </c>
      <c r="N171" s="24"/>
      <c r="O171" s="19">
        <f>$G$15</f>
        <v>7</v>
      </c>
      <c r="P171" s="40">
        <f t="shared" ref="P171:T171" si="158">H171/H$188</f>
        <v>0.04109589041</v>
      </c>
      <c r="Q171" s="40">
        <f t="shared" si="158"/>
        <v>0.02803738318</v>
      </c>
      <c r="R171" s="40">
        <f t="shared" si="158"/>
        <v>0</v>
      </c>
      <c r="S171" s="40">
        <f t="shared" si="158"/>
        <v>0</v>
      </c>
      <c r="T171" s="40">
        <f t="shared" si="158"/>
        <v>0.0625</v>
      </c>
    </row>
    <row r="172" ht="15.75" customHeight="1">
      <c r="A172" s="16" t="s">
        <v>141</v>
      </c>
      <c r="F172" s="24"/>
      <c r="G172" s="19">
        <f>$G$16</f>
        <v>8</v>
      </c>
      <c r="H172" s="20">
        <v>15.0</v>
      </c>
      <c r="I172" s="20">
        <v>6.0</v>
      </c>
      <c r="J172" s="20">
        <v>0.0</v>
      </c>
      <c r="K172" s="20">
        <v>1.0</v>
      </c>
      <c r="L172" s="20">
        <v>1.0</v>
      </c>
      <c r="N172" s="24"/>
      <c r="O172" s="19">
        <f>$G$16</f>
        <v>8</v>
      </c>
      <c r="P172" s="40">
        <f t="shared" ref="P172:T172" si="159">H172/H$188</f>
        <v>0.05136986301</v>
      </c>
      <c r="Q172" s="40">
        <f t="shared" si="159"/>
        <v>0.05607476636</v>
      </c>
      <c r="R172" s="40">
        <f t="shared" si="159"/>
        <v>0</v>
      </c>
      <c r="S172" s="40">
        <f t="shared" si="159"/>
        <v>0.1428571429</v>
      </c>
      <c r="T172" s="40">
        <f t="shared" si="159"/>
        <v>0.0625</v>
      </c>
    </row>
    <row r="173" ht="15.75" customHeight="1">
      <c r="A173" s="16" t="s">
        <v>142</v>
      </c>
      <c r="F173" s="24"/>
      <c r="G173" s="19">
        <f>$G$17</f>
        <v>9</v>
      </c>
      <c r="H173" s="20">
        <v>16.0</v>
      </c>
      <c r="I173" s="20">
        <v>1.0</v>
      </c>
      <c r="J173" s="20">
        <v>1.0</v>
      </c>
      <c r="K173" s="20">
        <v>0.0</v>
      </c>
      <c r="L173" s="20">
        <v>1.0</v>
      </c>
      <c r="N173" s="24"/>
      <c r="O173" s="19">
        <f>$G$17</f>
        <v>9</v>
      </c>
      <c r="P173" s="40">
        <f t="shared" ref="P173:T173" si="160">H173/H$188</f>
        <v>0.05479452055</v>
      </c>
      <c r="Q173" s="40">
        <f t="shared" si="160"/>
        <v>0.009345794393</v>
      </c>
      <c r="R173" s="40">
        <f t="shared" si="160"/>
        <v>0.2</v>
      </c>
      <c r="S173" s="40">
        <f t="shared" si="160"/>
        <v>0</v>
      </c>
      <c r="T173" s="40">
        <f t="shared" si="160"/>
        <v>0.0625</v>
      </c>
    </row>
    <row r="174" ht="15.75" customHeight="1">
      <c r="A174" s="16" t="s">
        <v>143</v>
      </c>
      <c r="F174" s="24"/>
      <c r="G174" s="19">
        <f>$G$18</f>
        <v>10</v>
      </c>
      <c r="H174" s="20">
        <v>20.0</v>
      </c>
      <c r="I174" s="20">
        <v>8.0</v>
      </c>
      <c r="J174" s="20">
        <v>0.0</v>
      </c>
      <c r="K174" s="20">
        <v>0.0</v>
      </c>
      <c r="L174" s="20">
        <v>2.0</v>
      </c>
      <c r="N174" s="24"/>
      <c r="O174" s="19">
        <f>$G$18</f>
        <v>10</v>
      </c>
      <c r="P174" s="40">
        <f t="shared" ref="P174:T174" si="161">H174/H$188</f>
        <v>0.06849315068</v>
      </c>
      <c r="Q174" s="40">
        <f t="shared" si="161"/>
        <v>0.07476635514</v>
      </c>
      <c r="R174" s="40">
        <f t="shared" si="161"/>
        <v>0</v>
      </c>
      <c r="S174" s="40">
        <f t="shared" si="161"/>
        <v>0</v>
      </c>
      <c r="T174" s="40">
        <f t="shared" si="161"/>
        <v>0.125</v>
      </c>
    </row>
    <row r="175" ht="15.75" customHeight="1">
      <c r="A175" s="16" t="s">
        <v>144</v>
      </c>
      <c r="F175" s="24"/>
      <c r="G175" s="19">
        <f>$G$19</f>
        <v>11</v>
      </c>
      <c r="H175" s="20">
        <v>19.0</v>
      </c>
      <c r="I175" s="20">
        <v>10.0</v>
      </c>
      <c r="J175" s="20">
        <v>0.0</v>
      </c>
      <c r="K175" s="20">
        <v>0.0</v>
      </c>
      <c r="L175" s="20">
        <v>1.0</v>
      </c>
      <c r="N175" s="24"/>
      <c r="O175" s="19">
        <f>$G$19</f>
        <v>11</v>
      </c>
      <c r="P175" s="40">
        <f t="shared" ref="P175:T175" si="162">H175/H$188</f>
        <v>0.06506849315</v>
      </c>
      <c r="Q175" s="40">
        <f t="shared" si="162"/>
        <v>0.09345794393</v>
      </c>
      <c r="R175" s="40">
        <f t="shared" si="162"/>
        <v>0</v>
      </c>
      <c r="S175" s="40">
        <f t="shared" si="162"/>
        <v>0</v>
      </c>
      <c r="T175" s="40">
        <f t="shared" si="162"/>
        <v>0.0625</v>
      </c>
    </row>
    <row r="176" ht="15.75" customHeight="1">
      <c r="A176" s="16" t="s">
        <v>145</v>
      </c>
      <c r="F176" s="24"/>
      <c r="G176" s="19">
        <f>$G$20</f>
        <v>12</v>
      </c>
      <c r="H176" s="20">
        <v>16.0</v>
      </c>
      <c r="I176" s="20">
        <v>8.0</v>
      </c>
      <c r="J176" s="20">
        <v>3.0</v>
      </c>
      <c r="K176" s="20">
        <v>1.0</v>
      </c>
      <c r="L176" s="20">
        <v>3.0</v>
      </c>
      <c r="N176" s="24"/>
      <c r="O176" s="19">
        <f>$G$20</f>
        <v>12</v>
      </c>
      <c r="P176" s="40">
        <f t="shared" ref="P176:T176" si="163">H176/H$188</f>
        <v>0.05479452055</v>
      </c>
      <c r="Q176" s="40">
        <f t="shared" si="163"/>
        <v>0.07476635514</v>
      </c>
      <c r="R176" s="40">
        <f t="shared" si="163"/>
        <v>0.6</v>
      </c>
      <c r="S176" s="40">
        <f t="shared" si="163"/>
        <v>0.1428571429</v>
      </c>
      <c r="T176" s="40">
        <f t="shared" si="163"/>
        <v>0.1875</v>
      </c>
    </row>
    <row r="177" ht="15.75" customHeight="1">
      <c r="A177" s="16" t="s">
        <v>146</v>
      </c>
      <c r="F177" s="24"/>
      <c r="G177" s="19">
        <f>$G$21</f>
        <v>13</v>
      </c>
      <c r="H177" s="20">
        <v>11.0</v>
      </c>
      <c r="I177" s="20">
        <v>5.0</v>
      </c>
      <c r="J177" s="20">
        <v>0.0</v>
      </c>
      <c r="K177" s="20">
        <v>1.0</v>
      </c>
      <c r="L177" s="20">
        <v>2.0</v>
      </c>
      <c r="N177" s="24"/>
      <c r="O177" s="19">
        <f>$G$21</f>
        <v>13</v>
      </c>
      <c r="P177" s="40">
        <f t="shared" ref="P177:T177" si="164">H177/H$188</f>
        <v>0.03767123288</v>
      </c>
      <c r="Q177" s="40">
        <f t="shared" si="164"/>
        <v>0.04672897196</v>
      </c>
      <c r="R177" s="40">
        <f t="shared" si="164"/>
        <v>0</v>
      </c>
      <c r="S177" s="40">
        <f t="shared" si="164"/>
        <v>0.1428571429</v>
      </c>
      <c r="T177" s="40">
        <f t="shared" si="164"/>
        <v>0.125</v>
      </c>
    </row>
    <row r="178" ht="15.75" customHeight="1">
      <c r="A178" s="16" t="s">
        <v>147</v>
      </c>
      <c r="F178" s="24"/>
      <c r="G178" s="19">
        <f>$G$22</f>
        <v>14</v>
      </c>
      <c r="H178" s="20">
        <v>21.0</v>
      </c>
      <c r="I178" s="20">
        <v>9.0</v>
      </c>
      <c r="J178" s="20">
        <v>0.0</v>
      </c>
      <c r="K178" s="20">
        <v>0.0</v>
      </c>
      <c r="L178" s="20">
        <v>0.0</v>
      </c>
      <c r="N178" s="24"/>
      <c r="O178" s="19">
        <f>$G$22</f>
        <v>14</v>
      </c>
      <c r="P178" s="40">
        <f t="shared" ref="P178:T178" si="165">H178/H$188</f>
        <v>0.07191780822</v>
      </c>
      <c r="Q178" s="40">
        <f t="shared" si="165"/>
        <v>0.08411214953</v>
      </c>
      <c r="R178" s="40">
        <f t="shared" si="165"/>
        <v>0</v>
      </c>
      <c r="S178" s="40">
        <f t="shared" si="165"/>
        <v>0</v>
      </c>
      <c r="T178" s="40">
        <f t="shared" si="165"/>
        <v>0</v>
      </c>
    </row>
    <row r="179" ht="15.75" customHeight="1">
      <c r="A179" s="16" t="s">
        <v>148</v>
      </c>
      <c r="F179" s="24"/>
      <c r="G179" s="19">
        <f>$G$23</f>
        <v>15</v>
      </c>
      <c r="H179" s="20">
        <v>17.0</v>
      </c>
      <c r="I179" s="20">
        <v>11.0</v>
      </c>
      <c r="J179" s="20">
        <v>0.0</v>
      </c>
      <c r="K179" s="20">
        <v>1.0</v>
      </c>
      <c r="L179" s="20">
        <v>0.0</v>
      </c>
      <c r="N179" s="24"/>
      <c r="O179" s="19">
        <f>$G$23</f>
        <v>15</v>
      </c>
      <c r="P179" s="40">
        <f t="shared" ref="P179:T179" si="166">H179/H$188</f>
        <v>0.05821917808</v>
      </c>
      <c r="Q179" s="40">
        <f t="shared" si="166"/>
        <v>0.1028037383</v>
      </c>
      <c r="R179" s="40">
        <f t="shared" si="166"/>
        <v>0</v>
      </c>
      <c r="S179" s="40">
        <f t="shared" si="166"/>
        <v>0.1428571429</v>
      </c>
      <c r="T179" s="40">
        <f t="shared" si="166"/>
        <v>0</v>
      </c>
    </row>
    <row r="180" ht="15.75" customHeight="1">
      <c r="A180" s="16" t="s">
        <v>149</v>
      </c>
      <c r="F180" s="24"/>
      <c r="G180" s="19">
        <f>$G$24</f>
        <v>16</v>
      </c>
      <c r="H180" s="20">
        <v>29.0</v>
      </c>
      <c r="I180" s="20">
        <v>14.0</v>
      </c>
      <c r="J180" s="20">
        <v>0.0</v>
      </c>
      <c r="K180" s="20">
        <v>0.0</v>
      </c>
      <c r="L180" s="20">
        <v>0.0</v>
      </c>
      <c r="N180" s="24"/>
      <c r="O180" s="19">
        <f>$G$24</f>
        <v>16</v>
      </c>
      <c r="P180" s="40">
        <f t="shared" ref="P180:T180" si="167">H180/H$188</f>
        <v>0.09931506849</v>
      </c>
      <c r="Q180" s="40">
        <f t="shared" si="167"/>
        <v>0.1308411215</v>
      </c>
      <c r="R180" s="40">
        <f t="shared" si="167"/>
        <v>0</v>
      </c>
      <c r="S180" s="40">
        <f t="shared" si="167"/>
        <v>0</v>
      </c>
      <c r="T180" s="40">
        <f t="shared" si="167"/>
        <v>0</v>
      </c>
    </row>
    <row r="181" ht="15.75" customHeight="1">
      <c r="A181" s="16" t="s">
        <v>150</v>
      </c>
      <c r="F181" s="24"/>
      <c r="G181" s="19">
        <f>$G$25</f>
        <v>17</v>
      </c>
      <c r="H181" s="20">
        <v>28.0</v>
      </c>
      <c r="I181" s="20">
        <v>5.0</v>
      </c>
      <c r="J181" s="20">
        <v>0.0</v>
      </c>
      <c r="K181" s="20">
        <v>0.0</v>
      </c>
      <c r="L181" s="20">
        <v>0.0</v>
      </c>
      <c r="N181" s="24"/>
      <c r="O181" s="19">
        <f>$G$25</f>
        <v>17</v>
      </c>
      <c r="P181" s="40">
        <f t="shared" ref="P181:T181" si="168">H181/H$188</f>
        <v>0.09589041096</v>
      </c>
      <c r="Q181" s="40">
        <f t="shared" si="168"/>
        <v>0.04672897196</v>
      </c>
      <c r="R181" s="40">
        <f t="shared" si="168"/>
        <v>0</v>
      </c>
      <c r="S181" s="40">
        <f t="shared" si="168"/>
        <v>0</v>
      </c>
      <c r="T181" s="40">
        <f t="shared" si="168"/>
        <v>0</v>
      </c>
    </row>
    <row r="182" ht="15.75" customHeight="1">
      <c r="A182" s="16" t="s">
        <v>151</v>
      </c>
      <c r="F182" s="24"/>
      <c r="G182" s="19">
        <f>$G$26</f>
        <v>18</v>
      </c>
      <c r="H182" s="20">
        <v>22.0</v>
      </c>
      <c r="I182" s="20">
        <v>6.0</v>
      </c>
      <c r="J182" s="20">
        <v>0.0</v>
      </c>
      <c r="K182" s="20">
        <v>0.0</v>
      </c>
      <c r="L182" s="20">
        <v>0.0</v>
      </c>
      <c r="N182" s="24"/>
      <c r="O182" s="19">
        <f>$G$26</f>
        <v>18</v>
      </c>
      <c r="P182" s="40">
        <f t="shared" ref="P182:T182" si="169">H182/H$188</f>
        <v>0.07534246575</v>
      </c>
      <c r="Q182" s="40">
        <f t="shared" si="169"/>
        <v>0.05607476636</v>
      </c>
      <c r="R182" s="40">
        <f t="shared" si="169"/>
        <v>0</v>
      </c>
      <c r="S182" s="40">
        <f t="shared" si="169"/>
        <v>0</v>
      </c>
      <c r="T182" s="40">
        <f t="shared" si="169"/>
        <v>0</v>
      </c>
    </row>
    <row r="183" ht="15.75" customHeight="1">
      <c r="A183" s="16" t="s">
        <v>152</v>
      </c>
      <c r="F183" s="24"/>
      <c r="G183" s="19">
        <f>$G$27</f>
        <v>19</v>
      </c>
      <c r="H183" s="20">
        <v>15.0</v>
      </c>
      <c r="I183" s="20">
        <v>6.0</v>
      </c>
      <c r="J183" s="20">
        <v>0.0</v>
      </c>
      <c r="K183" s="20">
        <v>0.0</v>
      </c>
      <c r="L183" s="20">
        <v>0.0</v>
      </c>
      <c r="N183" s="24"/>
      <c r="O183" s="19">
        <f>$G$27</f>
        <v>19</v>
      </c>
      <c r="P183" s="40">
        <f t="shared" ref="P183:T183" si="170">H183/H$188</f>
        <v>0.05136986301</v>
      </c>
      <c r="Q183" s="40">
        <f t="shared" si="170"/>
        <v>0.05607476636</v>
      </c>
      <c r="R183" s="40">
        <f t="shared" si="170"/>
        <v>0</v>
      </c>
      <c r="S183" s="40">
        <f t="shared" si="170"/>
        <v>0</v>
      </c>
      <c r="T183" s="40">
        <f t="shared" si="170"/>
        <v>0</v>
      </c>
    </row>
    <row r="184" ht="15.75" customHeight="1">
      <c r="A184" s="16" t="s">
        <v>153</v>
      </c>
      <c r="F184" s="24"/>
      <c r="G184" s="19">
        <f>$G$28</f>
        <v>20</v>
      </c>
      <c r="H184" s="20">
        <v>12.0</v>
      </c>
      <c r="I184" s="20">
        <v>4.0</v>
      </c>
      <c r="J184" s="20">
        <v>0.0</v>
      </c>
      <c r="K184" s="20">
        <v>0.0</v>
      </c>
      <c r="L184" s="20">
        <v>0.0</v>
      </c>
      <c r="N184" s="24"/>
      <c r="O184" s="19">
        <f>$G$28</f>
        <v>20</v>
      </c>
      <c r="P184" s="40">
        <f t="shared" ref="P184:T184" si="171">H184/H$188</f>
        <v>0.04109589041</v>
      </c>
      <c r="Q184" s="40">
        <f t="shared" si="171"/>
        <v>0.03738317757</v>
      </c>
      <c r="R184" s="40">
        <f t="shared" si="171"/>
        <v>0</v>
      </c>
      <c r="S184" s="40">
        <f t="shared" si="171"/>
        <v>0</v>
      </c>
      <c r="T184" s="40">
        <f t="shared" si="171"/>
        <v>0</v>
      </c>
    </row>
    <row r="185" ht="15.75" customHeight="1">
      <c r="A185" s="16" t="s">
        <v>154</v>
      </c>
      <c r="F185" s="24"/>
      <c r="G185" s="19">
        <f>$G$29</f>
        <v>21</v>
      </c>
      <c r="H185" s="20">
        <v>9.0</v>
      </c>
      <c r="I185" s="20">
        <v>0.0</v>
      </c>
      <c r="J185" s="20">
        <v>1.0</v>
      </c>
      <c r="K185" s="20">
        <v>0.0</v>
      </c>
      <c r="L185" s="20">
        <v>0.0</v>
      </c>
      <c r="N185" s="24"/>
      <c r="O185" s="19">
        <f>$G$29</f>
        <v>21</v>
      </c>
      <c r="P185" s="40">
        <f t="shared" ref="P185:T185" si="172">H185/H$188</f>
        <v>0.03082191781</v>
      </c>
      <c r="Q185" s="40">
        <f t="shared" si="172"/>
        <v>0</v>
      </c>
      <c r="R185" s="40">
        <f t="shared" si="172"/>
        <v>0.2</v>
      </c>
      <c r="S185" s="40">
        <f t="shared" si="172"/>
        <v>0</v>
      </c>
      <c r="T185" s="40">
        <f t="shared" si="172"/>
        <v>0</v>
      </c>
    </row>
    <row r="186" ht="15.75" customHeight="1">
      <c r="A186" s="16" t="s">
        <v>155</v>
      </c>
      <c r="F186" s="24"/>
      <c r="G186" s="19">
        <f>$G$30</f>
        <v>22</v>
      </c>
      <c r="H186" s="20">
        <v>9.0</v>
      </c>
      <c r="I186" s="20">
        <v>0.0</v>
      </c>
      <c r="J186" s="20">
        <v>0.0</v>
      </c>
      <c r="K186" s="20">
        <v>0.0</v>
      </c>
      <c r="L186" s="20">
        <v>0.0</v>
      </c>
      <c r="N186" s="24"/>
      <c r="O186" s="19">
        <f>$G$30</f>
        <v>22</v>
      </c>
      <c r="P186" s="40">
        <f t="shared" ref="P186:T186" si="173">H186/H$188</f>
        <v>0.03082191781</v>
      </c>
      <c r="Q186" s="40">
        <f t="shared" si="173"/>
        <v>0</v>
      </c>
      <c r="R186" s="40">
        <f t="shared" si="173"/>
        <v>0</v>
      </c>
      <c r="S186" s="40">
        <f t="shared" si="173"/>
        <v>0</v>
      </c>
      <c r="T186" s="40">
        <f t="shared" si="173"/>
        <v>0</v>
      </c>
    </row>
    <row r="187" ht="15.75" customHeight="1">
      <c r="A187" s="16" t="s">
        <v>156</v>
      </c>
      <c r="F187" s="28"/>
      <c r="G187" s="19">
        <f>$G$31</f>
        <v>23</v>
      </c>
      <c r="H187" s="20">
        <v>4.0</v>
      </c>
      <c r="I187" s="20">
        <v>1.0</v>
      </c>
      <c r="J187" s="20">
        <v>0.0</v>
      </c>
      <c r="K187" s="20">
        <v>0.0</v>
      </c>
      <c r="L187" s="20">
        <v>0.0</v>
      </c>
      <c r="N187" s="28"/>
      <c r="O187" s="19">
        <f>$G$31</f>
        <v>23</v>
      </c>
      <c r="P187" s="40">
        <f t="shared" ref="P187:T187" si="174">H187/H$188</f>
        <v>0.01369863014</v>
      </c>
      <c r="Q187" s="40">
        <f t="shared" si="174"/>
        <v>0.009345794393</v>
      </c>
      <c r="R187" s="40">
        <f t="shared" si="174"/>
        <v>0</v>
      </c>
      <c r="S187" s="40">
        <f t="shared" si="174"/>
        <v>0</v>
      </c>
      <c r="T187" s="40">
        <f t="shared" si="174"/>
        <v>0</v>
      </c>
    </row>
    <row r="188" ht="15.75" customHeight="1">
      <c r="A188" s="16" t="s">
        <v>157</v>
      </c>
      <c r="F188" s="111"/>
      <c r="G188" s="112"/>
      <c r="H188" s="26">
        <f t="shared" ref="H188:L188" si="175">SUM(H164:H187)</f>
        <v>292</v>
      </c>
      <c r="I188" s="26">
        <f t="shared" si="175"/>
        <v>107</v>
      </c>
      <c r="J188" s="26">
        <f t="shared" si="175"/>
        <v>5</v>
      </c>
      <c r="K188" s="26">
        <f t="shared" si="175"/>
        <v>7</v>
      </c>
      <c r="L188" s="26">
        <f t="shared" si="175"/>
        <v>16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O189" s="16"/>
      <c r="P189" s="17">
        <f>$H$7</f>
        <v>31</v>
      </c>
      <c r="Q189" s="17">
        <f>$I$7</f>
        <v>32</v>
      </c>
      <c r="R189" s="17">
        <f>$J$7</f>
        <v>41</v>
      </c>
      <c r="S189" s="17">
        <f>$K$7</f>
        <v>42</v>
      </c>
      <c r="T189" s="17">
        <f>$L$7</f>
        <v>5</v>
      </c>
    </row>
    <row r="190" ht="15.75" customHeight="1">
      <c r="A190" s="16" t="s">
        <v>68</v>
      </c>
      <c r="F190" s="56">
        <v>45214.0</v>
      </c>
      <c r="G190" s="19">
        <f>$G$8</f>
        <v>0</v>
      </c>
      <c r="H190" s="20">
        <v>6.0</v>
      </c>
      <c r="I190" s="20">
        <v>1.0</v>
      </c>
      <c r="J190" s="20">
        <v>0.0</v>
      </c>
      <c r="K190" s="20">
        <v>0.0</v>
      </c>
      <c r="L190" s="20">
        <v>0.0</v>
      </c>
      <c r="N190" s="56">
        <v>45214.0</v>
      </c>
      <c r="O190" s="19">
        <f>$G$8</f>
        <v>0</v>
      </c>
      <c r="P190" s="40">
        <f t="shared" ref="P190:T190" si="176">H190/H$214</f>
        <v>0.01954397394</v>
      </c>
      <c r="Q190" s="40">
        <f t="shared" si="176"/>
        <v>0.0119047619</v>
      </c>
      <c r="R190" s="40">
        <f t="shared" si="176"/>
        <v>0</v>
      </c>
      <c r="S190" s="40">
        <f t="shared" si="176"/>
        <v>0</v>
      </c>
      <c r="T190" s="40">
        <f t="shared" si="176"/>
        <v>0</v>
      </c>
    </row>
    <row r="191" ht="15.75" customHeight="1">
      <c r="A191" s="16" t="s">
        <v>114</v>
      </c>
      <c r="F191" s="24"/>
      <c r="G191" s="19">
        <f>$G$9</f>
        <v>1</v>
      </c>
      <c r="H191" s="20">
        <v>4.0</v>
      </c>
      <c r="I191" s="20">
        <v>0.0</v>
      </c>
      <c r="J191" s="20">
        <v>0.0</v>
      </c>
      <c r="K191" s="20">
        <v>0.0</v>
      </c>
      <c r="L191" s="20">
        <v>0.0</v>
      </c>
      <c r="N191" s="24"/>
      <c r="O191" s="19">
        <f>$G$9</f>
        <v>1</v>
      </c>
      <c r="P191" s="40">
        <f t="shared" ref="P191:T191" si="177">H191/H$214</f>
        <v>0.01302931596</v>
      </c>
      <c r="Q191" s="40">
        <f t="shared" si="177"/>
        <v>0</v>
      </c>
      <c r="R191" s="40">
        <f t="shared" si="177"/>
        <v>0</v>
      </c>
      <c r="S191" s="40">
        <f t="shared" si="177"/>
        <v>0</v>
      </c>
      <c r="T191" s="40">
        <f t="shared" si="177"/>
        <v>0</v>
      </c>
    </row>
    <row r="192" ht="15.75" customHeight="1">
      <c r="A192" s="16" t="s">
        <v>158</v>
      </c>
      <c r="F192" s="24"/>
      <c r="G192" s="19">
        <f>$G$10</f>
        <v>2</v>
      </c>
      <c r="H192" s="16">
        <v>3.0</v>
      </c>
      <c r="I192" s="16">
        <v>1.0</v>
      </c>
      <c r="J192" s="16">
        <v>0.0</v>
      </c>
      <c r="K192" s="16">
        <v>1.0</v>
      </c>
      <c r="L192" s="16">
        <v>0.0</v>
      </c>
      <c r="N192" s="24"/>
      <c r="O192" s="19">
        <f>$G$10</f>
        <v>2</v>
      </c>
      <c r="P192" s="40">
        <f t="shared" ref="P192:T192" si="178">H192/H$214</f>
        <v>0.009771986971</v>
      </c>
      <c r="Q192" s="40">
        <f t="shared" si="178"/>
        <v>0.0119047619</v>
      </c>
      <c r="R192" s="40">
        <f t="shared" si="178"/>
        <v>0</v>
      </c>
      <c r="S192" s="40">
        <f t="shared" si="178"/>
        <v>0.3333333333</v>
      </c>
      <c r="T192" s="40">
        <f t="shared" si="178"/>
        <v>0</v>
      </c>
    </row>
    <row r="193" ht="15.75" customHeight="1">
      <c r="A193" s="16" t="s">
        <v>71</v>
      </c>
      <c r="F193" s="24"/>
      <c r="G193" s="19">
        <f>$G$11</f>
        <v>3</v>
      </c>
      <c r="H193" s="20">
        <v>2.0</v>
      </c>
      <c r="I193" s="20">
        <v>1.0</v>
      </c>
      <c r="J193" s="20">
        <v>0.0</v>
      </c>
      <c r="K193" s="20">
        <v>1.0</v>
      </c>
      <c r="L193" s="20">
        <v>0.0</v>
      </c>
      <c r="N193" s="24"/>
      <c r="O193" s="19">
        <f>$G$11</f>
        <v>3</v>
      </c>
      <c r="P193" s="40">
        <f t="shared" ref="P193:T193" si="179">H193/H$214</f>
        <v>0.00651465798</v>
      </c>
      <c r="Q193" s="40">
        <f t="shared" si="179"/>
        <v>0.0119047619</v>
      </c>
      <c r="R193" s="40">
        <f t="shared" si="179"/>
        <v>0</v>
      </c>
      <c r="S193" s="40">
        <f t="shared" si="179"/>
        <v>0.3333333333</v>
      </c>
      <c r="T193" s="40">
        <f t="shared" si="179"/>
        <v>0</v>
      </c>
    </row>
    <row r="194" ht="15.75" customHeight="1">
      <c r="A194" s="16" t="s">
        <v>159</v>
      </c>
      <c r="F194" s="24"/>
      <c r="G194" s="19">
        <f>$G$12</f>
        <v>4</v>
      </c>
      <c r="H194" s="20">
        <v>1.0</v>
      </c>
      <c r="I194" s="20">
        <v>3.0</v>
      </c>
      <c r="J194" s="20">
        <v>0.0</v>
      </c>
      <c r="K194" s="20">
        <v>0.0</v>
      </c>
      <c r="L194" s="20">
        <v>0.0</v>
      </c>
      <c r="N194" s="24"/>
      <c r="O194" s="19">
        <f>$G$12</f>
        <v>4</v>
      </c>
      <c r="P194" s="40">
        <f t="shared" ref="P194:T194" si="180">H194/H$214</f>
        <v>0.00325732899</v>
      </c>
      <c r="Q194" s="40">
        <f t="shared" si="180"/>
        <v>0.03571428571</v>
      </c>
      <c r="R194" s="40">
        <f t="shared" si="180"/>
        <v>0</v>
      </c>
      <c r="S194" s="40">
        <f t="shared" si="180"/>
        <v>0</v>
      </c>
      <c r="T194" s="40">
        <f t="shared" si="180"/>
        <v>0</v>
      </c>
    </row>
    <row r="195" ht="15.75" customHeight="1">
      <c r="A195" s="16" t="s">
        <v>113</v>
      </c>
      <c r="F195" s="24"/>
      <c r="G195" s="19">
        <f>$G$13</f>
        <v>5</v>
      </c>
      <c r="H195" s="20">
        <v>5.0</v>
      </c>
      <c r="I195" s="20">
        <v>1.0</v>
      </c>
      <c r="J195" s="20">
        <v>0.0</v>
      </c>
      <c r="K195" s="20">
        <v>0.0</v>
      </c>
      <c r="L195" s="20">
        <v>0.0</v>
      </c>
      <c r="N195" s="24"/>
      <c r="O195" s="19">
        <f>$G$13</f>
        <v>5</v>
      </c>
      <c r="P195" s="40">
        <f t="shared" ref="P195:T195" si="181">H195/H$214</f>
        <v>0.01628664495</v>
      </c>
      <c r="Q195" s="40">
        <f t="shared" si="181"/>
        <v>0.0119047619</v>
      </c>
      <c r="R195" s="40">
        <f t="shared" si="181"/>
        <v>0</v>
      </c>
      <c r="S195" s="40">
        <f t="shared" si="181"/>
        <v>0</v>
      </c>
      <c r="T195" s="40">
        <f t="shared" si="181"/>
        <v>0</v>
      </c>
    </row>
    <row r="196" ht="15.75" customHeight="1">
      <c r="A196" s="16" t="s">
        <v>88</v>
      </c>
      <c r="F196" s="24"/>
      <c r="G196" s="19">
        <f>$G$14</f>
        <v>6</v>
      </c>
      <c r="H196" s="20">
        <v>6.0</v>
      </c>
      <c r="I196" s="20">
        <v>3.0</v>
      </c>
      <c r="J196" s="20">
        <v>0.0</v>
      </c>
      <c r="K196" s="20">
        <v>0.0</v>
      </c>
      <c r="L196" s="20">
        <v>0.0</v>
      </c>
      <c r="N196" s="24"/>
      <c r="O196" s="19">
        <f>$G$14</f>
        <v>6</v>
      </c>
      <c r="P196" s="40">
        <f t="shared" ref="P196:T196" si="182">H196/H$214</f>
        <v>0.01954397394</v>
      </c>
      <c r="Q196" s="40">
        <f t="shared" si="182"/>
        <v>0.03571428571</v>
      </c>
      <c r="R196" s="40">
        <f t="shared" si="182"/>
        <v>0</v>
      </c>
      <c r="S196" s="40">
        <f t="shared" si="182"/>
        <v>0</v>
      </c>
      <c r="T196" s="40">
        <f t="shared" si="182"/>
        <v>0</v>
      </c>
    </row>
    <row r="197" ht="15.75" customHeight="1">
      <c r="A197" s="16" t="s">
        <v>160</v>
      </c>
      <c r="F197" s="24"/>
      <c r="G197" s="19">
        <f>$G$15</f>
        <v>7</v>
      </c>
      <c r="H197" s="20">
        <v>10.0</v>
      </c>
      <c r="I197" s="20">
        <v>2.0</v>
      </c>
      <c r="J197" s="20">
        <v>1.0</v>
      </c>
      <c r="K197" s="20">
        <v>0.0</v>
      </c>
      <c r="L197" s="20">
        <v>0.0</v>
      </c>
      <c r="N197" s="24"/>
      <c r="O197" s="19">
        <f>$G$15</f>
        <v>7</v>
      </c>
      <c r="P197" s="40">
        <f t="shared" ref="P197:T197" si="183">H197/H$214</f>
        <v>0.0325732899</v>
      </c>
      <c r="Q197" s="40">
        <f t="shared" si="183"/>
        <v>0.02380952381</v>
      </c>
      <c r="R197" s="40">
        <f t="shared" si="183"/>
        <v>1</v>
      </c>
      <c r="S197" s="40">
        <f t="shared" si="183"/>
        <v>0</v>
      </c>
      <c r="T197" s="40">
        <f t="shared" si="183"/>
        <v>0</v>
      </c>
    </row>
    <row r="198" ht="15.75" customHeight="1">
      <c r="A198" s="16" t="s">
        <v>161</v>
      </c>
      <c r="F198" s="24"/>
      <c r="G198" s="19">
        <f>$G$16</f>
        <v>8</v>
      </c>
      <c r="H198" s="20">
        <v>12.0</v>
      </c>
      <c r="I198" s="20">
        <v>6.0</v>
      </c>
      <c r="J198" s="20">
        <v>0.0</v>
      </c>
      <c r="K198" s="20">
        <v>0.0</v>
      </c>
      <c r="L198" s="20">
        <v>0.0</v>
      </c>
      <c r="N198" s="24"/>
      <c r="O198" s="19">
        <f>$G$16</f>
        <v>8</v>
      </c>
      <c r="P198" s="40">
        <f t="shared" ref="P198:T198" si="184">H198/H$214</f>
        <v>0.03908794788</v>
      </c>
      <c r="Q198" s="40">
        <f t="shared" si="184"/>
        <v>0.07142857143</v>
      </c>
      <c r="R198" s="40">
        <f t="shared" si="184"/>
        <v>0</v>
      </c>
      <c r="S198" s="40">
        <f t="shared" si="184"/>
        <v>0</v>
      </c>
      <c r="T198" s="40">
        <f t="shared" si="184"/>
        <v>0</v>
      </c>
    </row>
    <row r="199" ht="15.75" customHeight="1">
      <c r="A199" s="16" t="s">
        <v>162</v>
      </c>
      <c r="F199" s="24"/>
      <c r="G199" s="19">
        <f>$G$17</f>
        <v>9</v>
      </c>
      <c r="H199" s="20">
        <v>11.0</v>
      </c>
      <c r="I199" s="20">
        <v>2.0</v>
      </c>
      <c r="J199" s="20">
        <v>0.0</v>
      </c>
      <c r="K199" s="20">
        <v>0.0</v>
      </c>
      <c r="L199" s="20">
        <v>0.0</v>
      </c>
      <c r="N199" s="24"/>
      <c r="O199" s="19">
        <f>$G$17</f>
        <v>9</v>
      </c>
      <c r="P199" s="40">
        <f t="shared" ref="P199:T199" si="185">H199/H$214</f>
        <v>0.03583061889</v>
      </c>
      <c r="Q199" s="40">
        <f t="shared" si="185"/>
        <v>0.02380952381</v>
      </c>
      <c r="R199" s="40">
        <f t="shared" si="185"/>
        <v>0</v>
      </c>
      <c r="S199" s="40">
        <f t="shared" si="185"/>
        <v>0</v>
      </c>
      <c r="T199" s="40">
        <f t="shared" si="185"/>
        <v>0</v>
      </c>
    </row>
    <row r="200" ht="15.75" customHeight="1">
      <c r="A200" s="16" t="s">
        <v>163</v>
      </c>
      <c r="F200" s="24"/>
      <c r="G200" s="19">
        <f>$G$18</f>
        <v>10</v>
      </c>
      <c r="H200" s="20">
        <v>16.0</v>
      </c>
      <c r="I200" s="20">
        <v>7.0</v>
      </c>
      <c r="J200" s="20">
        <v>0.0</v>
      </c>
      <c r="K200" s="20">
        <v>0.0</v>
      </c>
      <c r="L200" s="20">
        <v>0.0</v>
      </c>
      <c r="N200" s="24"/>
      <c r="O200" s="19">
        <f>$G$18</f>
        <v>10</v>
      </c>
      <c r="P200" s="40">
        <f t="shared" ref="P200:T200" si="186">H200/H$214</f>
        <v>0.05211726384</v>
      </c>
      <c r="Q200" s="40">
        <f t="shared" si="186"/>
        <v>0.08333333333</v>
      </c>
      <c r="R200" s="40">
        <f t="shared" si="186"/>
        <v>0</v>
      </c>
      <c r="S200" s="40">
        <f t="shared" si="186"/>
        <v>0</v>
      </c>
      <c r="T200" s="40">
        <f t="shared" si="186"/>
        <v>0</v>
      </c>
    </row>
    <row r="201" ht="15.75" customHeight="1">
      <c r="A201" s="16" t="s">
        <v>164</v>
      </c>
      <c r="F201" s="24"/>
      <c r="G201" s="19">
        <f>$G$19</f>
        <v>11</v>
      </c>
      <c r="H201" s="20">
        <v>14.0</v>
      </c>
      <c r="I201" s="20">
        <v>2.0</v>
      </c>
      <c r="J201" s="20">
        <v>0.0</v>
      </c>
      <c r="K201" s="20">
        <v>0.0</v>
      </c>
      <c r="L201" s="20">
        <v>0.0</v>
      </c>
      <c r="N201" s="24"/>
      <c r="O201" s="19">
        <f>$G$19</f>
        <v>11</v>
      </c>
      <c r="P201" s="40">
        <f t="shared" ref="P201:T201" si="187">H201/H$214</f>
        <v>0.04560260586</v>
      </c>
      <c r="Q201" s="40">
        <f t="shared" si="187"/>
        <v>0.02380952381</v>
      </c>
      <c r="R201" s="40">
        <f t="shared" si="187"/>
        <v>0</v>
      </c>
      <c r="S201" s="40">
        <f t="shared" si="187"/>
        <v>0</v>
      </c>
      <c r="T201" s="40">
        <f t="shared" si="187"/>
        <v>0</v>
      </c>
    </row>
    <row r="202" ht="15.75" customHeight="1">
      <c r="A202" s="16" t="s">
        <v>165</v>
      </c>
      <c r="F202" s="24"/>
      <c r="G202" s="19">
        <f>$G$20</f>
        <v>12</v>
      </c>
      <c r="H202" s="20">
        <v>21.0</v>
      </c>
      <c r="I202" s="20">
        <v>4.0</v>
      </c>
      <c r="J202" s="20">
        <v>0.0</v>
      </c>
      <c r="K202" s="20">
        <v>1.0</v>
      </c>
      <c r="L202" s="20">
        <v>0.0</v>
      </c>
      <c r="N202" s="24"/>
      <c r="O202" s="19">
        <f>$G$20</f>
        <v>12</v>
      </c>
      <c r="P202" s="40">
        <f t="shared" ref="P202:T202" si="188">H202/H$214</f>
        <v>0.06840390879</v>
      </c>
      <c r="Q202" s="40">
        <f t="shared" si="188"/>
        <v>0.04761904762</v>
      </c>
      <c r="R202" s="40">
        <f t="shared" si="188"/>
        <v>0</v>
      </c>
      <c r="S202" s="40">
        <f t="shared" si="188"/>
        <v>0.3333333333</v>
      </c>
      <c r="T202" s="40">
        <f t="shared" si="188"/>
        <v>0</v>
      </c>
    </row>
    <row r="203" ht="15.75" customHeight="1">
      <c r="A203" s="16" t="s">
        <v>166</v>
      </c>
      <c r="F203" s="24"/>
      <c r="G203" s="19">
        <f>$G$21</f>
        <v>13</v>
      </c>
      <c r="H203" s="20">
        <v>22.0</v>
      </c>
      <c r="I203" s="20">
        <v>6.0</v>
      </c>
      <c r="J203" s="20">
        <v>0.0</v>
      </c>
      <c r="K203" s="20">
        <v>0.0</v>
      </c>
      <c r="L203" s="20">
        <v>1.0</v>
      </c>
      <c r="N203" s="24"/>
      <c r="O203" s="19">
        <f>$G$21</f>
        <v>13</v>
      </c>
      <c r="P203" s="40">
        <f t="shared" ref="P203:T203" si="189">H203/H$214</f>
        <v>0.07166123779</v>
      </c>
      <c r="Q203" s="40">
        <f t="shared" si="189"/>
        <v>0.07142857143</v>
      </c>
      <c r="R203" s="40">
        <f t="shared" si="189"/>
        <v>0</v>
      </c>
      <c r="S203" s="40">
        <f t="shared" si="189"/>
        <v>0</v>
      </c>
      <c r="T203" s="40">
        <f t="shared" si="189"/>
        <v>0.5</v>
      </c>
    </row>
    <row r="204" ht="15.75" customHeight="1">
      <c r="A204" s="16" t="s">
        <v>167</v>
      </c>
      <c r="F204" s="24"/>
      <c r="G204" s="19">
        <f>$G$22</f>
        <v>14</v>
      </c>
      <c r="H204" s="20">
        <v>16.0</v>
      </c>
      <c r="I204" s="20">
        <v>9.0</v>
      </c>
      <c r="J204" s="20">
        <v>0.0</v>
      </c>
      <c r="K204" s="20">
        <v>0.0</v>
      </c>
      <c r="L204" s="20">
        <v>0.0</v>
      </c>
      <c r="N204" s="24"/>
      <c r="O204" s="19">
        <f>$G$22</f>
        <v>14</v>
      </c>
      <c r="P204" s="40">
        <f t="shared" ref="P204:T204" si="190">H204/H$214</f>
        <v>0.05211726384</v>
      </c>
      <c r="Q204" s="40">
        <f t="shared" si="190"/>
        <v>0.1071428571</v>
      </c>
      <c r="R204" s="40">
        <f t="shared" si="190"/>
        <v>0</v>
      </c>
      <c r="S204" s="40">
        <f t="shared" si="190"/>
        <v>0</v>
      </c>
      <c r="T204" s="40">
        <f t="shared" si="190"/>
        <v>0</v>
      </c>
    </row>
    <row r="205" ht="15.75" customHeight="1">
      <c r="A205" s="16" t="s">
        <v>168</v>
      </c>
      <c r="F205" s="24"/>
      <c r="G205" s="19">
        <f>$G$23</f>
        <v>15</v>
      </c>
      <c r="H205" s="20">
        <v>48.0</v>
      </c>
      <c r="I205" s="20">
        <v>8.0</v>
      </c>
      <c r="J205" s="20">
        <v>0.0</v>
      </c>
      <c r="K205" s="20">
        <v>0.0</v>
      </c>
      <c r="L205" s="20">
        <v>1.0</v>
      </c>
      <c r="N205" s="24"/>
      <c r="O205" s="19">
        <f>$G$23</f>
        <v>15</v>
      </c>
      <c r="P205" s="40">
        <f t="shared" ref="P205:T205" si="191">H205/H$214</f>
        <v>0.1563517915</v>
      </c>
      <c r="Q205" s="40">
        <f t="shared" si="191"/>
        <v>0.09523809524</v>
      </c>
      <c r="R205" s="40">
        <f t="shared" si="191"/>
        <v>0</v>
      </c>
      <c r="S205" s="40">
        <f t="shared" si="191"/>
        <v>0</v>
      </c>
      <c r="T205" s="40">
        <f t="shared" si="191"/>
        <v>0.5</v>
      </c>
    </row>
    <row r="206" ht="15.75" customHeight="1">
      <c r="A206" s="16" t="s">
        <v>169</v>
      </c>
      <c r="F206" s="24"/>
      <c r="G206" s="19">
        <f>$G$24</f>
        <v>16</v>
      </c>
      <c r="H206" s="20">
        <v>30.0</v>
      </c>
      <c r="I206" s="20">
        <v>6.0</v>
      </c>
      <c r="J206" s="20">
        <v>0.0</v>
      </c>
      <c r="K206" s="20">
        <v>0.0</v>
      </c>
      <c r="L206" s="20">
        <v>0.0</v>
      </c>
      <c r="N206" s="24"/>
      <c r="O206" s="19">
        <f>$G$24</f>
        <v>16</v>
      </c>
      <c r="P206" s="40">
        <f t="shared" ref="P206:T206" si="192">H206/H$214</f>
        <v>0.09771986971</v>
      </c>
      <c r="Q206" s="40">
        <f t="shared" si="192"/>
        <v>0.07142857143</v>
      </c>
      <c r="R206" s="40">
        <f t="shared" si="192"/>
        <v>0</v>
      </c>
      <c r="S206" s="40">
        <f t="shared" si="192"/>
        <v>0</v>
      </c>
      <c r="T206" s="40">
        <f t="shared" si="192"/>
        <v>0</v>
      </c>
    </row>
    <row r="207" ht="15.75" customHeight="1">
      <c r="A207" s="16" t="s">
        <v>170</v>
      </c>
      <c r="F207" s="24"/>
      <c r="G207" s="19">
        <f>$G$25</f>
        <v>17</v>
      </c>
      <c r="H207" s="20">
        <v>22.0</v>
      </c>
      <c r="I207" s="20">
        <v>12.0</v>
      </c>
      <c r="J207" s="20">
        <v>0.0</v>
      </c>
      <c r="K207" s="20">
        <v>0.0</v>
      </c>
      <c r="L207" s="20">
        <v>0.0</v>
      </c>
      <c r="N207" s="24"/>
      <c r="O207" s="19">
        <f>$G$25</f>
        <v>17</v>
      </c>
      <c r="P207" s="40">
        <f t="shared" ref="P207:T207" si="193">H207/H$214</f>
        <v>0.07166123779</v>
      </c>
      <c r="Q207" s="40">
        <f t="shared" si="193"/>
        <v>0.1428571429</v>
      </c>
      <c r="R207" s="40">
        <f t="shared" si="193"/>
        <v>0</v>
      </c>
      <c r="S207" s="40">
        <f t="shared" si="193"/>
        <v>0</v>
      </c>
      <c r="T207" s="40">
        <f t="shared" si="193"/>
        <v>0</v>
      </c>
    </row>
    <row r="208" ht="15.75" customHeight="1">
      <c r="A208" s="16" t="s">
        <v>171</v>
      </c>
      <c r="F208" s="24"/>
      <c r="G208" s="19">
        <f>$G$26</f>
        <v>18</v>
      </c>
      <c r="H208" s="20">
        <v>11.0</v>
      </c>
      <c r="I208" s="20">
        <v>4.0</v>
      </c>
      <c r="J208" s="20">
        <v>0.0</v>
      </c>
      <c r="K208" s="20">
        <v>0.0</v>
      </c>
      <c r="L208" s="20">
        <v>0.0</v>
      </c>
      <c r="N208" s="24"/>
      <c r="O208" s="19">
        <f>$G$26</f>
        <v>18</v>
      </c>
      <c r="P208" s="40">
        <f t="shared" ref="P208:T208" si="194">H208/H$214</f>
        <v>0.03583061889</v>
      </c>
      <c r="Q208" s="40">
        <f t="shared" si="194"/>
        <v>0.04761904762</v>
      </c>
      <c r="R208" s="40">
        <f t="shared" si="194"/>
        <v>0</v>
      </c>
      <c r="S208" s="40">
        <f t="shared" si="194"/>
        <v>0</v>
      </c>
      <c r="T208" s="40">
        <f t="shared" si="194"/>
        <v>0</v>
      </c>
    </row>
    <row r="209" ht="15.75" customHeight="1">
      <c r="A209" s="16" t="s">
        <v>172</v>
      </c>
      <c r="F209" s="24"/>
      <c r="G209" s="19">
        <f>$G$27</f>
        <v>19</v>
      </c>
      <c r="H209" s="20">
        <v>13.0</v>
      </c>
      <c r="I209" s="20">
        <v>4.0</v>
      </c>
      <c r="J209" s="20">
        <v>0.0</v>
      </c>
      <c r="K209" s="20">
        <v>0.0</v>
      </c>
      <c r="L209" s="20">
        <v>0.0</v>
      </c>
      <c r="N209" s="24"/>
      <c r="O209" s="19">
        <f>$G$27</f>
        <v>19</v>
      </c>
      <c r="P209" s="40">
        <f t="shared" ref="P209:T209" si="195">H209/H$214</f>
        <v>0.04234527687</v>
      </c>
      <c r="Q209" s="40">
        <f t="shared" si="195"/>
        <v>0.04761904762</v>
      </c>
      <c r="R209" s="40">
        <f t="shared" si="195"/>
        <v>0</v>
      </c>
      <c r="S209" s="40">
        <f t="shared" si="195"/>
        <v>0</v>
      </c>
      <c r="T209" s="40">
        <f t="shared" si="195"/>
        <v>0</v>
      </c>
    </row>
    <row r="210" ht="15.75" customHeight="1">
      <c r="A210" s="16" t="s">
        <v>173</v>
      </c>
      <c r="F210" s="24"/>
      <c r="G210" s="19">
        <f>$G$28</f>
        <v>20</v>
      </c>
      <c r="H210" s="20">
        <v>11.0</v>
      </c>
      <c r="I210" s="20">
        <v>0.0</v>
      </c>
      <c r="J210" s="20">
        <v>0.0</v>
      </c>
      <c r="K210" s="20">
        <v>0.0</v>
      </c>
      <c r="L210" s="20">
        <v>0.0</v>
      </c>
      <c r="N210" s="24"/>
      <c r="O210" s="19">
        <f>$G$28</f>
        <v>20</v>
      </c>
      <c r="P210" s="40">
        <f t="shared" ref="P210:T210" si="196">H210/H$214</f>
        <v>0.03583061889</v>
      </c>
      <c r="Q210" s="40">
        <f t="shared" si="196"/>
        <v>0</v>
      </c>
      <c r="R210" s="40">
        <f t="shared" si="196"/>
        <v>0</v>
      </c>
      <c r="S210" s="40">
        <f t="shared" si="196"/>
        <v>0</v>
      </c>
      <c r="T210" s="40">
        <f t="shared" si="196"/>
        <v>0</v>
      </c>
    </row>
    <row r="211" ht="15.75" customHeight="1">
      <c r="A211" s="16" t="s">
        <v>132</v>
      </c>
      <c r="F211" s="24"/>
      <c r="G211" s="19">
        <f>$G$29</f>
        <v>21</v>
      </c>
      <c r="H211" s="20">
        <v>12.0</v>
      </c>
      <c r="I211" s="20">
        <v>0.0</v>
      </c>
      <c r="J211" s="20">
        <v>0.0</v>
      </c>
      <c r="K211" s="20">
        <v>0.0</v>
      </c>
      <c r="L211" s="20">
        <v>0.0</v>
      </c>
      <c r="N211" s="24"/>
      <c r="O211" s="19">
        <f>$G$29</f>
        <v>21</v>
      </c>
      <c r="P211" s="40">
        <f t="shared" ref="P211:T211" si="197">H211/H$214</f>
        <v>0.03908794788</v>
      </c>
      <c r="Q211" s="40">
        <f t="shared" si="197"/>
        <v>0</v>
      </c>
      <c r="R211" s="40">
        <f t="shared" si="197"/>
        <v>0</v>
      </c>
      <c r="S211" s="40">
        <f t="shared" si="197"/>
        <v>0</v>
      </c>
      <c r="T211" s="40">
        <f t="shared" si="197"/>
        <v>0</v>
      </c>
    </row>
    <row r="212" ht="15.75" customHeight="1">
      <c r="A212" s="16" t="s">
        <v>90</v>
      </c>
      <c r="C212" s="97" t="s">
        <v>174</v>
      </c>
      <c r="F212" s="24"/>
      <c r="G212" s="19">
        <f>$G$30</f>
        <v>22</v>
      </c>
      <c r="H212" s="20">
        <v>10.0</v>
      </c>
      <c r="I212" s="20">
        <v>1.0</v>
      </c>
      <c r="J212" s="20">
        <v>0.0</v>
      </c>
      <c r="K212" s="20">
        <v>0.0</v>
      </c>
      <c r="L212" s="20">
        <v>0.0</v>
      </c>
      <c r="N212" s="24"/>
      <c r="O212" s="19">
        <f>$G$30</f>
        <v>22</v>
      </c>
      <c r="P212" s="40">
        <f t="shared" ref="P212:T212" si="198">H212/H$214</f>
        <v>0.0325732899</v>
      </c>
      <c r="Q212" s="40">
        <f t="shared" si="198"/>
        <v>0.0119047619</v>
      </c>
      <c r="R212" s="40">
        <f t="shared" si="198"/>
        <v>0</v>
      </c>
      <c r="S212" s="40">
        <f t="shared" si="198"/>
        <v>0</v>
      </c>
      <c r="T212" s="40">
        <f t="shared" si="198"/>
        <v>0</v>
      </c>
    </row>
    <row r="213" ht="15.75" customHeight="1">
      <c r="A213" s="16" t="s">
        <v>175</v>
      </c>
      <c r="F213" s="28"/>
      <c r="G213" s="19">
        <f>$G$31</f>
        <v>23</v>
      </c>
      <c r="H213" s="20">
        <v>1.0</v>
      </c>
      <c r="I213" s="20">
        <v>1.0</v>
      </c>
      <c r="J213" s="20">
        <v>0.0</v>
      </c>
      <c r="K213" s="20">
        <v>0.0</v>
      </c>
      <c r="L213" s="20">
        <v>0.0</v>
      </c>
      <c r="N213" s="28"/>
      <c r="O213" s="19">
        <f>$G$31</f>
        <v>23</v>
      </c>
      <c r="P213" s="40">
        <f t="shared" ref="P213:T213" si="199">H213/H$214</f>
        <v>0.00325732899</v>
      </c>
      <c r="Q213" s="40">
        <f t="shared" si="199"/>
        <v>0.0119047619</v>
      </c>
      <c r="R213" s="40">
        <f t="shared" si="199"/>
        <v>0</v>
      </c>
      <c r="S213" s="40">
        <f t="shared" si="199"/>
        <v>0</v>
      </c>
      <c r="T213" s="40">
        <f t="shared" si="199"/>
        <v>0</v>
      </c>
    </row>
    <row r="214" ht="15.75" customHeight="1">
      <c r="F214" s="111"/>
      <c r="G214" s="112"/>
      <c r="H214" s="26">
        <f t="shared" ref="H214:L214" si="200">SUM(H190:H213)</f>
        <v>307</v>
      </c>
      <c r="I214" s="26">
        <f t="shared" si="200"/>
        <v>84</v>
      </c>
      <c r="J214" s="26">
        <f t="shared" si="200"/>
        <v>1</v>
      </c>
      <c r="K214" s="26">
        <f t="shared" si="200"/>
        <v>3</v>
      </c>
      <c r="L214" s="26">
        <f t="shared" si="200"/>
        <v>2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4.0</v>
      </c>
      <c r="I216" s="20"/>
      <c r="J216" s="20"/>
      <c r="K216" s="20"/>
      <c r="L216" s="20"/>
      <c r="N216" s="56">
        <v>45215.0</v>
      </c>
      <c r="O216" s="19">
        <f>$G$8</f>
        <v>0</v>
      </c>
      <c r="P216" s="40">
        <f t="shared" ref="P216:T216" si="201">H216/H$240</f>
        <v>0.01612903226</v>
      </c>
      <c r="Q216" s="40">
        <f t="shared" si="201"/>
        <v>0</v>
      </c>
      <c r="R216" s="40">
        <f t="shared" si="201"/>
        <v>0</v>
      </c>
      <c r="S216" s="40">
        <f t="shared" si="201"/>
        <v>0</v>
      </c>
      <c r="T216" s="40">
        <f t="shared" si="201"/>
        <v>0</v>
      </c>
    </row>
    <row r="217" ht="15.75" customHeight="1">
      <c r="F217" s="24"/>
      <c r="G217" s="19">
        <f>$G$9</f>
        <v>1</v>
      </c>
      <c r="H217" s="20">
        <v>1.0</v>
      </c>
      <c r="I217" s="20"/>
      <c r="J217" s="20"/>
      <c r="K217" s="20"/>
      <c r="L217" s="20"/>
      <c r="N217" s="24"/>
      <c r="O217" s="19">
        <f>$G$9</f>
        <v>1</v>
      </c>
      <c r="P217" s="40">
        <f t="shared" ref="P217:T217" si="202">H217/H$240</f>
        <v>0.004032258065</v>
      </c>
      <c r="Q217" s="40">
        <f t="shared" si="202"/>
        <v>0</v>
      </c>
      <c r="R217" s="40">
        <f t="shared" si="202"/>
        <v>0</v>
      </c>
      <c r="S217" s="40">
        <f t="shared" si="202"/>
        <v>0</v>
      </c>
      <c r="T217" s="40">
        <f t="shared" si="202"/>
        <v>0</v>
      </c>
    </row>
    <row r="218" ht="15.75" customHeight="1">
      <c r="F218" s="24"/>
      <c r="G218" s="19">
        <f>$G$10</f>
        <v>2</v>
      </c>
      <c r="H218" s="16"/>
      <c r="I218" s="16"/>
      <c r="J218" s="16"/>
      <c r="K218" s="16">
        <v>1.0</v>
      </c>
      <c r="L218" s="16"/>
      <c r="N218" s="24"/>
      <c r="O218" s="19">
        <f>$G$10</f>
        <v>2</v>
      </c>
      <c r="P218" s="40">
        <f t="shared" ref="P218:T218" si="203">H218/H$240</f>
        <v>0</v>
      </c>
      <c r="Q218" s="40">
        <f t="shared" si="203"/>
        <v>0</v>
      </c>
      <c r="R218" s="40">
        <f t="shared" si="203"/>
        <v>0</v>
      </c>
      <c r="S218" s="40">
        <f t="shared" si="203"/>
        <v>0.05</v>
      </c>
      <c r="T218" s="40">
        <f t="shared" si="203"/>
        <v>0</v>
      </c>
    </row>
    <row r="219" ht="15.75" customHeight="1">
      <c r="F219" s="24"/>
      <c r="G219" s="19">
        <f>$G$11</f>
        <v>3</v>
      </c>
      <c r="H219" s="20">
        <v>2.0</v>
      </c>
      <c r="I219" s="20">
        <v>1.0</v>
      </c>
      <c r="J219" s="20"/>
      <c r="K219" s="20"/>
      <c r="L219" s="20"/>
      <c r="N219" s="24"/>
      <c r="O219" s="19">
        <f>$G$11</f>
        <v>3</v>
      </c>
      <c r="P219" s="40">
        <f t="shared" ref="P219:T219" si="204">H219/H$240</f>
        <v>0.008064516129</v>
      </c>
      <c r="Q219" s="40">
        <f t="shared" si="204"/>
        <v>0.009433962264</v>
      </c>
      <c r="R219" s="40">
        <f t="shared" si="204"/>
        <v>0</v>
      </c>
      <c r="S219" s="40">
        <f t="shared" si="204"/>
        <v>0</v>
      </c>
      <c r="T219" s="40">
        <f t="shared" si="204"/>
        <v>0</v>
      </c>
    </row>
    <row r="220" ht="15.75" customHeight="1">
      <c r="F220" s="24"/>
      <c r="G220" s="19">
        <f>$G$12</f>
        <v>4</v>
      </c>
      <c r="H220" s="20"/>
      <c r="I220" s="20">
        <v>2.0</v>
      </c>
      <c r="J220" s="20"/>
      <c r="K220" s="20"/>
      <c r="L220" s="20"/>
      <c r="N220" s="24"/>
      <c r="O220" s="19">
        <f>$G$12</f>
        <v>4</v>
      </c>
      <c r="P220" s="40">
        <f t="shared" ref="P220:T220" si="205">H220/H$240</f>
        <v>0</v>
      </c>
      <c r="Q220" s="40">
        <f t="shared" si="205"/>
        <v>0.01886792453</v>
      </c>
      <c r="R220" s="40">
        <f t="shared" si="205"/>
        <v>0</v>
      </c>
      <c r="S220" s="40">
        <f t="shared" si="205"/>
        <v>0</v>
      </c>
      <c r="T220" s="40">
        <f t="shared" si="205"/>
        <v>0</v>
      </c>
    </row>
    <row r="221" ht="15.75" customHeight="1">
      <c r="F221" s="24"/>
      <c r="G221" s="19">
        <f>$G$13</f>
        <v>5</v>
      </c>
      <c r="H221" s="20">
        <v>1.0</v>
      </c>
      <c r="I221" s="20">
        <v>2.0</v>
      </c>
      <c r="J221" s="20"/>
      <c r="K221" s="20"/>
      <c r="L221" s="20"/>
      <c r="N221" s="24"/>
      <c r="O221" s="19">
        <f>$G$13</f>
        <v>5</v>
      </c>
      <c r="P221" s="40">
        <f t="shared" ref="P221:T221" si="206">H221/H$240</f>
        <v>0.004032258065</v>
      </c>
      <c r="Q221" s="40">
        <f t="shared" si="206"/>
        <v>0.01886792453</v>
      </c>
      <c r="R221" s="40">
        <f t="shared" si="206"/>
        <v>0</v>
      </c>
      <c r="S221" s="40">
        <f t="shared" si="206"/>
        <v>0</v>
      </c>
      <c r="T221" s="40">
        <f t="shared" si="206"/>
        <v>0</v>
      </c>
    </row>
    <row r="222" ht="15.75" customHeight="1">
      <c r="F222" s="24"/>
      <c r="G222" s="19">
        <f>$G$14</f>
        <v>6</v>
      </c>
      <c r="H222" s="20">
        <v>7.0</v>
      </c>
      <c r="I222" s="20">
        <v>3.0</v>
      </c>
      <c r="J222" s="20"/>
      <c r="K222" s="20"/>
      <c r="L222" s="20"/>
      <c r="N222" s="24"/>
      <c r="O222" s="19">
        <f>$G$14</f>
        <v>6</v>
      </c>
      <c r="P222" s="40">
        <f t="shared" ref="P222:T222" si="207">H222/H$240</f>
        <v>0.02822580645</v>
      </c>
      <c r="Q222" s="40">
        <f t="shared" si="207"/>
        <v>0.02830188679</v>
      </c>
      <c r="R222" s="40">
        <f t="shared" si="207"/>
        <v>0</v>
      </c>
      <c r="S222" s="40">
        <f t="shared" si="207"/>
        <v>0</v>
      </c>
      <c r="T222" s="40">
        <f t="shared" si="207"/>
        <v>0</v>
      </c>
    </row>
    <row r="223" ht="15.75" customHeight="1">
      <c r="F223" s="24"/>
      <c r="G223" s="19">
        <f>$G$15</f>
        <v>7</v>
      </c>
      <c r="H223" s="20">
        <v>24.0</v>
      </c>
      <c r="I223" s="20">
        <v>3.0</v>
      </c>
      <c r="J223" s="20"/>
      <c r="K223" s="20"/>
      <c r="L223" s="20">
        <v>3.0</v>
      </c>
      <c r="N223" s="24"/>
      <c r="O223" s="19">
        <f>$G$15</f>
        <v>7</v>
      </c>
      <c r="P223" s="40">
        <f t="shared" ref="P223:T223" si="208">H223/H$240</f>
        <v>0.09677419355</v>
      </c>
      <c r="Q223" s="40">
        <f t="shared" si="208"/>
        <v>0.02830188679</v>
      </c>
      <c r="R223" s="40">
        <f t="shared" si="208"/>
        <v>0</v>
      </c>
      <c r="S223" s="40">
        <f t="shared" si="208"/>
        <v>0</v>
      </c>
      <c r="T223" s="40">
        <f t="shared" si="208"/>
        <v>0.1875</v>
      </c>
    </row>
    <row r="224" ht="15.75" customHeight="1">
      <c r="F224" s="24"/>
      <c r="G224" s="19">
        <f>$G$16</f>
        <v>8</v>
      </c>
      <c r="H224" s="20">
        <v>16.0</v>
      </c>
      <c r="I224" s="20">
        <v>7.0</v>
      </c>
      <c r="J224" s="20"/>
      <c r="K224" s="20">
        <v>1.0</v>
      </c>
      <c r="L224" s="20">
        <v>1.0</v>
      </c>
      <c r="N224" s="24"/>
      <c r="O224" s="19">
        <f>$G$16</f>
        <v>8</v>
      </c>
      <c r="P224" s="40">
        <f t="shared" ref="P224:T224" si="209">H224/H$240</f>
        <v>0.06451612903</v>
      </c>
      <c r="Q224" s="40">
        <f t="shared" si="209"/>
        <v>0.06603773585</v>
      </c>
      <c r="R224" s="40">
        <f t="shared" si="209"/>
        <v>0</v>
      </c>
      <c r="S224" s="40">
        <f t="shared" si="209"/>
        <v>0.05</v>
      </c>
      <c r="T224" s="40">
        <f t="shared" si="209"/>
        <v>0.0625</v>
      </c>
    </row>
    <row r="225" ht="15.75" customHeight="1">
      <c r="F225" s="24"/>
      <c r="G225" s="19">
        <f>$G$17</f>
        <v>9</v>
      </c>
      <c r="H225" s="20">
        <v>7.0</v>
      </c>
      <c r="I225" s="20">
        <v>9.0</v>
      </c>
      <c r="J225" s="20"/>
      <c r="K225" s="20">
        <v>1.0</v>
      </c>
      <c r="L225" s="20">
        <v>1.0</v>
      </c>
      <c r="N225" s="24"/>
      <c r="O225" s="19">
        <f>$G$17</f>
        <v>9</v>
      </c>
      <c r="P225" s="40">
        <f t="shared" ref="P225:T225" si="210">H225/H$240</f>
        <v>0.02822580645</v>
      </c>
      <c r="Q225" s="40">
        <f t="shared" si="210"/>
        <v>0.08490566038</v>
      </c>
      <c r="R225" s="40">
        <f t="shared" si="210"/>
        <v>0</v>
      </c>
      <c r="S225" s="40">
        <f t="shared" si="210"/>
        <v>0.05</v>
      </c>
      <c r="T225" s="40">
        <f t="shared" si="210"/>
        <v>0.0625</v>
      </c>
    </row>
    <row r="226" ht="15.75" customHeight="1">
      <c r="F226" s="24"/>
      <c r="G226" s="19">
        <f>$G$18</f>
        <v>10</v>
      </c>
      <c r="H226" s="20">
        <v>15.0</v>
      </c>
      <c r="I226" s="20">
        <v>7.0</v>
      </c>
      <c r="J226" s="20"/>
      <c r="K226" s="20">
        <v>4.0</v>
      </c>
      <c r="L226" s="20">
        <v>1.0</v>
      </c>
      <c r="N226" s="24"/>
      <c r="O226" s="19">
        <f>$G$18</f>
        <v>10</v>
      </c>
      <c r="P226" s="40">
        <f t="shared" ref="P226:T226" si="211">H226/H$240</f>
        <v>0.06048387097</v>
      </c>
      <c r="Q226" s="40">
        <f t="shared" si="211"/>
        <v>0.06603773585</v>
      </c>
      <c r="R226" s="40">
        <f t="shared" si="211"/>
        <v>0</v>
      </c>
      <c r="S226" s="40">
        <f t="shared" si="211"/>
        <v>0.2</v>
      </c>
      <c r="T226" s="40">
        <f t="shared" si="211"/>
        <v>0.0625</v>
      </c>
    </row>
    <row r="227" ht="15.75" customHeight="1">
      <c r="F227" s="24"/>
      <c r="G227" s="19">
        <f>$G$19</f>
        <v>11</v>
      </c>
      <c r="H227" s="20">
        <v>16.0</v>
      </c>
      <c r="I227" s="20">
        <v>7.0</v>
      </c>
      <c r="J227" s="20"/>
      <c r="K227" s="20">
        <v>1.0</v>
      </c>
      <c r="L227" s="20">
        <v>1.0</v>
      </c>
      <c r="N227" s="24"/>
      <c r="O227" s="19">
        <f>$G$19</f>
        <v>11</v>
      </c>
      <c r="P227" s="40">
        <f t="shared" ref="P227:T227" si="212">H227/H$240</f>
        <v>0.06451612903</v>
      </c>
      <c r="Q227" s="40">
        <f t="shared" si="212"/>
        <v>0.06603773585</v>
      </c>
      <c r="R227" s="40">
        <f t="shared" si="212"/>
        <v>0</v>
      </c>
      <c r="S227" s="40">
        <f t="shared" si="212"/>
        <v>0.05</v>
      </c>
      <c r="T227" s="40">
        <f t="shared" si="212"/>
        <v>0.0625</v>
      </c>
    </row>
    <row r="228" ht="15.75" customHeight="1">
      <c r="F228" s="24"/>
      <c r="G228" s="19">
        <f>$G$20</f>
        <v>12</v>
      </c>
      <c r="H228" s="20">
        <v>11.0</v>
      </c>
      <c r="I228" s="20">
        <v>13.0</v>
      </c>
      <c r="J228" s="20"/>
      <c r="K228" s="20">
        <v>2.0</v>
      </c>
      <c r="L228" s="20">
        <v>1.0</v>
      </c>
      <c r="N228" s="24"/>
      <c r="O228" s="19">
        <f>$G$20</f>
        <v>12</v>
      </c>
      <c r="P228" s="40">
        <f t="shared" ref="P228:T228" si="213">H228/H$240</f>
        <v>0.04435483871</v>
      </c>
      <c r="Q228" s="40">
        <f t="shared" si="213"/>
        <v>0.1226415094</v>
      </c>
      <c r="R228" s="40">
        <f t="shared" si="213"/>
        <v>0</v>
      </c>
      <c r="S228" s="40">
        <f t="shared" si="213"/>
        <v>0.1</v>
      </c>
      <c r="T228" s="40">
        <f t="shared" si="213"/>
        <v>0.0625</v>
      </c>
    </row>
    <row r="229" ht="15.75" customHeight="1">
      <c r="F229" s="24"/>
      <c r="G229" s="19">
        <f>$G$21</f>
        <v>13</v>
      </c>
      <c r="H229" s="20">
        <v>16.0</v>
      </c>
      <c r="I229" s="20">
        <v>9.0</v>
      </c>
      <c r="J229" s="20"/>
      <c r="K229" s="20">
        <v>1.0</v>
      </c>
      <c r="L229" s="20"/>
      <c r="N229" s="24"/>
      <c r="O229" s="19">
        <f>$G$21</f>
        <v>13</v>
      </c>
      <c r="P229" s="40">
        <f t="shared" ref="P229:T229" si="214">H229/H$240</f>
        <v>0.06451612903</v>
      </c>
      <c r="Q229" s="40">
        <f t="shared" si="214"/>
        <v>0.08490566038</v>
      </c>
      <c r="R229" s="40">
        <f t="shared" si="214"/>
        <v>0</v>
      </c>
      <c r="S229" s="40">
        <f t="shared" si="214"/>
        <v>0.05</v>
      </c>
      <c r="T229" s="40">
        <f t="shared" si="214"/>
        <v>0</v>
      </c>
    </row>
    <row r="230" ht="15.75" customHeight="1">
      <c r="F230" s="24"/>
      <c r="G230" s="19">
        <f>$G$22</f>
        <v>14</v>
      </c>
      <c r="H230" s="20">
        <v>12.0</v>
      </c>
      <c r="I230" s="20">
        <v>12.0</v>
      </c>
      <c r="J230" s="20"/>
      <c r="K230" s="20">
        <v>2.0</v>
      </c>
      <c r="L230" s="20">
        <v>2.0</v>
      </c>
      <c r="N230" s="24"/>
      <c r="O230" s="19">
        <f>$G$22</f>
        <v>14</v>
      </c>
      <c r="P230" s="40">
        <f t="shared" ref="P230:T230" si="215">H230/H$240</f>
        <v>0.04838709677</v>
      </c>
      <c r="Q230" s="40">
        <f t="shared" si="215"/>
        <v>0.1132075472</v>
      </c>
      <c r="R230" s="40">
        <f t="shared" si="215"/>
        <v>0</v>
      </c>
      <c r="S230" s="40">
        <f t="shared" si="215"/>
        <v>0.1</v>
      </c>
      <c r="T230" s="40">
        <f t="shared" si="215"/>
        <v>0.125</v>
      </c>
    </row>
    <row r="231" ht="15.75" customHeight="1">
      <c r="F231" s="24"/>
      <c r="G231" s="19">
        <f>$G$23</f>
        <v>15</v>
      </c>
      <c r="H231" s="20">
        <v>14.0</v>
      </c>
      <c r="I231" s="20">
        <v>2.0</v>
      </c>
      <c r="J231" s="20"/>
      <c r="K231" s="20">
        <v>3.0</v>
      </c>
      <c r="L231" s="20">
        <v>1.0</v>
      </c>
      <c r="N231" s="24"/>
      <c r="O231" s="19">
        <f>$G$23</f>
        <v>15</v>
      </c>
      <c r="P231" s="40">
        <f t="shared" ref="P231:T231" si="216">H231/H$240</f>
        <v>0.0564516129</v>
      </c>
      <c r="Q231" s="40">
        <f t="shared" si="216"/>
        <v>0.01886792453</v>
      </c>
      <c r="R231" s="40">
        <f t="shared" si="216"/>
        <v>0</v>
      </c>
      <c r="S231" s="40">
        <f t="shared" si="216"/>
        <v>0.15</v>
      </c>
      <c r="T231" s="40">
        <f t="shared" si="216"/>
        <v>0.0625</v>
      </c>
    </row>
    <row r="232" ht="15.75" customHeight="1">
      <c r="F232" s="24"/>
      <c r="G232" s="19">
        <f>$G$24</f>
        <v>16</v>
      </c>
      <c r="H232" s="20">
        <v>14.0</v>
      </c>
      <c r="I232" s="20">
        <v>4.0</v>
      </c>
      <c r="J232" s="20"/>
      <c r="K232" s="20">
        <v>1.0</v>
      </c>
      <c r="L232" s="20"/>
      <c r="N232" s="24"/>
      <c r="O232" s="19">
        <f>$G$24</f>
        <v>16</v>
      </c>
      <c r="P232" s="40">
        <f t="shared" ref="P232:T232" si="217">H232/H$240</f>
        <v>0.0564516129</v>
      </c>
      <c r="Q232" s="40">
        <f t="shared" si="217"/>
        <v>0.03773584906</v>
      </c>
      <c r="R232" s="40">
        <f t="shared" si="217"/>
        <v>0</v>
      </c>
      <c r="S232" s="40">
        <f t="shared" si="217"/>
        <v>0.05</v>
      </c>
      <c r="T232" s="40">
        <f t="shared" si="217"/>
        <v>0</v>
      </c>
    </row>
    <row r="233" ht="15.75" customHeight="1">
      <c r="F233" s="24"/>
      <c r="G233" s="19">
        <f>$G$25</f>
        <v>17</v>
      </c>
      <c r="H233" s="20">
        <v>29.0</v>
      </c>
      <c r="I233" s="20">
        <v>11.0</v>
      </c>
      <c r="J233" s="20">
        <v>1.0</v>
      </c>
      <c r="K233" s="20"/>
      <c r="L233" s="20">
        <v>1.0</v>
      </c>
      <c r="N233" s="24"/>
      <c r="O233" s="19">
        <f>$G$25</f>
        <v>17</v>
      </c>
      <c r="P233" s="40">
        <f t="shared" ref="P233:T233" si="218">H233/H$240</f>
        <v>0.1169354839</v>
      </c>
      <c r="Q233" s="40">
        <f t="shared" si="218"/>
        <v>0.1037735849</v>
      </c>
      <c r="R233" s="40">
        <f t="shared" si="218"/>
        <v>1</v>
      </c>
      <c r="S233" s="40">
        <f t="shared" si="218"/>
        <v>0</v>
      </c>
      <c r="T233" s="40">
        <f t="shared" si="218"/>
        <v>0.0625</v>
      </c>
    </row>
    <row r="234" ht="15.75" customHeight="1">
      <c r="F234" s="24"/>
      <c r="G234" s="19">
        <f>$G$26</f>
        <v>18</v>
      </c>
      <c r="H234" s="20">
        <v>17.0</v>
      </c>
      <c r="I234" s="20">
        <v>5.0</v>
      </c>
      <c r="J234" s="20"/>
      <c r="K234" s="20">
        <v>3.0</v>
      </c>
      <c r="L234" s="20">
        <v>1.0</v>
      </c>
      <c r="N234" s="24"/>
      <c r="O234" s="19">
        <f>$G$26</f>
        <v>18</v>
      </c>
      <c r="P234" s="40">
        <f t="shared" ref="P234:T234" si="219">H234/H$240</f>
        <v>0.0685483871</v>
      </c>
      <c r="Q234" s="40">
        <f t="shared" si="219"/>
        <v>0.04716981132</v>
      </c>
      <c r="R234" s="40">
        <f t="shared" si="219"/>
        <v>0</v>
      </c>
      <c r="S234" s="40">
        <f t="shared" si="219"/>
        <v>0.15</v>
      </c>
      <c r="T234" s="40">
        <f t="shared" si="219"/>
        <v>0.0625</v>
      </c>
    </row>
    <row r="235" ht="15.75" customHeight="1">
      <c r="F235" s="24"/>
      <c r="G235" s="19">
        <f>$G$27</f>
        <v>19</v>
      </c>
      <c r="H235" s="20">
        <v>12.0</v>
      </c>
      <c r="I235" s="20">
        <v>6.0</v>
      </c>
      <c r="J235" s="20"/>
      <c r="K235" s="20"/>
      <c r="L235" s="20"/>
      <c r="N235" s="24"/>
      <c r="O235" s="19">
        <f>$G$27</f>
        <v>19</v>
      </c>
      <c r="P235" s="40">
        <f t="shared" ref="P235:T235" si="220">H235/H$240</f>
        <v>0.04838709677</v>
      </c>
      <c r="Q235" s="40">
        <f t="shared" si="220"/>
        <v>0.05660377358</v>
      </c>
      <c r="R235" s="40">
        <f t="shared" si="220"/>
        <v>0</v>
      </c>
      <c r="S235" s="40">
        <f t="shared" si="220"/>
        <v>0</v>
      </c>
      <c r="T235" s="40">
        <f t="shared" si="220"/>
        <v>0</v>
      </c>
    </row>
    <row r="236" ht="15.75" customHeight="1">
      <c r="F236" s="24"/>
      <c r="G236" s="19">
        <f>$G$28</f>
        <v>20</v>
      </c>
      <c r="H236" s="20">
        <v>11.0</v>
      </c>
      <c r="I236" s="20">
        <v>2.0</v>
      </c>
      <c r="J236" s="20"/>
      <c r="K236" s="20"/>
      <c r="L236" s="20">
        <v>1.0</v>
      </c>
      <c r="N236" s="24"/>
      <c r="O236" s="19">
        <f>$G$28</f>
        <v>20</v>
      </c>
      <c r="P236" s="40">
        <f t="shared" ref="P236:T236" si="221">H236/H$240</f>
        <v>0.04435483871</v>
      </c>
      <c r="Q236" s="40">
        <f t="shared" si="221"/>
        <v>0.01886792453</v>
      </c>
      <c r="R236" s="40">
        <f t="shared" si="221"/>
        <v>0</v>
      </c>
      <c r="S236" s="40">
        <f t="shared" si="221"/>
        <v>0</v>
      </c>
      <c r="T236" s="40">
        <f t="shared" si="221"/>
        <v>0.0625</v>
      </c>
    </row>
    <row r="237" ht="15.75" customHeight="1">
      <c r="F237" s="24"/>
      <c r="G237" s="19">
        <f>$G$29</f>
        <v>21</v>
      </c>
      <c r="H237" s="20">
        <v>6.0</v>
      </c>
      <c r="I237" s="20">
        <v>1.0</v>
      </c>
      <c r="J237" s="20"/>
      <c r="K237" s="20"/>
      <c r="L237" s="20">
        <v>1.0</v>
      </c>
      <c r="N237" s="24"/>
      <c r="O237" s="19">
        <f>$G$29</f>
        <v>21</v>
      </c>
      <c r="P237" s="40">
        <f t="shared" ref="P237:T237" si="222">H237/H$240</f>
        <v>0.02419354839</v>
      </c>
      <c r="Q237" s="40">
        <f t="shared" si="222"/>
        <v>0.009433962264</v>
      </c>
      <c r="R237" s="40">
        <f t="shared" si="222"/>
        <v>0</v>
      </c>
      <c r="S237" s="40">
        <f t="shared" si="222"/>
        <v>0</v>
      </c>
      <c r="T237" s="40">
        <f t="shared" si="222"/>
        <v>0.0625</v>
      </c>
    </row>
    <row r="238" ht="15.75" customHeight="1">
      <c r="F238" s="24"/>
      <c r="G238" s="19">
        <f>$G$30</f>
        <v>22</v>
      </c>
      <c r="H238" s="20">
        <v>6.0</v>
      </c>
      <c r="I238" s="20"/>
      <c r="J238" s="20"/>
      <c r="K238" s="20"/>
      <c r="L238" s="20">
        <v>1.0</v>
      </c>
      <c r="N238" s="24"/>
      <c r="O238" s="19">
        <f>$G$30</f>
        <v>22</v>
      </c>
      <c r="P238" s="40">
        <f t="shared" ref="P238:T238" si="223">H238/H$240</f>
        <v>0.02419354839</v>
      </c>
      <c r="Q238" s="40">
        <f t="shared" si="223"/>
        <v>0</v>
      </c>
      <c r="R238" s="40">
        <f t="shared" si="223"/>
        <v>0</v>
      </c>
      <c r="S238" s="40">
        <f t="shared" si="223"/>
        <v>0</v>
      </c>
      <c r="T238" s="40">
        <f t="shared" si="223"/>
        <v>0.0625</v>
      </c>
    </row>
    <row r="239" ht="15.75" customHeight="1">
      <c r="F239" s="28"/>
      <c r="G239" s="19">
        <f>$G$31</f>
        <v>23</v>
      </c>
      <c r="H239" s="20">
        <v>7.0</v>
      </c>
      <c r="I239" s="20"/>
      <c r="J239" s="20"/>
      <c r="K239" s="20"/>
      <c r="L239" s="20"/>
      <c r="N239" s="28"/>
      <c r="O239" s="19">
        <f>$G$31</f>
        <v>23</v>
      </c>
      <c r="P239" s="40">
        <f t="shared" ref="P239:T239" si="224">H239/H$240</f>
        <v>0.02822580645</v>
      </c>
      <c r="Q239" s="40">
        <f t="shared" si="224"/>
        <v>0</v>
      </c>
      <c r="R239" s="40">
        <f t="shared" si="224"/>
        <v>0</v>
      </c>
      <c r="S239" s="40">
        <f t="shared" si="224"/>
        <v>0</v>
      </c>
      <c r="T239" s="40">
        <f t="shared" si="224"/>
        <v>0</v>
      </c>
    </row>
    <row r="240" ht="15.75" customHeight="1">
      <c r="F240" s="111"/>
      <c r="G240" s="112"/>
      <c r="H240" s="26">
        <f t="shared" ref="H240:L240" si="225">SUM(H216:H239)</f>
        <v>248</v>
      </c>
      <c r="I240" s="26">
        <f t="shared" si="225"/>
        <v>106</v>
      </c>
      <c r="J240" s="26">
        <f t="shared" si="225"/>
        <v>1</v>
      </c>
      <c r="K240" s="26">
        <f t="shared" si="225"/>
        <v>20</v>
      </c>
      <c r="L240" s="26">
        <f t="shared" si="225"/>
        <v>16</v>
      </c>
    </row>
    <row r="241" ht="15.75" customHeight="1">
      <c r="G241" s="16"/>
      <c r="H241" s="17">
        <f>$H$7</f>
        <v>31</v>
      </c>
      <c r="I241" s="17">
        <f>$I$7</f>
        <v>32</v>
      </c>
      <c r="J241" s="17">
        <f>$J$7</f>
        <v>41</v>
      </c>
      <c r="K241" s="17">
        <f>$K$7</f>
        <v>42</v>
      </c>
      <c r="L241" s="17">
        <f>$L$7</f>
        <v>5</v>
      </c>
      <c r="O241" s="16"/>
      <c r="P241" s="17">
        <f>$H$7</f>
        <v>31</v>
      </c>
      <c r="Q241" s="17">
        <f>$I$7</f>
        <v>32</v>
      </c>
      <c r="R241" s="17">
        <f>$J$7</f>
        <v>41</v>
      </c>
      <c r="S241" s="17">
        <f>$K$7</f>
        <v>42</v>
      </c>
      <c r="T241" s="17">
        <f>$L$7</f>
        <v>5</v>
      </c>
    </row>
    <row r="242" ht="15.75" customHeight="1">
      <c r="F242" s="56">
        <v>45216.0</v>
      </c>
      <c r="G242" s="19">
        <f>$G$8</f>
        <v>0</v>
      </c>
      <c r="H242" s="20">
        <v>2.0</v>
      </c>
      <c r="I242" s="20"/>
      <c r="J242" s="20"/>
      <c r="K242" s="20"/>
      <c r="L242" s="20">
        <v>1.0</v>
      </c>
      <c r="N242" s="56">
        <v>45216.0</v>
      </c>
      <c r="O242" s="19">
        <f>$G$8</f>
        <v>0</v>
      </c>
      <c r="P242" s="40">
        <f t="shared" ref="P242:T242" si="226">H242/H$266</f>
        <v>0.0078125</v>
      </c>
      <c r="Q242" s="40">
        <f t="shared" si="226"/>
        <v>0</v>
      </c>
      <c r="R242" s="40">
        <f t="shared" si="226"/>
        <v>0</v>
      </c>
      <c r="S242" s="40">
        <f t="shared" si="226"/>
        <v>0</v>
      </c>
      <c r="T242" s="40">
        <f t="shared" si="226"/>
        <v>0.02380952381</v>
      </c>
    </row>
    <row r="243" ht="15.75" customHeight="1">
      <c r="F243" s="24"/>
      <c r="G243" s="19">
        <f>$G$9</f>
        <v>1</v>
      </c>
      <c r="H243" s="20">
        <v>1.0</v>
      </c>
      <c r="I243" s="20">
        <v>2.0</v>
      </c>
      <c r="J243" s="20"/>
      <c r="K243" s="20"/>
      <c r="L243" s="20"/>
      <c r="N243" s="24"/>
      <c r="O243" s="19">
        <f>$G$9</f>
        <v>1</v>
      </c>
      <c r="P243" s="40">
        <f t="shared" ref="P243:T243" si="227">H243/H$266</f>
        <v>0.00390625</v>
      </c>
      <c r="Q243" s="40">
        <f t="shared" si="227"/>
        <v>0.01769911504</v>
      </c>
      <c r="R243" s="40">
        <f t="shared" si="227"/>
        <v>0</v>
      </c>
      <c r="S243" s="40">
        <f t="shared" si="227"/>
        <v>0</v>
      </c>
      <c r="T243" s="40">
        <f t="shared" si="227"/>
        <v>0</v>
      </c>
    </row>
    <row r="244" ht="15.75" customHeight="1">
      <c r="F244" s="24"/>
      <c r="G244" s="19">
        <f>$G$10</f>
        <v>2</v>
      </c>
      <c r="H244" s="16"/>
      <c r="I244" s="16">
        <v>1.0</v>
      </c>
      <c r="J244" s="16"/>
      <c r="K244" s="16"/>
      <c r="L244" s="16"/>
      <c r="N244" s="24"/>
      <c r="O244" s="19">
        <f>$G$10</f>
        <v>2</v>
      </c>
      <c r="P244" s="40">
        <f t="shared" ref="P244:T244" si="228">H244/H$266</f>
        <v>0</v>
      </c>
      <c r="Q244" s="40">
        <f t="shared" si="228"/>
        <v>0.008849557522</v>
      </c>
      <c r="R244" s="40">
        <f t="shared" si="228"/>
        <v>0</v>
      </c>
      <c r="S244" s="40">
        <f t="shared" si="228"/>
        <v>0</v>
      </c>
      <c r="T244" s="40">
        <f t="shared" si="228"/>
        <v>0</v>
      </c>
    </row>
    <row r="245" ht="15.75" customHeight="1">
      <c r="F245" s="24"/>
      <c r="G245" s="19">
        <f>$G$11</f>
        <v>3</v>
      </c>
      <c r="H245" s="20"/>
      <c r="I245" s="20"/>
      <c r="J245" s="20"/>
      <c r="K245" s="20">
        <v>1.0</v>
      </c>
      <c r="L245" s="20"/>
      <c r="N245" s="24"/>
      <c r="O245" s="19">
        <f>$G$11</f>
        <v>3</v>
      </c>
      <c r="P245" s="40">
        <f t="shared" ref="P245:T245" si="229">H245/H$266</f>
        <v>0</v>
      </c>
      <c r="Q245" s="40">
        <f t="shared" si="229"/>
        <v>0</v>
      </c>
      <c r="R245" s="40">
        <f t="shared" si="229"/>
        <v>0</v>
      </c>
      <c r="S245" s="40">
        <f t="shared" si="229"/>
        <v>0.07142857143</v>
      </c>
      <c r="T245" s="40">
        <f t="shared" si="229"/>
        <v>0</v>
      </c>
    </row>
    <row r="246" ht="15.75" customHeight="1">
      <c r="F246" s="24"/>
      <c r="G246" s="19">
        <f>$G$12</f>
        <v>4</v>
      </c>
      <c r="H246" s="20">
        <v>3.0</v>
      </c>
      <c r="I246" s="20">
        <v>2.0</v>
      </c>
      <c r="J246" s="20"/>
      <c r="K246" s="20"/>
      <c r="L246" s="20"/>
      <c r="N246" s="24"/>
      <c r="O246" s="19">
        <f>$G$12</f>
        <v>4</v>
      </c>
      <c r="P246" s="40">
        <f t="shared" ref="P246:T246" si="230">H246/H$266</f>
        <v>0.01171875</v>
      </c>
      <c r="Q246" s="40">
        <f t="shared" si="230"/>
        <v>0.01769911504</v>
      </c>
      <c r="R246" s="40">
        <f t="shared" si="230"/>
        <v>0</v>
      </c>
      <c r="S246" s="40">
        <f t="shared" si="230"/>
        <v>0</v>
      </c>
      <c r="T246" s="40">
        <f t="shared" si="230"/>
        <v>0</v>
      </c>
    </row>
    <row r="247" ht="15.75" customHeight="1">
      <c r="F247" s="24"/>
      <c r="G247" s="19">
        <f>$G$13</f>
        <v>5</v>
      </c>
      <c r="H247" s="20">
        <v>3.0</v>
      </c>
      <c r="I247" s="20"/>
      <c r="J247" s="20"/>
      <c r="K247" s="20">
        <v>1.0</v>
      </c>
      <c r="L247" s="20"/>
      <c r="N247" s="24"/>
      <c r="O247" s="19">
        <f>$G$13</f>
        <v>5</v>
      </c>
      <c r="P247" s="40">
        <f t="shared" ref="P247:T247" si="231">H247/H$266</f>
        <v>0.01171875</v>
      </c>
      <c r="Q247" s="40">
        <f t="shared" si="231"/>
        <v>0</v>
      </c>
      <c r="R247" s="40">
        <f t="shared" si="231"/>
        <v>0</v>
      </c>
      <c r="S247" s="40">
        <f t="shared" si="231"/>
        <v>0.07142857143</v>
      </c>
      <c r="T247" s="40">
        <f t="shared" si="231"/>
        <v>0</v>
      </c>
    </row>
    <row r="248" ht="15.75" customHeight="1">
      <c r="F248" s="24"/>
      <c r="G248" s="19">
        <f>$G$14</f>
        <v>6</v>
      </c>
      <c r="H248" s="20">
        <v>5.0</v>
      </c>
      <c r="I248" s="20">
        <v>3.0</v>
      </c>
      <c r="J248" s="20"/>
      <c r="K248" s="20">
        <v>1.0</v>
      </c>
      <c r="L248" s="20"/>
      <c r="N248" s="24"/>
      <c r="O248" s="19">
        <f>$G$14</f>
        <v>6</v>
      </c>
      <c r="P248" s="40">
        <f t="shared" ref="P248:T248" si="232">H248/H$266</f>
        <v>0.01953125</v>
      </c>
      <c r="Q248" s="40">
        <f t="shared" si="232"/>
        <v>0.02654867257</v>
      </c>
      <c r="R248" s="40">
        <f t="shared" si="232"/>
        <v>0</v>
      </c>
      <c r="S248" s="40">
        <f t="shared" si="232"/>
        <v>0.07142857143</v>
      </c>
      <c r="T248" s="40">
        <f t="shared" si="232"/>
        <v>0</v>
      </c>
    </row>
    <row r="249" ht="15.75" customHeight="1">
      <c r="F249" s="24"/>
      <c r="G249" s="19">
        <f>$G$15</f>
        <v>7</v>
      </c>
      <c r="H249" s="20">
        <v>24.0</v>
      </c>
      <c r="I249" s="20">
        <v>4.0</v>
      </c>
      <c r="J249" s="20"/>
      <c r="K249" s="20">
        <v>1.0</v>
      </c>
      <c r="L249" s="20">
        <v>1.0</v>
      </c>
      <c r="N249" s="24"/>
      <c r="O249" s="19">
        <f>$G$15</f>
        <v>7</v>
      </c>
      <c r="P249" s="40">
        <f t="shared" ref="P249:T249" si="233">H249/H$266</f>
        <v>0.09375</v>
      </c>
      <c r="Q249" s="40">
        <f t="shared" si="233"/>
        <v>0.03539823009</v>
      </c>
      <c r="R249" s="40">
        <f t="shared" si="233"/>
        <v>0</v>
      </c>
      <c r="S249" s="40">
        <f t="shared" si="233"/>
        <v>0.07142857143</v>
      </c>
      <c r="T249" s="40">
        <f t="shared" si="233"/>
        <v>0.02380952381</v>
      </c>
    </row>
    <row r="250" ht="15.75" customHeight="1">
      <c r="F250" s="24"/>
      <c r="G250" s="19">
        <f>$G$16</f>
        <v>8</v>
      </c>
      <c r="H250" s="20">
        <v>14.0</v>
      </c>
      <c r="I250" s="20">
        <v>6.0</v>
      </c>
      <c r="J250" s="20"/>
      <c r="K250" s="20">
        <v>1.0</v>
      </c>
      <c r="L250" s="20">
        <v>5.0</v>
      </c>
      <c r="N250" s="24"/>
      <c r="O250" s="19">
        <f>$G$16</f>
        <v>8</v>
      </c>
      <c r="P250" s="40">
        <f t="shared" ref="P250:T250" si="234">H250/H$266</f>
        <v>0.0546875</v>
      </c>
      <c r="Q250" s="40">
        <f t="shared" si="234"/>
        <v>0.05309734513</v>
      </c>
      <c r="R250" s="40">
        <f t="shared" si="234"/>
        <v>0</v>
      </c>
      <c r="S250" s="40">
        <f t="shared" si="234"/>
        <v>0.07142857143</v>
      </c>
      <c r="T250" s="40">
        <f t="shared" si="234"/>
        <v>0.119047619</v>
      </c>
    </row>
    <row r="251" ht="15.75" customHeight="1">
      <c r="F251" s="24"/>
      <c r="G251" s="19">
        <f>$G$17</f>
        <v>9</v>
      </c>
      <c r="H251" s="20">
        <v>13.0</v>
      </c>
      <c r="I251" s="20">
        <v>7.0</v>
      </c>
      <c r="J251" s="20"/>
      <c r="K251" s="20">
        <v>2.0</v>
      </c>
      <c r="L251" s="20">
        <v>6.0</v>
      </c>
      <c r="N251" s="24"/>
      <c r="O251" s="19">
        <f>$G$17</f>
        <v>9</v>
      </c>
      <c r="P251" s="40">
        <f t="shared" ref="P251:T251" si="235">H251/H$266</f>
        <v>0.05078125</v>
      </c>
      <c r="Q251" s="40">
        <f t="shared" si="235"/>
        <v>0.06194690265</v>
      </c>
      <c r="R251" s="40">
        <f t="shared" si="235"/>
        <v>0</v>
      </c>
      <c r="S251" s="40">
        <f t="shared" si="235"/>
        <v>0.1428571429</v>
      </c>
      <c r="T251" s="40">
        <f t="shared" si="235"/>
        <v>0.1428571429</v>
      </c>
    </row>
    <row r="252" ht="15.75" customHeight="1">
      <c r="F252" s="24"/>
      <c r="G252" s="19">
        <f>$G$18</f>
        <v>10</v>
      </c>
      <c r="H252" s="20">
        <v>12.0</v>
      </c>
      <c r="I252" s="20">
        <v>10.0</v>
      </c>
      <c r="J252" s="20"/>
      <c r="K252" s="20"/>
      <c r="L252" s="20">
        <v>5.0</v>
      </c>
      <c r="N252" s="24"/>
      <c r="O252" s="19">
        <f>$G$18</f>
        <v>10</v>
      </c>
      <c r="P252" s="40">
        <f t="shared" ref="P252:T252" si="236">H252/H$266</f>
        <v>0.046875</v>
      </c>
      <c r="Q252" s="40">
        <f t="shared" si="236"/>
        <v>0.08849557522</v>
      </c>
      <c r="R252" s="40">
        <f t="shared" si="236"/>
        <v>0</v>
      </c>
      <c r="S252" s="40">
        <f t="shared" si="236"/>
        <v>0</v>
      </c>
      <c r="T252" s="40">
        <f t="shared" si="236"/>
        <v>0.119047619</v>
      </c>
    </row>
    <row r="253" ht="15.75" customHeight="1">
      <c r="F253" s="24"/>
      <c r="G253" s="19">
        <f>$G$19</f>
        <v>11</v>
      </c>
      <c r="H253" s="20">
        <v>20.0</v>
      </c>
      <c r="I253" s="20">
        <v>8.0</v>
      </c>
      <c r="J253" s="20"/>
      <c r="K253" s="20">
        <v>1.0</v>
      </c>
      <c r="L253" s="20">
        <v>2.0</v>
      </c>
      <c r="N253" s="24"/>
      <c r="O253" s="19">
        <f>$G$19</f>
        <v>11</v>
      </c>
      <c r="P253" s="40">
        <f t="shared" ref="P253:T253" si="237">H253/H$266</f>
        <v>0.078125</v>
      </c>
      <c r="Q253" s="40">
        <f t="shared" si="237"/>
        <v>0.07079646018</v>
      </c>
      <c r="R253" s="40">
        <f t="shared" si="237"/>
        <v>0</v>
      </c>
      <c r="S253" s="40">
        <f t="shared" si="237"/>
        <v>0.07142857143</v>
      </c>
      <c r="T253" s="40">
        <f t="shared" si="237"/>
        <v>0.04761904762</v>
      </c>
    </row>
    <row r="254" ht="15.75" customHeight="1">
      <c r="F254" s="24"/>
      <c r="G254" s="19">
        <f>$G$20</f>
        <v>12</v>
      </c>
      <c r="H254" s="20">
        <v>14.0</v>
      </c>
      <c r="I254" s="20">
        <v>3.0</v>
      </c>
      <c r="J254" s="20">
        <v>1.0</v>
      </c>
      <c r="K254" s="20">
        <v>2.0</v>
      </c>
      <c r="L254" s="20">
        <v>1.0</v>
      </c>
      <c r="N254" s="24"/>
      <c r="O254" s="19">
        <f>$G$20</f>
        <v>12</v>
      </c>
      <c r="P254" s="40">
        <f t="shared" ref="P254:T254" si="238">H254/H$266</f>
        <v>0.0546875</v>
      </c>
      <c r="Q254" s="40">
        <f t="shared" si="238"/>
        <v>0.02654867257</v>
      </c>
      <c r="R254" s="40">
        <f t="shared" si="238"/>
        <v>0.5</v>
      </c>
      <c r="S254" s="40">
        <f t="shared" si="238"/>
        <v>0.1428571429</v>
      </c>
      <c r="T254" s="40">
        <f t="shared" si="238"/>
        <v>0.02380952381</v>
      </c>
    </row>
    <row r="255" ht="15.75" customHeight="1">
      <c r="F255" s="24"/>
      <c r="G255" s="19">
        <f>$G$21</f>
        <v>13</v>
      </c>
      <c r="H255" s="20">
        <v>8.0</v>
      </c>
      <c r="I255" s="20">
        <v>10.0</v>
      </c>
      <c r="J255" s="20"/>
      <c r="K255" s="20">
        <v>1.0</v>
      </c>
      <c r="L255" s="20">
        <v>5.0</v>
      </c>
      <c r="N255" s="24"/>
      <c r="O255" s="19">
        <f>$G$21</f>
        <v>13</v>
      </c>
      <c r="P255" s="40">
        <f t="shared" ref="P255:T255" si="239">H255/H$266</f>
        <v>0.03125</v>
      </c>
      <c r="Q255" s="40">
        <f t="shared" si="239"/>
        <v>0.08849557522</v>
      </c>
      <c r="R255" s="40">
        <f t="shared" si="239"/>
        <v>0</v>
      </c>
      <c r="S255" s="40">
        <f t="shared" si="239"/>
        <v>0.07142857143</v>
      </c>
      <c r="T255" s="40">
        <f t="shared" si="239"/>
        <v>0.119047619</v>
      </c>
    </row>
    <row r="256" ht="15.75" customHeight="1">
      <c r="F256" s="24"/>
      <c r="G256" s="19">
        <f>$G$22</f>
        <v>14</v>
      </c>
      <c r="H256" s="20">
        <v>13.0</v>
      </c>
      <c r="I256" s="20">
        <v>5.0</v>
      </c>
      <c r="J256" s="20"/>
      <c r="K256" s="20"/>
      <c r="L256" s="20">
        <v>6.0</v>
      </c>
      <c r="N256" s="24"/>
      <c r="O256" s="19">
        <f>$G$22</f>
        <v>14</v>
      </c>
      <c r="P256" s="40">
        <f t="shared" ref="P256:T256" si="240">H256/H$266</f>
        <v>0.05078125</v>
      </c>
      <c r="Q256" s="40">
        <f t="shared" si="240"/>
        <v>0.04424778761</v>
      </c>
      <c r="R256" s="40">
        <f t="shared" si="240"/>
        <v>0</v>
      </c>
      <c r="S256" s="40">
        <f t="shared" si="240"/>
        <v>0</v>
      </c>
      <c r="T256" s="40">
        <f t="shared" si="240"/>
        <v>0.1428571429</v>
      </c>
    </row>
    <row r="257" ht="15.75" customHeight="1">
      <c r="F257" s="24"/>
      <c r="G257" s="19">
        <f>$G$23</f>
        <v>15</v>
      </c>
      <c r="H257" s="20">
        <v>10.0</v>
      </c>
      <c r="I257" s="20">
        <v>10.0</v>
      </c>
      <c r="J257" s="20"/>
      <c r="K257" s="20">
        <v>2.0</v>
      </c>
      <c r="L257" s="20">
        <v>4.0</v>
      </c>
      <c r="N257" s="24"/>
      <c r="O257" s="19">
        <f>$G$23</f>
        <v>15</v>
      </c>
      <c r="P257" s="40">
        <f t="shared" ref="P257:T257" si="241">H257/H$266</f>
        <v>0.0390625</v>
      </c>
      <c r="Q257" s="40">
        <f t="shared" si="241"/>
        <v>0.08849557522</v>
      </c>
      <c r="R257" s="40">
        <f t="shared" si="241"/>
        <v>0</v>
      </c>
      <c r="S257" s="40">
        <f t="shared" si="241"/>
        <v>0.1428571429</v>
      </c>
      <c r="T257" s="40">
        <f t="shared" si="241"/>
        <v>0.09523809524</v>
      </c>
    </row>
    <row r="258" ht="15.75" customHeight="1">
      <c r="F258" s="24"/>
      <c r="G258" s="19">
        <f>$G$24</f>
        <v>16</v>
      </c>
      <c r="H258" s="20">
        <v>16.0</v>
      </c>
      <c r="I258" s="20">
        <v>10.0</v>
      </c>
      <c r="J258" s="20"/>
      <c r="K258" s="20">
        <v>1.0</v>
      </c>
      <c r="L258" s="20">
        <v>2.0</v>
      </c>
      <c r="N258" s="24"/>
      <c r="O258" s="19">
        <f>$G$24</f>
        <v>16</v>
      </c>
      <c r="P258" s="40">
        <f t="shared" ref="P258:T258" si="242">H258/H$266</f>
        <v>0.0625</v>
      </c>
      <c r="Q258" s="40">
        <f t="shared" si="242"/>
        <v>0.08849557522</v>
      </c>
      <c r="R258" s="40">
        <f t="shared" si="242"/>
        <v>0</v>
      </c>
      <c r="S258" s="40">
        <f t="shared" si="242"/>
        <v>0.07142857143</v>
      </c>
      <c r="T258" s="40">
        <f t="shared" si="242"/>
        <v>0.04761904762</v>
      </c>
    </row>
    <row r="259" ht="15.75" customHeight="1">
      <c r="F259" s="24"/>
      <c r="G259" s="19">
        <f>$G$25</f>
        <v>17</v>
      </c>
      <c r="H259" s="20">
        <v>25.0</v>
      </c>
      <c r="I259" s="20">
        <v>7.0</v>
      </c>
      <c r="J259" s="20">
        <v>1.0</v>
      </c>
      <c r="K259" s="20"/>
      <c r="L259" s="20">
        <v>1.0</v>
      </c>
      <c r="N259" s="24"/>
      <c r="O259" s="19">
        <f>$G$25</f>
        <v>17</v>
      </c>
      <c r="P259" s="40">
        <f t="shared" ref="P259:T259" si="243">H259/H$266</f>
        <v>0.09765625</v>
      </c>
      <c r="Q259" s="40">
        <f t="shared" si="243"/>
        <v>0.06194690265</v>
      </c>
      <c r="R259" s="40">
        <f t="shared" si="243"/>
        <v>0.5</v>
      </c>
      <c r="S259" s="40">
        <f t="shared" si="243"/>
        <v>0</v>
      </c>
      <c r="T259" s="40">
        <f t="shared" si="243"/>
        <v>0.02380952381</v>
      </c>
    </row>
    <row r="260" ht="15.75" customHeight="1">
      <c r="F260" s="24"/>
      <c r="G260" s="19">
        <f>$G$26</f>
        <v>18</v>
      </c>
      <c r="H260" s="20">
        <v>19.0</v>
      </c>
      <c r="I260" s="20">
        <v>5.0</v>
      </c>
      <c r="J260" s="20"/>
      <c r="K260" s="20"/>
      <c r="L260" s="20"/>
      <c r="N260" s="24"/>
      <c r="O260" s="19">
        <f>$G$26</f>
        <v>18</v>
      </c>
      <c r="P260" s="40">
        <f t="shared" ref="P260:T260" si="244">H260/H$266</f>
        <v>0.07421875</v>
      </c>
      <c r="Q260" s="40">
        <f t="shared" si="244"/>
        <v>0.04424778761</v>
      </c>
      <c r="R260" s="40">
        <f t="shared" si="244"/>
        <v>0</v>
      </c>
      <c r="S260" s="40">
        <f t="shared" si="244"/>
        <v>0</v>
      </c>
      <c r="T260" s="40">
        <f t="shared" si="244"/>
        <v>0</v>
      </c>
    </row>
    <row r="261" ht="15.75" customHeight="1">
      <c r="F261" s="24"/>
      <c r="G261" s="19">
        <f>$G$27</f>
        <v>19</v>
      </c>
      <c r="H261" s="20">
        <v>11.0</v>
      </c>
      <c r="I261" s="20">
        <v>5.0</v>
      </c>
      <c r="J261" s="20"/>
      <c r="K261" s="20"/>
      <c r="L261" s="20">
        <v>1.0</v>
      </c>
      <c r="N261" s="24"/>
      <c r="O261" s="19">
        <f>$G$27</f>
        <v>19</v>
      </c>
      <c r="P261" s="40">
        <f t="shared" ref="P261:T261" si="245">H261/H$266</f>
        <v>0.04296875</v>
      </c>
      <c r="Q261" s="40">
        <f t="shared" si="245"/>
        <v>0.04424778761</v>
      </c>
      <c r="R261" s="40">
        <f t="shared" si="245"/>
        <v>0</v>
      </c>
      <c r="S261" s="40">
        <f t="shared" si="245"/>
        <v>0</v>
      </c>
      <c r="T261" s="40">
        <f t="shared" si="245"/>
        <v>0.02380952381</v>
      </c>
    </row>
    <row r="262" ht="15.75" customHeight="1">
      <c r="F262" s="24"/>
      <c r="G262" s="19">
        <f>$G$28</f>
        <v>20</v>
      </c>
      <c r="H262" s="20">
        <v>13.0</v>
      </c>
      <c r="I262" s="20">
        <v>6.0</v>
      </c>
      <c r="J262" s="20"/>
      <c r="K262" s="20"/>
      <c r="L262" s="20"/>
      <c r="N262" s="24"/>
      <c r="O262" s="19">
        <f>$G$28</f>
        <v>20</v>
      </c>
      <c r="P262" s="40">
        <f t="shared" ref="P262:T262" si="246">H262/H$266</f>
        <v>0.05078125</v>
      </c>
      <c r="Q262" s="40">
        <f t="shared" si="246"/>
        <v>0.05309734513</v>
      </c>
      <c r="R262" s="40">
        <f t="shared" si="246"/>
        <v>0</v>
      </c>
      <c r="S262" s="40">
        <f t="shared" si="246"/>
        <v>0</v>
      </c>
      <c r="T262" s="40">
        <f t="shared" si="246"/>
        <v>0</v>
      </c>
    </row>
    <row r="263" ht="15.75" customHeight="1">
      <c r="F263" s="24"/>
      <c r="G263" s="19">
        <f>$G$29</f>
        <v>21</v>
      </c>
      <c r="H263" s="20">
        <v>16.0</v>
      </c>
      <c r="I263" s="20">
        <v>5.0</v>
      </c>
      <c r="J263" s="20"/>
      <c r="K263" s="20"/>
      <c r="L263" s="20">
        <v>1.0</v>
      </c>
      <c r="N263" s="24"/>
      <c r="O263" s="19">
        <f>$G$29</f>
        <v>21</v>
      </c>
      <c r="P263" s="40">
        <f t="shared" ref="P263:T263" si="247">H263/H$266</f>
        <v>0.0625</v>
      </c>
      <c r="Q263" s="40">
        <f t="shared" si="247"/>
        <v>0.04424778761</v>
      </c>
      <c r="R263" s="40">
        <f t="shared" si="247"/>
        <v>0</v>
      </c>
      <c r="S263" s="40">
        <f t="shared" si="247"/>
        <v>0</v>
      </c>
      <c r="T263" s="40">
        <f t="shared" si="247"/>
        <v>0.02380952381</v>
      </c>
    </row>
    <row r="264" ht="15.75" customHeight="1">
      <c r="F264" s="24"/>
      <c r="G264" s="19">
        <f>$G$30</f>
        <v>22</v>
      </c>
      <c r="H264" s="20">
        <v>10.0</v>
      </c>
      <c r="I264" s="20">
        <v>3.0</v>
      </c>
      <c r="J264" s="20"/>
      <c r="K264" s="20"/>
      <c r="L264" s="20">
        <v>1.0</v>
      </c>
      <c r="N264" s="24"/>
      <c r="O264" s="19">
        <f>$G$30</f>
        <v>22</v>
      </c>
      <c r="P264" s="40">
        <f t="shared" ref="P264:T264" si="248">H264/H$266</f>
        <v>0.0390625</v>
      </c>
      <c r="Q264" s="40">
        <f t="shared" si="248"/>
        <v>0.02654867257</v>
      </c>
      <c r="R264" s="40">
        <f t="shared" si="248"/>
        <v>0</v>
      </c>
      <c r="S264" s="40">
        <f t="shared" si="248"/>
        <v>0</v>
      </c>
      <c r="T264" s="40">
        <f t="shared" si="248"/>
        <v>0.02380952381</v>
      </c>
    </row>
    <row r="265" ht="15.75" customHeight="1">
      <c r="F265" s="28"/>
      <c r="G265" s="19">
        <f>$G$31</f>
        <v>23</v>
      </c>
      <c r="H265" s="20">
        <v>4.0</v>
      </c>
      <c r="I265" s="20">
        <v>1.0</v>
      </c>
      <c r="J265" s="20"/>
      <c r="K265" s="20"/>
      <c r="L265" s="20"/>
      <c r="N265" s="28"/>
      <c r="O265" s="19">
        <f>$G$31</f>
        <v>23</v>
      </c>
      <c r="P265" s="40">
        <f t="shared" ref="P265:T265" si="249">H265/H$266</f>
        <v>0.015625</v>
      </c>
      <c r="Q265" s="40">
        <f t="shared" si="249"/>
        <v>0.008849557522</v>
      </c>
      <c r="R265" s="40">
        <f t="shared" si="249"/>
        <v>0</v>
      </c>
      <c r="S265" s="40">
        <f t="shared" si="249"/>
        <v>0</v>
      </c>
      <c r="T265" s="40">
        <f t="shared" si="249"/>
        <v>0</v>
      </c>
    </row>
    <row r="266" ht="15.75" customHeight="1">
      <c r="F266" s="111"/>
      <c r="G266" s="112"/>
      <c r="H266" s="26">
        <f t="shared" ref="H266:L266" si="250">SUM(H242:H265)</f>
        <v>256</v>
      </c>
      <c r="I266" s="26">
        <f t="shared" si="250"/>
        <v>113</v>
      </c>
      <c r="J266" s="26">
        <f t="shared" si="250"/>
        <v>2</v>
      </c>
      <c r="K266" s="26">
        <f t="shared" si="250"/>
        <v>14</v>
      </c>
      <c r="L266" s="26">
        <f t="shared" si="250"/>
        <v>42</v>
      </c>
    </row>
    <row r="267" ht="15.75" customHeight="1">
      <c r="G267" s="16"/>
      <c r="H267" s="17">
        <f>$H$7</f>
        <v>31</v>
      </c>
      <c r="I267" s="17">
        <f>$I$7</f>
        <v>32</v>
      </c>
      <c r="J267" s="17">
        <f>$J$7</f>
        <v>41</v>
      </c>
      <c r="K267" s="17">
        <f>$K$7</f>
        <v>42</v>
      </c>
      <c r="L267" s="17">
        <f>$L$7</f>
        <v>5</v>
      </c>
      <c r="O267" s="16"/>
      <c r="P267" s="17">
        <f>$H$7</f>
        <v>31</v>
      </c>
      <c r="Q267" s="17">
        <f>$I$7</f>
        <v>32</v>
      </c>
      <c r="R267" s="17">
        <f>$J$7</f>
        <v>41</v>
      </c>
      <c r="S267" s="17">
        <f>$K$7</f>
        <v>42</v>
      </c>
      <c r="T267" s="17">
        <f>$L$7</f>
        <v>5</v>
      </c>
    </row>
    <row r="268" ht="15.75" customHeight="1">
      <c r="F268" s="56">
        <v>45217.0</v>
      </c>
      <c r="G268" s="19">
        <f>$G$8</f>
        <v>0</v>
      </c>
      <c r="H268" s="20">
        <v>3.0</v>
      </c>
      <c r="I268" s="20"/>
      <c r="J268" s="20"/>
      <c r="K268" s="20"/>
      <c r="L268" s="20"/>
      <c r="N268" s="56">
        <v>45217.0</v>
      </c>
      <c r="O268" s="19">
        <f>$G$8</f>
        <v>0</v>
      </c>
      <c r="P268" s="40">
        <f t="shared" ref="P268:T268" si="251">H268/H$292</f>
        <v>0.01158301158</v>
      </c>
      <c r="Q268" s="40">
        <f t="shared" si="251"/>
        <v>0</v>
      </c>
      <c r="R268" s="40">
        <f t="shared" si="251"/>
        <v>0</v>
      </c>
      <c r="S268" s="40">
        <f t="shared" si="251"/>
        <v>0</v>
      </c>
      <c r="T268" s="40">
        <f t="shared" si="251"/>
        <v>0</v>
      </c>
    </row>
    <row r="269" ht="15.75" customHeight="1">
      <c r="F269" s="24"/>
      <c r="G269" s="19">
        <f>$G$9</f>
        <v>1</v>
      </c>
      <c r="H269" s="20">
        <v>1.0</v>
      </c>
      <c r="I269" s="20"/>
      <c r="J269" s="20"/>
      <c r="K269" s="20"/>
      <c r="L269" s="20"/>
      <c r="N269" s="24"/>
      <c r="O269" s="19">
        <f>$G$9</f>
        <v>1</v>
      </c>
      <c r="P269" s="40">
        <f t="shared" ref="P269:T269" si="252">H269/H$292</f>
        <v>0.003861003861</v>
      </c>
      <c r="Q269" s="40">
        <f t="shared" si="252"/>
        <v>0</v>
      </c>
      <c r="R269" s="40">
        <f t="shared" si="252"/>
        <v>0</v>
      </c>
      <c r="S269" s="40">
        <f t="shared" si="252"/>
        <v>0</v>
      </c>
      <c r="T269" s="40">
        <f t="shared" si="252"/>
        <v>0</v>
      </c>
    </row>
    <row r="270" ht="15.75" customHeight="1">
      <c r="F270" s="24"/>
      <c r="G270" s="19">
        <f>$G$10</f>
        <v>2</v>
      </c>
      <c r="H270" s="16">
        <v>3.0</v>
      </c>
      <c r="I270" s="16">
        <v>1.0</v>
      </c>
      <c r="J270" s="16">
        <v>1.0</v>
      </c>
      <c r="K270" s="16"/>
      <c r="L270" s="16"/>
      <c r="N270" s="24"/>
      <c r="O270" s="19">
        <f>$G$10</f>
        <v>2</v>
      </c>
      <c r="P270" s="40">
        <f t="shared" ref="P270:T270" si="253">H270/H$292</f>
        <v>0.01158301158</v>
      </c>
      <c r="Q270" s="40">
        <f t="shared" si="253"/>
        <v>0.01052631579</v>
      </c>
      <c r="R270" s="40">
        <f t="shared" si="253"/>
        <v>0.1666666667</v>
      </c>
      <c r="S270" s="40">
        <f t="shared" si="253"/>
        <v>0</v>
      </c>
      <c r="T270" s="40">
        <f t="shared" si="253"/>
        <v>0</v>
      </c>
    </row>
    <row r="271" ht="15.75" customHeight="1">
      <c r="F271" s="24"/>
      <c r="G271" s="19">
        <f>$G$11</f>
        <v>3</v>
      </c>
      <c r="H271" s="20">
        <v>1.0</v>
      </c>
      <c r="I271" s="20"/>
      <c r="J271" s="20"/>
      <c r="K271" s="20"/>
      <c r="L271" s="20"/>
      <c r="N271" s="24"/>
      <c r="O271" s="19">
        <f>$G$11</f>
        <v>3</v>
      </c>
      <c r="P271" s="40">
        <f t="shared" ref="P271:T271" si="254">H271/H$292</f>
        <v>0.003861003861</v>
      </c>
      <c r="Q271" s="40">
        <f t="shared" si="254"/>
        <v>0</v>
      </c>
      <c r="R271" s="40">
        <f t="shared" si="254"/>
        <v>0</v>
      </c>
      <c r="S271" s="40">
        <f t="shared" si="254"/>
        <v>0</v>
      </c>
      <c r="T271" s="40">
        <f t="shared" si="254"/>
        <v>0</v>
      </c>
    </row>
    <row r="272" ht="15.75" customHeight="1">
      <c r="F272" s="24"/>
      <c r="G272" s="19">
        <f>$G$12</f>
        <v>4</v>
      </c>
      <c r="H272" s="20">
        <v>2.0</v>
      </c>
      <c r="I272" s="20">
        <v>2.0</v>
      </c>
      <c r="J272" s="20"/>
      <c r="K272" s="20">
        <v>2.0</v>
      </c>
      <c r="L272" s="20"/>
      <c r="N272" s="24"/>
      <c r="O272" s="19">
        <f>$G$12</f>
        <v>4</v>
      </c>
      <c r="P272" s="40">
        <f t="shared" ref="P272:T272" si="255">H272/H$292</f>
        <v>0.007722007722</v>
      </c>
      <c r="Q272" s="40">
        <f t="shared" si="255"/>
        <v>0.02105263158</v>
      </c>
      <c r="R272" s="40">
        <f t="shared" si="255"/>
        <v>0</v>
      </c>
      <c r="S272" s="40">
        <f t="shared" si="255"/>
        <v>0.2</v>
      </c>
      <c r="T272" s="40">
        <f t="shared" si="255"/>
        <v>0</v>
      </c>
    </row>
    <row r="273" ht="15.75" customHeight="1">
      <c r="F273" s="24"/>
      <c r="G273" s="19">
        <f>$G$13</f>
        <v>5</v>
      </c>
      <c r="H273" s="20">
        <v>6.0</v>
      </c>
      <c r="I273" s="20">
        <v>3.0</v>
      </c>
      <c r="J273" s="20"/>
      <c r="K273" s="20"/>
      <c r="L273" s="20"/>
      <c r="N273" s="24"/>
      <c r="O273" s="19">
        <f>$G$13</f>
        <v>5</v>
      </c>
      <c r="P273" s="40">
        <f t="shared" ref="P273:T273" si="256">H273/H$292</f>
        <v>0.02316602317</v>
      </c>
      <c r="Q273" s="40">
        <f t="shared" si="256"/>
        <v>0.03157894737</v>
      </c>
      <c r="R273" s="40">
        <f t="shared" si="256"/>
        <v>0</v>
      </c>
      <c r="S273" s="40">
        <f t="shared" si="256"/>
        <v>0</v>
      </c>
      <c r="T273" s="40">
        <f t="shared" si="256"/>
        <v>0</v>
      </c>
    </row>
    <row r="274" ht="15.75" customHeight="1">
      <c r="F274" s="24"/>
      <c r="G274" s="19">
        <f>$G$14</f>
        <v>6</v>
      </c>
      <c r="H274" s="20">
        <v>3.0</v>
      </c>
      <c r="I274" s="20">
        <v>3.0</v>
      </c>
      <c r="J274" s="20"/>
      <c r="K274" s="20"/>
      <c r="L274" s="20">
        <v>1.0</v>
      </c>
      <c r="N274" s="24"/>
      <c r="O274" s="19">
        <f>$G$14</f>
        <v>6</v>
      </c>
      <c r="P274" s="40">
        <f t="shared" ref="P274:T274" si="257">H274/H$292</f>
        <v>0.01158301158</v>
      </c>
      <c r="Q274" s="40">
        <f t="shared" si="257"/>
        <v>0.03157894737</v>
      </c>
      <c r="R274" s="40">
        <f t="shared" si="257"/>
        <v>0</v>
      </c>
      <c r="S274" s="40">
        <f t="shared" si="257"/>
        <v>0</v>
      </c>
      <c r="T274" s="40">
        <f t="shared" si="257"/>
        <v>0.02702702703</v>
      </c>
    </row>
    <row r="275" ht="15.75" customHeight="1">
      <c r="F275" s="24"/>
      <c r="G275" s="19">
        <f>$G$15</f>
        <v>7</v>
      </c>
      <c r="H275" s="20">
        <v>27.0</v>
      </c>
      <c r="I275" s="20">
        <v>6.0</v>
      </c>
      <c r="J275" s="20"/>
      <c r="K275" s="20">
        <v>1.0</v>
      </c>
      <c r="L275" s="20">
        <v>1.0</v>
      </c>
      <c r="N275" s="24"/>
      <c r="O275" s="19">
        <f>$G$15</f>
        <v>7</v>
      </c>
      <c r="P275" s="40">
        <f t="shared" ref="P275:T275" si="258">H275/H$292</f>
        <v>0.1042471042</v>
      </c>
      <c r="Q275" s="40">
        <f t="shared" si="258"/>
        <v>0.06315789474</v>
      </c>
      <c r="R275" s="40">
        <f t="shared" si="258"/>
        <v>0</v>
      </c>
      <c r="S275" s="40">
        <f t="shared" si="258"/>
        <v>0.1</v>
      </c>
      <c r="T275" s="40">
        <f t="shared" si="258"/>
        <v>0.02702702703</v>
      </c>
    </row>
    <row r="276" ht="15.75" customHeight="1">
      <c r="F276" s="24"/>
      <c r="G276" s="19">
        <f>$G$16</f>
        <v>8</v>
      </c>
      <c r="H276" s="20">
        <v>11.0</v>
      </c>
      <c r="I276" s="20">
        <v>9.0</v>
      </c>
      <c r="J276" s="20"/>
      <c r="K276" s="20">
        <v>2.0</v>
      </c>
      <c r="L276" s="20">
        <v>4.0</v>
      </c>
      <c r="N276" s="24"/>
      <c r="O276" s="19">
        <f>$G$16</f>
        <v>8</v>
      </c>
      <c r="P276" s="40">
        <f t="shared" ref="P276:T276" si="259">H276/H$292</f>
        <v>0.04247104247</v>
      </c>
      <c r="Q276" s="40">
        <f t="shared" si="259"/>
        <v>0.09473684211</v>
      </c>
      <c r="R276" s="40">
        <f t="shared" si="259"/>
        <v>0</v>
      </c>
      <c r="S276" s="40">
        <f t="shared" si="259"/>
        <v>0.2</v>
      </c>
      <c r="T276" s="40">
        <f t="shared" si="259"/>
        <v>0.1081081081</v>
      </c>
    </row>
    <row r="277" ht="15.75" customHeight="1">
      <c r="F277" s="24"/>
      <c r="G277" s="19">
        <f>$G$17</f>
        <v>9</v>
      </c>
      <c r="H277" s="20">
        <v>16.0</v>
      </c>
      <c r="I277" s="20">
        <v>4.0</v>
      </c>
      <c r="J277" s="20"/>
      <c r="K277" s="20"/>
      <c r="L277" s="20">
        <v>3.0</v>
      </c>
      <c r="N277" s="24"/>
      <c r="O277" s="19">
        <f>$G$17</f>
        <v>9</v>
      </c>
      <c r="P277" s="40">
        <f t="shared" ref="P277:T277" si="260">H277/H$292</f>
        <v>0.06177606178</v>
      </c>
      <c r="Q277" s="40">
        <f t="shared" si="260"/>
        <v>0.04210526316</v>
      </c>
      <c r="R277" s="40">
        <f t="shared" si="260"/>
        <v>0</v>
      </c>
      <c r="S277" s="40">
        <f t="shared" si="260"/>
        <v>0</v>
      </c>
      <c r="T277" s="40">
        <f t="shared" si="260"/>
        <v>0.08108108108</v>
      </c>
    </row>
    <row r="278" ht="15.75" customHeight="1">
      <c r="F278" s="24"/>
      <c r="G278" s="19">
        <f>$G$18</f>
        <v>10</v>
      </c>
      <c r="H278" s="20">
        <v>17.0</v>
      </c>
      <c r="I278" s="20">
        <v>12.0</v>
      </c>
      <c r="J278" s="20"/>
      <c r="K278" s="20"/>
      <c r="L278" s="20">
        <v>5.0</v>
      </c>
      <c r="N278" s="24"/>
      <c r="O278" s="19">
        <f>$G$18</f>
        <v>10</v>
      </c>
      <c r="P278" s="40">
        <f t="shared" ref="P278:T278" si="261">H278/H$292</f>
        <v>0.06563706564</v>
      </c>
      <c r="Q278" s="40">
        <f t="shared" si="261"/>
        <v>0.1263157895</v>
      </c>
      <c r="R278" s="40">
        <f t="shared" si="261"/>
        <v>0</v>
      </c>
      <c r="S278" s="40">
        <f t="shared" si="261"/>
        <v>0</v>
      </c>
      <c r="T278" s="40">
        <f t="shared" si="261"/>
        <v>0.1351351351</v>
      </c>
    </row>
    <row r="279" ht="15.75" customHeight="1">
      <c r="F279" s="24"/>
      <c r="G279" s="19">
        <f>$G$19</f>
        <v>11</v>
      </c>
      <c r="H279" s="20">
        <v>8.0</v>
      </c>
      <c r="I279" s="20">
        <v>4.0</v>
      </c>
      <c r="J279" s="20"/>
      <c r="K279" s="20"/>
      <c r="L279" s="20">
        <v>3.0</v>
      </c>
      <c r="N279" s="24"/>
      <c r="O279" s="19">
        <f>$G$19</f>
        <v>11</v>
      </c>
      <c r="P279" s="40">
        <f t="shared" ref="P279:T279" si="262">H279/H$292</f>
        <v>0.03088803089</v>
      </c>
      <c r="Q279" s="40">
        <f t="shared" si="262"/>
        <v>0.04210526316</v>
      </c>
      <c r="R279" s="40">
        <f t="shared" si="262"/>
        <v>0</v>
      </c>
      <c r="S279" s="40">
        <f t="shared" si="262"/>
        <v>0</v>
      </c>
      <c r="T279" s="40">
        <f t="shared" si="262"/>
        <v>0.08108108108</v>
      </c>
    </row>
    <row r="280" ht="15.75" customHeight="1">
      <c r="F280" s="24"/>
      <c r="G280" s="19">
        <f>$G$20</f>
        <v>12</v>
      </c>
      <c r="H280" s="20">
        <v>10.0</v>
      </c>
      <c r="I280" s="20">
        <v>3.0</v>
      </c>
      <c r="J280" s="20">
        <v>4.0</v>
      </c>
      <c r="K280" s="20">
        <v>2.0</v>
      </c>
      <c r="L280" s="20">
        <v>3.0</v>
      </c>
      <c r="N280" s="24"/>
      <c r="O280" s="19">
        <f>$G$20</f>
        <v>12</v>
      </c>
      <c r="P280" s="40">
        <f t="shared" ref="P280:T280" si="263">H280/H$292</f>
        <v>0.03861003861</v>
      </c>
      <c r="Q280" s="40">
        <f t="shared" si="263"/>
        <v>0.03157894737</v>
      </c>
      <c r="R280" s="40">
        <f t="shared" si="263"/>
        <v>0.6666666667</v>
      </c>
      <c r="S280" s="40">
        <f t="shared" si="263"/>
        <v>0.2</v>
      </c>
      <c r="T280" s="40">
        <f t="shared" si="263"/>
        <v>0.08108108108</v>
      </c>
    </row>
    <row r="281" ht="15.75" customHeight="1">
      <c r="F281" s="24"/>
      <c r="G281" s="19">
        <f>$G$21</f>
        <v>13</v>
      </c>
      <c r="H281" s="20">
        <v>13.0</v>
      </c>
      <c r="I281" s="20">
        <v>4.0</v>
      </c>
      <c r="J281" s="20"/>
      <c r="K281" s="20"/>
      <c r="L281" s="20">
        <v>3.0</v>
      </c>
      <c r="N281" s="24"/>
      <c r="O281" s="19">
        <f>$G$21</f>
        <v>13</v>
      </c>
      <c r="P281" s="40">
        <f t="shared" ref="P281:T281" si="264">H281/H$292</f>
        <v>0.05019305019</v>
      </c>
      <c r="Q281" s="40">
        <f t="shared" si="264"/>
        <v>0.04210526316</v>
      </c>
      <c r="R281" s="40">
        <f t="shared" si="264"/>
        <v>0</v>
      </c>
      <c r="S281" s="40">
        <f t="shared" si="264"/>
        <v>0</v>
      </c>
      <c r="T281" s="40">
        <f t="shared" si="264"/>
        <v>0.08108108108</v>
      </c>
    </row>
    <row r="282" ht="15.75" customHeight="1">
      <c r="F282" s="24"/>
      <c r="G282" s="19">
        <f>$G$22</f>
        <v>14</v>
      </c>
      <c r="H282" s="20">
        <v>11.0</v>
      </c>
      <c r="I282" s="20">
        <v>10.0</v>
      </c>
      <c r="J282" s="20"/>
      <c r="K282" s="20">
        <v>1.0</v>
      </c>
      <c r="L282" s="20">
        <v>4.0</v>
      </c>
      <c r="N282" s="24"/>
      <c r="O282" s="19">
        <f>$G$22</f>
        <v>14</v>
      </c>
      <c r="P282" s="40">
        <f t="shared" ref="P282:T282" si="265">H282/H$292</f>
        <v>0.04247104247</v>
      </c>
      <c r="Q282" s="40">
        <f t="shared" si="265"/>
        <v>0.1052631579</v>
      </c>
      <c r="R282" s="40">
        <f t="shared" si="265"/>
        <v>0</v>
      </c>
      <c r="S282" s="40">
        <f t="shared" si="265"/>
        <v>0.1</v>
      </c>
      <c r="T282" s="40">
        <f t="shared" si="265"/>
        <v>0.1081081081</v>
      </c>
    </row>
    <row r="283" ht="15.75" customHeight="1">
      <c r="F283" s="24"/>
      <c r="G283" s="19">
        <f>$G$23</f>
        <v>15</v>
      </c>
      <c r="H283" s="20">
        <v>17.0</v>
      </c>
      <c r="I283" s="20">
        <v>6.0</v>
      </c>
      <c r="J283" s="20"/>
      <c r="K283" s="20">
        <v>1.0</v>
      </c>
      <c r="L283" s="20">
        <v>4.0</v>
      </c>
      <c r="N283" s="24"/>
      <c r="O283" s="19">
        <f>$G$23</f>
        <v>15</v>
      </c>
      <c r="P283" s="40">
        <f t="shared" ref="P283:T283" si="266">H283/H$292</f>
        <v>0.06563706564</v>
      </c>
      <c r="Q283" s="40">
        <f t="shared" si="266"/>
        <v>0.06315789474</v>
      </c>
      <c r="R283" s="40">
        <f t="shared" si="266"/>
        <v>0</v>
      </c>
      <c r="S283" s="40">
        <f t="shared" si="266"/>
        <v>0.1</v>
      </c>
      <c r="T283" s="40">
        <f t="shared" si="266"/>
        <v>0.1081081081</v>
      </c>
    </row>
    <row r="284" ht="15.75" customHeight="1">
      <c r="F284" s="24"/>
      <c r="G284" s="19">
        <f>$G$24</f>
        <v>16</v>
      </c>
      <c r="H284" s="20">
        <v>14.0</v>
      </c>
      <c r="I284" s="20">
        <v>5.0</v>
      </c>
      <c r="J284" s="20"/>
      <c r="K284" s="20">
        <v>1.0</v>
      </c>
      <c r="L284" s="20">
        <v>5.0</v>
      </c>
      <c r="N284" s="24"/>
      <c r="O284" s="19">
        <f>$G$24</f>
        <v>16</v>
      </c>
      <c r="P284" s="40">
        <f t="shared" ref="P284:T284" si="267">H284/H$292</f>
        <v>0.05405405405</v>
      </c>
      <c r="Q284" s="40">
        <f t="shared" si="267"/>
        <v>0.05263157895</v>
      </c>
      <c r="R284" s="40">
        <f t="shared" si="267"/>
        <v>0</v>
      </c>
      <c r="S284" s="40">
        <f t="shared" si="267"/>
        <v>0.1</v>
      </c>
      <c r="T284" s="40">
        <f t="shared" si="267"/>
        <v>0.1351351351</v>
      </c>
    </row>
    <row r="285" ht="15.75" customHeight="1">
      <c r="F285" s="24"/>
      <c r="G285" s="19">
        <f>$G$25</f>
        <v>17</v>
      </c>
      <c r="H285" s="20">
        <v>30.0</v>
      </c>
      <c r="I285" s="20">
        <v>5.0</v>
      </c>
      <c r="J285" s="20">
        <v>1.0</v>
      </c>
      <c r="K285" s="20"/>
      <c r="L285" s="20"/>
      <c r="N285" s="24"/>
      <c r="O285" s="19">
        <f>$G$25</f>
        <v>17</v>
      </c>
      <c r="P285" s="40">
        <f t="shared" ref="P285:T285" si="268">H285/H$292</f>
        <v>0.1158301158</v>
      </c>
      <c r="Q285" s="40">
        <f t="shared" si="268"/>
        <v>0.05263157895</v>
      </c>
      <c r="R285" s="40">
        <f t="shared" si="268"/>
        <v>0.1666666667</v>
      </c>
      <c r="S285" s="40">
        <f t="shared" si="268"/>
        <v>0</v>
      </c>
      <c r="T285" s="40">
        <f t="shared" si="268"/>
        <v>0</v>
      </c>
    </row>
    <row r="286" ht="15.75" customHeight="1">
      <c r="F286" s="24"/>
      <c r="G286" s="19">
        <f>$G$26</f>
        <v>18</v>
      </c>
      <c r="H286" s="20">
        <v>21.0</v>
      </c>
      <c r="I286" s="20">
        <v>3.0</v>
      </c>
      <c r="J286" s="20"/>
      <c r="K286" s="20"/>
      <c r="L286" s="20">
        <v>1.0</v>
      </c>
      <c r="N286" s="24"/>
      <c r="O286" s="19">
        <f>$G$26</f>
        <v>18</v>
      </c>
      <c r="P286" s="40">
        <f t="shared" ref="P286:T286" si="269">H286/H$292</f>
        <v>0.08108108108</v>
      </c>
      <c r="Q286" s="40">
        <f t="shared" si="269"/>
        <v>0.03157894737</v>
      </c>
      <c r="R286" s="40">
        <f t="shared" si="269"/>
        <v>0</v>
      </c>
      <c r="S286" s="40">
        <f t="shared" si="269"/>
        <v>0</v>
      </c>
      <c r="T286" s="40">
        <f t="shared" si="269"/>
        <v>0.02702702703</v>
      </c>
    </row>
    <row r="287" ht="15.75" customHeight="1">
      <c r="F287" s="24"/>
      <c r="G287" s="19">
        <f>$G$27</f>
        <v>19</v>
      </c>
      <c r="H287" s="20">
        <v>11.0</v>
      </c>
      <c r="I287" s="20">
        <v>6.0</v>
      </c>
      <c r="J287" s="20"/>
      <c r="K287" s="20"/>
      <c r="L287" s="20"/>
      <c r="N287" s="24"/>
      <c r="O287" s="19">
        <f>$G$27</f>
        <v>19</v>
      </c>
      <c r="P287" s="40">
        <f t="shared" ref="P287:T287" si="270">H287/H$292</f>
        <v>0.04247104247</v>
      </c>
      <c r="Q287" s="40">
        <f t="shared" si="270"/>
        <v>0.06315789474</v>
      </c>
      <c r="R287" s="40">
        <f t="shared" si="270"/>
        <v>0</v>
      </c>
      <c r="S287" s="40">
        <f t="shared" si="270"/>
        <v>0</v>
      </c>
      <c r="T287" s="40">
        <f t="shared" si="270"/>
        <v>0</v>
      </c>
    </row>
    <row r="288" ht="15.75" customHeight="1">
      <c r="F288" s="24"/>
      <c r="G288" s="19">
        <f>$G$28</f>
        <v>20</v>
      </c>
      <c r="H288" s="20">
        <v>10.0</v>
      </c>
      <c r="I288" s="20">
        <v>4.0</v>
      </c>
      <c r="J288" s="20"/>
      <c r="K288" s="20"/>
      <c r="L288" s="20"/>
      <c r="N288" s="24"/>
      <c r="O288" s="19">
        <f>$G$28</f>
        <v>20</v>
      </c>
      <c r="P288" s="40">
        <f t="shared" ref="P288:T288" si="271">H288/H$292</f>
        <v>0.03861003861</v>
      </c>
      <c r="Q288" s="40">
        <f t="shared" si="271"/>
        <v>0.04210526316</v>
      </c>
      <c r="R288" s="40">
        <f t="shared" si="271"/>
        <v>0</v>
      </c>
      <c r="S288" s="40">
        <f t="shared" si="271"/>
        <v>0</v>
      </c>
      <c r="T288" s="40">
        <f t="shared" si="271"/>
        <v>0</v>
      </c>
    </row>
    <row r="289" ht="15.75" customHeight="1">
      <c r="F289" s="24"/>
      <c r="G289" s="19">
        <f>$G$29</f>
        <v>21</v>
      </c>
      <c r="H289" s="20">
        <v>8.0</v>
      </c>
      <c r="I289" s="20">
        <v>3.0</v>
      </c>
      <c r="J289" s="20"/>
      <c r="K289" s="20"/>
      <c r="L289" s="20"/>
      <c r="N289" s="24"/>
      <c r="O289" s="19">
        <f>$G$29</f>
        <v>21</v>
      </c>
      <c r="P289" s="40">
        <f t="shared" ref="P289:T289" si="272">H289/H$292</f>
        <v>0.03088803089</v>
      </c>
      <c r="Q289" s="40">
        <f t="shared" si="272"/>
        <v>0.03157894737</v>
      </c>
      <c r="R289" s="40">
        <f t="shared" si="272"/>
        <v>0</v>
      </c>
      <c r="S289" s="40">
        <f t="shared" si="272"/>
        <v>0</v>
      </c>
      <c r="T289" s="40">
        <f t="shared" si="272"/>
        <v>0</v>
      </c>
    </row>
    <row r="290" ht="15.75" customHeight="1">
      <c r="F290" s="24"/>
      <c r="G290" s="19">
        <f>$G$30</f>
        <v>22</v>
      </c>
      <c r="H290" s="20">
        <v>8.0</v>
      </c>
      <c r="I290" s="20">
        <v>2.0</v>
      </c>
      <c r="J290" s="20"/>
      <c r="K290" s="20"/>
      <c r="L290" s="20"/>
      <c r="N290" s="24"/>
      <c r="O290" s="19">
        <f>$G$30</f>
        <v>22</v>
      </c>
      <c r="P290" s="40">
        <f t="shared" ref="P290:T290" si="273">H290/H$292</f>
        <v>0.03088803089</v>
      </c>
      <c r="Q290" s="40">
        <f t="shared" si="273"/>
        <v>0.02105263158</v>
      </c>
      <c r="R290" s="40">
        <f t="shared" si="273"/>
        <v>0</v>
      </c>
      <c r="S290" s="40">
        <f t="shared" si="273"/>
        <v>0</v>
      </c>
      <c r="T290" s="40">
        <f t="shared" si="273"/>
        <v>0</v>
      </c>
    </row>
    <row r="291" ht="15.75" customHeight="1">
      <c r="F291" s="28"/>
      <c r="G291" s="19">
        <f>$G$31</f>
        <v>23</v>
      </c>
      <c r="H291" s="20">
        <v>8.0</v>
      </c>
      <c r="I291" s="20"/>
      <c r="J291" s="20"/>
      <c r="K291" s="20"/>
      <c r="L291" s="20"/>
      <c r="N291" s="28"/>
      <c r="O291" s="19">
        <f>$G$31</f>
        <v>23</v>
      </c>
      <c r="P291" s="40">
        <f t="shared" ref="P291:T291" si="274">H291/H$292</f>
        <v>0.03088803089</v>
      </c>
      <c r="Q291" s="40">
        <f t="shared" si="274"/>
        <v>0</v>
      </c>
      <c r="R291" s="40">
        <f t="shared" si="274"/>
        <v>0</v>
      </c>
      <c r="S291" s="40">
        <f t="shared" si="274"/>
        <v>0</v>
      </c>
      <c r="T291" s="40">
        <f t="shared" si="274"/>
        <v>0</v>
      </c>
    </row>
    <row r="292" ht="15.75" customHeight="1">
      <c r="F292" s="111"/>
      <c r="G292" s="112"/>
      <c r="H292" s="26">
        <f t="shared" ref="H292:L292" si="275">SUM(H268:H291)</f>
        <v>259</v>
      </c>
      <c r="I292" s="26">
        <f t="shared" si="275"/>
        <v>95</v>
      </c>
      <c r="J292" s="26">
        <f t="shared" si="275"/>
        <v>6</v>
      </c>
      <c r="K292" s="26">
        <f t="shared" si="275"/>
        <v>10</v>
      </c>
      <c r="L292" s="26">
        <f t="shared" si="275"/>
        <v>37</v>
      </c>
    </row>
    <row r="293" ht="15.75" customHeight="1">
      <c r="G293" s="16"/>
      <c r="H293" s="17">
        <f>$H$7</f>
        <v>31</v>
      </c>
      <c r="I293" s="17">
        <f>$I$7</f>
        <v>32</v>
      </c>
      <c r="J293" s="17">
        <f>$J$7</f>
        <v>41</v>
      </c>
      <c r="K293" s="17">
        <f>$K$7</f>
        <v>42</v>
      </c>
      <c r="L293" s="17">
        <f>$L$7</f>
        <v>5</v>
      </c>
      <c r="O293" s="16"/>
      <c r="P293" s="17">
        <f>$H$7</f>
        <v>31</v>
      </c>
      <c r="Q293" s="17">
        <f>$I$7</f>
        <v>32</v>
      </c>
      <c r="R293" s="17">
        <f>$J$7</f>
        <v>41</v>
      </c>
      <c r="S293" s="17">
        <f>$K$7</f>
        <v>42</v>
      </c>
      <c r="T293" s="17">
        <f>$L$7</f>
        <v>5</v>
      </c>
    </row>
    <row r="294" ht="15.75" customHeight="1">
      <c r="F294" s="56">
        <v>45218.0</v>
      </c>
      <c r="G294" s="19">
        <f>$G$8</f>
        <v>0</v>
      </c>
      <c r="H294" s="19">
        <v>1.0</v>
      </c>
      <c r="I294" s="98"/>
      <c r="J294" s="98"/>
      <c r="K294" s="98"/>
      <c r="L294" s="98"/>
      <c r="N294" s="56">
        <v>45218.0</v>
      </c>
      <c r="O294" s="19">
        <f>$G$8</f>
        <v>0</v>
      </c>
      <c r="P294" s="44">
        <f t="shared" ref="P294:T294" si="276">H294/H$318</f>
        <v>0.003154574132</v>
      </c>
      <c r="Q294" s="44">
        <f t="shared" si="276"/>
        <v>0</v>
      </c>
      <c r="R294" s="44">
        <f t="shared" si="276"/>
        <v>0</v>
      </c>
      <c r="S294" s="44">
        <f t="shared" si="276"/>
        <v>0</v>
      </c>
      <c r="T294" s="44">
        <f t="shared" si="276"/>
        <v>0</v>
      </c>
    </row>
    <row r="295" ht="15.75" customHeight="1">
      <c r="F295" s="24"/>
      <c r="G295" s="19">
        <f>$G$9</f>
        <v>1</v>
      </c>
      <c r="H295" s="45">
        <v>1.0</v>
      </c>
      <c r="I295" s="20"/>
      <c r="J295" s="20"/>
      <c r="K295" s="20"/>
      <c r="L295" s="20"/>
      <c r="N295" s="24"/>
      <c r="O295" s="19">
        <f>$G$9</f>
        <v>1</v>
      </c>
      <c r="P295" s="44">
        <f t="shared" ref="P295:T295" si="277">H295/H$318</f>
        <v>0.003154574132</v>
      </c>
      <c r="Q295" s="44">
        <f t="shared" si="277"/>
        <v>0</v>
      </c>
      <c r="R295" s="44">
        <f t="shared" si="277"/>
        <v>0</v>
      </c>
      <c r="S295" s="44">
        <f t="shared" si="277"/>
        <v>0</v>
      </c>
      <c r="T295" s="44">
        <f t="shared" si="277"/>
        <v>0</v>
      </c>
    </row>
    <row r="296" ht="15.75" customHeight="1">
      <c r="F296" s="24"/>
      <c r="G296" s="19">
        <f>$G$10</f>
        <v>2</v>
      </c>
      <c r="H296" s="45">
        <v>1.0</v>
      </c>
      <c r="I296" s="20"/>
      <c r="J296" s="20"/>
      <c r="K296" s="20"/>
      <c r="L296" s="20"/>
      <c r="N296" s="24"/>
      <c r="O296" s="19">
        <f>$G$10</f>
        <v>2</v>
      </c>
      <c r="P296" s="44">
        <f t="shared" ref="P296:T296" si="278">H296/H$318</f>
        <v>0.003154574132</v>
      </c>
      <c r="Q296" s="44">
        <f t="shared" si="278"/>
        <v>0</v>
      </c>
      <c r="R296" s="44">
        <f t="shared" si="278"/>
        <v>0</v>
      </c>
      <c r="S296" s="44">
        <f t="shared" si="278"/>
        <v>0</v>
      </c>
      <c r="T296" s="44">
        <f t="shared" si="278"/>
        <v>0</v>
      </c>
    </row>
    <row r="297" ht="15.75" customHeight="1">
      <c r="F297" s="24"/>
      <c r="G297" s="19">
        <f>$G$11</f>
        <v>3</v>
      </c>
      <c r="H297" s="45">
        <v>1.0</v>
      </c>
      <c r="I297" s="31">
        <v>1.0</v>
      </c>
      <c r="J297" s="20"/>
      <c r="K297" s="31">
        <v>1.0</v>
      </c>
      <c r="L297" s="20"/>
      <c r="N297" s="24"/>
      <c r="O297" s="19">
        <f>$G$11</f>
        <v>3</v>
      </c>
      <c r="P297" s="44">
        <f t="shared" ref="P297:T297" si="279">H297/H$318</f>
        <v>0.003154574132</v>
      </c>
      <c r="Q297" s="44">
        <f t="shared" si="279"/>
        <v>0.007936507937</v>
      </c>
      <c r="R297" s="44">
        <f t="shared" si="279"/>
        <v>0</v>
      </c>
      <c r="S297" s="44">
        <f t="shared" si="279"/>
        <v>0.02631578947</v>
      </c>
      <c r="T297" s="44">
        <f t="shared" si="279"/>
        <v>0</v>
      </c>
    </row>
    <row r="298" ht="15.75" customHeight="1">
      <c r="F298" s="24"/>
      <c r="G298" s="19">
        <f>$G$12</f>
        <v>4</v>
      </c>
      <c r="H298" s="45">
        <v>3.0</v>
      </c>
      <c r="I298" s="31">
        <v>2.0</v>
      </c>
      <c r="J298" s="20"/>
      <c r="K298" s="31">
        <v>1.0</v>
      </c>
      <c r="L298" s="31">
        <v>1.0</v>
      </c>
      <c r="N298" s="24"/>
      <c r="O298" s="19">
        <f>$G$12</f>
        <v>4</v>
      </c>
      <c r="P298" s="44">
        <f t="shared" ref="P298:T298" si="280">H298/H$318</f>
        <v>0.009463722397</v>
      </c>
      <c r="Q298" s="44">
        <f t="shared" si="280"/>
        <v>0.01587301587</v>
      </c>
      <c r="R298" s="44">
        <f t="shared" si="280"/>
        <v>0</v>
      </c>
      <c r="S298" s="44">
        <f t="shared" si="280"/>
        <v>0.02631578947</v>
      </c>
      <c r="T298" s="44">
        <f t="shared" si="280"/>
        <v>0.01923076923</v>
      </c>
    </row>
    <row r="299" ht="15.75" customHeight="1">
      <c r="F299" s="24"/>
      <c r="G299" s="19">
        <f>$G$13</f>
        <v>5</v>
      </c>
      <c r="H299" s="45">
        <v>3.0</v>
      </c>
      <c r="I299" s="31">
        <v>2.0</v>
      </c>
      <c r="J299" s="20"/>
      <c r="K299" s="31">
        <v>1.0</v>
      </c>
      <c r="L299" s="20"/>
      <c r="N299" s="24"/>
      <c r="O299" s="19">
        <f>$G$13</f>
        <v>5</v>
      </c>
      <c r="P299" s="44">
        <f t="shared" ref="P299:T299" si="281">H299/H$318</f>
        <v>0.009463722397</v>
      </c>
      <c r="Q299" s="44">
        <f t="shared" si="281"/>
        <v>0.01587301587</v>
      </c>
      <c r="R299" s="44">
        <f t="shared" si="281"/>
        <v>0</v>
      </c>
      <c r="S299" s="44">
        <f t="shared" si="281"/>
        <v>0.02631578947</v>
      </c>
      <c r="T299" s="44">
        <f t="shared" si="281"/>
        <v>0</v>
      </c>
    </row>
    <row r="300" ht="15.75" customHeight="1">
      <c r="F300" s="24"/>
      <c r="G300" s="19">
        <f>$G$14</f>
        <v>6</v>
      </c>
      <c r="H300" s="45">
        <v>7.0</v>
      </c>
      <c r="I300" s="31">
        <v>6.0</v>
      </c>
      <c r="J300" s="20"/>
      <c r="K300" s="20"/>
      <c r="L300" s="31">
        <v>2.0</v>
      </c>
      <c r="N300" s="24"/>
      <c r="O300" s="19">
        <f>$G$14</f>
        <v>6</v>
      </c>
      <c r="P300" s="44">
        <f t="shared" ref="P300:T300" si="282">H300/H$318</f>
        <v>0.02208201893</v>
      </c>
      <c r="Q300" s="44">
        <f t="shared" si="282"/>
        <v>0.04761904762</v>
      </c>
      <c r="R300" s="44">
        <f t="shared" si="282"/>
        <v>0</v>
      </c>
      <c r="S300" s="44">
        <f t="shared" si="282"/>
        <v>0</v>
      </c>
      <c r="T300" s="44">
        <f t="shared" si="282"/>
        <v>0.03846153846</v>
      </c>
    </row>
    <row r="301" ht="15.75" customHeight="1">
      <c r="F301" s="24"/>
      <c r="G301" s="19">
        <f>$G$15</f>
        <v>7</v>
      </c>
      <c r="H301" s="45">
        <v>37.0</v>
      </c>
      <c r="I301" s="31">
        <v>6.0</v>
      </c>
      <c r="J301" s="20"/>
      <c r="K301" s="31">
        <v>1.0</v>
      </c>
      <c r="L301" s="31">
        <v>1.0</v>
      </c>
      <c r="N301" s="24"/>
      <c r="O301" s="19">
        <f>$G$15</f>
        <v>7</v>
      </c>
      <c r="P301" s="44">
        <f t="shared" ref="P301:T301" si="283">H301/H$318</f>
        <v>0.1167192429</v>
      </c>
      <c r="Q301" s="44">
        <f t="shared" si="283"/>
        <v>0.04761904762</v>
      </c>
      <c r="R301" s="44">
        <f t="shared" si="283"/>
        <v>0</v>
      </c>
      <c r="S301" s="44">
        <f t="shared" si="283"/>
        <v>0.02631578947</v>
      </c>
      <c r="T301" s="44">
        <f t="shared" si="283"/>
        <v>0.01923076923</v>
      </c>
    </row>
    <row r="302" ht="15.75" customHeight="1">
      <c r="F302" s="24"/>
      <c r="G302" s="19">
        <f>$G$16</f>
        <v>8</v>
      </c>
      <c r="H302" s="45">
        <v>24.0</v>
      </c>
      <c r="I302" s="31">
        <v>11.0</v>
      </c>
      <c r="J302" s="31">
        <v>1.0</v>
      </c>
      <c r="K302" s="20"/>
      <c r="L302" s="31">
        <v>5.0</v>
      </c>
      <c r="N302" s="24"/>
      <c r="O302" s="19">
        <f>$G$16</f>
        <v>8</v>
      </c>
      <c r="P302" s="44">
        <f t="shared" ref="P302:T302" si="284">H302/H$318</f>
        <v>0.07570977918</v>
      </c>
      <c r="Q302" s="44">
        <f t="shared" si="284"/>
        <v>0.0873015873</v>
      </c>
      <c r="R302" s="44">
        <f t="shared" si="284"/>
        <v>0.1</v>
      </c>
      <c r="S302" s="44">
        <f t="shared" si="284"/>
        <v>0</v>
      </c>
      <c r="T302" s="44">
        <f t="shared" si="284"/>
        <v>0.09615384615</v>
      </c>
    </row>
    <row r="303" ht="15.75" customHeight="1">
      <c r="F303" s="24"/>
      <c r="G303" s="19">
        <f>$G$17</f>
        <v>9</v>
      </c>
      <c r="H303" s="45">
        <v>18.0</v>
      </c>
      <c r="I303" s="31">
        <v>9.0</v>
      </c>
      <c r="J303" s="31">
        <v>1.0</v>
      </c>
      <c r="K303" s="31">
        <v>2.0</v>
      </c>
      <c r="L303" s="31">
        <v>5.0</v>
      </c>
      <c r="N303" s="24"/>
      <c r="O303" s="19">
        <f>$G$17</f>
        <v>9</v>
      </c>
      <c r="P303" s="44">
        <f t="shared" ref="P303:T303" si="285">H303/H$318</f>
        <v>0.05678233438</v>
      </c>
      <c r="Q303" s="44">
        <f t="shared" si="285"/>
        <v>0.07142857143</v>
      </c>
      <c r="R303" s="44">
        <f t="shared" si="285"/>
        <v>0.1</v>
      </c>
      <c r="S303" s="44">
        <f t="shared" si="285"/>
        <v>0.05263157895</v>
      </c>
      <c r="T303" s="44">
        <f t="shared" si="285"/>
        <v>0.09615384615</v>
      </c>
    </row>
    <row r="304" ht="15.75" customHeight="1">
      <c r="F304" s="24"/>
      <c r="G304" s="19">
        <f>$G$18</f>
        <v>10</v>
      </c>
      <c r="H304" s="45">
        <v>20.0</v>
      </c>
      <c r="I304" s="31">
        <v>6.0</v>
      </c>
      <c r="J304" s="31">
        <v>1.0</v>
      </c>
      <c r="K304" s="31">
        <v>2.0</v>
      </c>
      <c r="L304" s="31">
        <v>6.0</v>
      </c>
      <c r="N304" s="24"/>
      <c r="O304" s="19">
        <f>$G$18</f>
        <v>10</v>
      </c>
      <c r="P304" s="44">
        <f t="shared" ref="P304:T304" si="286">H304/H$318</f>
        <v>0.06309148265</v>
      </c>
      <c r="Q304" s="44">
        <f t="shared" si="286"/>
        <v>0.04761904762</v>
      </c>
      <c r="R304" s="44">
        <f t="shared" si="286"/>
        <v>0.1</v>
      </c>
      <c r="S304" s="44">
        <f t="shared" si="286"/>
        <v>0.05263157895</v>
      </c>
      <c r="T304" s="44">
        <f t="shared" si="286"/>
        <v>0.1153846154</v>
      </c>
    </row>
    <row r="305" ht="15.75" customHeight="1">
      <c r="F305" s="24"/>
      <c r="G305" s="19">
        <f>$G$19</f>
        <v>11</v>
      </c>
      <c r="H305" s="45">
        <v>20.0</v>
      </c>
      <c r="I305" s="31">
        <v>9.0</v>
      </c>
      <c r="J305" s="31">
        <v>3.0</v>
      </c>
      <c r="K305" s="31">
        <v>4.0</v>
      </c>
      <c r="L305" s="31">
        <v>5.0</v>
      </c>
      <c r="N305" s="24"/>
      <c r="O305" s="19">
        <f>$G$19</f>
        <v>11</v>
      </c>
      <c r="P305" s="44">
        <f t="shared" ref="P305:T305" si="287">H305/H$318</f>
        <v>0.06309148265</v>
      </c>
      <c r="Q305" s="44">
        <f t="shared" si="287"/>
        <v>0.07142857143</v>
      </c>
      <c r="R305" s="44">
        <f t="shared" si="287"/>
        <v>0.3</v>
      </c>
      <c r="S305" s="44">
        <f t="shared" si="287"/>
        <v>0.1052631579</v>
      </c>
      <c r="T305" s="44">
        <f t="shared" si="287"/>
        <v>0.09615384615</v>
      </c>
    </row>
    <row r="306" ht="15.75" customHeight="1">
      <c r="F306" s="24"/>
      <c r="G306" s="19">
        <f>$G$20</f>
        <v>12</v>
      </c>
      <c r="H306" s="45">
        <v>18.0</v>
      </c>
      <c r="I306" s="31">
        <v>11.0</v>
      </c>
      <c r="J306" s="31">
        <v>1.0</v>
      </c>
      <c r="K306" s="31">
        <v>1.0</v>
      </c>
      <c r="L306" s="31">
        <v>4.0</v>
      </c>
      <c r="N306" s="24"/>
      <c r="O306" s="19">
        <f>$G$20</f>
        <v>12</v>
      </c>
      <c r="P306" s="44">
        <f t="shared" ref="P306:T306" si="288">H306/H$318</f>
        <v>0.05678233438</v>
      </c>
      <c r="Q306" s="44">
        <f t="shared" si="288"/>
        <v>0.0873015873</v>
      </c>
      <c r="R306" s="44">
        <f t="shared" si="288"/>
        <v>0.1</v>
      </c>
      <c r="S306" s="44">
        <f t="shared" si="288"/>
        <v>0.02631578947</v>
      </c>
      <c r="T306" s="44">
        <f t="shared" si="288"/>
        <v>0.07692307692</v>
      </c>
    </row>
    <row r="307" ht="15.75" customHeight="1">
      <c r="F307" s="24"/>
      <c r="G307" s="19">
        <f>$G$21</f>
        <v>13</v>
      </c>
      <c r="H307" s="45">
        <v>18.0</v>
      </c>
      <c r="I307" s="31">
        <v>9.0</v>
      </c>
      <c r="J307" s="31">
        <v>1.0</v>
      </c>
      <c r="K307" s="31">
        <v>7.0</v>
      </c>
      <c r="L307" s="31">
        <v>7.0</v>
      </c>
      <c r="N307" s="24"/>
      <c r="O307" s="19">
        <f>$G$21</f>
        <v>13</v>
      </c>
      <c r="P307" s="44">
        <f t="shared" ref="P307:T307" si="289">H307/H$318</f>
        <v>0.05678233438</v>
      </c>
      <c r="Q307" s="44">
        <f t="shared" si="289"/>
        <v>0.07142857143</v>
      </c>
      <c r="R307" s="44">
        <f t="shared" si="289"/>
        <v>0.1</v>
      </c>
      <c r="S307" s="44">
        <f t="shared" si="289"/>
        <v>0.1842105263</v>
      </c>
      <c r="T307" s="44">
        <f t="shared" si="289"/>
        <v>0.1346153846</v>
      </c>
    </row>
    <row r="308" ht="15.75" customHeight="1">
      <c r="F308" s="24"/>
      <c r="G308" s="19">
        <f>$G$22</f>
        <v>14</v>
      </c>
      <c r="H308" s="45">
        <v>21.0</v>
      </c>
      <c r="I308" s="31">
        <v>8.0</v>
      </c>
      <c r="J308" s="20"/>
      <c r="K308" s="31">
        <v>3.0</v>
      </c>
      <c r="L308" s="31">
        <v>2.0</v>
      </c>
      <c r="N308" s="24"/>
      <c r="O308" s="19">
        <f>$G$22</f>
        <v>14</v>
      </c>
      <c r="P308" s="44">
        <f t="shared" ref="P308:T308" si="290">H308/H$318</f>
        <v>0.06624605678</v>
      </c>
      <c r="Q308" s="44">
        <f t="shared" si="290"/>
        <v>0.06349206349</v>
      </c>
      <c r="R308" s="44">
        <f t="shared" si="290"/>
        <v>0</v>
      </c>
      <c r="S308" s="44">
        <f t="shared" si="290"/>
        <v>0.07894736842</v>
      </c>
      <c r="T308" s="44">
        <f t="shared" si="290"/>
        <v>0.03846153846</v>
      </c>
    </row>
    <row r="309" ht="15.75" customHeight="1">
      <c r="F309" s="24"/>
      <c r="G309" s="19">
        <f>$G$23</f>
        <v>15</v>
      </c>
      <c r="H309" s="45">
        <v>18.0</v>
      </c>
      <c r="I309" s="31">
        <v>8.0</v>
      </c>
      <c r="J309" s="20"/>
      <c r="K309" s="31">
        <v>6.0</v>
      </c>
      <c r="L309" s="31">
        <v>5.0</v>
      </c>
      <c r="N309" s="24"/>
      <c r="O309" s="19">
        <f>$G$23</f>
        <v>15</v>
      </c>
      <c r="P309" s="44">
        <f t="shared" ref="P309:T309" si="291">H309/H$318</f>
        <v>0.05678233438</v>
      </c>
      <c r="Q309" s="44">
        <f t="shared" si="291"/>
        <v>0.06349206349</v>
      </c>
      <c r="R309" s="44">
        <f t="shared" si="291"/>
        <v>0</v>
      </c>
      <c r="S309" s="44">
        <f t="shared" si="291"/>
        <v>0.1578947368</v>
      </c>
      <c r="T309" s="44">
        <f t="shared" si="291"/>
        <v>0.09615384615</v>
      </c>
    </row>
    <row r="310" ht="15.75" customHeight="1">
      <c r="F310" s="24"/>
      <c r="G310" s="19">
        <f>$G$24</f>
        <v>16</v>
      </c>
      <c r="H310" s="45">
        <v>20.0</v>
      </c>
      <c r="I310" s="31">
        <v>10.0</v>
      </c>
      <c r="J310" s="20"/>
      <c r="K310" s="31">
        <v>2.0</v>
      </c>
      <c r="L310" s="31">
        <v>6.0</v>
      </c>
      <c r="N310" s="24"/>
      <c r="O310" s="19">
        <f>$G$24</f>
        <v>16</v>
      </c>
      <c r="P310" s="44">
        <f t="shared" ref="P310:T310" si="292">H310/H$318</f>
        <v>0.06309148265</v>
      </c>
      <c r="Q310" s="44">
        <f t="shared" si="292"/>
        <v>0.07936507937</v>
      </c>
      <c r="R310" s="44">
        <f t="shared" si="292"/>
        <v>0</v>
      </c>
      <c r="S310" s="44">
        <f t="shared" si="292"/>
        <v>0.05263157895</v>
      </c>
      <c r="T310" s="44">
        <f t="shared" si="292"/>
        <v>0.1153846154</v>
      </c>
    </row>
    <row r="311" ht="15.75" customHeight="1">
      <c r="F311" s="24"/>
      <c r="G311" s="19">
        <f>$G$25</f>
        <v>17</v>
      </c>
      <c r="H311" s="45">
        <v>23.0</v>
      </c>
      <c r="I311" s="31">
        <v>9.0</v>
      </c>
      <c r="J311" s="31">
        <v>2.0</v>
      </c>
      <c r="K311" s="31">
        <v>3.0</v>
      </c>
      <c r="L311" s="31">
        <v>1.0</v>
      </c>
      <c r="N311" s="24"/>
      <c r="O311" s="19">
        <f>$G$25</f>
        <v>17</v>
      </c>
      <c r="P311" s="44">
        <f t="shared" ref="P311:T311" si="293">H311/H$318</f>
        <v>0.07255520505</v>
      </c>
      <c r="Q311" s="44">
        <f t="shared" si="293"/>
        <v>0.07142857143</v>
      </c>
      <c r="R311" s="44">
        <f t="shared" si="293"/>
        <v>0.2</v>
      </c>
      <c r="S311" s="44">
        <f t="shared" si="293"/>
        <v>0.07894736842</v>
      </c>
      <c r="T311" s="44">
        <f t="shared" si="293"/>
        <v>0.01923076923</v>
      </c>
    </row>
    <row r="312" ht="15.75" customHeight="1">
      <c r="F312" s="24"/>
      <c r="G312" s="19">
        <f>$G$26</f>
        <v>18</v>
      </c>
      <c r="H312" s="45">
        <v>19.0</v>
      </c>
      <c r="I312" s="31">
        <v>7.0</v>
      </c>
      <c r="J312" s="20"/>
      <c r="K312" s="31">
        <v>1.0</v>
      </c>
      <c r="L312" s="31">
        <v>1.0</v>
      </c>
      <c r="N312" s="24"/>
      <c r="O312" s="19">
        <f>$G$26</f>
        <v>18</v>
      </c>
      <c r="P312" s="44">
        <f t="shared" ref="P312:T312" si="294">H312/H$318</f>
        <v>0.05993690852</v>
      </c>
      <c r="Q312" s="44">
        <f t="shared" si="294"/>
        <v>0.05555555556</v>
      </c>
      <c r="R312" s="44">
        <f t="shared" si="294"/>
        <v>0</v>
      </c>
      <c r="S312" s="44">
        <f t="shared" si="294"/>
        <v>0.02631578947</v>
      </c>
      <c r="T312" s="44">
        <f t="shared" si="294"/>
        <v>0.01923076923</v>
      </c>
    </row>
    <row r="313" ht="15.75" customHeight="1">
      <c r="F313" s="24"/>
      <c r="G313" s="19">
        <f>$G$27</f>
        <v>19</v>
      </c>
      <c r="H313" s="45">
        <v>17.0</v>
      </c>
      <c r="I313" s="31">
        <v>5.0</v>
      </c>
      <c r="J313" s="20"/>
      <c r="K313" s="31">
        <v>2.0</v>
      </c>
      <c r="L313" s="31">
        <v>1.0</v>
      </c>
      <c r="N313" s="24"/>
      <c r="O313" s="19">
        <f>$G$27</f>
        <v>19</v>
      </c>
      <c r="P313" s="44">
        <f t="shared" ref="P313:T313" si="295">H313/H$318</f>
        <v>0.05362776025</v>
      </c>
      <c r="Q313" s="44">
        <f t="shared" si="295"/>
        <v>0.03968253968</v>
      </c>
      <c r="R313" s="44">
        <f t="shared" si="295"/>
        <v>0</v>
      </c>
      <c r="S313" s="44">
        <f t="shared" si="295"/>
        <v>0.05263157895</v>
      </c>
      <c r="T313" s="44">
        <f t="shared" si="295"/>
        <v>0.01923076923</v>
      </c>
    </row>
    <row r="314" ht="15.75" customHeight="1">
      <c r="F314" s="24"/>
      <c r="G314" s="19">
        <f>$G$28</f>
        <v>20</v>
      </c>
      <c r="H314" s="45">
        <v>12.0</v>
      </c>
      <c r="I314" s="31">
        <v>6.0</v>
      </c>
      <c r="J314" s="20"/>
      <c r="K314" s="20"/>
      <c r="L314" s="20"/>
      <c r="N314" s="24"/>
      <c r="O314" s="19">
        <f>$G$28</f>
        <v>20</v>
      </c>
      <c r="P314" s="44">
        <f t="shared" ref="P314:T314" si="296">H314/H$318</f>
        <v>0.03785488959</v>
      </c>
      <c r="Q314" s="44">
        <f t="shared" si="296"/>
        <v>0.04761904762</v>
      </c>
      <c r="R314" s="44">
        <f t="shared" si="296"/>
        <v>0</v>
      </c>
      <c r="S314" s="44">
        <f t="shared" si="296"/>
        <v>0</v>
      </c>
      <c r="T314" s="44">
        <f t="shared" si="296"/>
        <v>0</v>
      </c>
    </row>
    <row r="315" ht="15.75" customHeight="1">
      <c r="F315" s="24"/>
      <c r="G315" s="19">
        <f>$G$29</f>
        <v>21</v>
      </c>
      <c r="H315" s="45">
        <v>6.0</v>
      </c>
      <c r="I315" s="20"/>
      <c r="J315" s="20"/>
      <c r="K315" s="20"/>
      <c r="L315" s="20"/>
      <c r="N315" s="24"/>
      <c r="O315" s="19">
        <f>$G$29</f>
        <v>21</v>
      </c>
      <c r="P315" s="44">
        <f t="shared" ref="P315:T315" si="297">H315/H$318</f>
        <v>0.01892744479</v>
      </c>
      <c r="Q315" s="44">
        <f t="shared" si="297"/>
        <v>0</v>
      </c>
      <c r="R315" s="44">
        <f t="shared" si="297"/>
        <v>0</v>
      </c>
      <c r="S315" s="44">
        <f t="shared" si="297"/>
        <v>0</v>
      </c>
      <c r="T315" s="44">
        <f t="shared" si="297"/>
        <v>0</v>
      </c>
    </row>
    <row r="316" ht="15.75" customHeight="1">
      <c r="F316" s="24"/>
      <c r="G316" s="19">
        <f>$G$30</f>
        <v>22</v>
      </c>
      <c r="H316" s="45">
        <v>3.0</v>
      </c>
      <c r="I316" s="31">
        <v>1.0</v>
      </c>
      <c r="J316" s="20"/>
      <c r="K316" s="31">
        <v>1.0</v>
      </c>
      <c r="L316" s="20"/>
      <c r="N316" s="24"/>
      <c r="O316" s="19">
        <f>$G$30</f>
        <v>22</v>
      </c>
      <c r="P316" s="44">
        <f t="shared" ref="P316:T316" si="298">H316/H$318</f>
        <v>0.009463722397</v>
      </c>
      <c r="Q316" s="44">
        <f t="shared" si="298"/>
        <v>0.007936507937</v>
      </c>
      <c r="R316" s="44">
        <f t="shared" si="298"/>
        <v>0</v>
      </c>
      <c r="S316" s="44">
        <f t="shared" si="298"/>
        <v>0.02631578947</v>
      </c>
      <c r="T316" s="44">
        <f t="shared" si="298"/>
        <v>0</v>
      </c>
    </row>
    <row r="317" ht="15.75" customHeight="1">
      <c r="F317" s="28"/>
      <c r="G317" s="19">
        <f>$G$31</f>
        <v>23</v>
      </c>
      <c r="H317" s="46">
        <v>6.0</v>
      </c>
      <c r="I317" s="20"/>
      <c r="J317" s="20"/>
      <c r="K317" s="20"/>
      <c r="L317" s="20"/>
      <c r="N317" s="28"/>
      <c r="O317" s="19">
        <f>$G$31</f>
        <v>23</v>
      </c>
      <c r="P317" s="44">
        <f t="shared" ref="P317:T317" si="299">H317/H$318</f>
        <v>0.01892744479</v>
      </c>
      <c r="Q317" s="44">
        <f t="shared" si="299"/>
        <v>0</v>
      </c>
      <c r="R317" s="44">
        <f t="shared" si="299"/>
        <v>0</v>
      </c>
      <c r="S317" s="44">
        <f t="shared" si="299"/>
        <v>0</v>
      </c>
      <c r="T317" s="44">
        <f t="shared" si="299"/>
        <v>0</v>
      </c>
    </row>
    <row r="318" ht="15.75" customHeight="1">
      <c r="F318" s="111"/>
      <c r="G318" s="112"/>
      <c r="H318" s="26">
        <f t="shared" ref="H318:L318" si="300">SUM(H294:H317)</f>
        <v>317</v>
      </c>
      <c r="I318" s="26">
        <f t="shared" si="300"/>
        <v>126</v>
      </c>
      <c r="J318" s="26">
        <f t="shared" si="300"/>
        <v>10</v>
      </c>
      <c r="K318" s="26">
        <f t="shared" si="300"/>
        <v>38</v>
      </c>
      <c r="L318" s="26">
        <f t="shared" si="300"/>
        <v>52</v>
      </c>
    </row>
    <row r="319" ht="15.75" customHeight="1">
      <c r="G319" s="16"/>
      <c r="H319" s="17">
        <f>$H$7</f>
        <v>31</v>
      </c>
      <c r="I319" s="17">
        <f>$I$7</f>
        <v>32</v>
      </c>
      <c r="J319" s="17">
        <f>$J$7</f>
        <v>41</v>
      </c>
      <c r="K319" s="17">
        <f>$K$7</f>
        <v>42</v>
      </c>
      <c r="L319" s="17">
        <f>$L$7</f>
        <v>5</v>
      </c>
      <c r="O319" s="16"/>
      <c r="P319" s="17">
        <f>$H$7</f>
        <v>31</v>
      </c>
      <c r="Q319" s="17">
        <f>$I$7</f>
        <v>32</v>
      </c>
      <c r="R319" s="17">
        <f>$J$7</f>
        <v>41</v>
      </c>
      <c r="S319" s="17">
        <f>$K$7</f>
        <v>42</v>
      </c>
      <c r="T319" s="17">
        <f>$L$7</f>
        <v>5</v>
      </c>
    </row>
    <row r="320" ht="15.75" customHeight="1">
      <c r="F320" s="56">
        <v>45219.0</v>
      </c>
      <c r="G320" s="19">
        <f>$G$8</f>
        <v>0</v>
      </c>
      <c r="H320" s="20">
        <v>4.0</v>
      </c>
      <c r="I320" s="20"/>
      <c r="J320" s="20"/>
      <c r="K320" s="20"/>
      <c r="L320" s="20"/>
      <c r="N320" s="56">
        <v>45219.0</v>
      </c>
      <c r="O320" s="19">
        <f>$G$8</f>
        <v>0</v>
      </c>
      <c r="P320" s="40">
        <f t="shared" ref="P320:T320" si="301">H320/H$344</f>
        <v>0.01454545455</v>
      </c>
      <c r="Q320" s="40">
        <f t="shared" si="301"/>
        <v>0</v>
      </c>
      <c r="R320" s="40">
        <f t="shared" si="301"/>
        <v>0</v>
      </c>
      <c r="S320" s="40">
        <f t="shared" si="301"/>
        <v>0</v>
      </c>
      <c r="T320" s="40">
        <f t="shared" si="301"/>
        <v>0</v>
      </c>
    </row>
    <row r="321" ht="15.75" customHeight="1">
      <c r="F321" s="24"/>
      <c r="G321" s="19">
        <f>$G$9</f>
        <v>1</v>
      </c>
      <c r="H321" s="20"/>
      <c r="I321" s="20">
        <v>1.0</v>
      </c>
      <c r="J321" s="20"/>
      <c r="K321" s="20"/>
      <c r="L321" s="20"/>
      <c r="N321" s="24"/>
      <c r="O321" s="19">
        <f>$G$9</f>
        <v>1</v>
      </c>
      <c r="P321" s="40">
        <f t="shared" ref="P321:T321" si="302">H321/H$344</f>
        <v>0</v>
      </c>
      <c r="Q321" s="40">
        <f t="shared" si="302"/>
        <v>0.009433962264</v>
      </c>
      <c r="R321" s="40">
        <f t="shared" si="302"/>
        <v>0</v>
      </c>
      <c r="S321" s="40">
        <f t="shared" si="302"/>
        <v>0</v>
      </c>
      <c r="T321" s="40">
        <f t="shared" si="302"/>
        <v>0</v>
      </c>
    </row>
    <row r="322" ht="15.75" customHeight="1">
      <c r="F322" s="24"/>
      <c r="G322" s="19">
        <f>$G$10</f>
        <v>2</v>
      </c>
      <c r="H322" s="16">
        <v>2.0</v>
      </c>
      <c r="I322" s="16">
        <v>1.0</v>
      </c>
      <c r="J322" s="16"/>
      <c r="K322" s="16"/>
      <c r="L322" s="16"/>
      <c r="N322" s="24"/>
      <c r="O322" s="19">
        <f>$G$10</f>
        <v>2</v>
      </c>
      <c r="P322" s="40">
        <f t="shared" ref="P322:T322" si="303">H322/H$344</f>
        <v>0.007272727273</v>
      </c>
      <c r="Q322" s="40">
        <f t="shared" si="303"/>
        <v>0.009433962264</v>
      </c>
      <c r="R322" s="40">
        <f t="shared" si="303"/>
        <v>0</v>
      </c>
      <c r="S322" s="40">
        <f t="shared" si="303"/>
        <v>0</v>
      </c>
      <c r="T322" s="40">
        <f t="shared" si="303"/>
        <v>0</v>
      </c>
    </row>
    <row r="323" ht="15.75" customHeight="1">
      <c r="F323" s="24"/>
      <c r="G323" s="19">
        <f>$G$11</f>
        <v>3</v>
      </c>
      <c r="H323" s="20"/>
      <c r="I323" s="20"/>
      <c r="J323" s="20"/>
      <c r="K323" s="20"/>
      <c r="L323" s="20"/>
      <c r="N323" s="24"/>
      <c r="O323" s="19">
        <f>$G$11</f>
        <v>3</v>
      </c>
      <c r="P323" s="40">
        <f t="shared" ref="P323:T323" si="304">H323/H$344</f>
        <v>0</v>
      </c>
      <c r="Q323" s="40">
        <f t="shared" si="304"/>
        <v>0</v>
      </c>
      <c r="R323" s="40">
        <f t="shared" si="304"/>
        <v>0</v>
      </c>
      <c r="S323" s="40">
        <f t="shared" si="304"/>
        <v>0</v>
      </c>
      <c r="T323" s="40">
        <f t="shared" si="304"/>
        <v>0</v>
      </c>
    </row>
    <row r="324" ht="15.75" customHeight="1">
      <c r="F324" s="24"/>
      <c r="G324" s="19">
        <f>$G$12</f>
        <v>4</v>
      </c>
      <c r="H324" s="20">
        <v>2.0</v>
      </c>
      <c r="I324" s="20">
        <v>4.0</v>
      </c>
      <c r="J324" s="20"/>
      <c r="K324" s="20">
        <v>2.0</v>
      </c>
      <c r="L324" s="20"/>
      <c r="N324" s="24"/>
      <c r="O324" s="19">
        <f>$G$12</f>
        <v>4</v>
      </c>
      <c r="P324" s="40">
        <f t="shared" ref="P324:T324" si="305">H324/H$344</f>
        <v>0.007272727273</v>
      </c>
      <c r="Q324" s="40">
        <f t="shared" si="305"/>
        <v>0.03773584906</v>
      </c>
      <c r="R324" s="40">
        <f t="shared" si="305"/>
        <v>0</v>
      </c>
      <c r="S324" s="40">
        <f t="shared" si="305"/>
        <v>0.1052631579</v>
      </c>
      <c r="T324" s="40">
        <f t="shared" si="305"/>
        <v>0</v>
      </c>
    </row>
    <row r="325" ht="15.75" customHeight="1">
      <c r="F325" s="24"/>
      <c r="G325" s="19">
        <f>$G$13</f>
        <v>5</v>
      </c>
      <c r="H325" s="20">
        <v>7.0</v>
      </c>
      <c r="I325" s="20">
        <v>2.0</v>
      </c>
      <c r="J325" s="20"/>
      <c r="K325" s="20"/>
      <c r="L325" s="20"/>
      <c r="N325" s="24"/>
      <c r="O325" s="19">
        <f>$G$13</f>
        <v>5</v>
      </c>
      <c r="P325" s="40">
        <f t="shared" ref="P325:T325" si="306">H325/H$344</f>
        <v>0.02545454545</v>
      </c>
      <c r="Q325" s="40">
        <f t="shared" si="306"/>
        <v>0.01886792453</v>
      </c>
      <c r="R325" s="40">
        <f t="shared" si="306"/>
        <v>0</v>
      </c>
      <c r="S325" s="40">
        <f t="shared" si="306"/>
        <v>0</v>
      </c>
      <c r="T325" s="40">
        <f t="shared" si="306"/>
        <v>0</v>
      </c>
    </row>
    <row r="326" ht="15.75" customHeight="1">
      <c r="F326" s="24"/>
      <c r="G326" s="19">
        <f>$G$14</f>
        <v>6</v>
      </c>
      <c r="H326" s="20">
        <v>6.0</v>
      </c>
      <c r="I326" s="20">
        <v>3.0</v>
      </c>
      <c r="J326" s="20"/>
      <c r="K326" s="20"/>
      <c r="L326" s="20">
        <v>1.0</v>
      </c>
      <c r="N326" s="24"/>
      <c r="O326" s="19">
        <f>$G$14</f>
        <v>6</v>
      </c>
      <c r="P326" s="40">
        <f t="shared" ref="P326:T326" si="307">H326/H$344</f>
        <v>0.02181818182</v>
      </c>
      <c r="Q326" s="40">
        <f t="shared" si="307"/>
        <v>0.02830188679</v>
      </c>
      <c r="R326" s="40">
        <f t="shared" si="307"/>
        <v>0</v>
      </c>
      <c r="S326" s="40">
        <f t="shared" si="307"/>
        <v>0</v>
      </c>
      <c r="T326" s="40">
        <f t="shared" si="307"/>
        <v>0.02564102564</v>
      </c>
    </row>
    <row r="327" ht="15.75" customHeight="1">
      <c r="F327" s="24"/>
      <c r="G327" s="19">
        <f>$G$15</f>
        <v>7</v>
      </c>
      <c r="H327" s="20">
        <v>19.0</v>
      </c>
      <c r="I327" s="20">
        <v>8.0</v>
      </c>
      <c r="J327" s="20"/>
      <c r="K327" s="20"/>
      <c r="L327" s="20">
        <v>2.0</v>
      </c>
      <c r="N327" s="24"/>
      <c r="O327" s="19">
        <f>$G$15</f>
        <v>7</v>
      </c>
      <c r="P327" s="40">
        <f t="shared" ref="P327:T327" si="308">H327/H$344</f>
        <v>0.06909090909</v>
      </c>
      <c r="Q327" s="40">
        <f t="shared" si="308"/>
        <v>0.07547169811</v>
      </c>
      <c r="R327" s="40">
        <f t="shared" si="308"/>
        <v>0</v>
      </c>
      <c r="S327" s="40">
        <f t="shared" si="308"/>
        <v>0</v>
      </c>
      <c r="T327" s="40">
        <f t="shared" si="308"/>
        <v>0.05128205128</v>
      </c>
    </row>
    <row r="328" ht="15.75" customHeight="1">
      <c r="F328" s="24"/>
      <c r="G328" s="19">
        <f>$G$16</f>
        <v>8</v>
      </c>
      <c r="H328" s="20">
        <v>17.0</v>
      </c>
      <c r="I328" s="20">
        <v>9.0</v>
      </c>
      <c r="J328" s="20"/>
      <c r="K328" s="20"/>
      <c r="L328" s="20">
        <v>4.0</v>
      </c>
      <c r="N328" s="24"/>
      <c r="O328" s="19">
        <f>$G$16</f>
        <v>8</v>
      </c>
      <c r="P328" s="40">
        <f t="shared" ref="P328:T328" si="309">H328/H$344</f>
        <v>0.06181818182</v>
      </c>
      <c r="Q328" s="40">
        <f t="shared" si="309"/>
        <v>0.08490566038</v>
      </c>
      <c r="R328" s="40">
        <f t="shared" si="309"/>
        <v>0</v>
      </c>
      <c r="S328" s="40">
        <f t="shared" si="309"/>
        <v>0</v>
      </c>
      <c r="T328" s="40">
        <f t="shared" si="309"/>
        <v>0.1025641026</v>
      </c>
    </row>
    <row r="329" ht="15.75" customHeight="1">
      <c r="F329" s="24"/>
      <c r="G329" s="19">
        <f>$G$17</f>
        <v>9</v>
      </c>
      <c r="H329" s="20">
        <v>16.0</v>
      </c>
      <c r="I329" s="20">
        <v>6.0</v>
      </c>
      <c r="J329" s="20"/>
      <c r="K329" s="20">
        <v>1.0</v>
      </c>
      <c r="L329" s="20">
        <v>4.0</v>
      </c>
      <c r="N329" s="24"/>
      <c r="O329" s="19">
        <f>$G$17</f>
        <v>9</v>
      </c>
      <c r="P329" s="40">
        <f t="shared" ref="P329:T329" si="310">H329/H$344</f>
        <v>0.05818181818</v>
      </c>
      <c r="Q329" s="40">
        <f t="shared" si="310"/>
        <v>0.05660377358</v>
      </c>
      <c r="R329" s="40">
        <f t="shared" si="310"/>
        <v>0</v>
      </c>
      <c r="S329" s="40">
        <f t="shared" si="310"/>
        <v>0.05263157895</v>
      </c>
      <c r="T329" s="40">
        <f t="shared" si="310"/>
        <v>0.1025641026</v>
      </c>
    </row>
    <row r="330" ht="15.75" customHeight="1">
      <c r="F330" s="24"/>
      <c r="G330" s="19">
        <f>$G$18</f>
        <v>10</v>
      </c>
      <c r="H330" s="20">
        <v>15.0</v>
      </c>
      <c r="I330" s="20">
        <v>11.0</v>
      </c>
      <c r="J330" s="20"/>
      <c r="K330" s="20">
        <v>2.0</v>
      </c>
      <c r="L330" s="20">
        <v>4.0</v>
      </c>
      <c r="N330" s="24"/>
      <c r="O330" s="19">
        <f>$G$18</f>
        <v>10</v>
      </c>
      <c r="P330" s="40">
        <f t="shared" ref="P330:T330" si="311">H330/H$344</f>
        <v>0.05454545455</v>
      </c>
      <c r="Q330" s="40">
        <f t="shared" si="311"/>
        <v>0.1037735849</v>
      </c>
      <c r="R330" s="40">
        <f t="shared" si="311"/>
        <v>0</v>
      </c>
      <c r="S330" s="40">
        <f t="shared" si="311"/>
        <v>0.1052631579</v>
      </c>
      <c r="T330" s="40">
        <f t="shared" si="311"/>
        <v>0.1025641026</v>
      </c>
    </row>
    <row r="331" ht="15.75" customHeight="1">
      <c r="F331" s="24"/>
      <c r="G331" s="19">
        <f>$G$19</f>
        <v>11</v>
      </c>
      <c r="H331" s="20">
        <v>4.0</v>
      </c>
      <c r="I331" s="20">
        <v>7.0</v>
      </c>
      <c r="J331" s="20">
        <v>1.0</v>
      </c>
      <c r="K331" s="20">
        <v>5.0</v>
      </c>
      <c r="L331" s="20">
        <v>3.0</v>
      </c>
      <c r="N331" s="24"/>
      <c r="O331" s="19">
        <f>$G$19</f>
        <v>11</v>
      </c>
      <c r="P331" s="40">
        <f t="shared" ref="P331:T331" si="312">H331/H$344</f>
        <v>0.01454545455</v>
      </c>
      <c r="Q331" s="40">
        <f t="shared" si="312"/>
        <v>0.06603773585</v>
      </c>
      <c r="R331" s="40">
        <f t="shared" si="312"/>
        <v>0.3333333333</v>
      </c>
      <c r="S331" s="40">
        <f t="shared" si="312"/>
        <v>0.2631578947</v>
      </c>
      <c r="T331" s="40">
        <f t="shared" si="312"/>
        <v>0.07692307692</v>
      </c>
    </row>
    <row r="332" ht="15.75" customHeight="1">
      <c r="F332" s="24"/>
      <c r="G332" s="19">
        <f>$G$20</f>
        <v>12</v>
      </c>
      <c r="H332" s="20">
        <v>11.0</v>
      </c>
      <c r="I332" s="20">
        <v>4.0</v>
      </c>
      <c r="J332" s="20"/>
      <c r="K332" s="20">
        <v>1.0</v>
      </c>
      <c r="L332" s="20">
        <v>2.0</v>
      </c>
      <c r="N332" s="24"/>
      <c r="O332" s="19">
        <f>$G$20</f>
        <v>12</v>
      </c>
      <c r="P332" s="40">
        <f t="shared" ref="P332:T332" si="313">H332/H$344</f>
        <v>0.04</v>
      </c>
      <c r="Q332" s="40">
        <f t="shared" si="313"/>
        <v>0.03773584906</v>
      </c>
      <c r="R332" s="40">
        <f t="shared" si="313"/>
        <v>0</v>
      </c>
      <c r="S332" s="40">
        <f t="shared" si="313"/>
        <v>0.05263157895</v>
      </c>
      <c r="T332" s="40">
        <f t="shared" si="313"/>
        <v>0.05128205128</v>
      </c>
    </row>
    <row r="333" ht="15.75" customHeight="1">
      <c r="F333" s="24"/>
      <c r="G333" s="19">
        <f>$G$21</f>
        <v>13</v>
      </c>
      <c r="H333" s="20">
        <v>9.0</v>
      </c>
      <c r="I333" s="20">
        <v>4.0</v>
      </c>
      <c r="J333" s="20"/>
      <c r="K333" s="20">
        <v>1.0</v>
      </c>
      <c r="L333" s="20">
        <v>6.0</v>
      </c>
      <c r="N333" s="24"/>
      <c r="O333" s="19">
        <f>$G$21</f>
        <v>13</v>
      </c>
      <c r="P333" s="40">
        <f t="shared" ref="P333:T333" si="314">H333/H$344</f>
        <v>0.03272727273</v>
      </c>
      <c r="Q333" s="40">
        <f t="shared" si="314"/>
        <v>0.03773584906</v>
      </c>
      <c r="R333" s="40">
        <f t="shared" si="314"/>
        <v>0</v>
      </c>
      <c r="S333" s="40">
        <f t="shared" si="314"/>
        <v>0.05263157895</v>
      </c>
      <c r="T333" s="40">
        <f t="shared" si="314"/>
        <v>0.1538461538</v>
      </c>
    </row>
    <row r="334" ht="15.75" customHeight="1">
      <c r="F334" s="24"/>
      <c r="G334" s="19">
        <f>$G$22</f>
        <v>14</v>
      </c>
      <c r="H334" s="20">
        <v>20.0</v>
      </c>
      <c r="I334" s="20">
        <v>5.0</v>
      </c>
      <c r="J334" s="20"/>
      <c r="K334" s="20">
        <v>2.0</v>
      </c>
      <c r="L334" s="20">
        <v>4.0</v>
      </c>
      <c r="N334" s="24"/>
      <c r="O334" s="19">
        <f>$G$22</f>
        <v>14</v>
      </c>
      <c r="P334" s="40">
        <f t="shared" ref="P334:T334" si="315">H334/H$344</f>
        <v>0.07272727273</v>
      </c>
      <c r="Q334" s="40">
        <f t="shared" si="315"/>
        <v>0.04716981132</v>
      </c>
      <c r="R334" s="40">
        <f t="shared" si="315"/>
        <v>0</v>
      </c>
      <c r="S334" s="40">
        <f t="shared" si="315"/>
        <v>0.1052631579</v>
      </c>
      <c r="T334" s="40">
        <f t="shared" si="315"/>
        <v>0.1025641026</v>
      </c>
    </row>
    <row r="335" ht="15.75" customHeight="1">
      <c r="F335" s="24"/>
      <c r="G335" s="19">
        <f>$G$23</f>
        <v>15</v>
      </c>
      <c r="H335" s="20">
        <v>19.0</v>
      </c>
      <c r="I335" s="20">
        <v>8.0</v>
      </c>
      <c r="J335" s="20">
        <v>1.0</v>
      </c>
      <c r="K335" s="20">
        <v>1.0</v>
      </c>
      <c r="L335" s="20">
        <v>4.0</v>
      </c>
      <c r="N335" s="24"/>
      <c r="O335" s="19">
        <f>$G$23</f>
        <v>15</v>
      </c>
      <c r="P335" s="40">
        <f t="shared" ref="P335:T335" si="316">H335/H$344</f>
        <v>0.06909090909</v>
      </c>
      <c r="Q335" s="40">
        <f t="shared" si="316"/>
        <v>0.07547169811</v>
      </c>
      <c r="R335" s="40">
        <f t="shared" si="316"/>
        <v>0.3333333333</v>
      </c>
      <c r="S335" s="40">
        <f t="shared" si="316"/>
        <v>0.05263157895</v>
      </c>
      <c r="T335" s="40">
        <f t="shared" si="316"/>
        <v>0.1025641026</v>
      </c>
    </row>
    <row r="336" ht="15.75" customHeight="1">
      <c r="F336" s="24"/>
      <c r="G336" s="19">
        <f>$G$24</f>
        <v>16</v>
      </c>
      <c r="H336" s="20">
        <v>18.0</v>
      </c>
      <c r="I336" s="20">
        <v>5.0</v>
      </c>
      <c r="J336" s="20"/>
      <c r="K336" s="20">
        <v>2.0</v>
      </c>
      <c r="L336" s="20">
        <v>4.0</v>
      </c>
      <c r="N336" s="24"/>
      <c r="O336" s="19">
        <f>$G$24</f>
        <v>16</v>
      </c>
      <c r="P336" s="40">
        <f t="shared" ref="P336:T336" si="317">H336/H$344</f>
        <v>0.06545454545</v>
      </c>
      <c r="Q336" s="40">
        <f t="shared" si="317"/>
        <v>0.04716981132</v>
      </c>
      <c r="R336" s="40">
        <f t="shared" si="317"/>
        <v>0</v>
      </c>
      <c r="S336" s="40">
        <f t="shared" si="317"/>
        <v>0.1052631579</v>
      </c>
      <c r="T336" s="40">
        <f t="shared" si="317"/>
        <v>0.1025641026</v>
      </c>
    </row>
    <row r="337" ht="15.75" customHeight="1">
      <c r="F337" s="24"/>
      <c r="G337" s="19">
        <f>$G$25</f>
        <v>17</v>
      </c>
      <c r="H337" s="20">
        <v>30.0</v>
      </c>
      <c r="I337" s="20">
        <v>9.0</v>
      </c>
      <c r="J337" s="20">
        <v>1.0</v>
      </c>
      <c r="K337" s="20">
        <v>1.0</v>
      </c>
      <c r="L337" s="20">
        <v>1.0</v>
      </c>
      <c r="N337" s="24"/>
      <c r="O337" s="19">
        <f>$G$25</f>
        <v>17</v>
      </c>
      <c r="P337" s="40">
        <f t="shared" ref="P337:T337" si="318">H337/H$344</f>
        <v>0.1090909091</v>
      </c>
      <c r="Q337" s="40">
        <f t="shared" si="318"/>
        <v>0.08490566038</v>
      </c>
      <c r="R337" s="40">
        <f t="shared" si="318"/>
        <v>0.3333333333</v>
      </c>
      <c r="S337" s="40">
        <f t="shared" si="318"/>
        <v>0.05263157895</v>
      </c>
      <c r="T337" s="40">
        <f t="shared" si="318"/>
        <v>0.02564102564</v>
      </c>
    </row>
    <row r="338" ht="15.75" customHeight="1">
      <c r="F338" s="24"/>
      <c r="G338" s="19">
        <f>$G$26</f>
        <v>18</v>
      </c>
      <c r="H338" s="20">
        <v>27.0</v>
      </c>
      <c r="I338" s="20">
        <v>8.0</v>
      </c>
      <c r="J338" s="20"/>
      <c r="K338" s="20">
        <v>1.0</v>
      </c>
      <c r="L338" s="20"/>
      <c r="N338" s="24"/>
      <c r="O338" s="19">
        <f>$G$26</f>
        <v>18</v>
      </c>
      <c r="P338" s="40">
        <f t="shared" ref="P338:T338" si="319">H338/H$344</f>
        <v>0.09818181818</v>
      </c>
      <c r="Q338" s="40">
        <f t="shared" si="319"/>
        <v>0.07547169811</v>
      </c>
      <c r="R338" s="40">
        <f t="shared" si="319"/>
        <v>0</v>
      </c>
      <c r="S338" s="40">
        <f t="shared" si="319"/>
        <v>0.05263157895</v>
      </c>
      <c r="T338" s="40">
        <f t="shared" si="319"/>
        <v>0</v>
      </c>
    </row>
    <row r="339" ht="15.75" customHeight="1">
      <c r="F339" s="24"/>
      <c r="G339" s="19">
        <f>$G$27</f>
        <v>19</v>
      </c>
      <c r="H339" s="20">
        <v>16.0</v>
      </c>
      <c r="I339" s="20">
        <v>5.0</v>
      </c>
      <c r="J339" s="20"/>
      <c r="K339" s="20"/>
      <c r="L339" s="20"/>
      <c r="N339" s="24"/>
      <c r="O339" s="19">
        <f>$G$27</f>
        <v>19</v>
      </c>
      <c r="P339" s="40">
        <f t="shared" ref="P339:T339" si="320">H339/H$344</f>
        <v>0.05818181818</v>
      </c>
      <c r="Q339" s="40">
        <f t="shared" si="320"/>
        <v>0.04716981132</v>
      </c>
      <c r="R339" s="40">
        <f t="shared" si="320"/>
        <v>0</v>
      </c>
      <c r="S339" s="40">
        <f t="shared" si="320"/>
        <v>0</v>
      </c>
      <c r="T339" s="40">
        <f t="shared" si="320"/>
        <v>0</v>
      </c>
    </row>
    <row r="340" ht="15.75" customHeight="1">
      <c r="F340" s="24"/>
      <c r="G340" s="19">
        <f>$G$28</f>
        <v>20</v>
      </c>
      <c r="H340" s="20">
        <v>17.0</v>
      </c>
      <c r="I340" s="20">
        <v>2.0</v>
      </c>
      <c r="J340" s="20"/>
      <c r="K340" s="20"/>
      <c r="L340" s="20"/>
      <c r="N340" s="24"/>
      <c r="O340" s="19">
        <f>$G$28</f>
        <v>20</v>
      </c>
      <c r="P340" s="40">
        <f t="shared" ref="P340:T340" si="321">H340/H$344</f>
        <v>0.06181818182</v>
      </c>
      <c r="Q340" s="40">
        <f t="shared" si="321"/>
        <v>0.01886792453</v>
      </c>
      <c r="R340" s="40">
        <f t="shared" si="321"/>
        <v>0</v>
      </c>
      <c r="S340" s="40">
        <f t="shared" si="321"/>
        <v>0</v>
      </c>
      <c r="T340" s="40">
        <f t="shared" si="321"/>
        <v>0</v>
      </c>
    </row>
    <row r="341" ht="15.75" customHeight="1">
      <c r="F341" s="24"/>
      <c r="G341" s="19">
        <f>$G$29</f>
        <v>21</v>
      </c>
      <c r="H341" s="20">
        <v>6.0</v>
      </c>
      <c r="I341" s="20">
        <v>2.0</v>
      </c>
      <c r="J341" s="20"/>
      <c r="K341" s="20"/>
      <c r="L341" s="20"/>
      <c r="N341" s="24"/>
      <c r="O341" s="19">
        <f>$G$29</f>
        <v>21</v>
      </c>
      <c r="P341" s="40">
        <f t="shared" ref="P341:T341" si="322">H341/H$344</f>
        <v>0.02181818182</v>
      </c>
      <c r="Q341" s="40">
        <f t="shared" si="322"/>
        <v>0.01886792453</v>
      </c>
      <c r="R341" s="40">
        <f t="shared" si="322"/>
        <v>0</v>
      </c>
      <c r="S341" s="40">
        <f t="shared" si="322"/>
        <v>0</v>
      </c>
      <c r="T341" s="40">
        <f t="shared" si="322"/>
        <v>0</v>
      </c>
    </row>
    <row r="342" ht="15.75" customHeight="1">
      <c r="F342" s="24"/>
      <c r="G342" s="19">
        <f>$G$30</f>
        <v>22</v>
      </c>
      <c r="H342" s="20">
        <v>2.0</v>
      </c>
      <c r="I342" s="20">
        <v>1.0</v>
      </c>
      <c r="J342" s="20"/>
      <c r="K342" s="20"/>
      <c r="L342" s="20"/>
      <c r="N342" s="24"/>
      <c r="O342" s="19">
        <f>$G$30</f>
        <v>22</v>
      </c>
      <c r="P342" s="40">
        <f t="shared" ref="P342:T342" si="323">H342/H$344</f>
        <v>0.007272727273</v>
      </c>
      <c r="Q342" s="40">
        <f t="shared" si="323"/>
        <v>0.009433962264</v>
      </c>
      <c r="R342" s="40">
        <f t="shared" si="323"/>
        <v>0</v>
      </c>
      <c r="S342" s="40">
        <f t="shared" si="323"/>
        <v>0</v>
      </c>
      <c r="T342" s="40">
        <f t="shared" si="323"/>
        <v>0</v>
      </c>
    </row>
    <row r="343" ht="15.75" customHeight="1">
      <c r="F343" s="28"/>
      <c r="G343" s="19">
        <f>$G$31</f>
        <v>23</v>
      </c>
      <c r="H343" s="20">
        <v>8.0</v>
      </c>
      <c r="I343" s="20">
        <v>1.0</v>
      </c>
      <c r="J343" s="20"/>
      <c r="K343" s="20"/>
      <c r="L343" s="20"/>
      <c r="N343" s="28"/>
      <c r="O343" s="19">
        <f>$G$31</f>
        <v>23</v>
      </c>
      <c r="P343" s="40">
        <f t="shared" ref="P343:T343" si="324">H343/H$344</f>
        <v>0.02909090909</v>
      </c>
      <c r="Q343" s="40">
        <f t="shared" si="324"/>
        <v>0.009433962264</v>
      </c>
      <c r="R343" s="40">
        <f t="shared" si="324"/>
        <v>0</v>
      </c>
      <c r="S343" s="40">
        <f t="shared" si="324"/>
        <v>0</v>
      </c>
      <c r="T343" s="40">
        <f t="shared" si="324"/>
        <v>0</v>
      </c>
    </row>
    <row r="344" ht="15.75" customHeight="1">
      <c r="F344" s="111"/>
      <c r="G344" s="112"/>
      <c r="H344" s="26">
        <f t="shared" ref="H344:L344" si="325">SUM(H320:H343)</f>
        <v>275</v>
      </c>
      <c r="I344" s="26">
        <f t="shared" si="325"/>
        <v>106</v>
      </c>
      <c r="J344" s="26">
        <f t="shared" si="325"/>
        <v>3</v>
      </c>
      <c r="K344" s="26">
        <f t="shared" si="325"/>
        <v>19</v>
      </c>
      <c r="L344" s="26">
        <f t="shared" si="325"/>
        <v>39</v>
      </c>
    </row>
    <row r="345" ht="15.75" customHeight="1">
      <c r="G345" s="16"/>
      <c r="H345" s="17">
        <f>$H$7</f>
        <v>31</v>
      </c>
      <c r="I345" s="17">
        <f>$I$7</f>
        <v>32</v>
      </c>
      <c r="J345" s="17">
        <f>$J$7</f>
        <v>41</v>
      </c>
      <c r="K345" s="17">
        <f>$K$7</f>
        <v>42</v>
      </c>
      <c r="L345" s="17">
        <f>$L$7</f>
        <v>5</v>
      </c>
      <c r="O345" s="16"/>
      <c r="P345" s="17">
        <f>$H$7</f>
        <v>31</v>
      </c>
      <c r="Q345" s="17">
        <f>$I$7</f>
        <v>32</v>
      </c>
      <c r="R345" s="17">
        <f>$J$7</f>
        <v>41</v>
      </c>
      <c r="S345" s="17">
        <f>$K$7</f>
        <v>42</v>
      </c>
      <c r="T345" s="17">
        <f>$L$7</f>
        <v>5</v>
      </c>
    </row>
    <row r="346" ht="15.75" customHeight="1">
      <c r="F346" s="56">
        <v>45220.0</v>
      </c>
      <c r="G346" s="19">
        <f>$G$8</f>
        <v>0</v>
      </c>
      <c r="H346" s="20">
        <v>8.0</v>
      </c>
      <c r="I346" s="20"/>
      <c r="J346" s="20"/>
      <c r="K346" s="20"/>
      <c r="L346" s="20"/>
      <c r="N346" s="56">
        <v>45220.0</v>
      </c>
      <c r="O346" s="19">
        <f>$G$8</f>
        <v>0</v>
      </c>
      <c r="P346" s="40">
        <f t="shared" ref="P346:T346" si="326">H346/H$370</f>
        <v>0.02597402597</v>
      </c>
      <c r="Q346" s="40">
        <f t="shared" si="326"/>
        <v>0</v>
      </c>
      <c r="R346" s="40">
        <f t="shared" si="326"/>
        <v>0</v>
      </c>
      <c r="S346" s="40">
        <f t="shared" si="326"/>
        <v>0</v>
      </c>
      <c r="T346" s="40">
        <f t="shared" si="326"/>
        <v>0</v>
      </c>
    </row>
    <row r="347" ht="15.75" customHeight="1">
      <c r="F347" s="24"/>
      <c r="G347" s="19">
        <f>$G$9</f>
        <v>1</v>
      </c>
      <c r="H347" s="20">
        <v>5.0</v>
      </c>
      <c r="I347" s="20"/>
      <c r="J347" s="20"/>
      <c r="K347" s="20">
        <v>1.0</v>
      </c>
      <c r="L347" s="20"/>
      <c r="N347" s="24"/>
      <c r="O347" s="19">
        <f>$G$9</f>
        <v>1</v>
      </c>
      <c r="P347" s="40">
        <f t="shared" ref="P347:T347" si="327">H347/H$370</f>
        <v>0.01623376623</v>
      </c>
      <c r="Q347" s="40">
        <f t="shared" si="327"/>
        <v>0</v>
      </c>
      <c r="R347" s="40">
        <f t="shared" si="327"/>
        <v>0</v>
      </c>
      <c r="S347" s="40">
        <f t="shared" si="327"/>
        <v>0.09090909091</v>
      </c>
      <c r="T347" s="40">
        <f t="shared" si="327"/>
        <v>0</v>
      </c>
    </row>
    <row r="348" ht="15.75" customHeight="1">
      <c r="F348" s="24"/>
      <c r="G348" s="19">
        <f>$G$10</f>
        <v>2</v>
      </c>
      <c r="H348" s="16">
        <v>1.0</v>
      </c>
      <c r="I348" s="16"/>
      <c r="J348" s="16"/>
      <c r="K348" s="16"/>
      <c r="L348" s="16"/>
      <c r="N348" s="24"/>
      <c r="O348" s="19">
        <f>$G$10</f>
        <v>2</v>
      </c>
      <c r="P348" s="40">
        <f t="shared" ref="P348:T348" si="328">H348/H$370</f>
        <v>0.003246753247</v>
      </c>
      <c r="Q348" s="40">
        <f t="shared" si="328"/>
        <v>0</v>
      </c>
      <c r="R348" s="40">
        <f t="shared" si="328"/>
        <v>0</v>
      </c>
      <c r="S348" s="40">
        <f t="shared" si="328"/>
        <v>0</v>
      </c>
      <c r="T348" s="40">
        <f t="shared" si="328"/>
        <v>0</v>
      </c>
    </row>
    <row r="349" ht="15.75" customHeight="1">
      <c r="F349" s="24"/>
      <c r="G349" s="19">
        <f>$G$11</f>
        <v>3</v>
      </c>
      <c r="H349" s="20">
        <v>2.0</v>
      </c>
      <c r="I349" s="20">
        <v>2.0</v>
      </c>
      <c r="J349" s="20"/>
      <c r="K349" s="20"/>
      <c r="L349" s="20"/>
      <c r="N349" s="24"/>
      <c r="O349" s="19">
        <f>$G$11</f>
        <v>3</v>
      </c>
      <c r="P349" s="40">
        <f t="shared" ref="P349:T349" si="329">H349/H$370</f>
        <v>0.006493506494</v>
      </c>
      <c r="Q349" s="40">
        <f t="shared" si="329"/>
        <v>0.01724137931</v>
      </c>
      <c r="R349" s="40">
        <f t="shared" si="329"/>
        <v>0</v>
      </c>
      <c r="S349" s="40">
        <f t="shared" si="329"/>
        <v>0</v>
      </c>
      <c r="T349" s="40">
        <f t="shared" si="329"/>
        <v>0</v>
      </c>
    </row>
    <row r="350" ht="15.75" customHeight="1">
      <c r="F350" s="24"/>
      <c r="G350" s="19">
        <f>$G$12</f>
        <v>4</v>
      </c>
      <c r="H350" s="20">
        <v>2.0</v>
      </c>
      <c r="I350" s="20">
        <v>2.0</v>
      </c>
      <c r="J350" s="20"/>
      <c r="K350" s="20">
        <v>2.0</v>
      </c>
      <c r="L350" s="20"/>
      <c r="N350" s="24"/>
      <c r="O350" s="19">
        <f>$G$12</f>
        <v>4</v>
      </c>
      <c r="P350" s="40">
        <f t="shared" ref="P350:T350" si="330">H350/H$370</f>
        <v>0.006493506494</v>
      </c>
      <c r="Q350" s="40">
        <f t="shared" si="330"/>
        <v>0.01724137931</v>
      </c>
      <c r="R350" s="40">
        <f t="shared" si="330"/>
        <v>0</v>
      </c>
      <c r="S350" s="40">
        <f t="shared" si="330"/>
        <v>0.1818181818</v>
      </c>
      <c r="T350" s="40">
        <f t="shared" si="330"/>
        <v>0</v>
      </c>
    </row>
    <row r="351" ht="15.75" customHeight="1">
      <c r="F351" s="24"/>
      <c r="G351" s="19">
        <f>$G$13</f>
        <v>5</v>
      </c>
      <c r="H351" s="20">
        <v>3.0</v>
      </c>
      <c r="I351" s="20">
        <v>2.0</v>
      </c>
      <c r="J351" s="20"/>
      <c r="K351" s="20"/>
      <c r="L351" s="20">
        <v>1.0</v>
      </c>
      <c r="N351" s="24"/>
      <c r="O351" s="19">
        <f>$G$13</f>
        <v>5</v>
      </c>
      <c r="P351" s="40">
        <f t="shared" ref="P351:T351" si="331">H351/H$370</f>
        <v>0.00974025974</v>
      </c>
      <c r="Q351" s="40">
        <f t="shared" si="331"/>
        <v>0.01724137931</v>
      </c>
      <c r="R351" s="40">
        <f t="shared" si="331"/>
        <v>0</v>
      </c>
      <c r="S351" s="40">
        <f t="shared" si="331"/>
        <v>0</v>
      </c>
      <c r="T351" s="40">
        <f t="shared" si="331"/>
        <v>0.04347826087</v>
      </c>
    </row>
    <row r="352" ht="15.75" customHeight="1">
      <c r="F352" s="24"/>
      <c r="G352" s="19">
        <f>$G$14</f>
        <v>6</v>
      </c>
      <c r="H352" s="20">
        <v>11.0</v>
      </c>
      <c r="I352" s="20">
        <v>7.0</v>
      </c>
      <c r="J352" s="20"/>
      <c r="K352" s="20"/>
      <c r="L352" s="20">
        <v>2.0</v>
      </c>
      <c r="N352" s="24"/>
      <c r="O352" s="19">
        <f>$G$14</f>
        <v>6</v>
      </c>
      <c r="P352" s="40">
        <f t="shared" ref="P352:T352" si="332">H352/H$370</f>
        <v>0.03571428571</v>
      </c>
      <c r="Q352" s="40">
        <f t="shared" si="332"/>
        <v>0.06034482759</v>
      </c>
      <c r="R352" s="40">
        <f t="shared" si="332"/>
        <v>0</v>
      </c>
      <c r="S352" s="40">
        <f t="shared" si="332"/>
        <v>0</v>
      </c>
      <c r="T352" s="40">
        <f t="shared" si="332"/>
        <v>0.08695652174</v>
      </c>
    </row>
    <row r="353" ht="15.75" customHeight="1">
      <c r="F353" s="24"/>
      <c r="G353" s="19">
        <f>$G$15</f>
        <v>7</v>
      </c>
      <c r="H353" s="20">
        <v>7.0</v>
      </c>
      <c r="I353" s="20">
        <v>2.0</v>
      </c>
      <c r="J353" s="20"/>
      <c r="K353" s="20">
        <v>1.0</v>
      </c>
      <c r="L353" s="20">
        <v>2.0</v>
      </c>
      <c r="N353" s="24"/>
      <c r="O353" s="19">
        <f>$G$15</f>
        <v>7</v>
      </c>
      <c r="P353" s="40">
        <f t="shared" ref="P353:T353" si="333">H353/H$370</f>
        <v>0.02272727273</v>
      </c>
      <c r="Q353" s="40">
        <f t="shared" si="333"/>
        <v>0.01724137931</v>
      </c>
      <c r="R353" s="40">
        <f t="shared" si="333"/>
        <v>0</v>
      </c>
      <c r="S353" s="40">
        <f t="shared" si="333"/>
        <v>0.09090909091</v>
      </c>
      <c r="T353" s="40">
        <f t="shared" si="333"/>
        <v>0.08695652174</v>
      </c>
    </row>
    <row r="354" ht="15.75" customHeight="1">
      <c r="F354" s="24"/>
      <c r="G354" s="19">
        <f>$G$16</f>
        <v>8</v>
      </c>
      <c r="H354" s="20">
        <v>17.0</v>
      </c>
      <c r="I354" s="20">
        <v>8.0</v>
      </c>
      <c r="J354" s="20"/>
      <c r="K354" s="20"/>
      <c r="L354" s="20">
        <v>2.0</v>
      </c>
      <c r="N354" s="24"/>
      <c r="O354" s="19">
        <f>$G$16</f>
        <v>8</v>
      </c>
      <c r="P354" s="40">
        <f t="shared" ref="P354:T354" si="334">H354/H$370</f>
        <v>0.05519480519</v>
      </c>
      <c r="Q354" s="40">
        <f t="shared" si="334"/>
        <v>0.06896551724</v>
      </c>
      <c r="R354" s="40">
        <f t="shared" si="334"/>
        <v>0</v>
      </c>
      <c r="S354" s="40">
        <f t="shared" si="334"/>
        <v>0</v>
      </c>
      <c r="T354" s="40">
        <f t="shared" si="334"/>
        <v>0.08695652174</v>
      </c>
    </row>
    <row r="355" ht="15.75" customHeight="1">
      <c r="F355" s="24"/>
      <c r="G355" s="19">
        <f>$G$17</f>
        <v>9</v>
      </c>
      <c r="H355" s="20">
        <v>17.0</v>
      </c>
      <c r="I355" s="20">
        <v>8.0</v>
      </c>
      <c r="J355" s="20">
        <v>3.0</v>
      </c>
      <c r="K355" s="20">
        <v>1.0</v>
      </c>
      <c r="L355" s="20">
        <v>2.0</v>
      </c>
      <c r="N355" s="24"/>
      <c r="O355" s="19">
        <f>$G$17</f>
        <v>9</v>
      </c>
      <c r="P355" s="40">
        <f t="shared" ref="P355:T355" si="335">H355/H$370</f>
        <v>0.05519480519</v>
      </c>
      <c r="Q355" s="40">
        <f t="shared" si="335"/>
        <v>0.06896551724</v>
      </c>
      <c r="R355" s="40">
        <f t="shared" si="335"/>
        <v>0.6</v>
      </c>
      <c r="S355" s="40">
        <f t="shared" si="335"/>
        <v>0.09090909091</v>
      </c>
      <c r="T355" s="40">
        <f t="shared" si="335"/>
        <v>0.08695652174</v>
      </c>
    </row>
    <row r="356" ht="15.75" customHeight="1">
      <c r="F356" s="24"/>
      <c r="G356" s="19">
        <f>$G$18</f>
        <v>10</v>
      </c>
      <c r="H356" s="20">
        <v>13.0</v>
      </c>
      <c r="I356" s="20">
        <v>7.0</v>
      </c>
      <c r="J356" s="20"/>
      <c r="K356" s="20">
        <v>1.0</v>
      </c>
      <c r="L356" s="20">
        <v>4.0</v>
      </c>
      <c r="N356" s="24"/>
      <c r="O356" s="19">
        <f>$G$18</f>
        <v>10</v>
      </c>
      <c r="P356" s="40">
        <f t="shared" ref="P356:T356" si="336">H356/H$370</f>
        <v>0.04220779221</v>
      </c>
      <c r="Q356" s="40">
        <f t="shared" si="336"/>
        <v>0.06034482759</v>
      </c>
      <c r="R356" s="40">
        <f t="shared" si="336"/>
        <v>0</v>
      </c>
      <c r="S356" s="40">
        <f t="shared" si="336"/>
        <v>0.09090909091</v>
      </c>
      <c r="T356" s="40">
        <f t="shared" si="336"/>
        <v>0.1739130435</v>
      </c>
    </row>
    <row r="357" ht="15.75" customHeight="1">
      <c r="F357" s="24"/>
      <c r="G357" s="19">
        <f>$G$19</f>
        <v>11</v>
      </c>
      <c r="H357" s="20">
        <v>27.0</v>
      </c>
      <c r="I357" s="20">
        <v>11.0</v>
      </c>
      <c r="J357" s="20">
        <v>1.0</v>
      </c>
      <c r="K357" s="20">
        <v>1.0</v>
      </c>
      <c r="L357" s="20">
        <v>3.0</v>
      </c>
      <c r="N357" s="24"/>
      <c r="O357" s="19">
        <f>$G$19</f>
        <v>11</v>
      </c>
      <c r="P357" s="40">
        <f t="shared" ref="P357:T357" si="337">H357/H$370</f>
        <v>0.08766233766</v>
      </c>
      <c r="Q357" s="40">
        <f t="shared" si="337"/>
        <v>0.09482758621</v>
      </c>
      <c r="R357" s="40">
        <f t="shared" si="337"/>
        <v>0.2</v>
      </c>
      <c r="S357" s="40">
        <f t="shared" si="337"/>
        <v>0.09090909091</v>
      </c>
      <c r="T357" s="40">
        <f t="shared" si="337"/>
        <v>0.1304347826</v>
      </c>
    </row>
    <row r="358" ht="15.75" customHeight="1">
      <c r="F358" s="24"/>
      <c r="G358" s="19">
        <f>$G$20</f>
        <v>12</v>
      </c>
      <c r="H358" s="20">
        <v>21.0</v>
      </c>
      <c r="I358" s="20">
        <v>3.0</v>
      </c>
      <c r="J358" s="20"/>
      <c r="K358" s="20">
        <v>1.0</v>
      </c>
      <c r="L358" s="20">
        <v>1.0</v>
      </c>
      <c r="N358" s="24"/>
      <c r="O358" s="19">
        <f>$G$20</f>
        <v>12</v>
      </c>
      <c r="P358" s="40">
        <f t="shared" ref="P358:T358" si="338">H358/H$370</f>
        <v>0.06818181818</v>
      </c>
      <c r="Q358" s="40">
        <f t="shared" si="338"/>
        <v>0.02586206897</v>
      </c>
      <c r="R358" s="40">
        <f t="shared" si="338"/>
        <v>0</v>
      </c>
      <c r="S358" s="40">
        <f t="shared" si="338"/>
        <v>0.09090909091</v>
      </c>
      <c r="T358" s="40">
        <f t="shared" si="338"/>
        <v>0.04347826087</v>
      </c>
    </row>
    <row r="359" ht="15.75" customHeight="1">
      <c r="F359" s="24"/>
      <c r="G359" s="19">
        <f>$G$21</f>
        <v>13</v>
      </c>
      <c r="H359" s="20">
        <v>16.0</v>
      </c>
      <c r="I359" s="20">
        <v>6.0</v>
      </c>
      <c r="J359" s="20"/>
      <c r="K359" s="20">
        <v>1.0</v>
      </c>
      <c r="L359" s="20">
        <v>3.0</v>
      </c>
      <c r="N359" s="24"/>
      <c r="O359" s="19">
        <f>$G$21</f>
        <v>13</v>
      </c>
      <c r="P359" s="40">
        <f t="shared" ref="P359:T359" si="339">H359/H$370</f>
        <v>0.05194805195</v>
      </c>
      <c r="Q359" s="40">
        <f t="shared" si="339"/>
        <v>0.05172413793</v>
      </c>
      <c r="R359" s="40">
        <f t="shared" si="339"/>
        <v>0</v>
      </c>
      <c r="S359" s="40">
        <f t="shared" si="339"/>
        <v>0.09090909091</v>
      </c>
      <c r="T359" s="40">
        <f t="shared" si="339"/>
        <v>0.1304347826</v>
      </c>
    </row>
    <row r="360" ht="15.75" customHeight="1">
      <c r="F360" s="24"/>
      <c r="G360" s="19">
        <f>$G$22</f>
        <v>14</v>
      </c>
      <c r="H360" s="20">
        <v>21.0</v>
      </c>
      <c r="I360" s="20">
        <v>7.0</v>
      </c>
      <c r="J360" s="20"/>
      <c r="K360" s="20"/>
      <c r="L360" s="20">
        <v>3.0</v>
      </c>
      <c r="N360" s="24"/>
      <c r="O360" s="19">
        <f>$G$22</f>
        <v>14</v>
      </c>
      <c r="P360" s="40">
        <f t="shared" ref="P360:T360" si="340">H360/H$370</f>
        <v>0.06818181818</v>
      </c>
      <c r="Q360" s="40">
        <f t="shared" si="340"/>
        <v>0.06034482759</v>
      </c>
      <c r="R360" s="40">
        <f t="shared" si="340"/>
        <v>0</v>
      </c>
      <c r="S360" s="40">
        <f t="shared" si="340"/>
        <v>0</v>
      </c>
      <c r="T360" s="40">
        <f t="shared" si="340"/>
        <v>0.1304347826</v>
      </c>
    </row>
    <row r="361" ht="15.75" customHeight="1">
      <c r="F361" s="24"/>
      <c r="G361" s="19">
        <f>$G$23</f>
        <v>15</v>
      </c>
      <c r="H361" s="20">
        <v>27.0</v>
      </c>
      <c r="I361" s="20">
        <v>11.0</v>
      </c>
      <c r="J361" s="20">
        <v>1.0</v>
      </c>
      <c r="K361" s="20">
        <v>2.0</v>
      </c>
      <c r="L361" s="20"/>
      <c r="N361" s="24"/>
      <c r="O361" s="19">
        <f>$G$23</f>
        <v>15</v>
      </c>
      <c r="P361" s="40">
        <f t="shared" ref="P361:T361" si="341">H361/H$370</f>
        <v>0.08766233766</v>
      </c>
      <c r="Q361" s="40">
        <f t="shared" si="341"/>
        <v>0.09482758621</v>
      </c>
      <c r="R361" s="40">
        <f t="shared" si="341"/>
        <v>0.2</v>
      </c>
      <c r="S361" s="40">
        <f t="shared" si="341"/>
        <v>0.1818181818</v>
      </c>
      <c r="T361" s="40">
        <f t="shared" si="341"/>
        <v>0</v>
      </c>
    </row>
    <row r="362" ht="15.75" customHeight="1">
      <c r="F362" s="24"/>
      <c r="G362" s="19">
        <f>$G$24</f>
        <v>16</v>
      </c>
      <c r="H362" s="20">
        <v>37.0</v>
      </c>
      <c r="I362" s="20">
        <v>11.0</v>
      </c>
      <c r="J362" s="20"/>
      <c r="K362" s="20"/>
      <c r="L362" s="20"/>
      <c r="N362" s="24"/>
      <c r="O362" s="19">
        <f>$G$24</f>
        <v>16</v>
      </c>
      <c r="P362" s="40">
        <f t="shared" ref="P362:T362" si="342">H362/H$370</f>
        <v>0.1201298701</v>
      </c>
      <c r="Q362" s="40">
        <f t="shared" si="342"/>
        <v>0.09482758621</v>
      </c>
      <c r="R362" s="40">
        <f t="shared" si="342"/>
        <v>0</v>
      </c>
      <c r="S362" s="40">
        <f t="shared" si="342"/>
        <v>0</v>
      </c>
      <c r="T362" s="40">
        <f t="shared" si="342"/>
        <v>0</v>
      </c>
    </row>
    <row r="363" ht="15.75" customHeight="1">
      <c r="F363" s="24"/>
      <c r="G363" s="19">
        <f>$G$25</f>
        <v>17</v>
      </c>
      <c r="H363" s="20">
        <v>17.0</v>
      </c>
      <c r="I363" s="20">
        <v>10.0</v>
      </c>
      <c r="J363" s="20"/>
      <c r="K363" s="20"/>
      <c r="L363" s="20"/>
      <c r="N363" s="24"/>
      <c r="O363" s="19">
        <f>$G$25</f>
        <v>17</v>
      </c>
      <c r="P363" s="40">
        <f t="shared" ref="P363:T363" si="343">H363/H$370</f>
        <v>0.05519480519</v>
      </c>
      <c r="Q363" s="40">
        <f t="shared" si="343"/>
        <v>0.08620689655</v>
      </c>
      <c r="R363" s="40">
        <f t="shared" si="343"/>
        <v>0</v>
      </c>
      <c r="S363" s="40">
        <f t="shared" si="343"/>
        <v>0</v>
      </c>
      <c r="T363" s="40">
        <f t="shared" si="343"/>
        <v>0</v>
      </c>
    </row>
    <row r="364" ht="15.75" customHeight="1">
      <c r="F364" s="24"/>
      <c r="G364" s="19">
        <f>$G$26</f>
        <v>18</v>
      </c>
      <c r="H364" s="20">
        <v>20.0</v>
      </c>
      <c r="I364" s="20">
        <v>10.0</v>
      </c>
      <c r="J364" s="20"/>
      <c r="K364" s="20"/>
      <c r="L364" s="20"/>
      <c r="N364" s="24"/>
      <c r="O364" s="19">
        <f>$G$26</f>
        <v>18</v>
      </c>
      <c r="P364" s="40">
        <f t="shared" ref="P364:T364" si="344">H364/H$370</f>
        <v>0.06493506494</v>
      </c>
      <c r="Q364" s="40">
        <f t="shared" si="344"/>
        <v>0.08620689655</v>
      </c>
      <c r="R364" s="40">
        <f t="shared" si="344"/>
        <v>0</v>
      </c>
      <c r="S364" s="40">
        <f t="shared" si="344"/>
        <v>0</v>
      </c>
      <c r="T364" s="40">
        <f t="shared" si="344"/>
        <v>0</v>
      </c>
    </row>
    <row r="365" ht="15.75" customHeight="1">
      <c r="F365" s="24"/>
      <c r="G365" s="19">
        <f>$G$27</f>
        <v>19</v>
      </c>
      <c r="H365" s="20">
        <v>17.0</v>
      </c>
      <c r="I365" s="20">
        <v>4.0</v>
      </c>
      <c r="J365" s="20"/>
      <c r="K365" s="20"/>
      <c r="L365" s="20"/>
      <c r="N365" s="24"/>
      <c r="O365" s="19">
        <f>$G$27</f>
        <v>19</v>
      </c>
      <c r="P365" s="40">
        <f t="shared" ref="P365:T365" si="345">H365/H$370</f>
        <v>0.05519480519</v>
      </c>
      <c r="Q365" s="40">
        <f t="shared" si="345"/>
        <v>0.03448275862</v>
      </c>
      <c r="R365" s="40">
        <f t="shared" si="345"/>
        <v>0</v>
      </c>
      <c r="S365" s="40">
        <f t="shared" si="345"/>
        <v>0</v>
      </c>
      <c r="T365" s="40">
        <f t="shared" si="345"/>
        <v>0</v>
      </c>
    </row>
    <row r="366" ht="15.75" customHeight="1">
      <c r="F366" s="24"/>
      <c r="G366" s="19">
        <f>$G$28</f>
        <v>20</v>
      </c>
      <c r="H366" s="20">
        <v>5.0</v>
      </c>
      <c r="I366" s="20">
        <v>3.0</v>
      </c>
      <c r="J366" s="20"/>
      <c r="K366" s="20"/>
      <c r="L366" s="20"/>
      <c r="N366" s="24"/>
      <c r="O366" s="19">
        <f>$G$28</f>
        <v>20</v>
      </c>
      <c r="P366" s="40">
        <f t="shared" ref="P366:T366" si="346">H366/H$370</f>
        <v>0.01623376623</v>
      </c>
      <c r="Q366" s="40">
        <f t="shared" si="346"/>
        <v>0.02586206897</v>
      </c>
      <c r="R366" s="40">
        <f t="shared" si="346"/>
        <v>0</v>
      </c>
      <c r="S366" s="40">
        <f t="shared" si="346"/>
        <v>0</v>
      </c>
      <c r="T366" s="40">
        <f t="shared" si="346"/>
        <v>0</v>
      </c>
    </row>
    <row r="367" ht="15.75" customHeight="1">
      <c r="F367" s="24"/>
      <c r="G367" s="19">
        <f>$G$29</f>
        <v>21</v>
      </c>
      <c r="H367" s="20">
        <v>7.0</v>
      </c>
      <c r="I367" s="20">
        <v>2.0</v>
      </c>
      <c r="J367" s="20"/>
      <c r="K367" s="20"/>
      <c r="L367" s="20"/>
      <c r="N367" s="24"/>
      <c r="O367" s="19">
        <f>$G$29</f>
        <v>21</v>
      </c>
      <c r="P367" s="40">
        <f t="shared" ref="P367:T367" si="347">H367/H$370</f>
        <v>0.02272727273</v>
      </c>
      <c r="Q367" s="40">
        <f t="shared" si="347"/>
        <v>0.01724137931</v>
      </c>
      <c r="R367" s="40">
        <f t="shared" si="347"/>
        <v>0</v>
      </c>
      <c r="S367" s="40">
        <f t="shared" si="347"/>
        <v>0</v>
      </c>
      <c r="T367" s="40">
        <f t="shared" si="347"/>
        <v>0</v>
      </c>
    </row>
    <row r="368" ht="15.75" customHeight="1">
      <c r="F368" s="24"/>
      <c r="G368" s="19">
        <f>$G$30</f>
        <v>22</v>
      </c>
      <c r="H368" s="20">
        <v>4.0</v>
      </c>
      <c r="I368" s="20"/>
      <c r="J368" s="20"/>
      <c r="K368" s="20"/>
      <c r="L368" s="20"/>
      <c r="N368" s="24"/>
      <c r="O368" s="19">
        <f>$G$30</f>
        <v>22</v>
      </c>
      <c r="P368" s="40">
        <f t="shared" ref="P368:T368" si="348">H368/H$370</f>
        <v>0.01298701299</v>
      </c>
      <c r="Q368" s="40">
        <f t="shared" si="348"/>
        <v>0</v>
      </c>
      <c r="R368" s="40">
        <f t="shared" si="348"/>
        <v>0</v>
      </c>
      <c r="S368" s="40">
        <f t="shared" si="348"/>
        <v>0</v>
      </c>
      <c r="T368" s="40">
        <f t="shared" si="348"/>
        <v>0</v>
      </c>
    </row>
    <row r="369" ht="15.75" customHeight="1">
      <c r="F369" s="28"/>
      <c r="G369" s="19">
        <f>$G$31</f>
        <v>23</v>
      </c>
      <c r="H369" s="20">
        <v>3.0</v>
      </c>
      <c r="I369" s="20"/>
      <c r="J369" s="20"/>
      <c r="K369" s="20"/>
      <c r="L369" s="20"/>
      <c r="N369" s="28"/>
      <c r="O369" s="19">
        <f>$G$31</f>
        <v>23</v>
      </c>
      <c r="P369" s="40">
        <f t="shared" ref="P369:T369" si="349">H369/H$370</f>
        <v>0.00974025974</v>
      </c>
      <c r="Q369" s="40">
        <f t="shared" si="349"/>
        <v>0</v>
      </c>
      <c r="R369" s="40">
        <f t="shared" si="349"/>
        <v>0</v>
      </c>
      <c r="S369" s="40">
        <f t="shared" si="349"/>
        <v>0</v>
      </c>
      <c r="T369" s="40">
        <f t="shared" si="349"/>
        <v>0</v>
      </c>
    </row>
    <row r="370" ht="15.75" customHeight="1">
      <c r="F370" s="111"/>
      <c r="G370" s="112"/>
      <c r="H370" s="26">
        <f t="shared" ref="H370:L370" si="350">SUM(H346:H369)</f>
        <v>308</v>
      </c>
      <c r="I370" s="26">
        <f t="shared" si="350"/>
        <v>116</v>
      </c>
      <c r="J370" s="26">
        <f t="shared" si="350"/>
        <v>5</v>
      </c>
      <c r="K370" s="26">
        <f t="shared" si="350"/>
        <v>11</v>
      </c>
      <c r="L370" s="26">
        <f t="shared" si="350"/>
        <v>23</v>
      </c>
    </row>
    <row r="371" ht="15.75" customHeight="1">
      <c r="G371" s="16"/>
      <c r="H371" s="17">
        <f>$H$7</f>
        <v>31</v>
      </c>
      <c r="I371" s="17">
        <f>$I$7</f>
        <v>32</v>
      </c>
      <c r="J371" s="17">
        <f>$J$7</f>
        <v>41</v>
      </c>
      <c r="K371" s="17">
        <f>$K$7</f>
        <v>42</v>
      </c>
      <c r="L371" s="17">
        <f>$L$7</f>
        <v>5</v>
      </c>
      <c r="O371" s="16"/>
      <c r="P371" s="17">
        <f>$H$7</f>
        <v>31</v>
      </c>
      <c r="Q371" s="17">
        <f>$I$7</f>
        <v>32</v>
      </c>
      <c r="R371" s="17">
        <f>$J$7</f>
        <v>41</v>
      </c>
      <c r="S371" s="17">
        <f>$K$7</f>
        <v>42</v>
      </c>
      <c r="T371" s="17">
        <f>$L$7</f>
        <v>5</v>
      </c>
    </row>
    <row r="372" ht="15.75" customHeight="1">
      <c r="F372" s="56">
        <v>45221.0</v>
      </c>
      <c r="G372" s="19">
        <f>$G$8</f>
        <v>0</v>
      </c>
      <c r="H372" s="20">
        <v>3.0</v>
      </c>
      <c r="I372" s="20">
        <v>1.0</v>
      </c>
      <c r="J372" s="20"/>
      <c r="K372" s="20"/>
      <c r="L372" s="20"/>
      <c r="N372" s="56">
        <v>45221.0</v>
      </c>
      <c r="O372" s="19">
        <f>$G$8</f>
        <v>0</v>
      </c>
      <c r="P372" s="40">
        <f t="shared" ref="P372:T372" si="351">H372/H$396</f>
        <v>0.00974025974</v>
      </c>
      <c r="Q372" s="40">
        <f t="shared" si="351"/>
        <v>0.01086956522</v>
      </c>
      <c r="R372" s="40">
        <f t="shared" si="351"/>
        <v>0</v>
      </c>
      <c r="S372" s="40">
        <f t="shared" si="351"/>
        <v>0</v>
      </c>
      <c r="T372" s="40">
        <f t="shared" si="351"/>
        <v>0</v>
      </c>
    </row>
    <row r="373" ht="15.75" customHeight="1">
      <c r="F373" s="24"/>
      <c r="G373" s="19">
        <f>$G$9</f>
        <v>1</v>
      </c>
      <c r="H373" s="20">
        <v>9.0</v>
      </c>
      <c r="I373" s="20"/>
      <c r="J373" s="20"/>
      <c r="K373" s="20">
        <v>1.0</v>
      </c>
      <c r="L373" s="20"/>
      <c r="N373" s="24"/>
      <c r="O373" s="19">
        <f>$G$9</f>
        <v>1</v>
      </c>
      <c r="P373" s="40">
        <f t="shared" ref="P373:T373" si="352">H373/H$396</f>
        <v>0.02922077922</v>
      </c>
      <c r="Q373" s="40">
        <f t="shared" si="352"/>
        <v>0</v>
      </c>
      <c r="R373" s="40">
        <f t="shared" si="352"/>
        <v>0</v>
      </c>
      <c r="S373" s="40">
        <f t="shared" si="352"/>
        <v>0.3333333333</v>
      </c>
      <c r="T373" s="40">
        <f t="shared" si="352"/>
        <v>0</v>
      </c>
    </row>
    <row r="374" ht="15.75" customHeight="1">
      <c r="F374" s="24"/>
      <c r="G374" s="19">
        <f>$G$10</f>
        <v>2</v>
      </c>
      <c r="H374" s="16">
        <v>1.0</v>
      </c>
      <c r="I374" s="16"/>
      <c r="J374" s="16"/>
      <c r="K374" s="16"/>
      <c r="L374" s="16"/>
      <c r="N374" s="24"/>
      <c r="O374" s="19">
        <f>$G$10</f>
        <v>2</v>
      </c>
      <c r="P374" s="40">
        <f t="shared" ref="P374:T374" si="353">H374/H$396</f>
        <v>0.003246753247</v>
      </c>
      <c r="Q374" s="40">
        <f t="shared" si="353"/>
        <v>0</v>
      </c>
      <c r="R374" s="40">
        <f t="shared" si="353"/>
        <v>0</v>
      </c>
      <c r="S374" s="40">
        <f t="shared" si="353"/>
        <v>0</v>
      </c>
      <c r="T374" s="40">
        <f t="shared" si="353"/>
        <v>0</v>
      </c>
    </row>
    <row r="375" ht="15.75" customHeight="1">
      <c r="F375" s="24"/>
      <c r="G375" s="19">
        <f>$G$11</f>
        <v>3</v>
      </c>
      <c r="H375" s="20">
        <v>1.0</v>
      </c>
      <c r="I375" s="20"/>
      <c r="J375" s="20"/>
      <c r="K375" s="20"/>
      <c r="L375" s="20"/>
      <c r="N375" s="24"/>
      <c r="O375" s="19">
        <f>$G$11</f>
        <v>3</v>
      </c>
      <c r="P375" s="40">
        <f t="shared" ref="P375:T375" si="354">H375/H$396</f>
        <v>0.003246753247</v>
      </c>
      <c r="Q375" s="40">
        <f t="shared" si="354"/>
        <v>0</v>
      </c>
      <c r="R375" s="40">
        <f t="shared" si="354"/>
        <v>0</v>
      </c>
      <c r="S375" s="40">
        <f t="shared" si="354"/>
        <v>0</v>
      </c>
      <c r="T375" s="40">
        <f t="shared" si="354"/>
        <v>0</v>
      </c>
    </row>
    <row r="376" ht="15.75" customHeight="1">
      <c r="F376" s="24"/>
      <c r="G376" s="19">
        <f>$G$12</f>
        <v>4</v>
      </c>
      <c r="H376" s="20">
        <v>3.0</v>
      </c>
      <c r="I376" s="20">
        <v>2.0</v>
      </c>
      <c r="J376" s="20"/>
      <c r="K376" s="20"/>
      <c r="L376" s="20"/>
      <c r="N376" s="24"/>
      <c r="O376" s="19">
        <f>$G$12</f>
        <v>4</v>
      </c>
      <c r="P376" s="40">
        <f t="shared" ref="P376:T376" si="355">H376/H$396</f>
        <v>0.00974025974</v>
      </c>
      <c r="Q376" s="40">
        <f t="shared" si="355"/>
        <v>0.02173913043</v>
      </c>
      <c r="R376" s="40">
        <f t="shared" si="355"/>
        <v>0</v>
      </c>
      <c r="S376" s="40">
        <f t="shared" si="355"/>
        <v>0</v>
      </c>
      <c r="T376" s="40">
        <f t="shared" si="355"/>
        <v>0</v>
      </c>
    </row>
    <row r="377" ht="15.75" customHeight="1">
      <c r="F377" s="24"/>
      <c r="G377" s="19">
        <f>$G$13</f>
        <v>5</v>
      </c>
      <c r="H377" s="20">
        <v>6.0</v>
      </c>
      <c r="I377" s="20">
        <v>3.0</v>
      </c>
      <c r="J377" s="20"/>
      <c r="K377" s="20"/>
      <c r="L377" s="20">
        <v>1.0</v>
      </c>
      <c r="N377" s="24"/>
      <c r="O377" s="19">
        <f>$G$13</f>
        <v>5</v>
      </c>
      <c r="P377" s="40">
        <f t="shared" ref="P377:T377" si="356">H377/H$396</f>
        <v>0.01948051948</v>
      </c>
      <c r="Q377" s="40">
        <f t="shared" si="356"/>
        <v>0.03260869565</v>
      </c>
      <c r="R377" s="40">
        <f t="shared" si="356"/>
        <v>0</v>
      </c>
      <c r="S377" s="40">
        <f t="shared" si="356"/>
        <v>0</v>
      </c>
      <c r="T377" s="40">
        <f t="shared" si="356"/>
        <v>0.5</v>
      </c>
    </row>
    <row r="378" ht="15.75" customHeight="1">
      <c r="F378" s="24"/>
      <c r="G378" s="19">
        <f>$G$14</f>
        <v>6</v>
      </c>
      <c r="H378" s="20">
        <v>8.0</v>
      </c>
      <c r="I378" s="20">
        <v>1.0</v>
      </c>
      <c r="J378" s="20"/>
      <c r="K378" s="20"/>
      <c r="L378" s="20"/>
      <c r="N378" s="24"/>
      <c r="O378" s="19">
        <f>$G$14</f>
        <v>6</v>
      </c>
      <c r="P378" s="40">
        <f t="shared" ref="P378:T378" si="357">H378/H$396</f>
        <v>0.02597402597</v>
      </c>
      <c r="Q378" s="40">
        <f t="shared" si="357"/>
        <v>0.01086956522</v>
      </c>
      <c r="R378" s="40">
        <f t="shared" si="357"/>
        <v>0</v>
      </c>
      <c r="S378" s="40">
        <f t="shared" si="357"/>
        <v>0</v>
      </c>
      <c r="T378" s="40">
        <f t="shared" si="357"/>
        <v>0</v>
      </c>
    </row>
    <row r="379" ht="15.75" customHeight="1">
      <c r="F379" s="24"/>
      <c r="G379" s="19">
        <f>$G$15</f>
        <v>7</v>
      </c>
      <c r="H379" s="20">
        <v>7.0</v>
      </c>
      <c r="I379" s="20">
        <v>7.0</v>
      </c>
      <c r="J379" s="20"/>
      <c r="K379" s="20"/>
      <c r="L379" s="20"/>
      <c r="N379" s="24"/>
      <c r="O379" s="19">
        <f>$G$15</f>
        <v>7</v>
      </c>
      <c r="P379" s="40">
        <f t="shared" ref="P379:T379" si="358">H379/H$396</f>
        <v>0.02272727273</v>
      </c>
      <c r="Q379" s="40">
        <f t="shared" si="358"/>
        <v>0.07608695652</v>
      </c>
      <c r="R379" s="40">
        <f t="shared" si="358"/>
        <v>0</v>
      </c>
      <c r="S379" s="40">
        <f t="shared" si="358"/>
        <v>0</v>
      </c>
      <c r="T379" s="40">
        <f t="shared" si="358"/>
        <v>0</v>
      </c>
    </row>
    <row r="380" ht="15.75" customHeight="1">
      <c r="F380" s="24"/>
      <c r="G380" s="19">
        <f>$G$16</f>
        <v>8</v>
      </c>
      <c r="H380" s="20">
        <v>13.0</v>
      </c>
      <c r="I380" s="20">
        <v>1.0</v>
      </c>
      <c r="J380" s="20"/>
      <c r="K380" s="20">
        <v>1.0</v>
      </c>
      <c r="L380" s="20">
        <v>1.0</v>
      </c>
      <c r="N380" s="24"/>
      <c r="O380" s="19">
        <f>$G$16</f>
        <v>8</v>
      </c>
      <c r="P380" s="40">
        <f t="shared" ref="P380:T380" si="359">H380/H$396</f>
        <v>0.04220779221</v>
      </c>
      <c r="Q380" s="40">
        <f t="shared" si="359"/>
        <v>0.01086956522</v>
      </c>
      <c r="R380" s="40">
        <f t="shared" si="359"/>
        <v>0</v>
      </c>
      <c r="S380" s="40">
        <f t="shared" si="359"/>
        <v>0.3333333333</v>
      </c>
      <c r="T380" s="40">
        <f t="shared" si="359"/>
        <v>0.5</v>
      </c>
    </row>
    <row r="381" ht="15.75" customHeight="1">
      <c r="F381" s="24"/>
      <c r="G381" s="19">
        <f>$G$17</f>
        <v>9</v>
      </c>
      <c r="H381" s="20">
        <v>16.0</v>
      </c>
      <c r="I381" s="20">
        <v>8.0</v>
      </c>
      <c r="J381" s="20"/>
      <c r="K381" s="20"/>
      <c r="L381" s="20"/>
      <c r="N381" s="24"/>
      <c r="O381" s="19">
        <f>$G$17</f>
        <v>9</v>
      </c>
      <c r="P381" s="40">
        <f t="shared" ref="P381:T381" si="360">H381/H$396</f>
        <v>0.05194805195</v>
      </c>
      <c r="Q381" s="40">
        <f t="shared" si="360"/>
        <v>0.08695652174</v>
      </c>
      <c r="R381" s="40">
        <f t="shared" si="360"/>
        <v>0</v>
      </c>
      <c r="S381" s="40">
        <f t="shared" si="360"/>
        <v>0</v>
      </c>
      <c r="T381" s="40">
        <f t="shared" si="360"/>
        <v>0</v>
      </c>
    </row>
    <row r="382" ht="15.75" customHeight="1">
      <c r="F382" s="24"/>
      <c r="G382" s="19">
        <f>$G$18</f>
        <v>10</v>
      </c>
      <c r="H382" s="20">
        <v>25.0</v>
      </c>
      <c r="I382" s="20">
        <v>6.0</v>
      </c>
      <c r="J382" s="20"/>
      <c r="K382" s="20"/>
      <c r="L382" s="20"/>
      <c r="N382" s="24"/>
      <c r="O382" s="19">
        <f>$G$18</f>
        <v>10</v>
      </c>
      <c r="P382" s="40">
        <f t="shared" ref="P382:T382" si="361">H382/H$396</f>
        <v>0.08116883117</v>
      </c>
      <c r="Q382" s="40">
        <f t="shared" si="361"/>
        <v>0.0652173913</v>
      </c>
      <c r="R382" s="40">
        <f t="shared" si="361"/>
        <v>0</v>
      </c>
      <c r="S382" s="40">
        <f t="shared" si="361"/>
        <v>0</v>
      </c>
      <c r="T382" s="40">
        <f t="shared" si="361"/>
        <v>0</v>
      </c>
    </row>
    <row r="383" ht="15.75" customHeight="1">
      <c r="F383" s="24"/>
      <c r="G383" s="19">
        <f>$G$19</f>
        <v>11</v>
      </c>
      <c r="H383" s="20">
        <v>15.0</v>
      </c>
      <c r="I383" s="20">
        <v>5.0</v>
      </c>
      <c r="J383" s="20">
        <v>1.0</v>
      </c>
      <c r="K383" s="20">
        <v>1.0</v>
      </c>
      <c r="L383" s="20"/>
      <c r="N383" s="24"/>
      <c r="O383" s="19">
        <f>$G$19</f>
        <v>11</v>
      </c>
      <c r="P383" s="40">
        <f t="shared" ref="P383:T383" si="362">H383/H$396</f>
        <v>0.0487012987</v>
      </c>
      <c r="Q383" s="40">
        <f t="shared" si="362"/>
        <v>0.05434782609</v>
      </c>
      <c r="R383" s="40">
        <f t="shared" si="362"/>
        <v>1</v>
      </c>
      <c r="S383" s="40">
        <f t="shared" si="362"/>
        <v>0.3333333333</v>
      </c>
      <c r="T383" s="40">
        <f t="shared" si="362"/>
        <v>0</v>
      </c>
    </row>
    <row r="384" ht="15.75" customHeight="1">
      <c r="F384" s="24"/>
      <c r="G384" s="19">
        <f>$G$20</f>
        <v>12</v>
      </c>
      <c r="H384" s="20">
        <v>17.0</v>
      </c>
      <c r="I384" s="20">
        <v>8.0</v>
      </c>
      <c r="J384" s="20"/>
      <c r="K384" s="20"/>
      <c r="L384" s="20"/>
      <c r="N384" s="24"/>
      <c r="O384" s="19">
        <f>$G$20</f>
        <v>12</v>
      </c>
      <c r="P384" s="40">
        <f t="shared" ref="P384:T384" si="363">H384/H$396</f>
        <v>0.05519480519</v>
      </c>
      <c r="Q384" s="40">
        <f t="shared" si="363"/>
        <v>0.08695652174</v>
      </c>
      <c r="R384" s="40">
        <f t="shared" si="363"/>
        <v>0</v>
      </c>
      <c r="S384" s="40">
        <f t="shared" si="363"/>
        <v>0</v>
      </c>
      <c r="T384" s="40">
        <f t="shared" si="363"/>
        <v>0</v>
      </c>
    </row>
    <row r="385" ht="15.75" customHeight="1">
      <c r="F385" s="24"/>
      <c r="G385" s="19">
        <f>$G$21</f>
        <v>13</v>
      </c>
      <c r="H385" s="20">
        <v>17.0</v>
      </c>
      <c r="I385" s="20">
        <v>5.0</v>
      </c>
      <c r="J385" s="20"/>
      <c r="K385" s="20"/>
      <c r="L385" s="20"/>
      <c r="N385" s="24"/>
      <c r="O385" s="19">
        <f>$G$21</f>
        <v>13</v>
      </c>
      <c r="P385" s="40">
        <f t="shared" ref="P385:T385" si="364">H385/H$396</f>
        <v>0.05519480519</v>
      </c>
      <c r="Q385" s="40">
        <f t="shared" si="364"/>
        <v>0.05434782609</v>
      </c>
      <c r="R385" s="40">
        <f t="shared" si="364"/>
        <v>0</v>
      </c>
      <c r="S385" s="40">
        <f t="shared" si="364"/>
        <v>0</v>
      </c>
      <c r="T385" s="40">
        <f t="shared" si="364"/>
        <v>0</v>
      </c>
    </row>
    <row r="386" ht="15.75" customHeight="1">
      <c r="F386" s="24"/>
      <c r="G386" s="19">
        <f>$G$22</f>
        <v>14</v>
      </c>
      <c r="H386" s="20">
        <v>25.0</v>
      </c>
      <c r="I386" s="20">
        <v>5.0</v>
      </c>
      <c r="J386" s="20"/>
      <c r="K386" s="20"/>
      <c r="L386" s="20"/>
      <c r="N386" s="24"/>
      <c r="O386" s="19">
        <f>$G$22</f>
        <v>14</v>
      </c>
      <c r="P386" s="40">
        <f t="shared" ref="P386:T386" si="365">H386/H$396</f>
        <v>0.08116883117</v>
      </c>
      <c r="Q386" s="40">
        <f t="shared" si="365"/>
        <v>0.05434782609</v>
      </c>
      <c r="R386" s="40">
        <f t="shared" si="365"/>
        <v>0</v>
      </c>
      <c r="S386" s="40">
        <f t="shared" si="365"/>
        <v>0</v>
      </c>
      <c r="T386" s="40">
        <f t="shared" si="365"/>
        <v>0</v>
      </c>
    </row>
    <row r="387" ht="15.75" customHeight="1">
      <c r="F387" s="24"/>
      <c r="G387" s="19">
        <f>$G$23</f>
        <v>15</v>
      </c>
      <c r="H387" s="20">
        <v>30.0</v>
      </c>
      <c r="I387" s="20">
        <v>5.0</v>
      </c>
      <c r="J387" s="20"/>
      <c r="K387" s="20"/>
      <c r="L387" s="20"/>
      <c r="N387" s="24"/>
      <c r="O387" s="19">
        <f>$G$23</f>
        <v>15</v>
      </c>
      <c r="P387" s="40">
        <f t="shared" ref="P387:T387" si="366">H387/H$396</f>
        <v>0.0974025974</v>
      </c>
      <c r="Q387" s="40">
        <f t="shared" si="366"/>
        <v>0.05434782609</v>
      </c>
      <c r="R387" s="40">
        <f t="shared" si="366"/>
        <v>0</v>
      </c>
      <c r="S387" s="40">
        <f t="shared" si="366"/>
        <v>0</v>
      </c>
      <c r="T387" s="40">
        <f t="shared" si="366"/>
        <v>0</v>
      </c>
    </row>
    <row r="388" ht="15.75" customHeight="1">
      <c r="F388" s="24"/>
      <c r="G388" s="19">
        <f>$G$24</f>
        <v>16</v>
      </c>
      <c r="H388" s="20">
        <v>34.0</v>
      </c>
      <c r="I388" s="20">
        <v>11.0</v>
      </c>
      <c r="J388" s="20"/>
      <c r="K388" s="20"/>
      <c r="L388" s="20"/>
      <c r="N388" s="24"/>
      <c r="O388" s="19">
        <f>$G$24</f>
        <v>16</v>
      </c>
      <c r="P388" s="40">
        <f t="shared" ref="P388:T388" si="367">H388/H$396</f>
        <v>0.1103896104</v>
      </c>
      <c r="Q388" s="40">
        <f t="shared" si="367"/>
        <v>0.1195652174</v>
      </c>
      <c r="R388" s="40">
        <f t="shared" si="367"/>
        <v>0</v>
      </c>
      <c r="S388" s="40">
        <f t="shared" si="367"/>
        <v>0</v>
      </c>
      <c r="T388" s="40">
        <f t="shared" si="367"/>
        <v>0</v>
      </c>
    </row>
    <row r="389" ht="15.75" customHeight="1">
      <c r="F389" s="24"/>
      <c r="G389" s="19">
        <f>$G$25</f>
        <v>17</v>
      </c>
      <c r="H389" s="20">
        <v>28.0</v>
      </c>
      <c r="I389" s="20">
        <v>9.0</v>
      </c>
      <c r="J389" s="20"/>
      <c r="K389" s="20"/>
      <c r="L389" s="20"/>
      <c r="N389" s="24"/>
      <c r="O389" s="19">
        <f>$G$25</f>
        <v>17</v>
      </c>
      <c r="P389" s="40">
        <f t="shared" ref="P389:T389" si="368">H389/H$396</f>
        <v>0.09090909091</v>
      </c>
      <c r="Q389" s="40">
        <f t="shared" si="368"/>
        <v>0.09782608696</v>
      </c>
      <c r="R389" s="40">
        <f t="shared" si="368"/>
        <v>0</v>
      </c>
      <c r="S389" s="40">
        <f t="shared" si="368"/>
        <v>0</v>
      </c>
      <c r="T389" s="40">
        <f t="shared" si="368"/>
        <v>0</v>
      </c>
    </row>
    <row r="390" ht="15.75" customHeight="1">
      <c r="F390" s="24"/>
      <c r="G390" s="19">
        <f>$G$26</f>
        <v>18</v>
      </c>
      <c r="H390" s="20">
        <v>11.0</v>
      </c>
      <c r="I390" s="20">
        <v>3.0</v>
      </c>
      <c r="J390" s="20"/>
      <c r="K390" s="20"/>
      <c r="L390" s="20"/>
      <c r="N390" s="24"/>
      <c r="O390" s="19">
        <f>$G$26</f>
        <v>18</v>
      </c>
      <c r="P390" s="40">
        <f t="shared" ref="P390:T390" si="369">H390/H$396</f>
        <v>0.03571428571</v>
      </c>
      <c r="Q390" s="40">
        <f t="shared" si="369"/>
        <v>0.03260869565</v>
      </c>
      <c r="R390" s="40">
        <f t="shared" si="369"/>
        <v>0</v>
      </c>
      <c r="S390" s="40">
        <f t="shared" si="369"/>
        <v>0</v>
      </c>
      <c r="T390" s="40">
        <f t="shared" si="369"/>
        <v>0</v>
      </c>
    </row>
    <row r="391" ht="15.75" customHeight="1">
      <c r="F391" s="24"/>
      <c r="G391" s="19">
        <f>$G$27</f>
        <v>19</v>
      </c>
      <c r="H391" s="20">
        <v>6.0</v>
      </c>
      <c r="I391" s="20">
        <v>2.0</v>
      </c>
      <c r="J391" s="20"/>
      <c r="K391" s="20"/>
      <c r="L391" s="20"/>
      <c r="N391" s="24"/>
      <c r="O391" s="19">
        <f>$G$27</f>
        <v>19</v>
      </c>
      <c r="P391" s="40">
        <f t="shared" ref="P391:T391" si="370">H391/H$396</f>
        <v>0.01948051948</v>
      </c>
      <c r="Q391" s="40">
        <f t="shared" si="370"/>
        <v>0.02173913043</v>
      </c>
      <c r="R391" s="40">
        <f t="shared" si="370"/>
        <v>0</v>
      </c>
      <c r="S391" s="40">
        <f t="shared" si="370"/>
        <v>0</v>
      </c>
      <c r="T391" s="40">
        <f t="shared" si="370"/>
        <v>0</v>
      </c>
    </row>
    <row r="392" ht="15.75" customHeight="1">
      <c r="F392" s="24"/>
      <c r="G392" s="19">
        <f>$G$28</f>
        <v>20</v>
      </c>
      <c r="H392" s="20">
        <v>9.0</v>
      </c>
      <c r="I392" s="20">
        <v>2.0</v>
      </c>
      <c r="J392" s="20"/>
      <c r="K392" s="20"/>
      <c r="L392" s="20"/>
      <c r="N392" s="24"/>
      <c r="O392" s="19">
        <f>$G$28</f>
        <v>20</v>
      </c>
      <c r="P392" s="40">
        <f t="shared" ref="P392:T392" si="371">H392/H$396</f>
        <v>0.02922077922</v>
      </c>
      <c r="Q392" s="40">
        <f t="shared" si="371"/>
        <v>0.02173913043</v>
      </c>
      <c r="R392" s="40">
        <f t="shared" si="371"/>
        <v>0</v>
      </c>
      <c r="S392" s="40">
        <f t="shared" si="371"/>
        <v>0</v>
      </c>
      <c r="T392" s="40">
        <f t="shared" si="371"/>
        <v>0</v>
      </c>
    </row>
    <row r="393" ht="15.75" customHeight="1">
      <c r="F393" s="24"/>
      <c r="G393" s="19">
        <f>$G$29</f>
        <v>21</v>
      </c>
      <c r="H393" s="20">
        <v>14.0</v>
      </c>
      <c r="I393" s="20">
        <v>5.0</v>
      </c>
      <c r="J393" s="20"/>
      <c r="K393" s="20"/>
      <c r="L393" s="20"/>
      <c r="N393" s="24"/>
      <c r="O393" s="19">
        <f>$G$29</f>
        <v>21</v>
      </c>
      <c r="P393" s="40">
        <f t="shared" ref="P393:T393" si="372">H393/H$396</f>
        <v>0.04545454545</v>
      </c>
      <c r="Q393" s="40">
        <f t="shared" si="372"/>
        <v>0.05434782609</v>
      </c>
      <c r="R393" s="40">
        <f t="shared" si="372"/>
        <v>0</v>
      </c>
      <c r="S393" s="40">
        <f t="shared" si="372"/>
        <v>0</v>
      </c>
      <c r="T393" s="40">
        <f t="shared" si="372"/>
        <v>0</v>
      </c>
    </row>
    <row r="394" ht="15.75" customHeight="1">
      <c r="F394" s="24"/>
      <c r="G394" s="19">
        <f>$G$30</f>
        <v>22</v>
      </c>
      <c r="H394" s="20">
        <v>6.0</v>
      </c>
      <c r="I394" s="20">
        <v>3.0</v>
      </c>
      <c r="J394" s="20"/>
      <c r="K394" s="20"/>
      <c r="L394" s="20"/>
      <c r="N394" s="24"/>
      <c r="O394" s="19">
        <f>$G$30</f>
        <v>22</v>
      </c>
      <c r="P394" s="40">
        <f t="shared" ref="P394:T394" si="373">H394/H$396</f>
        <v>0.01948051948</v>
      </c>
      <c r="Q394" s="40">
        <f t="shared" si="373"/>
        <v>0.03260869565</v>
      </c>
      <c r="R394" s="40">
        <f t="shared" si="373"/>
        <v>0</v>
      </c>
      <c r="S394" s="40">
        <f t="shared" si="373"/>
        <v>0</v>
      </c>
      <c r="T394" s="40">
        <f t="shared" si="373"/>
        <v>0</v>
      </c>
    </row>
    <row r="395" ht="15.75" customHeight="1">
      <c r="F395" s="28"/>
      <c r="G395" s="19">
        <f>$G$31</f>
        <v>23</v>
      </c>
      <c r="H395" s="20">
        <v>4.0</v>
      </c>
      <c r="I395" s="20"/>
      <c r="J395" s="20"/>
      <c r="K395" s="20"/>
      <c r="L395" s="20"/>
      <c r="N395" s="28"/>
      <c r="O395" s="19">
        <f>$G$31</f>
        <v>23</v>
      </c>
      <c r="P395" s="40">
        <f t="shared" ref="P395:T395" si="374">H395/H$396</f>
        <v>0.01298701299</v>
      </c>
      <c r="Q395" s="40">
        <f t="shared" si="374"/>
        <v>0</v>
      </c>
      <c r="R395" s="40">
        <f t="shared" si="374"/>
        <v>0</v>
      </c>
      <c r="S395" s="40">
        <f t="shared" si="374"/>
        <v>0</v>
      </c>
      <c r="T395" s="40">
        <f t="shared" si="374"/>
        <v>0</v>
      </c>
    </row>
    <row r="396" ht="15.75" customHeight="1">
      <c r="F396" s="111"/>
      <c r="G396" s="112"/>
      <c r="H396" s="26">
        <f t="shared" ref="H396:L396" si="375">SUM(H372:H395)</f>
        <v>308</v>
      </c>
      <c r="I396" s="26">
        <f t="shared" si="375"/>
        <v>92</v>
      </c>
      <c r="J396" s="26">
        <f t="shared" si="375"/>
        <v>1</v>
      </c>
      <c r="K396" s="26">
        <f t="shared" si="375"/>
        <v>3</v>
      </c>
      <c r="L396" s="26">
        <f t="shared" si="375"/>
        <v>2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240:G240"/>
    <mergeCell ref="F266:G266"/>
    <mergeCell ref="F292:G292"/>
    <mergeCell ref="F318:G318"/>
    <mergeCell ref="F344:G344"/>
    <mergeCell ref="F370:G370"/>
    <mergeCell ref="F86:F109"/>
    <mergeCell ref="F110:G110"/>
    <mergeCell ref="F112:F135"/>
    <mergeCell ref="F136:G136"/>
    <mergeCell ref="F138:F161"/>
    <mergeCell ref="F162:G162"/>
    <mergeCell ref="F188:G188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46:F369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5.75" customHeight="1">
      <c r="A1" s="1"/>
      <c r="B1" s="1"/>
      <c r="C1" s="1"/>
      <c r="D1" s="1"/>
      <c r="E1" s="1"/>
      <c r="H1" s="2" t="s">
        <v>0</v>
      </c>
      <c r="I1" s="3">
        <v>1.10021106E8</v>
      </c>
      <c r="J1" s="2"/>
      <c r="K1" s="2"/>
      <c r="L1" s="2"/>
    </row>
    <row r="2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ht="15.75" customHeight="1">
      <c r="A3" s="1"/>
      <c r="B3" s="4" t="s">
        <v>3</v>
      </c>
      <c r="C3" s="5"/>
      <c r="D3" s="4" t="s">
        <v>4</v>
      </c>
      <c r="E3" s="5"/>
      <c r="H3" s="6" t="s">
        <v>317</v>
      </c>
      <c r="I3" s="7"/>
      <c r="J3" s="7"/>
      <c r="K3" s="7"/>
      <c r="L3" s="8"/>
    </row>
    <row r="4" ht="15.75" customHeight="1">
      <c r="A4" s="9" t="s">
        <v>6</v>
      </c>
      <c r="B4" s="90" t="s">
        <v>7</v>
      </c>
      <c r="C4" s="91" t="s">
        <v>8</v>
      </c>
      <c r="D4" s="90" t="s">
        <v>7</v>
      </c>
      <c r="E4" s="91" t="s">
        <v>8</v>
      </c>
      <c r="H4" s="6" t="s">
        <v>318</v>
      </c>
      <c r="I4" s="7"/>
      <c r="J4" s="7"/>
      <c r="K4" s="7"/>
      <c r="L4" s="8"/>
    </row>
    <row r="5" ht="15.75" customHeight="1">
      <c r="A5" s="12" t="s">
        <v>10</v>
      </c>
      <c r="B5" s="107" t="s">
        <v>11</v>
      </c>
      <c r="C5" s="101" t="s">
        <v>12</v>
      </c>
      <c r="D5" s="101" t="s">
        <v>13</v>
      </c>
      <c r="E5" s="102" t="s">
        <v>14</v>
      </c>
    </row>
    <row r="6" ht="15.75" customHeight="1">
      <c r="E6" s="59"/>
      <c r="H6" s="15" t="s">
        <v>15</v>
      </c>
      <c r="I6" s="7"/>
      <c r="J6" s="7"/>
      <c r="K6" s="7"/>
      <c r="L6" s="8"/>
    </row>
    <row r="7" ht="15.75" customHeight="1">
      <c r="G7" s="16"/>
      <c r="H7" s="17">
        <v>31.0</v>
      </c>
      <c r="I7" s="17">
        <v>32.0</v>
      </c>
      <c r="J7" s="17">
        <v>41.0</v>
      </c>
      <c r="K7" s="17">
        <v>42.0</v>
      </c>
      <c r="L7" s="17">
        <v>5.0</v>
      </c>
      <c r="P7" s="16"/>
      <c r="Q7" s="17">
        <v>31.0</v>
      </c>
      <c r="R7" s="17">
        <v>32.0</v>
      </c>
      <c r="S7" s="17">
        <v>41.0</v>
      </c>
      <c r="T7" s="17">
        <v>42.0</v>
      </c>
      <c r="U7" s="17">
        <v>5.0</v>
      </c>
    </row>
    <row r="8" ht="15.75" customHeight="1">
      <c r="F8" s="56">
        <v>45217.0</v>
      </c>
      <c r="G8" s="19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P8" s="19">
        <v>0.0</v>
      </c>
      <c r="Q8" s="104">
        <f t="shared" ref="Q8:R8" si="1">H8/H$32</f>
        <v>0</v>
      </c>
      <c r="R8" s="104">
        <f t="shared" si="1"/>
        <v>0</v>
      </c>
      <c r="S8" s="104">
        <v>0.0</v>
      </c>
      <c r="T8" s="104">
        <f t="shared" ref="T8:U8" si="2">K8/K$32</f>
        <v>0</v>
      </c>
      <c r="U8" s="104">
        <f t="shared" si="2"/>
        <v>0</v>
      </c>
    </row>
    <row r="9" ht="15.75" customHeight="1">
      <c r="F9" s="24"/>
      <c r="G9" s="19">
        <v>1.0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P9" s="19">
        <v>1.0</v>
      </c>
      <c r="Q9" s="104">
        <f t="shared" ref="Q9:R9" si="3">H9/H$32</f>
        <v>0</v>
      </c>
      <c r="R9" s="104">
        <f t="shared" si="3"/>
        <v>0</v>
      </c>
      <c r="S9" s="104">
        <v>0.0</v>
      </c>
      <c r="T9" s="104">
        <f t="shared" ref="T9:U9" si="4">K9/K$32</f>
        <v>0</v>
      </c>
      <c r="U9" s="104">
        <f t="shared" si="4"/>
        <v>0</v>
      </c>
    </row>
    <row r="10" ht="15.75" customHeight="1">
      <c r="F10" s="24"/>
      <c r="G10" s="19">
        <v>2.0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P10" s="19">
        <v>2.0</v>
      </c>
      <c r="Q10" s="104">
        <f t="shared" ref="Q10:R10" si="5">H10/H$32</f>
        <v>0</v>
      </c>
      <c r="R10" s="104">
        <f t="shared" si="5"/>
        <v>0</v>
      </c>
      <c r="S10" s="104">
        <v>0.0</v>
      </c>
      <c r="T10" s="104">
        <f t="shared" ref="T10:U10" si="6">K10/K$32</f>
        <v>0</v>
      </c>
      <c r="U10" s="104">
        <f t="shared" si="6"/>
        <v>0</v>
      </c>
    </row>
    <row r="11" ht="15.75" customHeight="1">
      <c r="F11" s="24"/>
      <c r="G11" s="19">
        <v>3.0</v>
      </c>
      <c r="H11" s="20">
        <v>0.0</v>
      </c>
      <c r="I11" s="20">
        <v>0.0</v>
      </c>
      <c r="J11" s="20">
        <v>0.0</v>
      </c>
      <c r="K11" s="20">
        <v>0.0</v>
      </c>
      <c r="L11" s="20">
        <v>0.0</v>
      </c>
      <c r="P11" s="19">
        <v>3.0</v>
      </c>
      <c r="Q11" s="104">
        <f t="shared" ref="Q11:R11" si="7">H11/H$32</f>
        <v>0</v>
      </c>
      <c r="R11" s="104">
        <f t="shared" si="7"/>
        <v>0</v>
      </c>
      <c r="S11" s="104">
        <v>0.0</v>
      </c>
      <c r="T11" s="104">
        <f t="shared" ref="T11:U11" si="8">K11/K$32</f>
        <v>0</v>
      </c>
      <c r="U11" s="104">
        <f t="shared" si="8"/>
        <v>0</v>
      </c>
    </row>
    <row r="12" ht="15.75" customHeight="1">
      <c r="F12" s="24"/>
      <c r="G12" s="19">
        <v>4.0</v>
      </c>
      <c r="H12" s="20">
        <v>0.0</v>
      </c>
      <c r="I12" s="20">
        <v>0.0</v>
      </c>
      <c r="J12" s="20">
        <v>0.0</v>
      </c>
      <c r="K12" s="20">
        <v>1.0</v>
      </c>
      <c r="L12" s="20">
        <v>0.0</v>
      </c>
      <c r="P12" s="19">
        <v>4.0</v>
      </c>
      <c r="Q12" s="104">
        <f t="shared" ref="Q12:R12" si="9">H12/H$32</f>
        <v>0</v>
      </c>
      <c r="R12" s="104">
        <f t="shared" si="9"/>
        <v>0</v>
      </c>
      <c r="S12" s="104">
        <v>0.0</v>
      </c>
      <c r="T12" s="104">
        <f t="shared" ref="T12:U12" si="10">K12/K$32</f>
        <v>0.3333333333</v>
      </c>
      <c r="U12" s="104">
        <f t="shared" si="10"/>
        <v>0</v>
      </c>
    </row>
    <row r="13" ht="15.75" customHeight="1">
      <c r="F13" s="24"/>
      <c r="G13" s="19">
        <v>5.0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P13" s="19">
        <v>5.0</v>
      </c>
      <c r="Q13" s="104">
        <f t="shared" ref="Q13:R13" si="11">H13/H$32</f>
        <v>0</v>
      </c>
      <c r="R13" s="104">
        <f t="shared" si="11"/>
        <v>0</v>
      </c>
      <c r="S13" s="104">
        <v>0.0</v>
      </c>
      <c r="T13" s="104">
        <f t="shared" ref="T13:U13" si="12">K13/K$32</f>
        <v>0</v>
      </c>
      <c r="U13" s="104">
        <f t="shared" si="12"/>
        <v>0</v>
      </c>
    </row>
    <row r="14" ht="15.75" customHeight="1">
      <c r="F14" s="24"/>
      <c r="G14" s="19">
        <v>6.0</v>
      </c>
      <c r="H14" s="20">
        <v>0.0</v>
      </c>
      <c r="I14" s="20">
        <v>1.0</v>
      </c>
      <c r="J14" s="20">
        <v>0.0</v>
      </c>
      <c r="K14" s="20">
        <v>0.0</v>
      </c>
      <c r="L14" s="20">
        <v>0.0</v>
      </c>
      <c r="P14" s="19">
        <v>6.0</v>
      </c>
      <c r="Q14" s="104">
        <f t="shared" ref="Q14:R14" si="13">H14/H$32</f>
        <v>0</v>
      </c>
      <c r="R14" s="104">
        <f t="shared" si="13"/>
        <v>0.125</v>
      </c>
      <c r="S14" s="104">
        <v>0.0</v>
      </c>
      <c r="T14" s="104">
        <f t="shared" ref="T14:U14" si="14">K14/K$32</f>
        <v>0</v>
      </c>
      <c r="U14" s="104">
        <f t="shared" si="14"/>
        <v>0</v>
      </c>
    </row>
    <row r="15" ht="15.75" customHeight="1">
      <c r="F15" s="24"/>
      <c r="G15" s="19">
        <v>7.0</v>
      </c>
      <c r="H15" s="20">
        <v>0.0</v>
      </c>
      <c r="I15" s="20">
        <v>1.0</v>
      </c>
      <c r="J15" s="20">
        <v>0.0</v>
      </c>
      <c r="K15" s="20">
        <v>0.0</v>
      </c>
      <c r="L15" s="20">
        <v>1.0</v>
      </c>
      <c r="P15" s="19">
        <v>7.0</v>
      </c>
      <c r="Q15" s="104">
        <f t="shared" ref="Q15:R15" si="15">H15/H$32</f>
        <v>0</v>
      </c>
      <c r="R15" s="104">
        <f t="shared" si="15"/>
        <v>0.125</v>
      </c>
      <c r="S15" s="104">
        <v>0.0</v>
      </c>
      <c r="T15" s="104">
        <f t="shared" ref="T15:U15" si="16">K15/K$32</f>
        <v>0</v>
      </c>
      <c r="U15" s="104">
        <f t="shared" si="16"/>
        <v>0.5</v>
      </c>
    </row>
    <row r="16" ht="15.75" customHeight="1">
      <c r="F16" s="24"/>
      <c r="G16" s="19">
        <v>8.0</v>
      </c>
      <c r="H16" s="20">
        <v>1.0</v>
      </c>
      <c r="I16" s="20">
        <v>0.0</v>
      </c>
      <c r="J16" s="20">
        <v>0.0</v>
      </c>
      <c r="K16" s="20">
        <v>0.0</v>
      </c>
      <c r="L16" s="20">
        <v>0.0</v>
      </c>
      <c r="P16" s="19">
        <v>8.0</v>
      </c>
      <c r="Q16" s="104">
        <f t="shared" ref="Q16:R16" si="17">H16/H$32</f>
        <v>0.09090909091</v>
      </c>
      <c r="R16" s="104">
        <f t="shared" si="17"/>
        <v>0</v>
      </c>
      <c r="S16" s="104">
        <v>0.0</v>
      </c>
      <c r="T16" s="104">
        <f t="shared" ref="T16:U16" si="18">K16/K$32</f>
        <v>0</v>
      </c>
      <c r="U16" s="104">
        <f t="shared" si="18"/>
        <v>0</v>
      </c>
    </row>
    <row r="17" ht="15.75" customHeight="1">
      <c r="F17" s="24"/>
      <c r="G17" s="19">
        <v>9.0</v>
      </c>
      <c r="H17" s="20">
        <v>1.0</v>
      </c>
      <c r="I17" s="20">
        <v>0.0</v>
      </c>
      <c r="J17" s="20">
        <v>0.0</v>
      </c>
      <c r="K17" s="20">
        <v>1.0</v>
      </c>
      <c r="L17" s="20">
        <v>0.0</v>
      </c>
      <c r="P17" s="19">
        <v>9.0</v>
      </c>
      <c r="Q17" s="104">
        <f t="shared" ref="Q17:R17" si="19">H17/H$32</f>
        <v>0.09090909091</v>
      </c>
      <c r="R17" s="104">
        <f t="shared" si="19"/>
        <v>0</v>
      </c>
      <c r="S17" s="104">
        <v>0.0</v>
      </c>
      <c r="T17" s="104">
        <f t="shared" ref="T17:U17" si="20">K17/K$32</f>
        <v>0.3333333333</v>
      </c>
      <c r="U17" s="104">
        <f t="shared" si="20"/>
        <v>0</v>
      </c>
    </row>
    <row r="18" ht="15.75" customHeight="1">
      <c r="F18" s="24"/>
      <c r="G18" s="19">
        <v>10.0</v>
      </c>
      <c r="H18" s="20">
        <v>1.0</v>
      </c>
      <c r="I18" s="20">
        <v>3.0</v>
      </c>
      <c r="J18" s="20">
        <v>0.0</v>
      </c>
      <c r="K18" s="20">
        <v>0.0</v>
      </c>
      <c r="L18" s="20">
        <v>0.0</v>
      </c>
      <c r="P18" s="19">
        <v>10.0</v>
      </c>
      <c r="Q18" s="104">
        <f t="shared" ref="Q18:R18" si="21">H18/H$32</f>
        <v>0.09090909091</v>
      </c>
      <c r="R18" s="104">
        <f t="shared" si="21"/>
        <v>0.375</v>
      </c>
      <c r="S18" s="104">
        <v>0.0</v>
      </c>
      <c r="T18" s="104">
        <f t="shared" ref="T18:U18" si="22">K18/K$32</f>
        <v>0</v>
      </c>
      <c r="U18" s="104">
        <f t="shared" si="22"/>
        <v>0</v>
      </c>
    </row>
    <row r="19" ht="15.75" customHeight="1">
      <c r="F19" s="24"/>
      <c r="G19" s="19">
        <v>11.0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P19" s="19">
        <v>11.0</v>
      </c>
      <c r="Q19" s="104">
        <f t="shared" ref="Q19:R19" si="23">H19/H$32</f>
        <v>0</v>
      </c>
      <c r="R19" s="104">
        <f t="shared" si="23"/>
        <v>0</v>
      </c>
      <c r="S19" s="104">
        <v>0.0</v>
      </c>
      <c r="T19" s="104">
        <f t="shared" ref="T19:U19" si="24">K19/K$32</f>
        <v>0</v>
      </c>
      <c r="U19" s="104">
        <f t="shared" si="24"/>
        <v>0</v>
      </c>
    </row>
    <row r="20" ht="15.75" customHeight="1">
      <c r="F20" s="24"/>
      <c r="G20" s="19">
        <v>12.0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P20" s="19">
        <v>12.0</v>
      </c>
      <c r="Q20" s="104">
        <f t="shared" ref="Q20:R20" si="25">H20/H$32</f>
        <v>0</v>
      </c>
      <c r="R20" s="104">
        <f t="shared" si="25"/>
        <v>0</v>
      </c>
      <c r="S20" s="104">
        <v>0.0</v>
      </c>
      <c r="T20" s="104">
        <f t="shared" ref="T20:U20" si="26">K20/K$32</f>
        <v>0</v>
      </c>
      <c r="U20" s="104">
        <f t="shared" si="26"/>
        <v>0</v>
      </c>
    </row>
    <row r="21" ht="15.75" customHeight="1">
      <c r="F21" s="24"/>
      <c r="G21" s="19">
        <v>13.0</v>
      </c>
      <c r="H21" s="20">
        <v>1.0</v>
      </c>
      <c r="I21" s="20">
        <v>1.0</v>
      </c>
      <c r="J21" s="20">
        <v>0.0</v>
      </c>
      <c r="K21" s="20">
        <v>0.0</v>
      </c>
      <c r="L21" s="20">
        <v>0.0</v>
      </c>
      <c r="P21" s="19">
        <v>13.0</v>
      </c>
      <c r="Q21" s="104">
        <f t="shared" ref="Q21:R21" si="27">H21/H$32</f>
        <v>0.09090909091</v>
      </c>
      <c r="R21" s="104">
        <f t="shared" si="27"/>
        <v>0.125</v>
      </c>
      <c r="S21" s="104">
        <v>0.0</v>
      </c>
      <c r="T21" s="104">
        <f t="shared" ref="T21:U21" si="28">K21/K$32</f>
        <v>0</v>
      </c>
      <c r="U21" s="104">
        <f t="shared" si="28"/>
        <v>0</v>
      </c>
    </row>
    <row r="22" ht="15.75" customHeight="1">
      <c r="F22" s="24"/>
      <c r="G22" s="19">
        <v>14.0</v>
      </c>
      <c r="H22" s="20">
        <v>1.0</v>
      </c>
      <c r="I22" s="20">
        <v>1.0</v>
      </c>
      <c r="J22" s="20">
        <v>0.0</v>
      </c>
      <c r="K22" s="20">
        <v>0.0</v>
      </c>
      <c r="L22" s="20">
        <v>0.0</v>
      </c>
      <c r="P22" s="19">
        <v>14.0</v>
      </c>
      <c r="Q22" s="104">
        <f t="shared" ref="Q22:R22" si="29">H22/H$32</f>
        <v>0.09090909091</v>
      </c>
      <c r="R22" s="104">
        <f t="shared" si="29"/>
        <v>0.125</v>
      </c>
      <c r="S22" s="104">
        <v>0.0</v>
      </c>
      <c r="T22" s="104">
        <f t="shared" ref="T22:U22" si="30">K22/K$32</f>
        <v>0</v>
      </c>
      <c r="U22" s="104">
        <f t="shared" si="30"/>
        <v>0</v>
      </c>
    </row>
    <row r="23" ht="15.75" customHeight="1">
      <c r="F23" s="24"/>
      <c r="G23" s="19">
        <v>15.0</v>
      </c>
      <c r="H23" s="20">
        <v>0.0</v>
      </c>
      <c r="I23" s="20">
        <v>1.0</v>
      </c>
      <c r="J23" s="20">
        <v>0.0</v>
      </c>
      <c r="K23" s="20">
        <v>0.0</v>
      </c>
      <c r="L23" s="20">
        <v>0.0</v>
      </c>
      <c r="P23" s="19">
        <v>15.0</v>
      </c>
      <c r="Q23" s="104">
        <f t="shared" ref="Q23:R23" si="31">H23/H$32</f>
        <v>0</v>
      </c>
      <c r="R23" s="104">
        <f t="shared" si="31"/>
        <v>0.125</v>
      </c>
      <c r="S23" s="104">
        <v>0.0</v>
      </c>
      <c r="T23" s="104">
        <f t="shared" ref="T23:U23" si="32">K23/K$32</f>
        <v>0</v>
      </c>
      <c r="U23" s="104">
        <f t="shared" si="32"/>
        <v>0</v>
      </c>
    </row>
    <row r="24" ht="15.75" customHeight="1">
      <c r="F24" s="24"/>
      <c r="G24" s="19">
        <v>16.0</v>
      </c>
      <c r="H24" s="20">
        <v>2.0</v>
      </c>
      <c r="I24" s="20">
        <v>0.0</v>
      </c>
      <c r="J24" s="20">
        <v>0.0</v>
      </c>
      <c r="K24" s="20">
        <v>1.0</v>
      </c>
      <c r="L24" s="20">
        <v>1.0</v>
      </c>
      <c r="P24" s="19">
        <v>16.0</v>
      </c>
      <c r="Q24" s="104">
        <f t="shared" ref="Q24:R24" si="33">H24/H$32</f>
        <v>0.1818181818</v>
      </c>
      <c r="R24" s="104">
        <f t="shared" si="33"/>
        <v>0</v>
      </c>
      <c r="S24" s="104">
        <v>0.0</v>
      </c>
      <c r="T24" s="104">
        <f t="shared" ref="T24:U24" si="34">K24/K$32</f>
        <v>0.3333333333</v>
      </c>
      <c r="U24" s="104">
        <f t="shared" si="34"/>
        <v>0.5</v>
      </c>
    </row>
    <row r="25" ht="15.75" customHeight="1">
      <c r="F25" s="24"/>
      <c r="G25" s="19">
        <v>17.0</v>
      </c>
      <c r="H25" s="20">
        <v>2.0</v>
      </c>
      <c r="I25" s="20">
        <v>0.0</v>
      </c>
      <c r="J25" s="20">
        <v>0.0</v>
      </c>
      <c r="K25" s="20">
        <v>0.0</v>
      </c>
      <c r="L25" s="20">
        <v>0.0</v>
      </c>
      <c r="P25" s="19">
        <v>17.0</v>
      </c>
      <c r="Q25" s="104">
        <f t="shared" ref="Q25:R25" si="35">H25/H$32</f>
        <v>0.1818181818</v>
      </c>
      <c r="R25" s="104">
        <f t="shared" si="35"/>
        <v>0</v>
      </c>
      <c r="S25" s="104">
        <v>0.0</v>
      </c>
      <c r="T25" s="104">
        <f t="shared" ref="T25:U25" si="36">K25/K$32</f>
        <v>0</v>
      </c>
      <c r="U25" s="104">
        <f t="shared" si="36"/>
        <v>0</v>
      </c>
    </row>
    <row r="26" ht="15.75" customHeight="1">
      <c r="F26" s="24"/>
      <c r="G26" s="19">
        <v>18.0</v>
      </c>
      <c r="H26" s="20">
        <v>1.0</v>
      </c>
      <c r="I26" s="20">
        <v>0.0</v>
      </c>
      <c r="J26" s="20">
        <v>0.0</v>
      </c>
      <c r="K26" s="20">
        <v>0.0</v>
      </c>
      <c r="L26" s="20">
        <v>0.0</v>
      </c>
      <c r="P26" s="19">
        <v>18.0</v>
      </c>
      <c r="Q26" s="104">
        <f t="shared" ref="Q26:R26" si="37">H26/H$32</f>
        <v>0.09090909091</v>
      </c>
      <c r="R26" s="104">
        <f t="shared" si="37"/>
        <v>0</v>
      </c>
      <c r="S26" s="104">
        <v>0.0</v>
      </c>
      <c r="T26" s="104">
        <f t="shared" ref="T26:U26" si="38">K26/K$32</f>
        <v>0</v>
      </c>
      <c r="U26" s="104">
        <f t="shared" si="38"/>
        <v>0</v>
      </c>
    </row>
    <row r="27" ht="15.75" customHeight="1">
      <c r="F27" s="24"/>
      <c r="G27" s="19">
        <v>19.0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P27" s="19">
        <v>19.0</v>
      </c>
      <c r="Q27" s="104">
        <f t="shared" ref="Q27:R27" si="39">H27/H$32</f>
        <v>0</v>
      </c>
      <c r="R27" s="104">
        <f t="shared" si="39"/>
        <v>0</v>
      </c>
      <c r="S27" s="104">
        <v>0.0</v>
      </c>
      <c r="T27" s="104">
        <f t="shared" ref="T27:U27" si="40">K27/K$32</f>
        <v>0</v>
      </c>
      <c r="U27" s="104">
        <f t="shared" si="40"/>
        <v>0</v>
      </c>
    </row>
    <row r="28" ht="15.75" customHeight="1">
      <c r="F28" s="24"/>
      <c r="G28" s="19">
        <v>20.0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P28" s="19">
        <v>20.0</v>
      </c>
      <c r="Q28" s="104">
        <f t="shared" ref="Q28:R28" si="41">H28/H$32</f>
        <v>0</v>
      </c>
      <c r="R28" s="104">
        <f t="shared" si="41"/>
        <v>0</v>
      </c>
      <c r="S28" s="104">
        <v>0.0</v>
      </c>
      <c r="T28" s="104">
        <f t="shared" ref="T28:U28" si="42">K28/K$32</f>
        <v>0</v>
      </c>
      <c r="U28" s="104">
        <f t="shared" si="42"/>
        <v>0</v>
      </c>
    </row>
    <row r="29" ht="15.75" customHeight="1">
      <c r="F29" s="24"/>
      <c r="G29" s="19">
        <v>21.0</v>
      </c>
      <c r="H29" s="20">
        <v>1.0</v>
      </c>
      <c r="I29" s="20">
        <v>0.0</v>
      </c>
      <c r="J29" s="20">
        <v>0.0</v>
      </c>
      <c r="K29" s="20">
        <v>0.0</v>
      </c>
      <c r="L29" s="20">
        <v>0.0</v>
      </c>
      <c r="P29" s="19">
        <v>21.0</v>
      </c>
      <c r="Q29" s="104">
        <f t="shared" ref="Q29:R29" si="43">H29/H$32</f>
        <v>0.09090909091</v>
      </c>
      <c r="R29" s="104">
        <f t="shared" si="43"/>
        <v>0</v>
      </c>
      <c r="S29" s="104">
        <v>0.0</v>
      </c>
      <c r="T29" s="104">
        <f t="shared" ref="T29:U29" si="44">K29/K$32</f>
        <v>0</v>
      </c>
      <c r="U29" s="104">
        <f t="shared" si="44"/>
        <v>0</v>
      </c>
    </row>
    <row r="30" ht="15.75" customHeight="1">
      <c r="F30" s="24"/>
      <c r="G30" s="19">
        <v>22.0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P30" s="19">
        <v>22.0</v>
      </c>
      <c r="Q30" s="104">
        <f t="shared" ref="Q30:R30" si="45">H30/H$32</f>
        <v>0</v>
      </c>
      <c r="R30" s="104">
        <f t="shared" si="45"/>
        <v>0</v>
      </c>
      <c r="S30" s="104">
        <v>0.0</v>
      </c>
      <c r="T30" s="104">
        <f t="shared" ref="T30:U30" si="46">K30/K$32</f>
        <v>0</v>
      </c>
      <c r="U30" s="104">
        <f t="shared" si="46"/>
        <v>0</v>
      </c>
    </row>
    <row r="31" ht="15.75" customHeight="1">
      <c r="F31" s="28"/>
      <c r="G31" s="19">
        <v>23.0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P31" s="19">
        <v>23.0</v>
      </c>
      <c r="Q31" s="20">
        <f t="shared" ref="Q31:R31" si="47">H31/H$32</f>
        <v>0</v>
      </c>
      <c r="R31" s="20">
        <f t="shared" si="47"/>
        <v>0</v>
      </c>
      <c r="S31" s="20">
        <v>0.0</v>
      </c>
      <c r="T31" s="20">
        <f t="shared" ref="T31:U31" si="48">K31/K$32</f>
        <v>0</v>
      </c>
      <c r="U31" s="20">
        <f t="shared" si="48"/>
        <v>0</v>
      </c>
    </row>
    <row r="32" ht="15.75" customHeight="1">
      <c r="F32" s="111"/>
      <c r="G32" s="112"/>
      <c r="H32" s="26">
        <f t="shared" ref="H32:L32" si="49">SUM(H8:H31)</f>
        <v>11</v>
      </c>
      <c r="I32" s="26">
        <f t="shared" si="49"/>
        <v>8</v>
      </c>
      <c r="J32" s="26">
        <f t="shared" si="49"/>
        <v>0</v>
      </c>
      <c r="K32" s="26">
        <f t="shared" si="49"/>
        <v>3</v>
      </c>
      <c r="L32" s="26">
        <f t="shared" si="49"/>
        <v>2</v>
      </c>
    </row>
    <row r="33" ht="15.75" customHeight="1">
      <c r="G33" s="16"/>
      <c r="H33" s="17">
        <f>$H$7</f>
        <v>31</v>
      </c>
      <c r="I33" s="17">
        <f>$I$7</f>
        <v>32</v>
      </c>
      <c r="J33" s="17">
        <f>$J$7</f>
        <v>41</v>
      </c>
      <c r="K33" s="17">
        <f>$K$7</f>
        <v>42</v>
      </c>
      <c r="L33" s="17">
        <f>$L$7</f>
        <v>5</v>
      </c>
      <c r="O33" s="16"/>
      <c r="P33" s="17">
        <f>$H$7</f>
        <v>31</v>
      </c>
      <c r="Q33" s="17">
        <f>$I$7</f>
        <v>32</v>
      </c>
      <c r="R33" s="17">
        <f>$J$7</f>
        <v>41</v>
      </c>
      <c r="S33" s="17">
        <f>$K$7</f>
        <v>42</v>
      </c>
      <c r="T33" s="17">
        <f>$L$7</f>
        <v>5</v>
      </c>
    </row>
    <row r="34" ht="15.75" customHeight="1">
      <c r="F34" s="56">
        <v>45208.0</v>
      </c>
      <c r="G34" s="19">
        <f>$G$8</f>
        <v>0</v>
      </c>
      <c r="H34" s="20">
        <v>112.0</v>
      </c>
      <c r="I34" s="20">
        <v>23.0</v>
      </c>
      <c r="J34" s="20">
        <v>2.0</v>
      </c>
      <c r="K34" s="20">
        <v>4.0</v>
      </c>
      <c r="L34" s="20">
        <v>3.0</v>
      </c>
      <c r="N34" s="56">
        <v>45208.0</v>
      </c>
      <c r="O34" s="19">
        <f>$G$8</f>
        <v>0</v>
      </c>
      <c r="P34" s="40">
        <f t="shared" ref="P34:T34" si="50">H34/H$58</f>
        <v>0.009672683306</v>
      </c>
      <c r="Q34" s="40">
        <f t="shared" si="50"/>
        <v>0.006888289907</v>
      </c>
      <c r="R34" s="40">
        <f t="shared" si="50"/>
        <v>0.02666666667</v>
      </c>
      <c r="S34" s="40">
        <f t="shared" si="50"/>
        <v>0.01333333333</v>
      </c>
      <c r="T34" s="40">
        <f t="shared" si="50"/>
        <v>0.01119402985</v>
      </c>
    </row>
    <row r="35" ht="15.75" customHeight="1">
      <c r="F35" s="24"/>
      <c r="G35" s="19">
        <f>$G$9</f>
        <v>1</v>
      </c>
      <c r="H35" s="20">
        <v>89.0</v>
      </c>
      <c r="I35" s="20">
        <v>14.0</v>
      </c>
      <c r="J35" s="20">
        <v>2.0</v>
      </c>
      <c r="K35" s="20">
        <v>2.0</v>
      </c>
      <c r="L35" s="20">
        <v>2.0</v>
      </c>
      <c r="N35" s="24"/>
      <c r="O35" s="19">
        <f>$G$9</f>
        <v>1</v>
      </c>
      <c r="P35" s="40">
        <f t="shared" ref="P35:T35" si="51">H35/H$58</f>
        <v>0.007686328699</v>
      </c>
      <c r="Q35" s="40">
        <f t="shared" si="51"/>
        <v>0.004192872117</v>
      </c>
      <c r="R35" s="40">
        <f t="shared" si="51"/>
        <v>0.02666666667</v>
      </c>
      <c r="S35" s="40">
        <f t="shared" si="51"/>
        <v>0.006666666667</v>
      </c>
      <c r="T35" s="40">
        <f t="shared" si="51"/>
        <v>0.007462686567</v>
      </c>
    </row>
    <row r="36" ht="15.75" customHeight="1">
      <c r="F36" s="24"/>
      <c r="G36" s="19">
        <f>$G$10</f>
        <v>2</v>
      </c>
      <c r="H36" s="16">
        <v>69.0</v>
      </c>
      <c r="I36" s="16">
        <v>17.0</v>
      </c>
      <c r="J36" s="16">
        <v>0.0</v>
      </c>
      <c r="K36" s="16">
        <v>6.0</v>
      </c>
      <c r="L36" s="16">
        <v>5.0</v>
      </c>
      <c r="N36" s="24"/>
      <c r="O36" s="19">
        <f>$G$10</f>
        <v>2</v>
      </c>
      <c r="P36" s="40">
        <f t="shared" ref="P36:T36" si="52">H36/H$58</f>
        <v>0.005959063822</v>
      </c>
      <c r="Q36" s="40">
        <f t="shared" si="52"/>
        <v>0.005091344714</v>
      </c>
      <c r="R36" s="40">
        <f t="shared" si="52"/>
        <v>0</v>
      </c>
      <c r="S36" s="40">
        <f t="shared" si="52"/>
        <v>0.02</v>
      </c>
      <c r="T36" s="40">
        <f t="shared" si="52"/>
        <v>0.01865671642</v>
      </c>
    </row>
    <row r="37" ht="15.75" customHeight="1">
      <c r="F37" s="24"/>
      <c r="G37" s="19">
        <f>$G$11</f>
        <v>3</v>
      </c>
      <c r="H37" s="20">
        <v>96.0</v>
      </c>
      <c r="I37" s="20">
        <v>29.0</v>
      </c>
      <c r="J37" s="20">
        <v>1.0</v>
      </c>
      <c r="K37" s="20">
        <v>2.0</v>
      </c>
      <c r="L37" s="20">
        <v>4.0</v>
      </c>
      <c r="N37" s="24"/>
      <c r="O37" s="19">
        <f>$G$11</f>
        <v>3</v>
      </c>
      <c r="P37" s="40">
        <f t="shared" ref="P37:T37" si="53">H37/H$58</f>
        <v>0.008290871405</v>
      </c>
      <c r="Q37" s="40">
        <f t="shared" si="53"/>
        <v>0.0086852351</v>
      </c>
      <c r="R37" s="40">
        <f t="shared" si="53"/>
        <v>0.01333333333</v>
      </c>
      <c r="S37" s="40">
        <f t="shared" si="53"/>
        <v>0.006666666667</v>
      </c>
      <c r="T37" s="40">
        <f t="shared" si="53"/>
        <v>0.01492537313</v>
      </c>
    </row>
    <row r="38" ht="15.75" customHeight="1">
      <c r="F38" s="24"/>
      <c r="G38" s="19">
        <f>$G$12</f>
        <v>4</v>
      </c>
      <c r="H38" s="20">
        <v>126.0</v>
      </c>
      <c r="I38" s="20">
        <v>37.0</v>
      </c>
      <c r="J38" s="20">
        <v>4.0</v>
      </c>
      <c r="K38" s="20">
        <v>5.0</v>
      </c>
      <c r="L38" s="20">
        <v>5.0</v>
      </c>
      <c r="N38" s="24"/>
      <c r="O38" s="19">
        <f>$G$12</f>
        <v>4</v>
      </c>
      <c r="P38" s="40">
        <f t="shared" ref="P38:T38" si="54">H38/H$58</f>
        <v>0.01088176872</v>
      </c>
      <c r="Q38" s="40">
        <f t="shared" si="54"/>
        <v>0.01108116202</v>
      </c>
      <c r="R38" s="40">
        <f t="shared" si="54"/>
        <v>0.05333333333</v>
      </c>
      <c r="S38" s="40">
        <f t="shared" si="54"/>
        <v>0.01666666667</v>
      </c>
      <c r="T38" s="40">
        <f t="shared" si="54"/>
        <v>0.01865671642</v>
      </c>
    </row>
    <row r="39" ht="15.75" customHeight="1">
      <c r="F39" s="24"/>
      <c r="G39" s="19">
        <f>$G$13</f>
        <v>5</v>
      </c>
      <c r="H39" s="20">
        <v>216.0</v>
      </c>
      <c r="I39" s="20">
        <v>96.0</v>
      </c>
      <c r="J39" s="20">
        <v>1.0</v>
      </c>
      <c r="K39" s="20">
        <v>12.0</v>
      </c>
      <c r="L39" s="20">
        <v>9.0</v>
      </c>
      <c r="N39" s="24"/>
      <c r="O39" s="19">
        <f>$G$13</f>
        <v>5</v>
      </c>
      <c r="P39" s="40">
        <f t="shared" ref="P39:T39" si="55">H39/H$58</f>
        <v>0.01865446066</v>
      </c>
      <c r="Q39" s="40">
        <f t="shared" si="55"/>
        <v>0.02875112309</v>
      </c>
      <c r="R39" s="40">
        <f t="shared" si="55"/>
        <v>0.01333333333</v>
      </c>
      <c r="S39" s="40">
        <f t="shared" si="55"/>
        <v>0.04</v>
      </c>
      <c r="T39" s="40">
        <f t="shared" si="55"/>
        <v>0.03358208955</v>
      </c>
    </row>
    <row r="40" ht="15.75" customHeight="1">
      <c r="F40" s="24"/>
      <c r="G40" s="19">
        <f>$G$14</f>
        <v>6</v>
      </c>
      <c r="H40" s="20">
        <v>438.0</v>
      </c>
      <c r="I40" s="20">
        <v>142.0</v>
      </c>
      <c r="J40" s="20">
        <v>4.0</v>
      </c>
      <c r="K40" s="20">
        <v>19.0</v>
      </c>
      <c r="L40" s="20">
        <v>5.0</v>
      </c>
      <c r="N40" s="24"/>
      <c r="O40" s="19">
        <f>$G$14</f>
        <v>6</v>
      </c>
      <c r="P40" s="40">
        <f t="shared" ref="P40:T40" si="56">H40/H$58</f>
        <v>0.03782710079</v>
      </c>
      <c r="Q40" s="40">
        <f t="shared" si="56"/>
        <v>0.04252770291</v>
      </c>
      <c r="R40" s="40">
        <f t="shared" si="56"/>
        <v>0.05333333333</v>
      </c>
      <c r="S40" s="40">
        <f t="shared" si="56"/>
        <v>0.06333333333</v>
      </c>
      <c r="T40" s="40">
        <f t="shared" si="56"/>
        <v>0.01865671642</v>
      </c>
    </row>
    <row r="41" ht="15.75" customHeight="1">
      <c r="F41" s="24"/>
      <c r="G41" s="19">
        <f>$G$15</f>
        <v>7</v>
      </c>
      <c r="H41" s="20">
        <v>722.0</v>
      </c>
      <c r="I41" s="20">
        <v>292.0</v>
      </c>
      <c r="J41" s="20">
        <v>14.0</v>
      </c>
      <c r="K41" s="20">
        <v>28.0</v>
      </c>
      <c r="L41" s="20">
        <v>15.0</v>
      </c>
      <c r="N41" s="24"/>
      <c r="O41" s="19">
        <f>$G$15</f>
        <v>7</v>
      </c>
      <c r="P41" s="40">
        <f t="shared" ref="P41:T41" si="57">H41/H$58</f>
        <v>0.06235426203</v>
      </c>
      <c r="Q41" s="40">
        <f t="shared" si="57"/>
        <v>0.08745133273</v>
      </c>
      <c r="R41" s="40">
        <f t="shared" si="57"/>
        <v>0.1866666667</v>
      </c>
      <c r="S41" s="40">
        <f t="shared" si="57"/>
        <v>0.09333333333</v>
      </c>
      <c r="T41" s="40">
        <f t="shared" si="57"/>
        <v>0.05597014925</v>
      </c>
    </row>
    <row r="42" ht="15.75" customHeight="1">
      <c r="F42" s="24"/>
      <c r="G42" s="19">
        <f>$G$16</f>
        <v>8</v>
      </c>
      <c r="H42" s="20">
        <v>993.0</v>
      </c>
      <c r="I42" s="20">
        <v>306.0</v>
      </c>
      <c r="J42" s="20">
        <v>8.0</v>
      </c>
      <c r="K42" s="20">
        <v>23.0</v>
      </c>
      <c r="L42" s="20">
        <v>24.0</v>
      </c>
      <c r="N42" s="24"/>
      <c r="O42" s="19">
        <f>$G$16</f>
        <v>8</v>
      </c>
      <c r="P42" s="40">
        <f t="shared" ref="P42:T42" si="58">H42/H$58</f>
        <v>0.0857587011</v>
      </c>
      <c r="Q42" s="40">
        <f t="shared" si="58"/>
        <v>0.09164420485</v>
      </c>
      <c r="R42" s="40">
        <f t="shared" si="58"/>
        <v>0.1066666667</v>
      </c>
      <c r="S42" s="40">
        <f t="shared" si="58"/>
        <v>0.07666666667</v>
      </c>
      <c r="T42" s="40">
        <f t="shared" si="58"/>
        <v>0.08955223881</v>
      </c>
    </row>
    <row r="43" ht="15.75" customHeight="1">
      <c r="F43" s="24"/>
      <c r="G43" s="19">
        <f>$G$17</f>
        <v>9</v>
      </c>
      <c r="H43" s="20">
        <v>1136.0</v>
      </c>
      <c r="I43" s="20">
        <v>325.0</v>
      </c>
      <c r="J43" s="20">
        <v>5.0</v>
      </c>
      <c r="K43" s="20">
        <v>26.0</v>
      </c>
      <c r="L43" s="20">
        <v>19.0</v>
      </c>
      <c r="N43" s="24"/>
      <c r="O43" s="19">
        <f>$G$17</f>
        <v>9</v>
      </c>
      <c r="P43" s="40">
        <f t="shared" ref="P43:T43" si="59">H43/H$58</f>
        <v>0.09810864496</v>
      </c>
      <c r="Q43" s="40">
        <f t="shared" si="59"/>
        <v>0.0973345313</v>
      </c>
      <c r="R43" s="40">
        <f t="shared" si="59"/>
        <v>0.06666666667</v>
      </c>
      <c r="S43" s="40">
        <f t="shared" si="59"/>
        <v>0.08666666667</v>
      </c>
      <c r="T43" s="40">
        <f t="shared" si="59"/>
        <v>0.07089552239</v>
      </c>
    </row>
    <row r="44" ht="15.75" customHeight="1">
      <c r="F44" s="24"/>
      <c r="G44" s="19">
        <f>$G$18</f>
        <v>10</v>
      </c>
      <c r="H44" s="20">
        <v>1102.0</v>
      </c>
      <c r="I44" s="20">
        <v>244.0</v>
      </c>
      <c r="J44" s="20">
        <v>2.0</v>
      </c>
      <c r="K44" s="20">
        <v>16.0</v>
      </c>
      <c r="L44" s="20">
        <v>14.0</v>
      </c>
      <c r="N44" s="24"/>
      <c r="O44" s="19">
        <f>$G$18</f>
        <v>10</v>
      </c>
      <c r="P44" s="40">
        <f t="shared" ref="P44:T44" si="60">H44/H$58</f>
        <v>0.09517229467</v>
      </c>
      <c r="Q44" s="40">
        <f t="shared" si="60"/>
        <v>0.07307577119</v>
      </c>
      <c r="R44" s="40">
        <f t="shared" si="60"/>
        <v>0.02666666667</v>
      </c>
      <c r="S44" s="40">
        <f t="shared" si="60"/>
        <v>0.05333333333</v>
      </c>
      <c r="T44" s="40">
        <f t="shared" si="60"/>
        <v>0.05223880597</v>
      </c>
    </row>
    <row r="45" ht="15.75" customHeight="1">
      <c r="F45" s="24"/>
      <c r="G45" s="19">
        <f>$G$19</f>
        <v>11</v>
      </c>
      <c r="H45" s="20">
        <v>1055.0</v>
      </c>
      <c r="I45" s="20">
        <v>278.0</v>
      </c>
      <c r="J45" s="20">
        <v>2.0</v>
      </c>
      <c r="K45" s="20">
        <v>17.0</v>
      </c>
      <c r="L45" s="20">
        <v>30.0</v>
      </c>
      <c r="N45" s="24"/>
      <c r="O45" s="19">
        <f>$G$19</f>
        <v>11</v>
      </c>
      <c r="P45" s="40">
        <f t="shared" ref="P45:T45" si="61">H45/H$58</f>
        <v>0.09111322221</v>
      </c>
      <c r="Q45" s="40">
        <f t="shared" si="61"/>
        <v>0.08325846062</v>
      </c>
      <c r="R45" s="40">
        <f t="shared" si="61"/>
        <v>0.02666666667</v>
      </c>
      <c r="S45" s="40">
        <f t="shared" si="61"/>
        <v>0.05666666667</v>
      </c>
      <c r="T45" s="40">
        <f t="shared" si="61"/>
        <v>0.1119402985</v>
      </c>
    </row>
    <row r="46" ht="15.75" customHeight="1">
      <c r="F46" s="24"/>
      <c r="G46" s="19">
        <f>$G$20</f>
        <v>12</v>
      </c>
      <c r="H46" s="20">
        <v>843.0</v>
      </c>
      <c r="I46" s="20">
        <v>215.0</v>
      </c>
      <c r="J46" s="20">
        <v>3.0</v>
      </c>
      <c r="K46" s="20">
        <v>21.0</v>
      </c>
      <c r="L46" s="20">
        <v>24.0</v>
      </c>
      <c r="N46" s="24"/>
      <c r="O46" s="19">
        <f>$G$20</f>
        <v>12</v>
      </c>
      <c r="P46" s="40">
        <f t="shared" ref="P46:T46" si="62">H46/H$58</f>
        <v>0.07280421453</v>
      </c>
      <c r="Q46" s="40">
        <f t="shared" si="62"/>
        <v>0.06439053609</v>
      </c>
      <c r="R46" s="40">
        <f t="shared" si="62"/>
        <v>0.04</v>
      </c>
      <c r="S46" s="40">
        <f t="shared" si="62"/>
        <v>0.07</v>
      </c>
      <c r="T46" s="40">
        <f t="shared" si="62"/>
        <v>0.08955223881</v>
      </c>
    </row>
    <row r="47" ht="15.75" customHeight="1">
      <c r="F47" s="24"/>
      <c r="G47" s="19">
        <f>$G$21</f>
        <v>13</v>
      </c>
      <c r="H47" s="20">
        <v>837.0</v>
      </c>
      <c r="I47" s="20">
        <v>227.0</v>
      </c>
      <c r="J47" s="20">
        <v>2.0</v>
      </c>
      <c r="K47" s="20">
        <v>13.0</v>
      </c>
      <c r="L47" s="20">
        <v>15.0</v>
      </c>
      <c r="N47" s="24"/>
      <c r="O47" s="19">
        <f>$G$21</f>
        <v>13</v>
      </c>
      <c r="P47" s="40">
        <f t="shared" ref="P47:T47" si="63">H47/H$58</f>
        <v>0.07228603506</v>
      </c>
      <c r="Q47" s="40">
        <f t="shared" si="63"/>
        <v>0.06798442647</v>
      </c>
      <c r="R47" s="40">
        <f t="shared" si="63"/>
        <v>0.02666666667</v>
      </c>
      <c r="S47" s="40">
        <f t="shared" si="63"/>
        <v>0.04333333333</v>
      </c>
      <c r="T47" s="40">
        <f t="shared" si="63"/>
        <v>0.05597014925</v>
      </c>
    </row>
    <row r="48" ht="15.75" customHeight="1">
      <c r="F48" s="24"/>
      <c r="G48" s="19">
        <f>$G$22</f>
        <v>14</v>
      </c>
      <c r="H48" s="20">
        <v>714.0</v>
      </c>
      <c r="I48" s="20">
        <v>198.0</v>
      </c>
      <c r="J48" s="20">
        <v>7.0</v>
      </c>
      <c r="K48" s="20">
        <v>17.0</v>
      </c>
      <c r="L48" s="20">
        <v>22.0</v>
      </c>
      <c r="N48" s="24"/>
      <c r="O48" s="19">
        <f>$G$22</f>
        <v>14</v>
      </c>
      <c r="P48" s="40">
        <f t="shared" ref="P48:T48" si="64">H48/H$58</f>
        <v>0.06166335608</v>
      </c>
      <c r="Q48" s="40">
        <f t="shared" si="64"/>
        <v>0.05929919137</v>
      </c>
      <c r="R48" s="40">
        <f t="shared" si="64"/>
        <v>0.09333333333</v>
      </c>
      <c r="S48" s="40">
        <f t="shared" si="64"/>
        <v>0.05666666667</v>
      </c>
      <c r="T48" s="40">
        <f t="shared" si="64"/>
        <v>0.08208955224</v>
      </c>
    </row>
    <row r="49" ht="15.75" customHeight="1">
      <c r="F49" s="24"/>
      <c r="G49" s="19">
        <f>$G$23</f>
        <v>15</v>
      </c>
      <c r="H49" s="20">
        <v>600.0</v>
      </c>
      <c r="I49" s="20">
        <v>186.0</v>
      </c>
      <c r="J49" s="20">
        <v>8.0</v>
      </c>
      <c r="K49" s="20">
        <v>11.0</v>
      </c>
      <c r="L49" s="20">
        <v>20.0</v>
      </c>
      <c r="N49" s="24"/>
      <c r="O49" s="19">
        <f>$G$23</f>
        <v>15</v>
      </c>
      <c r="P49" s="40">
        <f t="shared" ref="P49:T49" si="65">H49/H$58</f>
        <v>0.05181794628</v>
      </c>
      <c r="Q49" s="40">
        <f t="shared" si="65"/>
        <v>0.05570530099</v>
      </c>
      <c r="R49" s="40">
        <f t="shared" si="65"/>
        <v>0.1066666667</v>
      </c>
      <c r="S49" s="40">
        <f t="shared" si="65"/>
        <v>0.03666666667</v>
      </c>
      <c r="T49" s="40">
        <f t="shared" si="65"/>
        <v>0.07462686567</v>
      </c>
    </row>
    <row r="50" ht="15.75" customHeight="1">
      <c r="F50" s="24"/>
      <c r="G50" s="19">
        <f>$G$24</f>
        <v>16</v>
      </c>
      <c r="H50" s="20">
        <v>512.0</v>
      </c>
      <c r="I50" s="20">
        <v>165.0</v>
      </c>
      <c r="J50" s="20">
        <v>1.0</v>
      </c>
      <c r="K50" s="20">
        <v>19.0</v>
      </c>
      <c r="L50" s="20">
        <v>16.0</v>
      </c>
      <c r="N50" s="24"/>
      <c r="O50" s="19">
        <f>$G$24</f>
        <v>16</v>
      </c>
      <c r="P50" s="40">
        <f t="shared" ref="P50:T50" si="66">H50/H$58</f>
        <v>0.04421798083</v>
      </c>
      <c r="Q50" s="40">
        <f t="shared" si="66"/>
        <v>0.04941599281</v>
      </c>
      <c r="R50" s="40">
        <f t="shared" si="66"/>
        <v>0.01333333333</v>
      </c>
      <c r="S50" s="40">
        <f t="shared" si="66"/>
        <v>0.06333333333</v>
      </c>
      <c r="T50" s="40">
        <f t="shared" si="66"/>
        <v>0.05970149254</v>
      </c>
    </row>
    <row r="51" ht="15.75" customHeight="1">
      <c r="F51" s="24"/>
      <c r="G51" s="19">
        <f>$G$25</f>
        <v>17</v>
      </c>
      <c r="H51" s="20">
        <v>464.0</v>
      </c>
      <c r="I51" s="20">
        <v>173.0</v>
      </c>
      <c r="J51" s="20">
        <v>3.0</v>
      </c>
      <c r="K51" s="20">
        <v>9.0</v>
      </c>
      <c r="L51" s="20">
        <v>6.0</v>
      </c>
      <c r="N51" s="24"/>
      <c r="O51" s="19">
        <f>$G$25</f>
        <v>17</v>
      </c>
      <c r="P51" s="40">
        <f t="shared" ref="P51:T51" si="67">H51/H$58</f>
        <v>0.04007254512</v>
      </c>
      <c r="Q51" s="40">
        <f t="shared" si="67"/>
        <v>0.05181191974</v>
      </c>
      <c r="R51" s="40">
        <f t="shared" si="67"/>
        <v>0.04</v>
      </c>
      <c r="S51" s="40">
        <f t="shared" si="67"/>
        <v>0.03</v>
      </c>
      <c r="T51" s="40">
        <f t="shared" si="67"/>
        <v>0.0223880597</v>
      </c>
    </row>
    <row r="52" ht="15.75" customHeight="1">
      <c r="F52" s="24"/>
      <c r="G52" s="19">
        <f>$G$26</f>
        <v>18</v>
      </c>
      <c r="H52" s="20">
        <v>347.0</v>
      </c>
      <c r="I52" s="20">
        <v>94.0</v>
      </c>
      <c r="J52" s="20">
        <v>1.0</v>
      </c>
      <c r="K52" s="20">
        <v>13.0</v>
      </c>
      <c r="L52" s="20">
        <v>8.0</v>
      </c>
      <c r="N52" s="24"/>
      <c r="O52" s="19">
        <f>$G$26</f>
        <v>18</v>
      </c>
      <c r="P52" s="40">
        <f t="shared" ref="P52:T52" si="68">H52/H$58</f>
        <v>0.0299680456</v>
      </c>
      <c r="Q52" s="40">
        <f t="shared" si="68"/>
        <v>0.02815214136</v>
      </c>
      <c r="R52" s="40">
        <f t="shared" si="68"/>
        <v>0.01333333333</v>
      </c>
      <c r="S52" s="40">
        <f t="shared" si="68"/>
        <v>0.04333333333</v>
      </c>
      <c r="T52" s="40">
        <f t="shared" si="68"/>
        <v>0.02985074627</v>
      </c>
    </row>
    <row r="53" ht="15.75" customHeight="1">
      <c r="F53" s="24"/>
      <c r="G53" s="19">
        <f>$G$27</f>
        <v>19</v>
      </c>
      <c r="H53" s="20">
        <v>281.0</v>
      </c>
      <c r="I53" s="20">
        <v>78.0</v>
      </c>
      <c r="J53" s="20">
        <v>2.0</v>
      </c>
      <c r="K53" s="20">
        <v>13.0</v>
      </c>
      <c r="L53" s="20">
        <v>5.0</v>
      </c>
      <c r="N53" s="24"/>
      <c r="O53" s="19">
        <f>$G$27</f>
        <v>19</v>
      </c>
      <c r="P53" s="40">
        <f t="shared" ref="P53:T53" si="69">H53/H$58</f>
        <v>0.02426807151</v>
      </c>
      <c r="Q53" s="40">
        <f t="shared" si="69"/>
        <v>0.02336028751</v>
      </c>
      <c r="R53" s="40">
        <f t="shared" si="69"/>
        <v>0.02666666667</v>
      </c>
      <c r="S53" s="40">
        <f t="shared" si="69"/>
        <v>0.04333333333</v>
      </c>
      <c r="T53" s="40">
        <f t="shared" si="69"/>
        <v>0.01865671642</v>
      </c>
    </row>
    <row r="54" ht="15.75" customHeight="1">
      <c r="F54" s="24"/>
      <c r="G54" s="19">
        <f>$G$28</f>
        <v>20</v>
      </c>
      <c r="H54" s="20">
        <v>260.0</v>
      </c>
      <c r="I54" s="20">
        <v>55.0</v>
      </c>
      <c r="J54" s="20">
        <v>1.0</v>
      </c>
      <c r="K54" s="20">
        <v>7.0</v>
      </c>
      <c r="L54" s="20">
        <v>4.0</v>
      </c>
      <c r="N54" s="24"/>
      <c r="O54" s="19">
        <f>$G$28</f>
        <v>20</v>
      </c>
      <c r="P54" s="40">
        <f t="shared" ref="P54:T54" si="70">H54/H$58</f>
        <v>0.02245444339</v>
      </c>
      <c r="Q54" s="40">
        <f t="shared" si="70"/>
        <v>0.0164719976</v>
      </c>
      <c r="R54" s="40">
        <f t="shared" si="70"/>
        <v>0.01333333333</v>
      </c>
      <c r="S54" s="40">
        <f t="shared" si="70"/>
        <v>0.02333333333</v>
      </c>
      <c r="T54" s="40">
        <f t="shared" si="70"/>
        <v>0.01492537313</v>
      </c>
    </row>
    <row r="55" ht="15.75" customHeight="1">
      <c r="F55" s="24"/>
      <c r="G55" s="19">
        <f>$G$29</f>
        <v>21</v>
      </c>
      <c r="H55" s="20">
        <v>240.0</v>
      </c>
      <c r="I55" s="20">
        <v>54.0</v>
      </c>
      <c r="J55" s="20">
        <v>1.0</v>
      </c>
      <c r="K55" s="20">
        <v>6.0</v>
      </c>
      <c r="L55" s="20">
        <v>8.0</v>
      </c>
      <c r="N55" s="24"/>
      <c r="O55" s="19">
        <f>$G$29</f>
        <v>21</v>
      </c>
      <c r="P55" s="40">
        <f t="shared" ref="P55:T55" si="71">H55/H$58</f>
        <v>0.02072717851</v>
      </c>
      <c r="Q55" s="40">
        <f t="shared" si="71"/>
        <v>0.01617250674</v>
      </c>
      <c r="R55" s="40">
        <f t="shared" si="71"/>
        <v>0.01333333333</v>
      </c>
      <c r="S55" s="40">
        <f t="shared" si="71"/>
        <v>0.02</v>
      </c>
      <c r="T55" s="40">
        <f t="shared" si="71"/>
        <v>0.02985074627</v>
      </c>
    </row>
    <row r="56" ht="15.75" customHeight="1">
      <c r="F56" s="24"/>
      <c r="G56" s="19">
        <f>$G$30</f>
        <v>22</v>
      </c>
      <c r="H56" s="20">
        <v>191.0</v>
      </c>
      <c r="I56" s="20">
        <v>48.0</v>
      </c>
      <c r="J56" s="20">
        <v>0.0</v>
      </c>
      <c r="K56" s="20">
        <v>4.0</v>
      </c>
      <c r="L56" s="20">
        <v>2.0</v>
      </c>
      <c r="N56" s="24"/>
      <c r="O56" s="19">
        <f>$G$30</f>
        <v>22</v>
      </c>
      <c r="P56" s="40">
        <f t="shared" ref="P56:T56" si="72">H56/H$58</f>
        <v>0.01649537957</v>
      </c>
      <c r="Q56" s="40">
        <f t="shared" si="72"/>
        <v>0.01437556155</v>
      </c>
      <c r="R56" s="40">
        <f t="shared" si="72"/>
        <v>0</v>
      </c>
      <c r="S56" s="40">
        <f t="shared" si="72"/>
        <v>0.01333333333</v>
      </c>
      <c r="T56" s="40">
        <f t="shared" si="72"/>
        <v>0.007462686567</v>
      </c>
    </row>
    <row r="57" ht="15.75" customHeight="1">
      <c r="F57" s="28"/>
      <c r="G57" s="19">
        <f>$G$31</f>
        <v>23</v>
      </c>
      <c r="H57" s="20">
        <v>136.0</v>
      </c>
      <c r="I57" s="20">
        <v>43.0</v>
      </c>
      <c r="J57" s="20">
        <v>1.0</v>
      </c>
      <c r="K57" s="20">
        <v>7.0</v>
      </c>
      <c r="L57" s="20">
        <v>3.0</v>
      </c>
      <c r="N57" s="28"/>
      <c r="O57" s="19">
        <f>$G$31</f>
        <v>23</v>
      </c>
      <c r="P57" s="40">
        <f t="shared" ref="P57:T57" si="73">H57/H$58</f>
        <v>0.01174540116</v>
      </c>
      <c r="Q57" s="40">
        <f t="shared" si="73"/>
        <v>0.01287810722</v>
      </c>
      <c r="R57" s="40">
        <f t="shared" si="73"/>
        <v>0.01333333333</v>
      </c>
      <c r="S57" s="40">
        <f t="shared" si="73"/>
        <v>0.02333333333</v>
      </c>
      <c r="T57" s="40">
        <f t="shared" si="73"/>
        <v>0.01119402985</v>
      </c>
    </row>
    <row r="58" ht="15.75" customHeight="1">
      <c r="F58" s="111"/>
      <c r="G58" s="112"/>
      <c r="H58" s="26">
        <f t="shared" ref="H58:L58" si="74">SUM(H34:H57)</f>
        <v>11579</v>
      </c>
      <c r="I58" s="26">
        <f t="shared" si="74"/>
        <v>3339</v>
      </c>
      <c r="J58" s="26">
        <f t="shared" si="74"/>
        <v>75</v>
      </c>
      <c r="K58" s="26">
        <f t="shared" si="74"/>
        <v>300</v>
      </c>
      <c r="L58" s="26">
        <f t="shared" si="74"/>
        <v>268</v>
      </c>
    </row>
    <row r="59" ht="15.75" customHeight="1">
      <c r="G59" s="16"/>
      <c r="H59" s="17">
        <f>$H$7</f>
        <v>31</v>
      </c>
      <c r="I59" s="17">
        <f>$I$7</f>
        <v>32</v>
      </c>
      <c r="J59" s="17">
        <f>$J$7</f>
        <v>41</v>
      </c>
      <c r="K59" s="17">
        <f>$K$7</f>
        <v>42</v>
      </c>
      <c r="L59" s="17">
        <f>$L$7</f>
        <v>5</v>
      </c>
      <c r="O59" s="16"/>
      <c r="P59" s="17">
        <f>$H$7</f>
        <v>31</v>
      </c>
      <c r="Q59" s="17">
        <f>$I$7</f>
        <v>32</v>
      </c>
      <c r="R59" s="17">
        <f>$J$7</f>
        <v>41</v>
      </c>
      <c r="S59" s="17">
        <f>$K$7</f>
        <v>42</v>
      </c>
      <c r="T59" s="17">
        <f>$L$7</f>
        <v>5</v>
      </c>
    </row>
    <row r="60" ht="15.75" customHeight="1">
      <c r="F60" s="56">
        <v>45209.0</v>
      </c>
      <c r="G60" s="19">
        <f>$G$8</f>
        <v>0</v>
      </c>
      <c r="H60" s="20">
        <v>98.0</v>
      </c>
      <c r="I60" s="20">
        <v>29.0</v>
      </c>
      <c r="J60" s="20">
        <v>5.0</v>
      </c>
      <c r="K60" s="20">
        <v>4.0</v>
      </c>
      <c r="L60" s="20">
        <v>4.0</v>
      </c>
      <c r="N60" s="56">
        <v>45209.0</v>
      </c>
      <c r="O60" s="19">
        <f>$G$8</f>
        <v>0</v>
      </c>
      <c r="P60" s="40">
        <f t="shared" ref="P60:T60" si="75">H60/H$84</f>
        <v>0.01133734382</v>
      </c>
      <c r="Q60" s="40">
        <f t="shared" si="75"/>
        <v>0.01095166163</v>
      </c>
      <c r="R60" s="40">
        <f t="shared" si="75"/>
        <v>0.05208333333</v>
      </c>
      <c r="S60" s="40">
        <f t="shared" si="75"/>
        <v>0.01302931596</v>
      </c>
      <c r="T60" s="40">
        <f t="shared" si="75"/>
        <v>0.02</v>
      </c>
    </row>
    <row r="61" ht="15.75" customHeight="1">
      <c r="F61" s="24"/>
      <c r="G61" s="19">
        <f>$G$9</f>
        <v>1</v>
      </c>
      <c r="H61" s="20">
        <v>50.0</v>
      </c>
      <c r="I61" s="20">
        <v>12.0</v>
      </c>
      <c r="J61" s="20">
        <v>5.0</v>
      </c>
      <c r="K61" s="20">
        <v>6.0</v>
      </c>
      <c r="L61" s="20">
        <v>5.0</v>
      </c>
      <c r="N61" s="24"/>
      <c r="O61" s="19">
        <f>$G$9</f>
        <v>1</v>
      </c>
      <c r="P61" s="40">
        <f t="shared" ref="P61:T61" si="76">H61/H$84</f>
        <v>0.005784359093</v>
      </c>
      <c r="Q61" s="40">
        <f t="shared" si="76"/>
        <v>0.004531722054</v>
      </c>
      <c r="R61" s="40">
        <f t="shared" si="76"/>
        <v>0.05208333333</v>
      </c>
      <c r="S61" s="40">
        <f t="shared" si="76"/>
        <v>0.01954397394</v>
      </c>
      <c r="T61" s="40">
        <f t="shared" si="76"/>
        <v>0.025</v>
      </c>
    </row>
    <row r="62" ht="15.75" customHeight="1">
      <c r="F62" s="24"/>
      <c r="G62" s="19">
        <f>$G$10</f>
        <v>2</v>
      </c>
      <c r="H62" s="16">
        <v>52.0</v>
      </c>
      <c r="I62" s="16">
        <v>17.0</v>
      </c>
      <c r="J62" s="16">
        <v>2.0</v>
      </c>
      <c r="K62" s="16">
        <v>4.0</v>
      </c>
      <c r="L62" s="16">
        <v>2.0</v>
      </c>
      <c r="N62" s="24"/>
      <c r="O62" s="19">
        <f>$G$10</f>
        <v>2</v>
      </c>
      <c r="P62" s="40">
        <f t="shared" ref="P62:T62" si="77">H62/H$84</f>
        <v>0.006015733457</v>
      </c>
      <c r="Q62" s="40">
        <f t="shared" si="77"/>
        <v>0.006419939577</v>
      </c>
      <c r="R62" s="40">
        <f t="shared" si="77"/>
        <v>0.02083333333</v>
      </c>
      <c r="S62" s="40">
        <f t="shared" si="77"/>
        <v>0.01302931596</v>
      </c>
      <c r="T62" s="40">
        <f t="shared" si="77"/>
        <v>0.01</v>
      </c>
    </row>
    <row r="63" ht="15.75" customHeight="1">
      <c r="F63" s="24"/>
      <c r="G63" s="19">
        <f>$G$11</f>
        <v>3</v>
      </c>
      <c r="H63" s="20">
        <v>51.0</v>
      </c>
      <c r="I63" s="20">
        <v>22.0</v>
      </c>
      <c r="J63" s="20">
        <v>3.0</v>
      </c>
      <c r="K63" s="20">
        <v>3.0</v>
      </c>
      <c r="L63" s="20">
        <v>6.0</v>
      </c>
      <c r="N63" s="24"/>
      <c r="O63" s="19">
        <f>$G$11</f>
        <v>3</v>
      </c>
      <c r="P63" s="40">
        <f t="shared" ref="P63:T63" si="78">H63/H$84</f>
        <v>0.005900046275</v>
      </c>
      <c r="Q63" s="40">
        <f t="shared" si="78"/>
        <v>0.0083081571</v>
      </c>
      <c r="R63" s="40">
        <f t="shared" si="78"/>
        <v>0.03125</v>
      </c>
      <c r="S63" s="40">
        <f t="shared" si="78"/>
        <v>0.009771986971</v>
      </c>
      <c r="T63" s="40">
        <f t="shared" si="78"/>
        <v>0.03</v>
      </c>
    </row>
    <row r="64" ht="15.75" customHeight="1">
      <c r="F64" s="24"/>
      <c r="G64" s="19">
        <f>$G$12</f>
        <v>4</v>
      </c>
      <c r="H64" s="20">
        <v>71.0</v>
      </c>
      <c r="I64" s="20">
        <v>24.0</v>
      </c>
      <c r="J64" s="20">
        <v>2.0</v>
      </c>
      <c r="K64" s="20">
        <v>5.0</v>
      </c>
      <c r="L64" s="20">
        <v>4.0</v>
      </c>
      <c r="N64" s="24"/>
      <c r="O64" s="19">
        <f>$G$12</f>
        <v>4</v>
      </c>
      <c r="P64" s="40">
        <f t="shared" ref="P64:T64" si="79">H64/H$84</f>
        <v>0.008213789912</v>
      </c>
      <c r="Q64" s="40">
        <f t="shared" si="79"/>
        <v>0.009063444109</v>
      </c>
      <c r="R64" s="40">
        <f t="shared" si="79"/>
        <v>0.02083333333</v>
      </c>
      <c r="S64" s="40">
        <f t="shared" si="79"/>
        <v>0.01628664495</v>
      </c>
      <c r="T64" s="40">
        <f t="shared" si="79"/>
        <v>0.02</v>
      </c>
    </row>
    <row r="65" ht="15.75" customHeight="1">
      <c r="F65" s="24"/>
      <c r="G65" s="19">
        <f>$G$13</f>
        <v>5</v>
      </c>
      <c r="H65" s="20">
        <v>105.0</v>
      </c>
      <c r="I65" s="20">
        <v>71.0</v>
      </c>
      <c r="J65" s="20">
        <v>0.0</v>
      </c>
      <c r="K65" s="20">
        <v>23.0</v>
      </c>
      <c r="L65" s="20">
        <v>5.0</v>
      </c>
      <c r="N65" s="24"/>
      <c r="O65" s="19">
        <f>$G$13</f>
        <v>5</v>
      </c>
      <c r="P65" s="40">
        <f t="shared" ref="P65:T65" si="80">H65/H$84</f>
        <v>0.0121471541</v>
      </c>
      <c r="Q65" s="40">
        <f t="shared" si="80"/>
        <v>0.02681268882</v>
      </c>
      <c r="R65" s="40">
        <f t="shared" si="80"/>
        <v>0</v>
      </c>
      <c r="S65" s="40">
        <f t="shared" si="80"/>
        <v>0.07491856678</v>
      </c>
      <c r="T65" s="40">
        <f t="shared" si="80"/>
        <v>0.025</v>
      </c>
    </row>
    <row r="66" ht="15.75" customHeight="1">
      <c r="F66" s="24"/>
      <c r="G66" s="19">
        <f>$G$14</f>
        <v>6</v>
      </c>
      <c r="H66" s="20">
        <v>207.0</v>
      </c>
      <c r="I66" s="20">
        <v>104.0</v>
      </c>
      <c r="J66" s="20">
        <v>6.0</v>
      </c>
      <c r="K66" s="20">
        <v>17.0</v>
      </c>
      <c r="L66" s="20">
        <v>4.0</v>
      </c>
      <c r="N66" s="24"/>
      <c r="O66" s="19">
        <f>$G$14</f>
        <v>6</v>
      </c>
      <c r="P66" s="40">
        <f t="shared" ref="P66:T66" si="81">H66/H$84</f>
        <v>0.02394724665</v>
      </c>
      <c r="Q66" s="40">
        <f t="shared" si="81"/>
        <v>0.03927492447</v>
      </c>
      <c r="R66" s="40">
        <f t="shared" si="81"/>
        <v>0.0625</v>
      </c>
      <c r="S66" s="40">
        <f t="shared" si="81"/>
        <v>0.05537459283</v>
      </c>
      <c r="T66" s="40">
        <f t="shared" si="81"/>
        <v>0.02</v>
      </c>
    </row>
    <row r="67" ht="15.75" customHeight="1">
      <c r="F67" s="24"/>
      <c r="G67" s="19">
        <f>$G$15</f>
        <v>7</v>
      </c>
      <c r="H67" s="20">
        <v>409.0</v>
      </c>
      <c r="I67" s="20">
        <v>173.0</v>
      </c>
      <c r="J67" s="20">
        <v>7.0</v>
      </c>
      <c r="K67" s="20">
        <v>32.0</v>
      </c>
      <c r="L67" s="20">
        <v>13.0</v>
      </c>
      <c r="N67" s="24"/>
      <c r="O67" s="19">
        <f>$G$15</f>
        <v>7</v>
      </c>
      <c r="P67" s="40">
        <f t="shared" ref="P67:T67" si="82">H67/H$84</f>
        <v>0.04731605738</v>
      </c>
      <c r="Q67" s="40">
        <f t="shared" si="82"/>
        <v>0.06533232628</v>
      </c>
      <c r="R67" s="40">
        <f t="shared" si="82"/>
        <v>0.07291666667</v>
      </c>
      <c r="S67" s="40">
        <f t="shared" si="82"/>
        <v>0.1042345277</v>
      </c>
      <c r="T67" s="40">
        <f t="shared" si="82"/>
        <v>0.065</v>
      </c>
    </row>
    <row r="68" ht="15.75" customHeight="1">
      <c r="F68" s="24"/>
      <c r="G68" s="19">
        <f>$G$16</f>
        <v>8</v>
      </c>
      <c r="H68" s="20">
        <v>459.0</v>
      </c>
      <c r="I68" s="20">
        <v>197.0</v>
      </c>
      <c r="J68" s="20">
        <v>7.0</v>
      </c>
      <c r="K68" s="20">
        <v>17.0</v>
      </c>
      <c r="L68" s="20">
        <v>22.0</v>
      </c>
      <c r="N68" s="24"/>
      <c r="O68" s="19">
        <f>$G$16</f>
        <v>8</v>
      </c>
      <c r="P68" s="40">
        <f t="shared" ref="P68:T68" si="83">H68/H$84</f>
        <v>0.05310041647</v>
      </c>
      <c r="Q68" s="40">
        <f t="shared" si="83"/>
        <v>0.07439577039</v>
      </c>
      <c r="R68" s="40">
        <f t="shared" si="83"/>
        <v>0.07291666667</v>
      </c>
      <c r="S68" s="40">
        <f t="shared" si="83"/>
        <v>0.05537459283</v>
      </c>
      <c r="T68" s="40">
        <f t="shared" si="83"/>
        <v>0.11</v>
      </c>
    </row>
    <row r="69" ht="15.75" customHeight="1">
      <c r="F69" s="24"/>
      <c r="G69" s="19">
        <f>$G$17</f>
        <v>9</v>
      </c>
      <c r="H69" s="20">
        <v>672.0</v>
      </c>
      <c r="I69" s="20">
        <v>199.0</v>
      </c>
      <c r="J69" s="20">
        <v>5.0</v>
      </c>
      <c r="K69" s="20">
        <v>12.0</v>
      </c>
      <c r="L69" s="20">
        <v>13.0</v>
      </c>
      <c r="N69" s="24"/>
      <c r="O69" s="19">
        <f>$G$17</f>
        <v>9</v>
      </c>
      <c r="P69" s="40">
        <f t="shared" ref="P69:T69" si="84">H69/H$84</f>
        <v>0.07774178621</v>
      </c>
      <c r="Q69" s="40">
        <f t="shared" si="84"/>
        <v>0.0751510574</v>
      </c>
      <c r="R69" s="40">
        <f t="shared" si="84"/>
        <v>0.05208333333</v>
      </c>
      <c r="S69" s="40">
        <f t="shared" si="84"/>
        <v>0.03908794788</v>
      </c>
      <c r="T69" s="40">
        <f t="shared" si="84"/>
        <v>0.065</v>
      </c>
    </row>
    <row r="70" ht="15.75" customHeight="1">
      <c r="F70" s="24"/>
      <c r="G70" s="19">
        <f>$G$18</f>
        <v>10</v>
      </c>
      <c r="H70" s="20">
        <v>768.0</v>
      </c>
      <c r="I70" s="20">
        <v>197.0</v>
      </c>
      <c r="J70" s="20">
        <v>2.0</v>
      </c>
      <c r="K70" s="20">
        <v>27.0</v>
      </c>
      <c r="L70" s="20">
        <v>13.0</v>
      </c>
      <c r="N70" s="24"/>
      <c r="O70" s="19">
        <f>$G$18</f>
        <v>10</v>
      </c>
      <c r="P70" s="40">
        <f t="shared" ref="P70:T70" si="85">H70/H$84</f>
        <v>0.08884775567</v>
      </c>
      <c r="Q70" s="40">
        <f t="shared" si="85"/>
        <v>0.07439577039</v>
      </c>
      <c r="R70" s="40">
        <f t="shared" si="85"/>
        <v>0.02083333333</v>
      </c>
      <c r="S70" s="40">
        <f t="shared" si="85"/>
        <v>0.08794788274</v>
      </c>
      <c r="T70" s="40">
        <f t="shared" si="85"/>
        <v>0.065</v>
      </c>
    </row>
    <row r="71" ht="15.75" customHeight="1">
      <c r="F71" s="24"/>
      <c r="G71" s="19">
        <f>$G$19</f>
        <v>11</v>
      </c>
      <c r="H71" s="20">
        <v>610.0</v>
      </c>
      <c r="I71" s="20">
        <v>152.0</v>
      </c>
      <c r="J71" s="20">
        <v>3.0</v>
      </c>
      <c r="K71" s="20">
        <v>14.0</v>
      </c>
      <c r="L71" s="20">
        <v>19.0</v>
      </c>
      <c r="N71" s="24"/>
      <c r="O71" s="19">
        <f>$G$19</f>
        <v>11</v>
      </c>
      <c r="P71" s="40">
        <f t="shared" ref="P71:T71" si="86">H71/H$84</f>
        <v>0.07056918093</v>
      </c>
      <c r="Q71" s="40">
        <f t="shared" si="86"/>
        <v>0.05740181269</v>
      </c>
      <c r="R71" s="40">
        <f t="shared" si="86"/>
        <v>0.03125</v>
      </c>
      <c r="S71" s="40">
        <f t="shared" si="86"/>
        <v>0.04560260586</v>
      </c>
      <c r="T71" s="40">
        <f t="shared" si="86"/>
        <v>0.095</v>
      </c>
    </row>
    <row r="72" ht="15.75" customHeight="1">
      <c r="F72" s="24"/>
      <c r="G72" s="19">
        <f>$G$20</f>
        <v>12</v>
      </c>
      <c r="H72" s="20">
        <v>511.0</v>
      </c>
      <c r="I72" s="20">
        <v>144.0</v>
      </c>
      <c r="J72" s="20">
        <v>5.0</v>
      </c>
      <c r="K72" s="20">
        <v>15.0</v>
      </c>
      <c r="L72" s="20">
        <v>15.0</v>
      </c>
      <c r="N72" s="24"/>
      <c r="O72" s="19">
        <f>$G$20</f>
        <v>12</v>
      </c>
      <c r="P72" s="40">
        <f t="shared" ref="P72:T72" si="87">H72/H$84</f>
        <v>0.05911614993</v>
      </c>
      <c r="Q72" s="40">
        <f t="shared" si="87"/>
        <v>0.05438066465</v>
      </c>
      <c r="R72" s="40">
        <f t="shared" si="87"/>
        <v>0.05208333333</v>
      </c>
      <c r="S72" s="40">
        <f t="shared" si="87"/>
        <v>0.04885993485</v>
      </c>
      <c r="T72" s="40">
        <f t="shared" si="87"/>
        <v>0.075</v>
      </c>
    </row>
    <row r="73" ht="15.75" customHeight="1">
      <c r="F73" s="24"/>
      <c r="G73" s="19">
        <f>$G$21</f>
        <v>13</v>
      </c>
      <c r="H73" s="20">
        <v>579.0</v>
      </c>
      <c r="I73" s="20">
        <v>157.0</v>
      </c>
      <c r="J73" s="20">
        <v>1.0</v>
      </c>
      <c r="K73" s="20">
        <v>7.0</v>
      </c>
      <c r="L73" s="20">
        <v>11.0</v>
      </c>
      <c r="N73" s="24"/>
      <c r="O73" s="19">
        <f>$G$21</f>
        <v>13</v>
      </c>
      <c r="P73" s="40">
        <f t="shared" ref="P73:T73" si="88">H73/H$84</f>
        <v>0.0669828783</v>
      </c>
      <c r="Q73" s="40">
        <f t="shared" si="88"/>
        <v>0.05929003021</v>
      </c>
      <c r="R73" s="40">
        <f t="shared" si="88"/>
        <v>0.01041666667</v>
      </c>
      <c r="S73" s="40">
        <f t="shared" si="88"/>
        <v>0.02280130293</v>
      </c>
      <c r="T73" s="40">
        <f t="shared" si="88"/>
        <v>0.055</v>
      </c>
    </row>
    <row r="74" ht="15.75" customHeight="1">
      <c r="F74" s="24"/>
      <c r="G74" s="19">
        <f>$G$22</f>
        <v>14</v>
      </c>
      <c r="H74" s="20">
        <v>594.0</v>
      </c>
      <c r="I74" s="20">
        <v>168.0</v>
      </c>
      <c r="J74" s="20">
        <v>9.0</v>
      </c>
      <c r="K74" s="20">
        <v>19.0</v>
      </c>
      <c r="L74" s="20">
        <v>18.0</v>
      </c>
      <c r="N74" s="24"/>
      <c r="O74" s="19">
        <f>$G$22</f>
        <v>14</v>
      </c>
      <c r="P74" s="40">
        <f t="shared" ref="P74:T74" si="89">H74/H$84</f>
        <v>0.06871818602</v>
      </c>
      <c r="Q74" s="40">
        <f t="shared" si="89"/>
        <v>0.06344410876</v>
      </c>
      <c r="R74" s="40">
        <f t="shared" si="89"/>
        <v>0.09375</v>
      </c>
      <c r="S74" s="40">
        <f t="shared" si="89"/>
        <v>0.06188925081</v>
      </c>
      <c r="T74" s="40">
        <f t="shared" si="89"/>
        <v>0.09</v>
      </c>
    </row>
    <row r="75" ht="15.75" customHeight="1">
      <c r="F75" s="24"/>
      <c r="G75" s="19">
        <f>$G$23</f>
        <v>15</v>
      </c>
      <c r="H75" s="20">
        <v>577.0</v>
      </c>
      <c r="I75" s="20">
        <v>167.0</v>
      </c>
      <c r="J75" s="20">
        <v>5.0</v>
      </c>
      <c r="K75" s="20">
        <v>16.0</v>
      </c>
      <c r="L75" s="20">
        <v>7.0</v>
      </c>
      <c r="N75" s="24"/>
      <c r="O75" s="19">
        <f>$G$23</f>
        <v>15</v>
      </c>
      <c r="P75" s="40">
        <f t="shared" ref="P75:T75" si="90">H75/H$84</f>
        <v>0.06675150393</v>
      </c>
      <c r="Q75" s="40">
        <f t="shared" si="90"/>
        <v>0.06306646526</v>
      </c>
      <c r="R75" s="40">
        <f t="shared" si="90"/>
        <v>0.05208333333</v>
      </c>
      <c r="S75" s="40">
        <f t="shared" si="90"/>
        <v>0.05211726384</v>
      </c>
      <c r="T75" s="40">
        <f t="shared" si="90"/>
        <v>0.035</v>
      </c>
    </row>
    <row r="76" ht="15.75" customHeight="1">
      <c r="F76" s="24"/>
      <c r="G76" s="19">
        <f>$G$24</f>
        <v>16</v>
      </c>
      <c r="H76" s="20">
        <v>518.0</v>
      </c>
      <c r="I76" s="20">
        <v>154.0</v>
      </c>
      <c r="J76" s="20">
        <v>6.0</v>
      </c>
      <c r="K76" s="20">
        <v>20.0</v>
      </c>
      <c r="L76" s="20">
        <v>6.0</v>
      </c>
      <c r="N76" s="24"/>
      <c r="O76" s="19">
        <f>$G$24</f>
        <v>16</v>
      </c>
      <c r="P76" s="40">
        <f t="shared" ref="P76:T76" si="91">H76/H$84</f>
        <v>0.0599259602</v>
      </c>
      <c r="Q76" s="40">
        <f t="shared" si="91"/>
        <v>0.0581570997</v>
      </c>
      <c r="R76" s="40">
        <f t="shared" si="91"/>
        <v>0.0625</v>
      </c>
      <c r="S76" s="40">
        <f t="shared" si="91"/>
        <v>0.0651465798</v>
      </c>
      <c r="T76" s="40">
        <f t="shared" si="91"/>
        <v>0.03</v>
      </c>
    </row>
    <row r="77" ht="15.75" customHeight="1">
      <c r="F77" s="24"/>
      <c r="G77" s="19">
        <f>$G$25</f>
        <v>17</v>
      </c>
      <c r="H77" s="20">
        <v>438.0</v>
      </c>
      <c r="I77" s="20">
        <v>211.0</v>
      </c>
      <c r="J77" s="20">
        <v>5.0</v>
      </c>
      <c r="K77" s="20">
        <v>11.0</v>
      </c>
      <c r="L77" s="20">
        <v>6.0</v>
      </c>
      <c r="N77" s="24"/>
      <c r="O77" s="19">
        <f>$G$25</f>
        <v>17</v>
      </c>
      <c r="P77" s="40">
        <f t="shared" ref="P77:T77" si="92">H77/H$84</f>
        <v>0.05067098565</v>
      </c>
      <c r="Q77" s="40">
        <f t="shared" si="92"/>
        <v>0.07968277946</v>
      </c>
      <c r="R77" s="40">
        <f t="shared" si="92"/>
        <v>0.05208333333</v>
      </c>
      <c r="S77" s="40">
        <f t="shared" si="92"/>
        <v>0.03583061889</v>
      </c>
      <c r="T77" s="40">
        <f t="shared" si="92"/>
        <v>0.03</v>
      </c>
    </row>
    <row r="78" ht="15.75" customHeight="1">
      <c r="F78" s="24"/>
      <c r="G78" s="19">
        <f>$G$26</f>
        <v>18</v>
      </c>
      <c r="H78" s="20">
        <v>407.0</v>
      </c>
      <c r="I78" s="20">
        <v>117.0</v>
      </c>
      <c r="J78" s="20">
        <v>4.0</v>
      </c>
      <c r="K78" s="20">
        <v>7.0</v>
      </c>
      <c r="L78" s="20">
        <v>7.0</v>
      </c>
      <c r="N78" s="24"/>
      <c r="O78" s="19">
        <f>$G$26</f>
        <v>18</v>
      </c>
      <c r="P78" s="40">
        <f t="shared" ref="P78:T78" si="93">H78/H$84</f>
        <v>0.04708468302</v>
      </c>
      <c r="Q78" s="40">
        <f t="shared" si="93"/>
        <v>0.04418429003</v>
      </c>
      <c r="R78" s="40">
        <f t="shared" si="93"/>
        <v>0.04166666667</v>
      </c>
      <c r="S78" s="40">
        <f t="shared" si="93"/>
        <v>0.02280130293</v>
      </c>
      <c r="T78" s="40">
        <f t="shared" si="93"/>
        <v>0.035</v>
      </c>
    </row>
    <row r="79" ht="15.75" customHeight="1">
      <c r="F79" s="24"/>
      <c r="G79" s="19">
        <f>$G$27</f>
        <v>19</v>
      </c>
      <c r="H79" s="20">
        <v>444.0</v>
      </c>
      <c r="I79" s="20">
        <v>91.0</v>
      </c>
      <c r="J79" s="20">
        <v>7.0</v>
      </c>
      <c r="K79" s="20">
        <v>17.0</v>
      </c>
      <c r="L79" s="20">
        <v>3.0</v>
      </c>
      <c r="N79" s="24"/>
      <c r="O79" s="19">
        <f>$G$27</f>
        <v>19</v>
      </c>
      <c r="P79" s="40">
        <f t="shared" ref="P79:T79" si="94">H79/H$84</f>
        <v>0.05136510875</v>
      </c>
      <c r="Q79" s="40">
        <f t="shared" si="94"/>
        <v>0.03436555891</v>
      </c>
      <c r="R79" s="40">
        <f t="shared" si="94"/>
        <v>0.07291666667</v>
      </c>
      <c r="S79" s="40">
        <f t="shared" si="94"/>
        <v>0.05537459283</v>
      </c>
      <c r="T79" s="40">
        <f t="shared" si="94"/>
        <v>0.015</v>
      </c>
    </row>
    <row r="80" ht="15.75" customHeight="1">
      <c r="F80" s="24"/>
      <c r="G80" s="19">
        <f>$G$28</f>
        <v>20</v>
      </c>
      <c r="H80" s="20">
        <v>429.0</v>
      </c>
      <c r="I80" s="20">
        <v>93.0</v>
      </c>
      <c r="J80" s="20">
        <v>4.0</v>
      </c>
      <c r="K80" s="20">
        <v>8.0</v>
      </c>
      <c r="L80" s="20">
        <v>3.0</v>
      </c>
      <c r="N80" s="24"/>
      <c r="O80" s="19">
        <f>$G$28</f>
        <v>20</v>
      </c>
      <c r="P80" s="40">
        <f t="shared" ref="P80:T80" si="95">H80/H$84</f>
        <v>0.04962980102</v>
      </c>
      <c r="Q80" s="40">
        <f t="shared" si="95"/>
        <v>0.03512084592</v>
      </c>
      <c r="R80" s="40">
        <f t="shared" si="95"/>
        <v>0.04166666667</v>
      </c>
      <c r="S80" s="40">
        <f t="shared" si="95"/>
        <v>0.02605863192</v>
      </c>
      <c r="T80" s="40">
        <f t="shared" si="95"/>
        <v>0.015</v>
      </c>
    </row>
    <row r="81" ht="15.75" customHeight="1">
      <c r="F81" s="24"/>
      <c r="G81" s="19">
        <f>$G$29</f>
        <v>21</v>
      </c>
      <c r="H81" s="20">
        <v>299.0</v>
      </c>
      <c r="I81" s="20">
        <v>72.0</v>
      </c>
      <c r="J81" s="20">
        <v>0.0</v>
      </c>
      <c r="K81" s="20">
        <v>5.0</v>
      </c>
      <c r="L81" s="20">
        <v>6.0</v>
      </c>
      <c r="N81" s="24"/>
      <c r="O81" s="19">
        <f>$G$29</f>
        <v>21</v>
      </c>
      <c r="P81" s="40">
        <f t="shared" ref="P81:T81" si="96">H81/H$84</f>
        <v>0.03459046738</v>
      </c>
      <c r="Q81" s="40">
        <f t="shared" si="96"/>
        <v>0.02719033233</v>
      </c>
      <c r="R81" s="40">
        <f t="shared" si="96"/>
        <v>0</v>
      </c>
      <c r="S81" s="40">
        <f t="shared" si="96"/>
        <v>0.01628664495</v>
      </c>
      <c r="T81" s="40">
        <f t="shared" si="96"/>
        <v>0.03</v>
      </c>
    </row>
    <row r="82" ht="15.75" customHeight="1">
      <c r="F82" s="24"/>
      <c r="G82" s="19">
        <f>$G$30</f>
        <v>22</v>
      </c>
      <c r="H82" s="20">
        <v>200.0</v>
      </c>
      <c r="I82" s="20">
        <v>40.0</v>
      </c>
      <c r="J82" s="20">
        <v>1.0</v>
      </c>
      <c r="K82" s="20">
        <v>8.0</v>
      </c>
      <c r="L82" s="20">
        <v>3.0</v>
      </c>
      <c r="N82" s="24"/>
      <c r="O82" s="19">
        <f>$G$30</f>
        <v>22</v>
      </c>
      <c r="P82" s="40">
        <f t="shared" ref="P82:T82" si="97">H82/H$84</f>
        <v>0.02313743637</v>
      </c>
      <c r="Q82" s="40">
        <f t="shared" si="97"/>
        <v>0.01510574018</v>
      </c>
      <c r="R82" s="40">
        <f t="shared" si="97"/>
        <v>0.01041666667</v>
      </c>
      <c r="S82" s="40">
        <f t="shared" si="97"/>
        <v>0.02605863192</v>
      </c>
      <c r="T82" s="40">
        <f t="shared" si="97"/>
        <v>0.015</v>
      </c>
    </row>
    <row r="83" ht="15.75" customHeight="1">
      <c r="F83" s="28"/>
      <c r="G83" s="19">
        <f>$G$31</f>
        <v>23</v>
      </c>
      <c r="H83" s="20">
        <v>96.0</v>
      </c>
      <c r="I83" s="20">
        <v>37.0</v>
      </c>
      <c r="J83" s="20">
        <v>2.0</v>
      </c>
      <c r="K83" s="20">
        <v>10.0</v>
      </c>
      <c r="L83" s="20">
        <v>5.0</v>
      </c>
      <c r="N83" s="28"/>
      <c r="O83" s="19">
        <f>$G$31</f>
        <v>23</v>
      </c>
      <c r="P83" s="40">
        <f t="shared" ref="P83:T83" si="98">H83/H$84</f>
        <v>0.01110596946</v>
      </c>
      <c r="Q83" s="40">
        <f t="shared" si="98"/>
        <v>0.01397280967</v>
      </c>
      <c r="R83" s="40">
        <f t="shared" si="98"/>
        <v>0.02083333333</v>
      </c>
      <c r="S83" s="40">
        <f t="shared" si="98"/>
        <v>0.0325732899</v>
      </c>
      <c r="T83" s="40">
        <f t="shared" si="98"/>
        <v>0.025</v>
      </c>
    </row>
    <row r="84" ht="15.75" customHeight="1">
      <c r="F84" s="111"/>
      <c r="G84" s="112"/>
      <c r="H84" s="26">
        <f t="shared" ref="H84:L84" si="99">SUM(H60:H83)</f>
        <v>8644</v>
      </c>
      <c r="I84" s="26">
        <f t="shared" si="99"/>
        <v>2648</v>
      </c>
      <c r="J84" s="26">
        <f t="shared" si="99"/>
        <v>96</v>
      </c>
      <c r="K84" s="26">
        <f t="shared" si="99"/>
        <v>307</v>
      </c>
      <c r="L84" s="26">
        <f t="shared" si="99"/>
        <v>200</v>
      </c>
    </row>
    <row r="85" ht="15.75" customHeight="1">
      <c r="G85" s="16"/>
      <c r="H85" s="17">
        <f>$H$7</f>
        <v>31</v>
      </c>
      <c r="I85" s="17">
        <f>$I$7</f>
        <v>32</v>
      </c>
      <c r="J85" s="17">
        <f>$J$7</f>
        <v>41</v>
      </c>
      <c r="K85" s="17">
        <f>$K$7</f>
        <v>42</v>
      </c>
      <c r="L85" s="17">
        <f>$L$7</f>
        <v>5</v>
      </c>
      <c r="O85" s="16"/>
      <c r="P85" s="17">
        <f>$H$7</f>
        <v>31</v>
      </c>
      <c r="Q85" s="17">
        <f>$I$7</f>
        <v>32</v>
      </c>
      <c r="R85" s="17">
        <f>$J$7</f>
        <v>41</v>
      </c>
      <c r="S85" s="17">
        <f>$K$7</f>
        <v>42</v>
      </c>
      <c r="T85" s="17">
        <f>$L$7</f>
        <v>5</v>
      </c>
    </row>
    <row r="86" ht="15.75" customHeight="1">
      <c r="F86" s="56">
        <v>45210.0</v>
      </c>
      <c r="G86" s="19">
        <f>$G$8</f>
        <v>0</v>
      </c>
      <c r="H86" s="20">
        <v>54.0</v>
      </c>
      <c r="I86" s="20">
        <v>27.0</v>
      </c>
      <c r="J86" s="20">
        <v>0.0</v>
      </c>
      <c r="K86" s="20">
        <v>5.0</v>
      </c>
      <c r="L86" s="20">
        <v>6.0</v>
      </c>
      <c r="N86" s="56">
        <v>45210.0</v>
      </c>
      <c r="O86" s="19">
        <f>$G$8</f>
        <v>0</v>
      </c>
      <c r="P86" s="40">
        <f t="shared" ref="P86:T86" si="100">H86/H$110</f>
        <v>0.006744098913</v>
      </c>
      <c r="Q86" s="40">
        <f t="shared" si="100"/>
        <v>0.008392912652</v>
      </c>
      <c r="R86" s="40">
        <f t="shared" si="100"/>
        <v>0</v>
      </c>
      <c r="S86" s="40">
        <f t="shared" si="100"/>
        <v>0.008849557522</v>
      </c>
      <c r="T86" s="40">
        <f t="shared" si="100"/>
        <v>0.007792207792</v>
      </c>
    </row>
    <row r="87" ht="15.75" customHeight="1">
      <c r="F87" s="24"/>
      <c r="G87" s="19">
        <f>$G$9</f>
        <v>1</v>
      </c>
      <c r="H87" s="20">
        <v>47.0</v>
      </c>
      <c r="I87" s="20">
        <v>12.0</v>
      </c>
      <c r="J87" s="20">
        <v>0.0</v>
      </c>
      <c r="K87" s="20">
        <v>7.0</v>
      </c>
      <c r="L87" s="20">
        <v>4.0</v>
      </c>
      <c r="N87" s="24"/>
      <c r="O87" s="19">
        <f>$G$9</f>
        <v>1</v>
      </c>
      <c r="P87" s="40">
        <f t="shared" ref="P87:T87" si="101">H87/H$110</f>
        <v>0.005869863869</v>
      </c>
      <c r="Q87" s="40">
        <f t="shared" si="101"/>
        <v>0.003730183401</v>
      </c>
      <c r="R87" s="40">
        <f t="shared" si="101"/>
        <v>0</v>
      </c>
      <c r="S87" s="40">
        <f t="shared" si="101"/>
        <v>0.01238938053</v>
      </c>
      <c r="T87" s="40">
        <f t="shared" si="101"/>
        <v>0.005194805195</v>
      </c>
    </row>
    <row r="88" ht="15.75" customHeight="1">
      <c r="F88" s="24"/>
      <c r="G88" s="19">
        <f>$G$10</f>
        <v>2</v>
      </c>
      <c r="H88" s="16">
        <v>40.0</v>
      </c>
      <c r="I88" s="16">
        <v>16.0</v>
      </c>
      <c r="J88" s="16">
        <v>0.0</v>
      </c>
      <c r="K88" s="16">
        <v>6.0</v>
      </c>
      <c r="L88" s="16">
        <v>1.0</v>
      </c>
      <c r="N88" s="24"/>
      <c r="O88" s="19">
        <f>$G$10</f>
        <v>2</v>
      </c>
      <c r="P88" s="40">
        <f t="shared" ref="P88:T88" si="102">H88/H$110</f>
        <v>0.004995628825</v>
      </c>
      <c r="Q88" s="40">
        <f t="shared" si="102"/>
        <v>0.004973577868</v>
      </c>
      <c r="R88" s="40">
        <f t="shared" si="102"/>
        <v>0</v>
      </c>
      <c r="S88" s="40">
        <f t="shared" si="102"/>
        <v>0.01061946903</v>
      </c>
      <c r="T88" s="40">
        <f t="shared" si="102"/>
        <v>0.001298701299</v>
      </c>
    </row>
    <row r="89" ht="15.75" customHeight="1">
      <c r="F89" s="24"/>
      <c r="G89" s="19">
        <f>$G$11</f>
        <v>3</v>
      </c>
      <c r="H89" s="20">
        <v>45.0</v>
      </c>
      <c r="I89" s="20">
        <v>24.0</v>
      </c>
      <c r="J89" s="20">
        <v>0.0</v>
      </c>
      <c r="K89" s="20">
        <v>13.0</v>
      </c>
      <c r="L89" s="20">
        <v>7.0</v>
      </c>
      <c r="N89" s="24"/>
      <c r="O89" s="19">
        <f>$G$11</f>
        <v>3</v>
      </c>
      <c r="P89" s="40">
        <f t="shared" ref="P89:T89" si="103">H89/H$110</f>
        <v>0.005620082428</v>
      </c>
      <c r="Q89" s="40">
        <f t="shared" si="103"/>
        <v>0.007460366801</v>
      </c>
      <c r="R89" s="40">
        <f t="shared" si="103"/>
        <v>0</v>
      </c>
      <c r="S89" s="40">
        <f t="shared" si="103"/>
        <v>0.02300884956</v>
      </c>
      <c r="T89" s="40">
        <f t="shared" si="103"/>
        <v>0.009090909091</v>
      </c>
    </row>
    <row r="90" ht="15.75" customHeight="1">
      <c r="F90" s="24"/>
      <c r="G90" s="19">
        <f>$G$12</f>
        <v>4</v>
      </c>
      <c r="H90" s="20">
        <v>101.0</v>
      </c>
      <c r="I90" s="20">
        <v>44.0</v>
      </c>
      <c r="J90" s="20">
        <v>0.0</v>
      </c>
      <c r="K90" s="20">
        <v>11.0</v>
      </c>
      <c r="L90" s="20">
        <v>6.0</v>
      </c>
      <c r="N90" s="24"/>
      <c r="O90" s="19">
        <f>$G$12</f>
        <v>4</v>
      </c>
      <c r="P90" s="40">
        <f t="shared" ref="P90:T90" si="104">H90/H$110</f>
        <v>0.01261396278</v>
      </c>
      <c r="Q90" s="40">
        <f t="shared" si="104"/>
        <v>0.01367733914</v>
      </c>
      <c r="R90" s="40">
        <f t="shared" si="104"/>
        <v>0</v>
      </c>
      <c r="S90" s="40">
        <f t="shared" si="104"/>
        <v>0.01946902655</v>
      </c>
      <c r="T90" s="40">
        <f t="shared" si="104"/>
        <v>0.007792207792</v>
      </c>
    </row>
    <row r="91" ht="15.75" customHeight="1">
      <c r="F91" s="24"/>
      <c r="G91" s="19">
        <f>$G$13</f>
        <v>5</v>
      </c>
      <c r="H91" s="20">
        <v>224.0</v>
      </c>
      <c r="I91" s="20">
        <v>97.0</v>
      </c>
      <c r="J91" s="20">
        <v>3.0</v>
      </c>
      <c r="K91" s="20">
        <v>13.0</v>
      </c>
      <c r="L91" s="20">
        <v>17.0</v>
      </c>
      <c r="N91" s="24"/>
      <c r="O91" s="19">
        <f>$G$13</f>
        <v>5</v>
      </c>
      <c r="P91" s="40">
        <f t="shared" ref="P91:T91" si="105">H91/H$110</f>
        <v>0.02797552142</v>
      </c>
      <c r="Q91" s="40">
        <f t="shared" si="105"/>
        <v>0.03015231582</v>
      </c>
      <c r="R91" s="40">
        <f t="shared" si="105"/>
        <v>0.02142857143</v>
      </c>
      <c r="S91" s="40">
        <f t="shared" si="105"/>
        <v>0.02300884956</v>
      </c>
      <c r="T91" s="40">
        <f t="shared" si="105"/>
        <v>0.02207792208</v>
      </c>
    </row>
    <row r="92" ht="15.75" customHeight="1">
      <c r="F92" s="24"/>
      <c r="G92" s="19">
        <f>$G$14</f>
        <v>6</v>
      </c>
      <c r="H92" s="20">
        <v>459.0</v>
      </c>
      <c r="I92" s="20">
        <v>151.0</v>
      </c>
      <c r="J92" s="20">
        <v>19.0</v>
      </c>
      <c r="K92" s="20">
        <v>34.0</v>
      </c>
      <c r="L92" s="20">
        <v>32.0</v>
      </c>
      <c r="N92" s="24"/>
      <c r="O92" s="19">
        <f>$G$14</f>
        <v>6</v>
      </c>
      <c r="P92" s="40">
        <f t="shared" ref="P92:T92" si="106">H92/H$110</f>
        <v>0.05732484076</v>
      </c>
      <c r="Q92" s="40">
        <f t="shared" si="106"/>
        <v>0.04693814113</v>
      </c>
      <c r="R92" s="40">
        <f t="shared" si="106"/>
        <v>0.1357142857</v>
      </c>
      <c r="S92" s="40">
        <f t="shared" si="106"/>
        <v>0.06017699115</v>
      </c>
      <c r="T92" s="40">
        <f t="shared" si="106"/>
        <v>0.04155844156</v>
      </c>
    </row>
    <row r="93" ht="15.75" customHeight="1">
      <c r="F93" s="24"/>
      <c r="G93" s="19">
        <f>$G$15</f>
        <v>7</v>
      </c>
      <c r="H93" s="20">
        <v>666.0</v>
      </c>
      <c r="I93" s="20">
        <v>254.0</v>
      </c>
      <c r="J93" s="20">
        <v>23.0</v>
      </c>
      <c r="K93" s="20">
        <v>44.0</v>
      </c>
      <c r="L93" s="20">
        <v>37.0</v>
      </c>
      <c r="N93" s="24"/>
      <c r="O93" s="19">
        <f>$G$15</f>
        <v>7</v>
      </c>
      <c r="P93" s="40">
        <f t="shared" ref="P93:T93" si="107">H93/H$110</f>
        <v>0.08317721993</v>
      </c>
      <c r="Q93" s="40">
        <f t="shared" si="107"/>
        <v>0.07895554865</v>
      </c>
      <c r="R93" s="40">
        <f t="shared" si="107"/>
        <v>0.1642857143</v>
      </c>
      <c r="S93" s="40">
        <f t="shared" si="107"/>
        <v>0.07787610619</v>
      </c>
      <c r="T93" s="40">
        <f t="shared" si="107"/>
        <v>0.04805194805</v>
      </c>
    </row>
    <row r="94" ht="15.75" customHeight="1">
      <c r="F94" s="24"/>
      <c r="G94" s="19">
        <f>$G$16</f>
        <v>8</v>
      </c>
      <c r="H94" s="20">
        <v>649.0</v>
      </c>
      <c r="I94" s="20">
        <v>302.0</v>
      </c>
      <c r="J94" s="20">
        <v>32.0</v>
      </c>
      <c r="K94" s="20">
        <v>58.0</v>
      </c>
      <c r="L94" s="20">
        <v>54.0</v>
      </c>
      <c r="N94" s="24"/>
      <c r="O94" s="19">
        <f>$G$16</f>
        <v>8</v>
      </c>
      <c r="P94" s="40">
        <f t="shared" ref="P94:T94" si="108">H94/H$110</f>
        <v>0.08105407768</v>
      </c>
      <c r="Q94" s="40">
        <f t="shared" si="108"/>
        <v>0.09387628225</v>
      </c>
      <c r="R94" s="40">
        <f t="shared" si="108"/>
        <v>0.2285714286</v>
      </c>
      <c r="S94" s="40">
        <f t="shared" si="108"/>
        <v>0.1026548673</v>
      </c>
      <c r="T94" s="40">
        <f t="shared" si="108"/>
        <v>0.07012987013</v>
      </c>
    </row>
    <row r="95" ht="15.75" customHeight="1">
      <c r="F95" s="24"/>
      <c r="G95" s="19">
        <f>$G$17</f>
        <v>9</v>
      </c>
      <c r="H95" s="20">
        <v>676.0</v>
      </c>
      <c r="I95" s="20">
        <v>345.0</v>
      </c>
      <c r="J95" s="20">
        <v>11.0</v>
      </c>
      <c r="K95" s="20">
        <v>39.0</v>
      </c>
      <c r="L95" s="20">
        <v>84.0</v>
      </c>
      <c r="N95" s="24"/>
      <c r="O95" s="19">
        <f>$G$17</f>
        <v>9</v>
      </c>
      <c r="P95" s="40">
        <f t="shared" ref="P95:T95" si="109">H95/H$110</f>
        <v>0.08442612714</v>
      </c>
      <c r="Q95" s="40">
        <f t="shared" si="109"/>
        <v>0.1072427728</v>
      </c>
      <c r="R95" s="40">
        <f t="shared" si="109"/>
        <v>0.07857142857</v>
      </c>
      <c r="S95" s="40">
        <f t="shared" si="109"/>
        <v>0.06902654867</v>
      </c>
      <c r="T95" s="40">
        <f t="shared" si="109"/>
        <v>0.1090909091</v>
      </c>
    </row>
    <row r="96" ht="15.75" customHeight="1">
      <c r="F96" s="24"/>
      <c r="G96" s="19">
        <f>$G$18</f>
        <v>10</v>
      </c>
      <c r="H96" s="20">
        <v>609.0</v>
      </c>
      <c r="I96" s="20">
        <v>248.0</v>
      </c>
      <c r="J96" s="20">
        <v>2.0</v>
      </c>
      <c r="K96" s="20">
        <v>39.0</v>
      </c>
      <c r="L96" s="20">
        <v>76.0</v>
      </c>
      <c r="N96" s="24"/>
      <c r="O96" s="19">
        <f>$G$18</f>
        <v>10</v>
      </c>
      <c r="P96" s="40">
        <f t="shared" ref="P96:T96" si="110">H96/H$110</f>
        <v>0.07605844886</v>
      </c>
      <c r="Q96" s="40">
        <f t="shared" si="110"/>
        <v>0.07709045695</v>
      </c>
      <c r="R96" s="40">
        <f t="shared" si="110"/>
        <v>0.01428571429</v>
      </c>
      <c r="S96" s="40">
        <f t="shared" si="110"/>
        <v>0.06902654867</v>
      </c>
      <c r="T96" s="40">
        <f t="shared" si="110"/>
        <v>0.0987012987</v>
      </c>
    </row>
    <row r="97" ht="15.75" customHeight="1">
      <c r="F97" s="24"/>
      <c r="G97" s="19">
        <f>$G$19</f>
        <v>11</v>
      </c>
      <c r="H97" s="20">
        <v>564.0</v>
      </c>
      <c r="I97" s="20">
        <v>221.0</v>
      </c>
      <c r="J97" s="20">
        <v>1.0</v>
      </c>
      <c r="K97" s="20">
        <v>42.0</v>
      </c>
      <c r="L97" s="20">
        <v>85.0</v>
      </c>
      <c r="N97" s="24"/>
      <c r="O97" s="19">
        <f>$G$19</f>
        <v>11</v>
      </c>
      <c r="P97" s="40">
        <f t="shared" ref="P97:T97" si="111">H97/H$110</f>
        <v>0.07043836643</v>
      </c>
      <c r="Q97" s="40">
        <f t="shared" si="111"/>
        <v>0.0686975443</v>
      </c>
      <c r="R97" s="40">
        <f t="shared" si="111"/>
        <v>0.007142857143</v>
      </c>
      <c r="S97" s="40">
        <f t="shared" si="111"/>
        <v>0.07433628319</v>
      </c>
      <c r="T97" s="40">
        <f t="shared" si="111"/>
        <v>0.1103896104</v>
      </c>
    </row>
    <row r="98" ht="15.75" customHeight="1">
      <c r="F98" s="24"/>
      <c r="G98" s="19">
        <f>$G$20</f>
        <v>12</v>
      </c>
      <c r="H98" s="20">
        <v>449.0</v>
      </c>
      <c r="I98" s="20">
        <v>176.0</v>
      </c>
      <c r="J98" s="20">
        <v>11.0</v>
      </c>
      <c r="K98" s="20">
        <v>26.0</v>
      </c>
      <c r="L98" s="20">
        <v>72.0</v>
      </c>
      <c r="N98" s="24"/>
      <c r="O98" s="19">
        <f>$G$20</f>
        <v>12</v>
      </c>
      <c r="P98" s="40">
        <f t="shared" ref="P98:T98" si="112">H98/H$110</f>
        <v>0.05607593356</v>
      </c>
      <c r="Q98" s="40">
        <f t="shared" si="112"/>
        <v>0.05470935654</v>
      </c>
      <c r="R98" s="40">
        <f t="shared" si="112"/>
        <v>0.07857142857</v>
      </c>
      <c r="S98" s="40">
        <f t="shared" si="112"/>
        <v>0.04601769912</v>
      </c>
      <c r="T98" s="40">
        <f t="shared" si="112"/>
        <v>0.09350649351</v>
      </c>
    </row>
    <row r="99" ht="15.75" customHeight="1">
      <c r="F99" s="24"/>
      <c r="G99" s="19">
        <f>$G$21</f>
        <v>13</v>
      </c>
      <c r="H99" s="20">
        <v>474.0</v>
      </c>
      <c r="I99" s="20">
        <v>166.0</v>
      </c>
      <c r="J99" s="20">
        <v>12.0</v>
      </c>
      <c r="K99" s="20">
        <v>37.0</v>
      </c>
      <c r="L99" s="20">
        <v>61.0</v>
      </c>
      <c r="N99" s="24"/>
      <c r="O99" s="19">
        <f>$G$21</f>
        <v>13</v>
      </c>
      <c r="P99" s="40">
        <f t="shared" ref="P99:T99" si="113">H99/H$110</f>
        <v>0.05919820157</v>
      </c>
      <c r="Q99" s="40">
        <f t="shared" si="113"/>
        <v>0.05160087038</v>
      </c>
      <c r="R99" s="40">
        <f t="shared" si="113"/>
        <v>0.08571428571</v>
      </c>
      <c r="S99" s="40">
        <f t="shared" si="113"/>
        <v>0.06548672566</v>
      </c>
      <c r="T99" s="40">
        <f t="shared" si="113"/>
        <v>0.07922077922</v>
      </c>
    </row>
    <row r="100" ht="15.75" customHeight="1">
      <c r="F100" s="24"/>
      <c r="G100" s="19">
        <f>$G$22</f>
        <v>14</v>
      </c>
      <c r="H100" s="20">
        <v>422.0</v>
      </c>
      <c r="I100" s="20">
        <v>178.0</v>
      </c>
      <c r="J100" s="20">
        <v>10.0</v>
      </c>
      <c r="K100" s="20">
        <v>37.0</v>
      </c>
      <c r="L100" s="20">
        <v>56.0</v>
      </c>
      <c r="N100" s="24"/>
      <c r="O100" s="19">
        <f>$G$22</f>
        <v>14</v>
      </c>
      <c r="P100" s="40">
        <f t="shared" ref="P100:T100" si="114">H100/H$110</f>
        <v>0.0527038841</v>
      </c>
      <c r="Q100" s="40">
        <f t="shared" si="114"/>
        <v>0.05533105378</v>
      </c>
      <c r="R100" s="40">
        <f t="shared" si="114"/>
        <v>0.07142857143</v>
      </c>
      <c r="S100" s="40">
        <f t="shared" si="114"/>
        <v>0.06548672566</v>
      </c>
      <c r="T100" s="40">
        <f t="shared" si="114"/>
        <v>0.07272727273</v>
      </c>
    </row>
    <row r="101" ht="15.75" customHeight="1">
      <c r="F101" s="24"/>
      <c r="G101" s="19">
        <f>$G$23</f>
        <v>15</v>
      </c>
      <c r="H101" s="20">
        <v>379.0</v>
      </c>
      <c r="I101" s="20">
        <v>163.0</v>
      </c>
      <c r="J101" s="20">
        <v>7.0</v>
      </c>
      <c r="K101" s="20">
        <v>34.0</v>
      </c>
      <c r="L101" s="20">
        <v>48.0</v>
      </c>
      <c r="N101" s="24"/>
      <c r="O101" s="19">
        <f>$G$23</f>
        <v>15</v>
      </c>
      <c r="P101" s="40">
        <f t="shared" ref="P101:T101" si="115">H101/H$110</f>
        <v>0.04733358311</v>
      </c>
      <c r="Q101" s="40">
        <f t="shared" si="115"/>
        <v>0.05066832453</v>
      </c>
      <c r="R101" s="40">
        <f t="shared" si="115"/>
        <v>0.05</v>
      </c>
      <c r="S101" s="40">
        <f t="shared" si="115"/>
        <v>0.06017699115</v>
      </c>
      <c r="T101" s="40">
        <f t="shared" si="115"/>
        <v>0.06233766234</v>
      </c>
    </row>
    <row r="102" ht="15.75" customHeight="1">
      <c r="F102" s="24"/>
      <c r="G102" s="19">
        <f>$G$24</f>
        <v>16</v>
      </c>
      <c r="H102" s="20">
        <v>405.0</v>
      </c>
      <c r="I102" s="20">
        <v>210.0</v>
      </c>
      <c r="J102" s="20">
        <v>4.0</v>
      </c>
      <c r="K102" s="20">
        <v>30.0</v>
      </c>
      <c r="L102" s="20">
        <v>35.0</v>
      </c>
      <c r="N102" s="24"/>
      <c r="O102" s="19">
        <f>$G$24</f>
        <v>16</v>
      </c>
      <c r="P102" s="40">
        <f t="shared" ref="P102:T102" si="116">H102/H$110</f>
        <v>0.05058074185</v>
      </c>
      <c r="Q102" s="40">
        <f t="shared" si="116"/>
        <v>0.06527820951</v>
      </c>
      <c r="R102" s="40">
        <f t="shared" si="116"/>
        <v>0.02857142857</v>
      </c>
      <c r="S102" s="40">
        <f t="shared" si="116"/>
        <v>0.05309734513</v>
      </c>
      <c r="T102" s="40">
        <f t="shared" si="116"/>
        <v>0.04545454545</v>
      </c>
    </row>
    <row r="103" ht="15.75" customHeight="1">
      <c r="F103" s="24"/>
      <c r="G103" s="19">
        <f>$G$25</f>
        <v>17</v>
      </c>
      <c r="H103" s="20">
        <v>424.0</v>
      </c>
      <c r="I103" s="20">
        <v>215.0</v>
      </c>
      <c r="J103" s="16">
        <v>0.0</v>
      </c>
      <c r="K103" s="20">
        <v>22.0</v>
      </c>
      <c r="L103" s="20">
        <v>24.0</v>
      </c>
      <c r="N103" s="24"/>
      <c r="O103" s="19">
        <f>$G$25</f>
        <v>17</v>
      </c>
      <c r="P103" s="40">
        <f t="shared" ref="P103:T103" si="117">H103/H$110</f>
        <v>0.05295366554</v>
      </c>
      <c r="Q103" s="40">
        <f t="shared" si="117"/>
        <v>0.0668324526</v>
      </c>
      <c r="R103" s="40">
        <f t="shared" si="117"/>
        <v>0</v>
      </c>
      <c r="S103" s="40">
        <f t="shared" si="117"/>
        <v>0.0389380531</v>
      </c>
      <c r="T103" s="40">
        <f t="shared" si="117"/>
        <v>0.03116883117</v>
      </c>
    </row>
    <row r="104" ht="15.75" customHeight="1">
      <c r="F104" s="24"/>
      <c r="G104" s="19">
        <f>$G$26</f>
        <v>18</v>
      </c>
      <c r="H104" s="20">
        <v>344.0</v>
      </c>
      <c r="I104" s="20">
        <v>127.0</v>
      </c>
      <c r="J104" s="20">
        <v>0.0</v>
      </c>
      <c r="K104" s="20">
        <v>15.0</v>
      </c>
      <c r="L104" s="20">
        <v>14.0</v>
      </c>
      <c r="N104" s="24"/>
      <c r="O104" s="19">
        <f>$G$26</f>
        <v>18</v>
      </c>
      <c r="P104" s="40">
        <f t="shared" ref="P104:T104" si="118">H104/H$110</f>
        <v>0.04296240789</v>
      </c>
      <c r="Q104" s="40">
        <f t="shared" si="118"/>
        <v>0.03947777432</v>
      </c>
      <c r="R104" s="40">
        <f t="shared" si="118"/>
        <v>0</v>
      </c>
      <c r="S104" s="40">
        <f t="shared" si="118"/>
        <v>0.02654867257</v>
      </c>
      <c r="T104" s="40">
        <f t="shared" si="118"/>
        <v>0.01818181818</v>
      </c>
    </row>
    <row r="105" ht="15.75" customHeight="1">
      <c r="F105" s="24"/>
      <c r="G105" s="19">
        <f>$G$27</f>
        <v>19</v>
      </c>
      <c r="H105" s="20">
        <v>276.0</v>
      </c>
      <c r="I105" s="20">
        <v>85.0</v>
      </c>
      <c r="J105" s="20">
        <v>2.0</v>
      </c>
      <c r="K105" s="20">
        <v>18.0</v>
      </c>
      <c r="L105" s="20">
        <v>12.0</v>
      </c>
      <c r="N105" s="24"/>
      <c r="O105" s="19">
        <f>$G$27</f>
        <v>19</v>
      </c>
      <c r="P105" s="40">
        <f t="shared" ref="P105:T105" si="119">H105/H$110</f>
        <v>0.03446983889</v>
      </c>
      <c r="Q105" s="40">
        <f t="shared" si="119"/>
        <v>0.02642213242</v>
      </c>
      <c r="R105" s="40">
        <f t="shared" si="119"/>
        <v>0.01428571429</v>
      </c>
      <c r="S105" s="40">
        <f t="shared" si="119"/>
        <v>0.03185840708</v>
      </c>
      <c r="T105" s="40">
        <f t="shared" si="119"/>
        <v>0.01558441558</v>
      </c>
    </row>
    <row r="106" ht="15.75" customHeight="1">
      <c r="F106" s="24"/>
      <c r="G106" s="19">
        <f>$G$28</f>
        <v>20</v>
      </c>
      <c r="H106" s="20">
        <v>205.0</v>
      </c>
      <c r="I106" s="20">
        <v>53.0</v>
      </c>
      <c r="J106" s="20">
        <v>0.0</v>
      </c>
      <c r="K106" s="20">
        <v>13.0</v>
      </c>
      <c r="L106" s="20">
        <v>15.0</v>
      </c>
      <c r="N106" s="24"/>
      <c r="O106" s="19">
        <f>$G$28</f>
        <v>20</v>
      </c>
      <c r="P106" s="40">
        <f t="shared" ref="P106:T106" si="120">H106/H$110</f>
        <v>0.02560259773</v>
      </c>
      <c r="Q106" s="40">
        <f t="shared" si="120"/>
        <v>0.01647497669</v>
      </c>
      <c r="R106" s="40">
        <f t="shared" si="120"/>
        <v>0</v>
      </c>
      <c r="S106" s="40">
        <f t="shared" si="120"/>
        <v>0.02300884956</v>
      </c>
      <c r="T106" s="40">
        <f t="shared" si="120"/>
        <v>0.01948051948</v>
      </c>
    </row>
    <row r="107" ht="15.75" customHeight="1">
      <c r="F107" s="24"/>
      <c r="G107" s="19">
        <f>$G$29</f>
        <v>21</v>
      </c>
      <c r="H107" s="20">
        <v>232.0</v>
      </c>
      <c r="I107" s="20">
        <v>47.0</v>
      </c>
      <c r="J107" s="20">
        <v>1.0</v>
      </c>
      <c r="K107" s="20">
        <v>7.0</v>
      </c>
      <c r="L107" s="20">
        <v>9.0</v>
      </c>
      <c r="N107" s="24"/>
      <c r="O107" s="19">
        <f>$G$29</f>
        <v>21</v>
      </c>
      <c r="P107" s="40">
        <f t="shared" ref="P107:T107" si="121">H107/H$110</f>
        <v>0.02897464718</v>
      </c>
      <c r="Q107" s="40">
        <f t="shared" si="121"/>
        <v>0.01460988499</v>
      </c>
      <c r="R107" s="40">
        <f t="shared" si="121"/>
        <v>0.007142857143</v>
      </c>
      <c r="S107" s="40">
        <f t="shared" si="121"/>
        <v>0.01238938053</v>
      </c>
      <c r="T107" s="40">
        <f t="shared" si="121"/>
        <v>0.01168831169</v>
      </c>
    </row>
    <row r="108" ht="15.75" customHeight="1">
      <c r="F108" s="24"/>
      <c r="G108" s="19">
        <f>$G$30</f>
        <v>22</v>
      </c>
      <c r="H108" s="20">
        <v>169.0</v>
      </c>
      <c r="I108" s="20">
        <v>35.0</v>
      </c>
      <c r="J108" s="20">
        <v>1.0</v>
      </c>
      <c r="K108" s="20">
        <v>5.0</v>
      </c>
      <c r="L108" s="20">
        <v>10.0</v>
      </c>
      <c r="N108" s="24"/>
      <c r="O108" s="19">
        <f>$G$30</f>
        <v>22</v>
      </c>
      <c r="P108" s="40">
        <f t="shared" ref="P108:T108" si="122">H108/H$110</f>
        <v>0.02110653178</v>
      </c>
      <c r="Q108" s="40">
        <f t="shared" si="122"/>
        <v>0.01087970159</v>
      </c>
      <c r="R108" s="40">
        <f t="shared" si="122"/>
        <v>0.007142857143</v>
      </c>
      <c r="S108" s="40">
        <f t="shared" si="122"/>
        <v>0.008849557522</v>
      </c>
      <c r="T108" s="40">
        <f t="shared" si="122"/>
        <v>0.01298701299</v>
      </c>
    </row>
    <row r="109" ht="15.75" customHeight="1">
      <c r="F109" s="28"/>
      <c r="G109" s="19">
        <f>$G$31</f>
        <v>23</v>
      </c>
      <c r="H109" s="20">
        <v>94.0</v>
      </c>
      <c r="I109" s="20">
        <v>21.0</v>
      </c>
      <c r="J109" s="20">
        <v>1.0</v>
      </c>
      <c r="K109" s="20">
        <v>10.0</v>
      </c>
      <c r="L109" s="20">
        <v>5.0</v>
      </c>
      <c r="N109" s="28"/>
      <c r="O109" s="19">
        <f>$G$31</f>
        <v>23</v>
      </c>
      <c r="P109" s="40">
        <f t="shared" ref="P109:T109" si="123">H109/H$110</f>
        <v>0.01173972774</v>
      </c>
      <c r="Q109" s="40">
        <f t="shared" si="123"/>
        <v>0.006527820951</v>
      </c>
      <c r="R109" s="40">
        <f t="shared" si="123"/>
        <v>0.007142857143</v>
      </c>
      <c r="S109" s="40">
        <f t="shared" si="123"/>
        <v>0.01769911504</v>
      </c>
      <c r="T109" s="40">
        <f t="shared" si="123"/>
        <v>0.006493506494</v>
      </c>
    </row>
    <row r="110" ht="15.75" customHeight="1">
      <c r="F110" s="111"/>
      <c r="G110" s="112"/>
      <c r="H110" s="26">
        <f t="shared" ref="H110:L110" si="124">SUM(H86:H109)</f>
        <v>8007</v>
      </c>
      <c r="I110" s="26">
        <f t="shared" si="124"/>
        <v>3217</v>
      </c>
      <c r="J110" s="26">
        <f t="shared" si="124"/>
        <v>140</v>
      </c>
      <c r="K110" s="26">
        <f t="shared" si="124"/>
        <v>565</v>
      </c>
      <c r="L110" s="26">
        <f t="shared" si="124"/>
        <v>770</v>
      </c>
    </row>
    <row r="111" ht="15.75" customHeight="1">
      <c r="G111" s="16"/>
      <c r="H111" s="17">
        <f>$H$7</f>
        <v>31</v>
      </c>
      <c r="I111" s="17">
        <f>$I$7</f>
        <v>32</v>
      </c>
      <c r="J111" s="17">
        <f>$J$7</f>
        <v>41</v>
      </c>
      <c r="K111" s="17">
        <f>$K$7</f>
        <v>42</v>
      </c>
      <c r="L111" s="17">
        <f>$L$7</f>
        <v>5</v>
      </c>
      <c r="O111" s="16"/>
      <c r="P111" s="17">
        <f>$H$7</f>
        <v>31</v>
      </c>
      <c r="Q111" s="17">
        <f>$I$7</f>
        <v>32</v>
      </c>
      <c r="R111" s="17">
        <f>$J$7</f>
        <v>41</v>
      </c>
      <c r="S111" s="17">
        <f>$K$7</f>
        <v>42</v>
      </c>
      <c r="T111" s="17">
        <f>$L$7</f>
        <v>5</v>
      </c>
    </row>
    <row r="112" ht="15.75" customHeight="1">
      <c r="F112" s="56">
        <v>45211.0</v>
      </c>
      <c r="G112" s="19">
        <f>$G$8</f>
        <v>0</v>
      </c>
      <c r="H112" s="16">
        <v>54.0</v>
      </c>
      <c r="I112" s="16">
        <v>19.0</v>
      </c>
      <c r="J112" s="16">
        <v>0.0</v>
      </c>
      <c r="K112" s="16">
        <v>7.0</v>
      </c>
      <c r="L112" s="16">
        <v>8.0</v>
      </c>
      <c r="N112" s="56">
        <v>45211.0</v>
      </c>
      <c r="O112" s="19">
        <f>$G$8</f>
        <v>0</v>
      </c>
      <c r="P112" s="40">
        <f t="shared" ref="P112:T112" si="125">H112/H$136</f>
        <v>0.007413509061</v>
      </c>
      <c r="Q112" s="40">
        <f t="shared" si="125"/>
        <v>0.001275167785</v>
      </c>
      <c r="R112" s="40">
        <f t="shared" si="125"/>
        <v>0</v>
      </c>
      <c r="S112" s="40">
        <f t="shared" si="125"/>
        <v>0.002850162866</v>
      </c>
      <c r="T112" s="40">
        <f t="shared" si="125"/>
        <v>0.002893309222</v>
      </c>
    </row>
    <row r="113" ht="15.75" customHeight="1">
      <c r="F113" s="24"/>
      <c r="G113" s="19">
        <f>$G$9</f>
        <v>1</v>
      </c>
      <c r="H113" s="16">
        <v>47.0</v>
      </c>
      <c r="I113" s="16">
        <v>22.0</v>
      </c>
      <c r="J113" s="16">
        <v>0.0</v>
      </c>
      <c r="K113" s="16">
        <v>11.0</v>
      </c>
      <c r="L113" s="16">
        <v>9.0</v>
      </c>
      <c r="N113" s="24"/>
      <c r="O113" s="19">
        <f>$G$9</f>
        <v>1</v>
      </c>
      <c r="P113" s="40">
        <f t="shared" ref="P113:T113" si="126">H113/H$136</f>
        <v>0.006452498627</v>
      </c>
      <c r="Q113" s="40">
        <f t="shared" si="126"/>
        <v>0.001476510067</v>
      </c>
      <c r="R113" s="40">
        <f t="shared" si="126"/>
        <v>0</v>
      </c>
      <c r="S113" s="40">
        <f t="shared" si="126"/>
        <v>0.004478827362</v>
      </c>
      <c r="T113" s="40">
        <f t="shared" si="126"/>
        <v>0.003254972875</v>
      </c>
    </row>
    <row r="114" ht="15.75" customHeight="1">
      <c r="F114" s="24"/>
      <c r="G114" s="19">
        <f>$G$10</f>
        <v>2</v>
      </c>
      <c r="H114" s="16">
        <v>28.0</v>
      </c>
      <c r="I114" s="16">
        <v>14.0</v>
      </c>
      <c r="J114" s="16">
        <v>0.0</v>
      </c>
      <c r="K114" s="16">
        <v>8.0</v>
      </c>
      <c r="L114" s="16">
        <v>8.0</v>
      </c>
      <c r="N114" s="24"/>
      <c r="O114" s="19">
        <f>$G$10</f>
        <v>2</v>
      </c>
      <c r="P114" s="40">
        <f t="shared" ref="P114:T114" si="127">H114/H$136</f>
        <v>0.003844041735</v>
      </c>
      <c r="Q114" s="40">
        <f t="shared" si="127"/>
        <v>0.0009395973154</v>
      </c>
      <c r="R114" s="40">
        <f t="shared" si="127"/>
        <v>0</v>
      </c>
      <c r="S114" s="40">
        <f t="shared" si="127"/>
        <v>0.00325732899</v>
      </c>
      <c r="T114" s="40">
        <f t="shared" si="127"/>
        <v>0.002893309222</v>
      </c>
    </row>
    <row r="115" ht="15.75" customHeight="1">
      <c r="F115" s="24"/>
      <c r="G115" s="19">
        <f>$G$11</f>
        <v>3</v>
      </c>
      <c r="H115" s="20">
        <v>42.0</v>
      </c>
      <c r="I115" s="20">
        <v>13.0</v>
      </c>
      <c r="J115" s="20">
        <v>0.0</v>
      </c>
      <c r="K115" s="20">
        <v>18.0</v>
      </c>
      <c r="L115" s="20">
        <v>12.0</v>
      </c>
      <c r="N115" s="24"/>
      <c r="O115" s="19">
        <f>$G$11</f>
        <v>3</v>
      </c>
      <c r="P115" s="40">
        <f t="shared" ref="P115:T115" si="128">H115/H$136</f>
        <v>0.005766062603</v>
      </c>
      <c r="Q115" s="40">
        <f t="shared" si="128"/>
        <v>0.0008724832215</v>
      </c>
      <c r="R115" s="40">
        <f t="shared" si="128"/>
        <v>0</v>
      </c>
      <c r="S115" s="40">
        <f t="shared" si="128"/>
        <v>0.007328990228</v>
      </c>
      <c r="T115" s="40">
        <f t="shared" si="128"/>
        <v>0.004339963834</v>
      </c>
    </row>
    <row r="116" ht="15.75" customHeight="1">
      <c r="F116" s="24"/>
      <c r="G116" s="19">
        <f>$G$12</f>
        <v>4</v>
      </c>
      <c r="H116" s="20">
        <v>77.0</v>
      </c>
      <c r="I116" s="20">
        <v>57.0</v>
      </c>
      <c r="J116" s="20">
        <v>0.0</v>
      </c>
      <c r="K116" s="20">
        <v>19.0</v>
      </c>
      <c r="L116" s="20">
        <v>14.0</v>
      </c>
      <c r="N116" s="24"/>
      <c r="O116" s="19">
        <f>$G$12</f>
        <v>4</v>
      </c>
      <c r="P116" s="40">
        <f t="shared" ref="P116:T116" si="129">H116/H$136</f>
        <v>0.01057111477</v>
      </c>
      <c r="Q116" s="40">
        <f t="shared" si="129"/>
        <v>0.003825503356</v>
      </c>
      <c r="R116" s="40">
        <f t="shared" si="129"/>
        <v>0</v>
      </c>
      <c r="S116" s="40">
        <f t="shared" si="129"/>
        <v>0.007736156352</v>
      </c>
      <c r="T116" s="40">
        <f t="shared" si="129"/>
        <v>0.005063291139</v>
      </c>
    </row>
    <row r="117" ht="15.75" customHeight="1">
      <c r="F117" s="24"/>
      <c r="G117" s="19">
        <f>$G$13</f>
        <v>5</v>
      </c>
      <c r="H117" s="20">
        <v>178.0</v>
      </c>
      <c r="I117" s="20">
        <v>91.0</v>
      </c>
      <c r="J117" s="20">
        <v>4.0</v>
      </c>
      <c r="K117" s="20">
        <v>17.0</v>
      </c>
      <c r="L117" s="20">
        <v>25.0</v>
      </c>
      <c r="N117" s="24"/>
      <c r="O117" s="19">
        <f>$G$13</f>
        <v>5</v>
      </c>
      <c r="P117" s="40">
        <f t="shared" ref="P117:T117" si="130">H117/H$136</f>
        <v>0.02443712246</v>
      </c>
      <c r="Q117" s="40">
        <f t="shared" si="130"/>
        <v>0.00610738255</v>
      </c>
      <c r="R117" s="40">
        <f t="shared" si="130"/>
        <v>0.00566572238</v>
      </c>
      <c r="S117" s="40">
        <f t="shared" si="130"/>
        <v>0.006921824104</v>
      </c>
      <c r="T117" s="40">
        <f t="shared" si="130"/>
        <v>0.00904159132</v>
      </c>
    </row>
    <row r="118" ht="15.75" customHeight="1">
      <c r="F118" s="24"/>
      <c r="G118" s="19">
        <f>$G$14</f>
        <v>6</v>
      </c>
      <c r="H118" s="20">
        <v>361.0</v>
      </c>
      <c r="I118" s="20">
        <v>148.0</v>
      </c>
      <c r="J118" s="20">
        <v>11.0</v>
      </c>
      <c r="K118" s="20">
        <v>52.0</v>
      </c>
      <c r="L118" s="20">
        <v>39.0</v>
      </c>
      <c r="N118" s="24"/>
      <c r="O118" s="19">
        <f>$G$14</f>
        <v>6</v>
      </c>
      <c r="P118" s="40">
        <f t="shared" ref="P118:T118" si="131">H118/H$136</f>
        <v>0.04956068094</v>
      </c>
      <c r="Q118" s="40">
        <f t="shared" si="131"/>
        <v>0.009932885906</v>
      </c>
      <c r="R118" s="40">
        <f t="shared" si="131"/>
        <v>0.01558073654</v>
      </c>
      <c r="S118" s="40">
        <f t="shared" si="131"/>
        <v>0.02117263844</v>
      </c>
      <c r="T118" s="40">
        <f t="shared" si="131"/>
        <v>0.01410488246</v>
      </c>
    </row>
    <row r="119" ht="15.75" customHeight="1">
      <c r="F119" s="24"/>
      <c r="G119" s="19">
        <f>$G$15</f>
        <v>7</v>
      </c>
      <c r="H119" s="20">
        <v>640.0</v>
      </c>
      <c r="I119" s="20">
        <v>245.0</v>
      </c>
      <c r="J119" s="20">
        <v>18.0</v>
      </c>
      <c r="K119" s="20">
        <v>60.0</v>
      </c>
      <c r="L119" s="20">
        <v>56.0</v>
      </c>
      <c r="N119" s="24"/>
      <c r="O119" s="19">
        <f>$G$15</f>
        <v>7</v>
      </c>
      <c r="P119" s="40">
        <f t="shared" ref="P119:T119" si="132">H119/H$136</f>
        <v>0.08786381109</v>
      </c>
      <c r="Q119" s="40">
        <f t="shared" si="132"/>
        <v>0.01644295302</v>
      </c>
      <c r="R119" s="40">
        <f t="shared" si="132"/>
        <v>0.02549575071</v>
      </c>
      <c r="S119" s="40">
        <f t="shared" si="132"/>
        <v>0.02442996743</v>
      </c>
      <c r="T119" s="40">
        <f t="shared" si="132"/>
        <v>0.02025316456</v>
      </c>
    </row>
    <row r="120" ht="15.75" customHeight="1">
      <c r="F120" s="24"/>
      <c r="G120" s="19">
        <f>$G$16</f>
        <v>8</v>
      </c>
      <c r="H120" s="20">
        <v>530.0</v>
      </c>
      <c r="I120" s="20">
        <v>295.0</v>
      </c>
      <c r="J120" s="20">
        <v>24.0</v>
      </c>
      <c r="K120" s="20">
        <v>58.0</v>
      </c>
      <c r="L120" s="20">
        <v>44.0</v>
      </c>
      <c r="N120" s="24"/>
      <c r="O120" s="19">
        <f>$G$16</f>
        <v>8</v>
      </c>
      <c r="P120" s="40">
        <f t="shared" ref="P120:T120" si="133">H120/H$136</f>
        <v>0.07276221856</v>
      </c>
      <c r="Q120" s="40">
        <f t="shared" si="133"/>
        <v>0.01979865772</v>
      </c>
      <c r="R120" s="40">
        <f t="shared" si="133"/>
        <v>0.03399433428</v>
      </c>
      <c r="S120" s="40">
        <f t="shared" si="133"/>
        <v>0.02361563518</v>
      </c>
      <c r="T120" s="40">
        <f t="shared" si="133"/>
        <v>0.01591320072</v>
      </c>
    </row>
    <row r="121" ht="15.75" customHeight="1">
      <c r="F121" s="24"/>
      <c r="G121" s="19">
        <f>$G$17</f>
        <v>9</v>
      </c>
      <c r="H121" s="20">
        <v>597.0</v>
      </c>
      <c r="I121" s="20">
        <v>304.0</v>
      </c>
      <c r="J121" s="20">
        <v>10.0</v>
      </c>
      <c r="K121" s="20">
        <v>50.0</v>
      </c>
      <c r="L121" s="20">
        <v>67.0</v>
      </c>
      <c r="N121" s="24"/>
      <c r="O121" s="19">
        <f>$G$17</f>
        <v>9</v>
      </c>
      <c r="P121" s="40">
        <f t="shared" ref="P121:T121" si="134">H121/H$136</f>
        <v>0.08196046129</v>
      </c>
      <c r="Q121" s="40">
        <f t="shared" si="134"/>
        <v>0.02040268456</v>
      </c>
      <c r="R121" s="40">
        <f t="shared" si="134"/>
        <v>0.01416430595</v>
      </c>
      <c r="S121" s="40">
        <f t="shared" si="134"/>
        <v>0.02035830619</v>
      </c>
      <c r="T121" s="40">
        <f t="shared" si="134"/>
        <v>0.02423146474</v>
      </c>
    </row>
    <row r="122" ht="15.75" customHeight="1">
      <c r="F122" s="24"/>
      <c r="G122" s="19">
        <f>$G$18</f>
        <v>10</v>
      </c>
      <c r="H122" s="20">
        <v>624.0</v>
      </c>
      <c r="I122" s="20">
        <v>305.0</v>
      </c>
      <c r="J122" s="20">
        <v>7.0</v>
      </c>
      <c r="K122" s="20">
        <v>48.0</v>
      </c>
      <c r="L122" s="20">
        <v>90.0</v>
      </c>
      <c r="N122" s="24"/>
      <c r="O122" s="19">
        <f>$G$18</f>
        <v>10</v>
      </c>
      <c r="P122" s="40">
        <f t="shared" ref="P122:T122" si="135">H122/H$136</f>
        <v>0.08566721582</v>
      </c>
      <c r="Q122" s="40">
        <f t="shared" si="135"/>
        <v>0.02046979866</v>
      </c>
      <c r="R122" s="40">
        <f t="shared" si="135"/>
        <v>0.009915014164</v>
      </c>
      <c r="S122" s="40">
        <f t="shared" si="135"/>
        <v>0.01954397394</v>
      </c>
      <c r="T122" s="40">
        <f t="shared" si="135"/>
        <v>0.03254972875</v>
      </c>
    </row>
    <row r="123" ht="15.75" customHeight="1">
      <c r="F123" s="24"/>
      <c r="G123" s="19">
        <f>$G$19</f>
        <v>11</v>
      </c>
      <c r="H123" s="20">
        <v>450.0</v>
      </c>
      <c r="I123" s="20">
        <v>197.0</v>
      </c>
      <c r="J123" s="20">
        <v>25.0</v>
      </c>
      <c r="K123" s="20">
        <v>34.0</v>
      </c>
      <c r="L123" s="20">
        <v>75.0</v>
      </c>
      <c r="N123" s="24"/>
      <c r="O123" s="19">
        <f>$G$19</f>
        <v>11</v>
      </c>
      <c r="P123" s="40">
        <f t="shared" ref="P123:T123" si="136">H123/H$136</f>
        <v>0.06177924217</v>
      </c>
      <c r="Q123" s="40">
        <f t="shared" si="136"/>
        <v>0.01322147651</v>
      </c>
      <c r="R123" s="40">
        <f t="shared" si="136"/>
        <v>0.03541076487</v>
      </c>
      <c r="S123" s="40">
        <f t="shared" si="136"/>
        <v>0.01384364821</v>
      </c>
      <c r="T123" s="40">
        <f t="shared" si="136"/>
        <v>0.02712477396</v>
      </c>
    </row>
    <row r="124" ht="15.75" customHeight="1">
      <c r="F124" s="24"/>
      <c r="G124" s="19">
        <f>$G$20</f>
        <v>12</v>
      </c>
      <c r="H124" s="20">
        <v>465.0</v>
      </c>
      <c r="I124" s="20">
        <v>154.0</v>
      </c>
      <c r="J124" s="20">
        <v>14.0</v>
      </c>
      <c r="K124" s="20">
        <v>26.0</v>
      </c>
      <c r="L124" s="20">
        <v>78.0</v>
      </c>
      <c r="N124" s="24"/>
      <c r="O124" s="19">
        <f>$G$20</f>
        <v>12</v>
      </c>
      <c r="P124" s="40">
        <f t="shared" ref="P124:T124" si="137">H124/H$136</f>
        <v>0.06383855025</v>
      </c>
      <c r="Q124" s="40">
        <f t="shared" si="137"/>
        <v>0.01033557047</v>
      </c>
      <c r="R124" s="40">
        <f t="shared" si="137"/>
        <v>0.01983002833</v>
      </c>
      <c r="S124" s="40">
        <f t="shared" si="137"/>
        <v>0.01058631922</v>
      </c>
      <c r="T124" s="40">
        <f t="shared" si="137"/>
        <v>0.02820976492</v>
      </c>
    </row>
    <row r="125" ht="15.75" customHeight="1">
      <c r="F125" s="24"/>
      <c r="G125" s="19">
        <f>$G$21</f>
        <v>13</v>
      </c>
      <c r="H125" s="20">
        <v>402.0</v>
      </c>
      <c r="I125" s="20">
        <v>153.0</v>
      </c>
      <c r="J125" s="20">
        <v>8.0</v>
      </c>
      <c r="K125" s="20">
        <v>37.0</v>
      </c>
      <c r="L125" s="20">
        <v>56.0</v>
      </c>
      <c r="N125" s="24"/>
      <c r="O125" s="19">
        <f>$G$21</f>
        <v>13</v>
      </c>
      <c r="P125" s="40">
        <f t="shared" ref="P125:T125" si="138">H125/H$136</f>
        <v>0.05518945634</v>
      </c>
      <c r="Q125" s="40">
        <f t="shared" si="138"/>
        <v>0.01026845638</v>
      </c>
      <c r="R125" s="40">
        <f t="shared" si="138"/>
        <v>0.01133144476</v>
      </c>
      <c r="S125" s="40">
        <f t="shared" si="138"/>
        <v>0.01506514658</v>
      </c>
      <c r="T125" s="40">
        <f t="shared" si="138"/>
        <v>0.02025316456</v>
      </c>
    </row>
    <row r="126" ht="15.75" customHeight="1">
      <c r="F126" s="24"/>
      <c r="G126" s="19">
        <f>$G$22</f>
        <v>14</v>
      </c>
      <c r="H126" s="20">
        <v>379.0</v>
      </c>
      <c r="I126" s="20">
        <v>183.0</v>
      </c>
      <c r="J126" s="20">
        <v>9.0</v>
      </c>
      <c r="K126" s="20">
        <v>34.0</v>
      </c>
      <c r="L126" s="20">
        <v>68.0</v>
      </c>
      <c r="N126" s="24"/>
      <c r="O126" s="19">
        <f>$G$22</f>
        <v>14</v>
      </c>
      <c r="P126" s="40">
        <f t="shared" ref="P126:T126" si="139">H126/H$136</f>
        <v>0.05203185063</v>
      </c>
      <c r="Q126" s="40">
        <f t="shared" si="139"/>
        <v>0.01228187919</v>
      </c>
      <c r="R126" s="40">
        <f t="shared" si="139"/>
        <v>0.01274787535</v>
      </c>
      <c r="S126" s="40">
        <f t="shared" si="139"/>
        <v>0.01384364821</v>
      </c>
      <c r="T126" s="40">
        <f t="shared" si="139"/>
        <v>0.02459312839</v>
      </c>
    </row>
    <row r="127" ht="15.75" customHeight="1">
      <c r="F127" s="24"/>
      <c r="G127" s="19">
        <f>$G$23</f>
        <v>15</v>
      </c>
      <c r="H127" s="20">
        <v>391.0</v>
      </c>
      <c r="I127" s="20">
        <v>164.0</v>
      </c>
      <c r="J127" s="20">
        <v>10.0</v>
      </c>
      <c r="K127" s="20">
        <v>34.0</v>
      </c>
      <c r="L127" s="20">
        <v>58.0</v>
      </c>
      <c r="N127" s="24"/>
      <c r="O127" s="19">
        <f>$G$23</f>
        <v>15</v>
      </c>
      <c r="P127" s="40">
        <f t="shared" ref="P127:T127" si="140">H127/H$136</f>
        <v>0.05367929709</v>
      </c>
      <c r="Q127" s="40">
        <f t="shared" si="140"/>
        <v>0.01100671141</v>
      </c>
      <c r="R127" s="40">
        <f t="shared" si="140"/>
        <v>0.01416430595</v>
      </c>
      <c r="S127" s="40">
        <f t="shared" si="140"/>
        <v>0.01384364821</v>
      </c>
      <c r="T127" s="40">
        <f t="shared" si="140"/>
        <v>0.02097649186</v>
      </c>
    </row>
    <row r="128" ht="15.75" customHeight="1">
      <c r="F128" s="24"/>
      <c r="G128" s="19">
        <f>$G$24</f>
        <v>16</v>
      </c>
      <c r="H128" s="20">
        <v>378.0</v>
      </c>
      <c r="I128" s="20">
        <v>163.0</v>
      </c>
      <c r="J128" s="20">
        <v>3.0</v>
      </c>
      <c r="K128" s="20">
        <v>25.0</v>
      </c>
      <c r="L128" s="20">
        <v>26.0</v>
      </c>
      <c r="N128" s="24"/>
      <c r="O128" s="19">
        <f>$G$24</f>
        <v>16</v>
      </c>
      <c r="P128" s="40">
        <f t="shared" ref="P128:T128" si="141">H128/H$136</f>
        <v>0.05189456343</v>
      </c>
      <c r="Q128" s="40">
        <f t="shared" si="141"/>
        <v>0.01093959732</v>
      </c>
      <c r="R128" s="40">
        <f t="shared" si="141"/>
        <v>0.004249291785</v>
      </c>
      <c r="S128" s="40">
        <f t="shared" si="141"/>
        <v>0.01017915309</v>
      </c>
      <c r="T128" s="40">
        <f t="shared" si="141"/>
        <v>0.009403254973</v>
      </c>
    </row>
    <row r="129" ht="15.75" customHeight="1">
      <c r="F129" s="24"/>
      <c r="G129" s="19">
        <f>$G$25</f>
        <v>17</v>
      </c>
      <c r="H129" s="20">
        <v>426.0</v>
      </c>
      <c r="I129" s="20">
        <v>185.0</v>
      </c>
      <c r="J129" s="20">
        <v>1.0</v>
      </c>
      <c r="K129" s="20">
        <v>15.0</v>
      </c>
      <c r="L129" s="20">
        <v>20.0</v>
      </c>
      <c r="N129" s="24"/>
      <c r="O129" s="19">
        <f>$G$25</f>
        <v>17</v>
      </c>
      <c r="P129" s="40">
        <f t="shared" ref="P129:T129" si="142">H129/H$136</f>
        <v>0.05848434926</v>
      </c>
      <c r="Q129" s="40">
        <f t="shared" si="142"/>
        <v>0.01241610738</v>
      </c>
      <c r="R129" s="40">
        <f t="shared" si="142"/>
        <v>0.001416430595</v>
      </c>
      <c r="S129" s="40">
        <f t="shared" si="142"/>
        <v>0.006107491857</v>
      </c>
      <c r="T129" s="40">
        <f t="shared" si="142"/>
        <v>0.007233273056</v>
      </c>
    </row>
    <row r="130" ht="15.75" customHeight="1">
      <c r="F130" s="24"/>
      <c r="G130" s="19">
        <f>$G$26</f>
        <v>18</v>
      </c>
      <c r="H130" s="20">
        <v>328.0</v>
      </c>
      <c r="I130" s="20">
        <v>129.0</v>
      </c>
      <c r="J130" s="20">
        <v>2.0</v>
      </c>
      <c r="K130" s="20">
        <v>17.0</v>
      </c>
      <c r="L130" s="20">
        <v>15.0</v>
      </c>
      <c r="N130" s="24"/>
      <c r="O130" s="19">
        <f>$G$26</f>
        <v>18</v>
      </c>
      <c r="P130" s="40">
        <f t="shared" ref="P130:T130" si="143">H130/H$136</f>
        <v>0.04503020319</v>
      </c>
      <c r="Q130" s="40">
        <f t="shared" si="143"/>
        <v>0.008657718121</v>
      </c>
      <c r="R130" s="40">
        <f t="shared" si="143"/>
        <v>0.00283286119</v>
      </c>
      <c r="S130" s="40">
        <f t="shared" si="143"/>
        <v>0.006921824104</v>
      </c>
      <c r="T130" s="40">
        <f t="shared" si="143"/>
        <v>0.005424954792</v>
      </c>
    </row>
    <row r="131" ht="15.75" customHeight="1">
      <c r="F131" s="24"/>
      <c r="G131" s="19">
        <f>$G$27</f>
        <v>19</v>
      </c>
      <c r="H131" s="20">
        <v>250.0</v>
      </c>
      <c r="I131" s="20">
        <v>78.0</v>
      </c>
      <c r="J131" s="20">
        <v>2.0</v>
      </c>
      <c r="K131" s="20">
        <v>18.0</v>
      </c>
      <c r="L131" s="20">
        <v>11.0</v>
      </c>
      <c r="N131" s="24"/>
      <c r="O131" s="19">
        <f>$G$27</f>
        <v>19</v>
      </c>
      <c r="P131" s="40">
        <f t="shared" ref="P131:T131" si="144">H131/H$136</f>
        <v>0.03432180121</v>
      </c>
      <c r="Q131" s="40">
        <f t="shared" si="144"/>
        <v>0.005234899329</v>
      </c>
      <c r="R131" s="40">
        <f t="shared" si="144"/>
        <v>0.00283286119</v>
      </c>
      <c r="S131" s="40">
        <f t="shared" si="144"/>
        <v>0.007328990228</v>
      </c>
      <c r="T131" s="40">
        <f t="shared" si="144"/>
        <v>0.003978300181</v>
      </c>
    </row>
    <row r="132" ht="15.75" customHeight="1">
      <c r="F132" s="24"/>
      <c r="G132" s="19">
        <f>$G$28</f>
        <v>20</v>
      </c>
      <c r="H132" s="20">
        <v>225.0</v>
      </c>
      <c r="I132" s="20">
        <v>60.0</v>
      </c>
      <c r="J132" s="20">
        <v>1.0</v>
      </c>
      <c r="K132" s="20">
        <v>15.0</v>
      </c>
      <c r="L132" s="20">
        <v>13.0</v>
      </c>
      <c r="N132" s="24"/>
      <c r="O132" s="19">
        <f>$G$28</f>
        <v>20</v>
      </c>
      <c r="P132" s="40">
        <f t="shared" ref="P132:T132" si="145">H132/H$136</f>
        <v>0.03088962109</v>
      </c>
      <c r="Q132" s="40">
        <f t="shared" si="145"/>
        <v>0.004026845638</v>
      </c>
      <c r="R132" s="40">
        <f t="shared" si="145"/>
        <v>0.001416430595</v>
      </c>
      <c r="S132" s="40">
        <f t="shared" si="145"/>
        <v>0.006107491857</v>
      </c>
      <c r="T132" s="40">
        <f t="shared" si="145"/>
        <v>0.004701627486</v>
      </c>
    </row>
    <row r="133" ht="15.75" customHeight="1">
      <c r="F133" s="24"/>
      <c r="G133" s="19">
        <f>$G$29</f>
        <v>21</v>
      </c>
      <c r="H133" s="20">
        <v>187.0</v>
      </c>
      <c r="I133" s="20">
        <v>55.0</v>
      </c>
      <c r="J133" s="20">
        <v>0.0</v>
      </c>
      <c r="K133" s="20">
        <v>6.0</v>
      </c>
      <c r="L133" s="20">
        <v>6.0</v>
      </c>
      <c r="N133" s="24"/>
      <c r="O133" s="19">
        <f>$G$29</f>
        <v>21</v>
      </c>
      <c r="P133" s="40">
        <f t="shared" ref="P133:T133" si="146">H133/H$136</f>
        <v>0.0256727073</v>
      </c>
      <c r="Q133" s="40">
        <f t="shared" si="146"/>
        <v>0.003691275168</v>
      </c>
      <c r="R133" s="40">
        <f t="shared" si="146"/>
        <v>0</v>
      </c>
      <c r="S133" s="40">
        <f t="shared" si="146"/>
        <v>0.002442996743</v>
      </c>
      <c r="T133" s="40">
        <f t="shared" si="146"/>
        <v>0.002169981917</v>
      </c>
    </row>
    <row r="134" ht="15.75" customHeight="1">
      <c r="F134" s="24"/>
      <c r="G134" s="19">
        <f>$G$30</f>
        <v>22</v>
      </c>
      <c r="H134" s="20">
        <v>139.0</v>
      </c>
      <c r="I134" s="20">
        <v>45.0</v>
      </c>
      <c r="J134" s="20">
        <v>1.0</v>
      </c>
      <c r="K134" s="20">
        <v>3.0</v>
      </c>
      <c r="L134" s="20">
        <v>9.0</v>
      </c>
      <c r="N134" s="24"/>
      <c r="O134" s="19">
        <f>$G$30</f>
        <v>22</v>
      </c>
      <c r="P134" s="40">
        <f t="shared" ref="P134:T134" si="147">H134/H$136</f>
        <v>0.01908292147</v>
      </c>
      <c r="Q134" s="40">
        <f t="shared" si="147"/>
        <v>0.003020134228</v>
      </c>
      <c r="R134" s="40">
        <f t="shared" si="147"/>
        <v>0.001416430595</v>
      </c>
      <c r="S134" s="40">
        <f t="shared" si="147"/>
        <v>0.001221498371</v>
      </c>
      <c r="T134" s="40">
        <f t="shared" si="147"/>
        <v>0.003254972875</v>
      </c>
    </row>
    <row r="135" ht="15.75" customHeight="1">
      <c r="F135" s="28"/>
      <c r="G135" s="19">
        <f>$G$31</f>
        <v>23</v>
      </c>
      <c r="H135" s="20">
        <v>86.0</v>
      </c>
      <c r="I135" s="20">
        <v>27.0</v>
      </c>
      <c r="J135" s="20">
        <v>2.0</v>
      </c>
      <c r="K135" s="20">
        <v>16.0</v>
      </c>
      <c r="L135" s="20">
        <v>8.0</v>
      </c>
      <c r="N135" s="28"/>
      <c r="O135" s="19">
        <f>$G$31</f>
        <v>23</v>
      </c>
      <c r="P135" s="40">
        <f t="shared" ref="P135:T135" si="148">H135/H$136</f>
        <v>0.01180669962</v>
      </c>
      <c r="Q135" s="40">
        <f t="shared" si="148"/>
        <v>0.001812080537</v>
      </c>
      <c r="R135" s="40">
        <f t="shared" si="148"/>
        <v>0.00283286119</v>
      </c>
      <c r="S135" s="40">
        <f t="shared" si="148"/>
        <v>0.00651465798</v>
      </c>
      <c r="T135" s="40">
        <f t="shared" si="148"/>
        <v>0.002893309222</v>
      </c>
    </row>
    <row r="136" ht="15.75" customHeight="1">
      <c r="F136" s="111"/>
      <c r="G136" s="112"/>
      <c r="H136" s="26">
        <f>SUM(H112:H135)</f>
        <v>7284</v>
      </c>
      <c r="I136" s="26">
        <f t="shared" ref="I136:L136" si="149">SUM(I60:I135)</f>
        <v>14900</v>
      </c>
      <c r="J136" s="26">
        <f t="shared" si="149"/>
        <v>706</v>
      </c>
      <c r="K136" s="26">
        <f t="shared" si="149"/>
        <v>2456</v>
      </c>
      <c r="L136" s="26">
        <f t="shared" si="149"/>
        <v>2765</v>
      </c>
    </row>
    <row r="137" ht="15.75" customHeight="1">
      <c r="G137" s="16"/>
      <c r="H137" s="17">
        <f>$H$7</f>
        <v>31</v>
      </c>
      <c r="I137" s="17">
        <f>$I$7</f>
        <v>32</v>
      </c>
      <c r="J137" s="17">
        <f>$J$7</f>
        <v>41</v>
      </c>
      <c r="K137" s="17">
        <f>$K$7</f>
        <v>42</v>
      </c>
      <c r="L137" s="17">
        <f>$L$7</f>
        <v>5</v>
      </c>
      <c r="O137" s="16"/>
      <c r="P137" s="17">
        <f>$H$7</f>
        <v>31</v>
      </c>
      <c r="Q137" s="17">
        <f>$I$7</f>
        <v>32</v>
      </c>
      <c r="R137" s="17">
        <f>$J$7</f>
        <v>41</v>
      </c>
      <c r="S137" s="17">
        <f>$K$7</f>
        <v>42</v>
      </c>
      <c r="T137" s="17">
        <f>$L$7</f>
        <v>5</v>
      </c>
    </row>
    <row r="138" ht="15.75" customHeight="1">
      <c r="F138" s="56">
        <v>45212.0</v>
      </c>
      <c r="G138" s="19">
        <f>$G$8</f>
        <v>0</v>
      </c>
      <c r="H138" s="20">
        <v>57.0</v>
      </c>
      <c r="I138" s="20">
        <v>17.0</v>
      </c>
      <c r="J138" s="20">
        <v>0.0</v>
      </c>
      <c r="K138" s="20">
        <v>11.0</v>
      </c>
      <c r="L138" s="20">
        <v>13.0</v>
      </c>
      <c r="N138" s="56">
        <v>45212.0</v>
      </c>
      <c r="O138" s="19">
        <f>$G$8</f>
        <v>0</v>
      </c>
      <c r="P138" s="40">
        <f t="shared" ref="P138:T138" si="150">H138/H$162</f>
        <v>0.006428329762</v>
      </c>
      <c r="Q138" s="40">
        <f t="shared" si="150"/>
        <v>0.005026611473</v>
      </c>
      <c r="R138" s="40">
        <f t="shared" si="150"/>
        <v>0</v>
      </c>
      <c r="S138" s="40">
        <f t="shared" si="150"/>
        <v>0.01877133106</v>
      </c>
      <c r="T138" s="40">
        <f t="shared" si="150"/>
        <v>0.01620947631</v>
      </c>
    </row>
    <row r="139" ht="15.75" customHeight="1">
      <c r="F139" s="24"/>
      <c r="G139" s="19">
        <f>$G$9</f>
        <v>1</v>
      </c>
      <c r="H139" s="20">
        <v>44.0</v>
      </c>
      <c r="I139" s="20">
        <v>18.0</v>
      </c>
      <c r="J139" s="20">
        <v>0.0</v>
      </c>
      <c r="K139" s="20">
        <v>9.0</v>
      </c>
      <c r="L139" s="20">
        <v>4.0</v>
      </c>
      <c r="N139" s="24"/>
      <c r="O139" s="19">
        <f>$G$9</f>
        <v>1</v>
      </c>
      <c r="P139" s="40">
        <f t="shared" ref="P139:T139" si="151">H139/H$162</f>
        <v>0.004962219465</v>
      </c>
      <c r="Q139" s="40">
        <f t="shared" si="151"/>
        <v>0.0053222945</v>
      </c>
      <c r="R139" s="40">
        <f t="shared" si="151"/>
        <v>0</v>
      </c>
      <c r="S139" s="40">
        <f t="shared" si="151"/>
        <v>0.01535836177</v>
      </c>
      <c r="T139" s="40">
        <f t="shared" si="151"/>
        <v>0.004987531172</v>
      </c>
    </row>
    <row r="140" ht="15.75" customHeight="1">
      <c r="F140" s="24"/>
      <c r="G140" s="19">
        <f>$G$10</f>
        <v>2</v>
      </c>
      <c r="H140" s="16">
        <v>40.0</v>
      </c>
      <c r="I140" s="16">
        <v>27.0</v>
      </c>
      <c r="J140" s="16">
        <v>0.0</v>
      </c>
      <c r="K140" s="16">
        <v>9.0</v>
      </c>
      <c r="L140" s="16">
        <v>14.0</v>
      </c>
      <c r="N140" s="24"/>
      <c r="O140" s="19">
        <f>$G$10</f>
        <v>2</v>
      </c>
      <c r="P140" s="40">
        <f t="shared" ref="P140:T140" si="152">H140/H$162</f>
        <v>0.004511108605</v>
      </c>
      <c r="Q140" s="40">
        <f t="shared" si="152"/>
        <v>0.00798344175</v>
      </c>
      <c r="R140" s="40">
        <f t="shared" si="152"/>
        <v>0</v>
      </c>
      <c r="S140" s="40">
        <f t="shared" si="152"/>
        <v>0.01535836177</v>
      </c>
      <c r="T140" s="40">
        <f t="shared" si="152"/>
        <v>0.0174563591</v>
      </c>
    </row>
    <row r="141" ht="15.75" customHeight="1">
      <c r="F141" s="24"/>
      <c r="G141" s="19">
        <f>$G$11</f>
        <v>3</v>
      </c>
      <c r="H141" s="20">
        <v>32.0</v>
      </c>
      <c r="I141" s="20">
        <v>23.0</v>
      </c>
      <c r="J141" s="20">
        <v>1.0</v>
      </c>
      <c r="K141" s="20">
        <v>13.0</v>
      </c>
      <c r="L141" s="20">
        <v>9.0</v>
      </c>
      <c r="N141" s="24"/>
      <c r="O141" s="19">
        <f>$G$11</f>
        <v>3</v>
      </c>
      <c r="P141" s="40">
        <f t="shared" ref="P141:T141" si="153">H141/H$162</f>
        <v>0.003608886884</v>
      </c>
      <c r="Q141" s="40">
        <f t="shared" si="153"/>
        <v>0.006800709639</v>
      </c>
      <c r="R141" s="40">
        <f t="shared" si="153"/>
        <v>0.005494505495</v>
      </c>
      <c r="S141" s="40">
        <f t="shared" si="153"/>
        <v>0.02218430034</v>
      </c>
      <c r="T141" s="40">
        <f t="shared" si="153"/>
        <v>0.01122194514</v>
      </c>
    </row>
    <row r="142" ht="15.75" customHeight="1">
      <c r="F142" s="24"/>
      <c r="G142" s="19">
        <f>$G$12</f>
        <v>4</v>
      </c>
      <c r="H142" s="20">
        <v>75.0</v>
      </c>
      <c r="I142" s="20">
        <v>61.0</v>
      </c>
      <c r="J142" s="20">
        <v>0.0</v>
      </c>
      <c r="K142" s="20">
        <v>20.0</v>
      </c>
      <c r="L142" s="20">
        <v>17.0</v>
      </c>
      <c r="N142" s="24"/>
      <c r="O142" s="19">
        <f>$G$12</f>
        <v>4</v>
      </c>
      <c r="P142" s="40">
        <f t="shared" ref="P142:T142" si="154">H142/H$162</f>
        <v>0.008458328634</v>
      </c>
      <c r="Q142" s="40">
        <f t="shared" si="154"/>
        <v>0.0180366647</v>
      </c>
      <c r="R142" s="40">
        <f t="shared" si="154"/>
        <v>0</v>
      </c>
      <c r="S142" s="40">
        <f t="shared" si="154"/>
        <v>0.03412969283</v>
      </c>
      <c r="T142" s="40">
        <f t="shared" si="154"/>
        <v>0.02119700748</v>
      </c>
    </row>
    <row r="143" ht="15.75" customHeight="1">
      <c r="F143" s="24"/>
      <c r="G143" s="19">
        <f>$G$13</f>
        <v>5</v>
      </c>
      <c r="H143" s="20">
        <v>174.0</v>
      </c>
      <c r="I143" s="20">
        <v>100.0</v>
      </c>
      <c r="J143" s="20">
        <v>9.0</v>
      </c>
      <c r="K143" s="20">
        <v>31.0</v>
      </c>
      <c r="L143" s="20">
        <v>22.0</v>
      </c>
      <c r="N143" s="24"/>
      <c r="O143" s="19">
        <f>$G$13</f>
        <v>5</v>
      </c>
      <c r="P143" s="40">
        <f t="shared" ref="P143:T143" si="155">H143/H$162</f>
        <v>0.01962332243</v>
      </c>
      <c r="Q143" s="40">
        <f t="shared" si="155"/>
        <v>0.02956830278</v>
      </c>
      <c r="R143" s="40">
        <f t="shared" si="155"/>
        <v>0.04945054945</v>
      </c>
      <c r="S143" s="40">
        <f t="shared" si="155"/>
        <v>0.05290102389</v>
      </c>
      <c r="T143" s="40">
        <f t="shared" si="155"/>
        <v>0.02743142145</v>
      </c>
    </row>
    <row r="144" ht="15.75" customHeight="1">
      <c r="F144" s="24"/>
      <c r="G144" s="19">
        <f>$G$14</f>
        <v>6</v>
      </c>
      <c r="H144" s="20">
        <v>362.0</v>
      </c>
      <c r="I144" s="20">
        <v>145.0</v>
      </c>
      <c r="J144" s="20">
        <v>13.0</v>
      </c>
      <c r="K144" s="20">
        <v>31.0</v>
      </c>
      <c r="L144" s="20">
        <v>38.0</v>
      </c>
      <c r="N144" s="24"/>
      <c r="O144" s="19">
        <f>$G$14</f>
        <v>6</v>
      </c>
      <c r="P144" s="40">
        <f t="shared" ref="P144:T144" si="156">H144/H$162</f>
        <v>0.04082553287</v>
      </c>
      <c r="Q144" s="40">
        <f t="shared" si="156"/>
        <v>0.04287403903</v>
      </c>
      <c r="R144" s="40">
        <f t="shared" si="156"/>
        <v>0.07142857143</v>
      </c>
      <c r="S144" s="40">
        <f t="shared" si="156"/>
        <v>0.05290102389</v>
      </c>
      <c r="T144" s="40">
        <f t="shared" si="156"/>
        <v>0.04738154613</v>
      </c>
    </row>
    <row r="145" ht="15.75" customHeight="1">
      <c r="F145" s="24"/>
      <c r="G145" s="19">
        <f>$G$15</f>
        <v>7</v>
      </c>
      <c r="H145" s="20">
        <v>647.0</v>
      </c>
      <c r="I145" s="20">
        <v>202.0</v>
      </c>
      <c r="J145" s="20">
        <v>31.0</v>
      </c>
      <c r="K145" s="20">
        <v>53.0</v>
      </c>
      <c r="L145" s="20">
        <v>54.0</v>
      </c>
      <c r="N145" s="24"/>
      <c r="O145" s="19">
        <f>$G$15</f>
        <v>7</v>
      </c>
      <c r="P145" s="40">
        <f t="shared" ref="P145:T145" si="157">H145/H$162</f>
        <v>0.07296718168</v>
      </c>
      <c r="Q145" s="40">
        <f t="shared" si="157"/>
        <v>0.05972797161</v>
      </c>
      <c r="R145" s="40">
        <f t="shared" si="157"/>
        <v>0.1703296703</v>
      </c>
      <c r="S145" s="40">
        <f t="shared" si="157"/>
        <v>0.09044368601</v>
      </c>
      <c r="T145" s="40">
        <f t="shared" si="157"/>
        <v>0.06733167082</v>
      </c>
    </row>
    <row r="146" ht="15.75" customHeight="1">
      <c r="F146" s="24"/>
      <c r="G146" s="19">
        <f>$G$16</f>
        <v>8</v>
      </c>
      <c r="H146" s="20">
        <v>613.0</v>
      </c>
      <c r="I146" s="20">
        <v>331.0</v>
      </c>
      <c r="J146" s="20">
        <v>13.0</v>
      </c>
      <c r="K146" s="20">
        <v>55.0</v>
      </c>
      <c r="L146" s="20">
        <v>63.0</v>
      </c>
      <c r="N146" s="24"/>
      <c r="O146" s="19">
        <f>$G$16</f>
        <v>8</v>
      </c>
      <c r="P146" s="40">
        <f t="shared" ref="P146:T146" si="158">H146/H$162</f>
        <v>0.06913273937</v>
      </c>
      <c r="Q146" s="40">
        <f t="shared" si="158"/>
        <v>0.0978710822</v>
      </c>
      <c r="R146" s="40">
        <f t="shared" si="158"/>
        <v>0.07142857143</v>
      </c>
      <c r="S146" s="40">
        <f t="shared" si="158"/>
        <v>0.09385665529</v>
      </c>
      <c r="T146" s="40">
        <f t="shared" si="158"/>
        <v>0.07855361596</v>
      </c>
    </row>
    <row r="147" ht="15.75" customHeight="1">
      <c r="F147" s="24"/>
      <c r="G147" s="19">
        <f>$G$17</f>
        <v>9</v>
      </c>
      <c r="H147" s="20">
        <v>677.0</v>
      </c>
      <c r="I147" s="20">
        <v>312.0</v>
      </c>
      <c r="J147" s="20">
        <v>14.0</v>
      </c>
      <c r="K147" s="20">
        <v>56.0</v>
      </c>
      <c r="L147" s="20">
        <v>62.0</v>
      </c>
      <c r="N147" s="24"/>
      <c r="O147" s="19">
        <f>$G$17</f>
        <v>9</v>
      </c>
      <c r="P147" s="40">
        <f t="shared" ref="P147:T147" si="159">H147/H$162</f>
        <v>0.07635051314</v>
      </c>
      <c r="Q147" s="40">
        <f t="shared" si="159"/>
        <v>0.09225310467</v>
      </c>
      <c r="R147" s="40">
        <f t="shared" si="159"/>
        <v>0.07692307692</v>
      </c>
      <c r="S147" s="40">
        <f t="shared" si="159"/>
        <v>0.09556313993</v>
      </c>
      <c r="T147" s="40">
        <f t="shared" si="159"/>
        <v>0.07730673317</v>
      </c>
    </row>
    <row r="148" ht="15.75" customHeight="1">
      <c r="F148" s="24"/>
      <c r="G148" s="19">
        <f>$G$18</f>
        <v>10</v>
      </c>
      <c r="H148" s="20">
        <v>584.0</v>
      </c>
      <c r="I148" s="20">
        <v>256.0</v>
      </c>
      <c r="J148" s="20">
        <v>13.0</v>
      </c>
      <c r="K148" s="20">
        <v>43.0</v>
      </c>
      <c r="L148" s="20">
        <v>108.0</v>
      </c>
      <c r="N148" s="24"/>
      <c r="O148" s="19">
        <f>$G$18</f>
        <v>10</v>
      </c>
      <c r="P148" s="40">
        <f t="shared" ref="P148:T148" si="160">H148/H$162</f>
        <v>0.06586218563</v>
      </c>
      <c r="Q148" s="40">
        <f t="shared" si="160"/>
        <v>0.07569485512</v>
      </c>
      <c r="R148" s="40">
        <f t="shared" si="160"/>
        <v>0.07142857143</v>
      </c>
      <c r="S148" s="40">
        <f t="shared" si="160"/>
        <v>0.07337883959</v>
      </c>
      <c r="T148" s="40">
        <f t="shared" si="160"/>
        <v>0.1346633416</v>
      </c>
    </row>
    <row r="149" ht="15.75" customHeight="1">
      <c r="F149" s="24"/>
      <c r="G149" s="19">
        <f>$G$19</f>
        <v>11</v>
      </c>
      <c r="H149" s="20">
        <v>489.0</v>
      </c>
      <c r="I149" s="20">
        <v>170.0</v>
      </c>
      <c r="J149" s="20">
        <v>12.0</v>
      </c>
      <c r="K149" s="20">
        <v>34.0</v>
      </c>
      <c r="L149" s="20">
        <v>79.0</v>
      </c>
      <c r="N149" s="24"/>
      <c r="O149" s="19">
        <f>$G$19</f>
        <v>11</v>
      </c>
      <c r="P149" s="40">
        <f t="shared" ref="P149:T149" si="161">H149/H$162</f>
        <v>0.0551483027</v>
      </c>
      <c r="Q149" s="40">
        <f t="shared" si="161"/>
        <v>0.05026611473</v>
      </c>
      <c r="R149" s="40">
        <f t="shared" si="161"/>
        <v>0.06593406593</v>
      </c>
      <c r="S149" s="40">
        <f t="shared" si="161"/>
        <v>0.05802047782</v>
      </c>
      <c r="T149" s="40">
        <f t="shared" si="161"/>
        <v>0.09850374065</v>
      </c>
    </row>
    <row r="150" ht="15.75" customHeight="1">
      <c r="F150" s="24"/>
      <c r="G150" s="19">
        <f>$G$20</f>
        <v>12</v>
      </c>
      <c r="H150" s="20">
        <v>430.0</v>
      </c>
      <c r="I150" s="20">
        <v>158.0</v>
      </c>
      <c r="J150" s="20">
        <v>17.0</v>
      </c>
      <c r="K150" s="20">
        <v>27.0</v>
      </c>
      <c r="L150" s="20">
        <v>59.0</v>
      </c>
      <c r="N150" s="24"/>
      <c r="O150" s="19">
        <f>$G$20</f>
        <v>12</v>
      </c>
      <c r="P150" s="40">
        <f t="shared" ref="P150:T150" si="162">H150/H$162</f>
        <v>0.0484944175</v>
      </c>
      <c r="Q150" s="40">
        <f t="shared" si="162"/>
        <v>0.04671791839</v>
      </c>
      <c r="R150" s="40">
        <f t="shared" si="162"/>
        <v>0.09340659341</v>
      </c>
      <c r="S150" s="40">
        <f t="shared" si="162"/>
        <v>0.04607508532</v>
      </c>
      <c r="T150" s="40">
        <f t="shared" si="162"/>
        <v>0.07356608479</v>
      </c>
    </row>
    <row r="151" ht="15.75" customHeight="1">
      <c r="F151" s="24"/>
      <c r="G151" s="19">
        <f>$G$21</f>
        <v>13</v>
      </c>
      <c r="H151" s="20">
        <v>507.0</v>
      </c>
      <c r="I151" s="20">
        <v>168.0</v>
      </c>
      <c r="J151" s="20">
        <v>9.0</v>
      </c>
      <c r="K151" s="20">
        <v>26.0</v>
      </c>
      <c r="L151" s="20">
        <v>60.0</v>
      </c>
      <c r="N151" s="24"/>
      <c r="O151" s="19">
        <f>$G$21</f>
        <v>13</v>
      </c>
      <c r="P151" s="40">
        <f t="shared" ref="P151:T151" si="163">H151/H$162</f>
        <v>0.05717830157</v>
      </c>
      <c r="Q151" s="40">
        <f t="shared" si="163"/>
        <v>0.04967474867</v>
      </c>
      <c r="R151" s="40">
        <f t="shared" si="163"/>
        <v>0.04945054945</v>
      </c>
      <c r="S151" s="40">
        <f t="shared" si="163"/>
        <v>0.04436860068</v>
      </c>
      <c r="T151" s="40">
        <f t="shared" si="163"/>
        <v>0.07481296758</v>
      </c>
    </row>
    <row r="152" ht="15.75" customHeight="1">
      <c r="F152" s="24"/>
      <c r="G152" s="19">
        <f>$G$22</f>
        <v>14</v>
      </c>
      <c r="H152" s="20">
        <v>513.0</v>
      </c>
      <c r="I152" s="20">
        <v>181.0</v>
      </c>
      <c r="J152" s="20">
        <v>15.0</v>
      </c>
      <c r="K152" s="20">
        <v>32.0</v>
      </c>
      <c r="L152" s="20">
        <v>57.0</v>
      </c>
      <c r="N152" s="24"/>
      <c r="O152" s="19">
        <f>$G$22</f>
        <v>14</v>
      </c>
      <c r="P152" s="40">
        <f t="shared" ref="P152:T152" si="164">H152/H$162</f>
        <v>0.05785496786</v>
      </c>
      <c r="Q152" s="40">
        <f t="shared" si="164"/>
        <v>0.05351862803</v>
      </c>
      <c r="R152" s="40">
        <f t="shared" si="164"/>
        <v>0.08241758242</v>
      </c>
      <c r="S152" s="40">
        <f t="shared" si="164"/>
        <v>0.05460750853</v>
      </c>
      <c r="T152" s="40">
        <f t="shared" si="164"/>
        <v>0.0710723192</v>
      </c>
    </row>
    <row r="153" ht="15.75" customHeight="1">
      <c r="F153" s="24"/>
      <c r="G153" s="19">
        <f>$G$23</f>
        <v>15</v>
      </c>
      <c r="H153" s="20">
        <v>471.0</v>
      </c>
      <c r="I153" s="20">
        <v>187.0</v>
      </c>
      <c r="J153" s="20">
        <v>7.0</v>
      </c>
      <c r="K153" s="20">
        <v>30.0</v>
      </c>
      <c r="L153" s="20">
        <v>41.0</v>
      </c>
      <c r="N153" s="24"/>
      <c r="O153" s="19">
        <f>$G$23</f>
        <v>15</v>
      </c>
      <c r="P153" s="40">
        <f t="shared" ref="P153:T153" si="165">H153/H$162</f>
        <v>0.05311830382</v>
      </c>
      <c r="Q153" s="40">
        <f t="shared" si="165"/>
        <v>0.0552927262</v>
      </c>
      <c r="R153" s="40">
        <f t="shared" si="165"/>
        <v>0.03846153846</v>
      </c>
      <c r="S153" s="40">
        <f t="shared" si="165"/>
        <v>0.05119453925</v>
      </c>
      <c r="T153" s="40">
        <f t="shared" si="165"/>
        <v>0.05112219451</v>
      </c>
    </row>
    <row r="154" ht="15.75" customHeight="1">
      <c r="F154" s="24"/>
      <c r="G154" s="19">
        <f>$G$24</f>
        <v>16</v>
      </c>
      <c r="H154" s="20">
        <v>457.0</v>
      </c>
      <c r="I154" s="20">
        <v>192.0</v>
      </c>
      <c r="J154" s="20">
        <v>13.0</v>
      </c>
      <c r="K154" s="20">
        <v>22.0</v>
      </c>
      <c r="L154" s="20">
        <v>31.0</v>
      </c>
      <c r="N154" s="24"/>
      <c r="O154" s="19">
        <f>$G$24</f>
        <v>16</v>
      </c>
      <c r="P154" s="40">
        <f t="shared" ref="P154:T154" si="166">H154/H$162</f>
        <v>0.05153941581</v>
      </c>
      <c r="Q154" s="40">
        <f t="shared" si="166"/>
        <v>0.05677114134</v>
      </c>
      <c r="R154" s="40">
        <f t="shared" si="166"/>
        <v>0.07142857143</v>
      </c>
      <c r="S154" s="40">
        <f t="shared" si="166"/>
        <v>0.03754266212</v>
      </c>
      <c r="T154" s="40">
        <f t="shared" si="166"/>
        <v>0.03865336658</v>
      </c>
    </row>
    <row r="155" ht="15.75" customHeight="1">
      <c r="F155" s="24"/>
      <c r="G155" s="19">
        <f>$G$25</f>
        <v>17</v>
      </c>
      <c r="H155" s="20">
        <v>572.0</v>
      </c>
      <c r="I155" s="20">
        <v>235.0</v>
      </c>
      <c r="J155" s="20">
        <v>1.0</v>
      </c>
      <c r="K155" s="20">
        <v>17.0</v>
      </c>
      <c r="L155" s="20">
        <v>18.0</v>
      </c>
      <c r="N155" s="24"/>
      <c r="O155" s="19">
        <f>$G$25</f>
        <v>17</v>
      </c>
      <c r="P155" s="40">
        <f t="shared" ref="P155:T155" si="167">H155/H$162</f>
        <v>0.06450885305</v>
      </c>
      <c r="Q155" s="40">
        <f t="shared" si="167"/>
        <v>0.06948551153</v>
      </c>
      <c r="R155" s="40">
        <f t="shared" si="167"/>
        <v>0.005494505495</v>
      </c>
      <c r="S155" s="40">
        <f t="shared" si="167"/>
        <v>0.02901023891</v>
      </c>
      <c r="T155" s="40">
        <f t="shared" si="167"/>
        <v>0.02244389027</v>
      </c>
    </row>
    <row r="156" ht="15.75" customHeight="1">
      <c r="F156" s="24"/>
      <c r="G156" s="19">
        <f>$G$26</f>
        <v>18</v>
      </c>
      <c r="H156" s="20">
        <v>496.0</v>
      </c>
      <c r="I156" s="20">
        <v>181.0</v>
      </c>
      <c r="J156" s="20">
        <v>1.0</v>
      </c>
      <c r="K156" s="20">
        <v>18.0</v>
      </c>
      <c r="L156" s="20">
        <v>17.0</v>
      </c>
      <c r="N156" s="24"/>
      <c r="O156" s="19">
        <f>$G$26</f>
        <v>18</v>
      </c>
      <c r="P156" s="40">
        <f t="shared" ref="P156:T156" si="168">H156/H$162</f>
        <v>0.0559377467</v>
      </c>
      <c r="Q156" s="40">
        <f t="shared" si="168"/>
        <v>0.05351862803</v>
      </c>
      <c r="R156" s="40">
        <f t="shared" si="168"/>
        <v>0.005494505495</v>
      </c>
      <c r="S156" s="40">
        <f t="shared" si="168"/>
        <v>0.03071672355</v>
      </c>
      <c r="T156" s="40">
        <f t="shared" si="168"/>
        <v>0.02119700748</v>
      </c>
    </row>
    <row r="157" ht="15.75" customHeight="1">
      <c r="F157" s="24"/>
      <c r="G157" s="19">
        <f>$G$27</f>
        <v>19</v>
      </c>
      <c r="H157" s="20">
        <v>468.0</v>
      </c>
      <c r="I157" s="20">
        <v>117.0</v>
      </c>
      <c r="J157" s="20">
        <v>7.0</v>
      </c>
      <c r="K157" s="20">
        <v>17.0</v>
      </c>
      <c r="L157" s="20">
        <v>5.0</v>
      </c>
      <c r="N157" s="24"/>
      <c r="O157" s="19">
        <f>$G$27</f>
        <v>19</v>
      </c>
      <c r="P157" s="40">
        <f t="shared" ref="P157:T157" si="169">H157/H$162</f>
        <v>0.05277997068</v>
      </c>
      <c r="Q157" s="40">
        <f t="shared" si="169"/>
        <v>0.03459491425</v>
      </c>
      <c r="R157" s="40">
        <f t="shared" si="169"/>
        <v>0.03846153846</v>
      </c>
      <c r="S157" s="40">
        <f t="shared" si="169"/>
        <v>0.02901023891</v>
      </c>
      <c r="T157" s="40">
        <f t="shared" si="169"/>
        <v>0.006234413965</v>
      </c>
    </row>
    <row r="158" ht="15.75" customHeight="1">
      <c r="F158" s="24"/>
      <c r="G158" s="19">
        <f>$G$28</f>
        <v>20</v>
      </c>
      <c r="H158" s="20">
        <v>384.0</v>
      </c>
      <c r="I158" s="20">
        <v>106.0</v>
      </c>
      <c r="J158" s="20">
        <v>2.0</v>
      </c>
      <c r="K158" s="20">
        <v>7.0</v>
      </c>
      <c r="L158" s="20">
        <v>9.0</v>
      </c>
      <c r="N158" s="24"/>
      <c r="O158" s="19">
        <f>$G$28</f>
        <v>20</v>
      </c>
      <c r="P158" s="40">
        <f t="shared" ref="P158:T158" si="170">H158/H$162</f>
        <v>0.04330664261</v>
      </c>
      <c r="Q158" s="40">
        <f t="shared" si="170"/>
        <v>0.03134240095</v>
      </c>
      <c r="R158" s="40">
        <f t="shared" si="170"/>
        <v>0.01098901099</v>
      </c>
      <c r="S158" s="40">
        <f t="shared" si="170"/>
        <v>0.01194539249</v>
      </c>
      <c r="T158" s="40">
        <f t="shared" si="170"/>
        <v>0.01122194514</v>
      </c>
    </row>
    <row r="159" ht="15.75" customHeight="1">
      <c r="F159" s="24"/>
      <c r="G159" s="19">
        <f>$G$29</f>
        <v>21</v>
      </c>
      <c r="H159" s="20">
        <v>347.0</v>
      </c>
      <c r="I159" s="20">
        <v>92.0</v>
      </c>
      <c r="J159" s="20">
        <v>1.0</v>
      </c>
      <c r="K159" s="20">
        <v>6.0</v>
      </c>
      <c r="L159" s="20">
        <v>9.0</v>
      </c>
      <c r="N159" s="24"/>
      <c r="O159" s="19">
        <f>$G$29</f>
        <v>21</v>
      </c>
      <c r="P159" s="40">
        <f t="shared" ref="P159:T159" si="171">H159/H$162</f>
        <v>0.03913386715</v>
      </c>
      <c r="Q159" s="40">
        <f t="shared" si="171"/>
        <v>0.02720283856</v>
      </c>
      <c r="R159" s="40">
        <f t="shared" si="171"/>
        <v>0.005494505495</v>
      </c>
      <c r="S159" s="40">
        <f t="shared" si="171"/>
        <v>0.01023890785</v>
      </c>
      <c r="T159" s="40">
        <f t="shared" si="171"/>
        <v>0.01122194514</v>
      </c>
    </row>
    <row r="160" ht="15.75" customHeight="1">
      <c r="F160" s="24"/>
      <c r="G160" s="19">
        <f>$G$30</f>
        <v>22</v>
      </c>
      <c r="H160" s="20">
        <v>292.0</v>
      </c>
      <c r="I160" s="20">
        <v>60.0</v>
      </c>
      <c r="J160" s="20">
        <v>1.0</v>
      </c>
      <c r="K160" s="20">
        <v>12.0</v>
      </c>
      <c r="L160" s="20">
        <v>5.0</v>
      </c>
      <c r="N160" s="24"/>
      <c r="O160" s="19">
        <f>$G$30</f>
        <v>22</v>
      </c>
      <c r="P160" s="40">
        <f t="shared" ref="P160:T160" si="172">H160/H$162</f>
        <v>0.03293109282</v>
      </c>
      <c r="Q160" s="40">
        <f t="shared" si="172"/>
        <v>0.01774098167</v>
      </c>
      <c r="R160" s="40">
        <f t="shared" si="172"/>
        <v>0.005494505495</v>
      </c>
      <c r="S160" s="40">
        <f t="shared" si="172"/>
        <v>0.0204778157</v>
      </c>
      <c r="T160" s="40">
        <f t="shared" si="172"/>
        <v>0.006234413965</v>
      </c>
    </row>
    <row r="161" ht="15.75" customHeight="1">
      <c r="F161" s="28"/>
      <c r="G161" s="19">
        <f>$G$31</f>
        <v>23</v>
      </c>
      <c r="H161" s="20">
        <v>136.0</v>
      </c>
      <c r="I161" s="20">
        <v>43.0</v>
      </c>
      <c r="J161" s="20">
        <v>2.0</v>
      </c>
      <c r="K161" s="20">
        <v>7.0</v>
      </c>
      <c r="L161" s="20">
        <v>8.0</v>
      </c>
      <c r="N161" s="28"/>
      <c r="O161" s="19">
        <f>$G$31</f>
        <v>23</v>
      </c>
      <c r="P161" s="40">
        <f t="shared" ref="P161:T161" si="173">H161/H$162</f>
        <v>0.01533776926</v>
      </c>
      <c r="Q161" s="40">
        <f t="shared" si="173"/>
        <v>0.0127143702</v>
      </c>
      <c r="R161" s="40">
        <f t="shared" si="173"/>
        <v>0.01098901099</v>
      </c>
      <c r="S161" s="40">
        <f t="shared" si="173"/>
        <v>0.01194539249</v>
      </c>
      <c r="T161" s="40">
        <f t="shared" si="173"/>
        <v>0.009975062344</v>
      </c>
    </row>
    <row r="162" ht="15.75" customHeight="1">
      <c r="F162" s="111"/>
      <c r="G162" s="112"/>
      <c r="H162" s="26">
        <f t="shared" ref="H162:L162" si="174">SUM(H138:H161)</f>
        <v>8867</v>
      </c>
      <c r="I162" s="26">
        <f t="shared" si="174"/>
        <v>3382</v>
      </c>
      <c r="J162" s="26">
        <f t="shared" si="174"/>
        <v>182</v>
      </c>
      <c r="K162" s="26">
        <f t="shared" si="174"/>
        <v>586</v>
      </c>
      <c r="L162" s="26">
        <f t="shared" si="174"/>
        <v>802</v>
      </c>
    </row>
    <row r="163" ht="15.75" customHeight="1">
      <c r="G163" s="16"/>
      <c r="H163" s="17">
        <f>$H$7</f>
        <v>31</v>
      </c>
      <c r="I163" s="17">
        <f>$I$7</f>
        <v>32</v>
      </c>
      <c r="J163" s="17">
        <f>$J$7</f>
        <v>41</v>
      </c>
      <c r="K163" s="17">
        <f>$K$7</f>
        <v>42</v>
      </c>
      <c r="L163" s="17">
        <f>$L$7</f>
        <v>5</v>
      </c>
      <c r="O163" s="16"/>
      <c r="P163" s="17">
        <f>$H$7</f>
        <v>31</v>
      </c>
      <c r="Q163" s="17">
        <f>$I$7</f>
        <v>32</v>
      </c>
      <c r="R163" s="17">
        <f>$J$7</f>
        <v>41</v>
      </c>
      <c r="S163" s="17">
        <f>$K$7</f>
        <v>42</v>
      </c>
      <c r="T163" s="17">
        <f>$L$7</f>
        <v>5</v>
      </c>
    </row>
    <row r="164" ht="15.75" customHeight="1">
      <c r="F164" s="56">
        <v>45213.0</v>
      </c>
      <c r="G164" s="19">
        <f>$G$8</f>
        <v>0</v>
      </c>
      <c r="H164" s="20">
        <v>109.0</v>
      </c>
      <c r="I164" s="20">
        <v>32.0</v>
      </c>
      <c r="J164" s="20">
        <v>2.0</v>
      </c>
      <c r="K164" s="20">
        <v>13.0</v>
      </c>
      <c r="L164" s="20">
        <v>14.0</v>
      </c>
      <c r="N164" s="56">
        <v>45213.0</v>
      </c>
      <c r="O164" s="19">
        <f>$G$8</f>
        <v>0</v>
      </c>
      <c r="P164" s="40">
        <f t="shared" ref="P164:T164" si="175">H164/H$188</f>
        <v>0.008830200907</v>
      </c>
      <c r="Q164" s="40">
        <f t="shared" si="175"/>
        <v>0.008891358711</v>
      </c>
      <c r="R164" s="40">
        <f t="shared" si="175"/>
        <v>0.007272727273</v>
      </c>
      <c r="S164" s="40">
        <f t="shared" si="175"/>
        <v>0.04153354633</v>
      </c>
      <c r="T164" s="40">
        <f t="shared" si="175"/>
        <v>0.02460456942</v>
      </c>
    </row>
    <row r="165" ht="15.75" customHeight="1">
      <c r="F165" s="24"/>
      <c r="G165" s="19">
        <f>$G$9</f>
        <v>1</v>
      </c>
      <c r="H165" s="20">
        <v>76.0</v>
      </c>
      <c r="I165" s="20">
        <v>19.0</v>
      </c>
      <c r="J165" s="20">
        <v>0.0</v>
      </c>
      <c r="K165" s="20">
        <v>8.0</v>
      </c>
      <c r="L165" s="20">
        <v>9.0</v>
      </c>
      <c r="N165" s="24"/>
      <c r="O165" s="19">
        <f>$G$9</f>
        <v>1</v>
      </c>
      <c r="P165" s="40">
        <f t="shared" ref="P165:T165" si="176">H165/H$188</f>
        <v>0.00615683733</v>
      </c>
      <c r="Q165" s="40">
        <f t="shared" si="176"/>
        <v>0.005279244235</v>
      </c>
      <c r="R165" s="40">
        <f t="shared" si="176"/>
        <v>0</v>
      </c>
      <c r="S165" s="40">
        <f t="shared" si="176"/>
        <v>0.02555910543</v>
      </c>
      <c r="T165" s="40">
        <f t="shared" si="176"/>
        <v>0.0158172232</v>
      </c>
    </row>
    <row r="166" ht="15.75" customHeight="1">
      <c r="F166" s="24"/>
      <c r="G166" s="19">
        <f>$G$10</f>
        <v>2</v>
      </c>
      <c r="H166" s="16">
        <v>78.0</v>
      </c>
      <c r="I166" s="16">
        <v>30.0</v>
      </c>
      <c r="J166" s="16">
        <v>1.0</v>
      </c>
      <c r="K166" s="16">
        <v>6.0</v>
      </c>
      <c r="L166" s="16">
        <v>8.0</v>
      </c>
      <c r="N166" s="24"/>
      <c r="O166" s="19">
        <f>$G$10</f>
        <v>2</v>
      </c>
      <c r="P166" s="40">
        <f t="shared" ref="P166:T166" si="177">H166/H$188</f>
        <v>0.006318859365</v>
      </c>
      <c r="Q166" s="40">
        <f t="shared" si="177"/>
        <v>0.008335648791</v>
      </c>
      <c r="R166" s="40">
        <f t="shared" si="177"/>
        <v>0.003636363636</v>
      </c>
      <c r="S166" s="40">
        <f t="shared" si="177"/>
        <v>0.01916932907</v>
      </c>
      <c r="T166" s="40">
        <f t="shared" si="177"/>
        <v>0.01405975395</v>
      </c>
    </row>
    <row r="167" ht="15.75" customHeight="1">
      <c r="F167" s="24"/>
      <c r="G167" s="19">
        <f>$G$11</f>
        <v>3</v>
      </c>
      <c r="H167" s="20">
        <v>83.0</v>
      </c>
      <c r="I167" s="20">
        <v>37.0</v>
      </c>
      <c r="J167" s="20">
        <v>0.0</v>
      </c>
      <c r="K167" s="20">
        <v>11.0</v>
      </c>
      <c r="L167" s="20">
        <v>10.0</v>
      </c>
      <c r="N167" s="24"/>
      <c r="O167" s="19">
        <f>$G$11</f>
        <v>3</v>
      </c>
      <c r="P167" s="40">
        <f t="shared" ref="P167:T167" si="178">H167/H$188</f>
        <v>0.006723914452</v>
      </c>
      <c r="Q167" s="40">
        <f t="shared" si="178"/>
        <v>0.01028063351</v>
      </c>
      <c r="R167" s="40">
        <f t="shared" si="178"/>
        <v>0</v>
      </c>
      <c r="S167" s="40">
        <f t="shared" si="178"/>
        <v>0.03514376997</v>
      </c>
      <c r="T167" s="40">
        <f t="shared" si="178"/>
        <v>0.01757469244</v>
      </c>
    </row>
    <row r="168" ht="15.75" customHeight="1">
      <c r="F168" s="24"/>
      <c r="G168" s="19">
        <f>$G$12</f>
        <v>4</v>
      </c>
      <c r="H168" s="20">
        <v>151.0</v>
      </c>
      <c r="I168" s="20">
        <v>70.0</v>
      </c>
      <c r="J168" s="20">
        <v>1.0</v>
      </c>
      <c r="K168" s="20">
        <v>17.0</v>
      </c>
      <c r="L168" s="20">
        <v>13.0</v>
      </c>
      <c r="N168" s="24"/>
      <c r="O168" s="19">
        <f>$G$12</f>
        <v>4</v>
      </c>
      <c r="P168" s="40">
        <f t="shared" ref="P168:T168" si="179">H168/H$188</f>
        <v>0.01223266364</v>
      </c>
      <c r="Q168" s="40">
        <f t="shared" si="179"/>
        <v>0.01944984718</v>
      </c>
      <c r="R168" s="40">
        <f t="shared" si="179"/>
        <v>0.003636363636</v>
      </c>
      <c r="S168" s="40">
        <f t="shared" si="179"/>
        <v>0.05431309904</v>
      </c>
      <c r="T168" s="40">
        <f t="shared" si="179"/>
        <v>0.02284710018</v>
      </c>
    </row>
    <row r="169" ht="15.75" customHeight="1">
      <c r="F169" s="24"/>
      <c r="G169" s="19">
        <f>$G$13</f>
        <v>5</v>
      </c>
      <c r="H169" s="20">
        <v>269.0</v>
      </c>
      <c r="I169" s="20">
        <v>116.0</v>
      </c>
      <c r="J169" s="20">
        <v>9.0</v>
      </c>
      <c r="K169" s="20">
        <v>16.0</v>
      </c>
      <c r="L169" s="20">
        <v>16.0</v>
      </c>
      <c r="N169" s="24"/>
      <c r="O169" s="19">
        <f>$G$13</f>
        <v>5</v>
      </c>
      <c r="P169" s="40">
        <f t="shared" ref="P169:T169" si="180">H169/H$188</f>
        <v>0.02179196371</v>
      </c>
      <c r="Q169" s="40">
        <f t="shared" si="180"/>
        <v>0.03223117533</v>
      </c>
      <c r="R169" s="40">
        <f t="shared" si="180"/>
        <v>0.03272727273</v>
      </c>
      <c r="S169" s="40">
        <f t="shared" si="180"/>
        <v>0.05111821086</v>
      </c>
      <c r="T169" s="40">
        <f t="shared" si="180"/>
        <v>0.02811950791</v>
      </c>
    </row>
    <row r="170" ht="15.75" customHeight="1">
      <c r="F170" s="24"/>
      <c r="G170" s="19">
        <f>$G$14</f>
        <v>6</v>
      </c>
      <c r="H170" s="20">
        <v>548.0</v>
      </c>
      <c r="I170" s="20">
        <v>196.0</v>
      </c>
      <c r="J170" s="20">
        <v>36.0</v>
      </c>
      <c r="K170" s="20">
        <v>26.0</v>
      </c>
      <c r="L170" s="20">
        <v>35.0</v>
      </c>
      <c r="N170" s="24"/>
      <c r="O170" s="19">
        <f>$G$14</f>
        <v>6</v>
      </c>
      <c r="P170" s="40">
        <f t="shared" ref="P170:T170" si="181">H170/H$188</f>
        <v>0.04439403759</v>
      </c>
      <c r="Q170" s="40">
        <f t="shared" si="181"/>
        <v>0.0544595721</v>
      </c>
      <c r="R170" s="40">
        <f t="shared" si="181"/>
        <v>0.1309090909</v>
      </c>
      <c r="S170" s="40">
        <f t="shared" si="181"/>
        <v>0.08306709265</v>
      </c>
      <c r="T170" s="40">
        <f t="shared" si="181"/>
        <v>0.06151142355</v>
      </c>
    </row>
    <row r="171" ht="15.75" customHeight="1">
      <c r="F171" s="24"/>
      <c r="G171" s="19">
        <f>$G$15</f>
        <v>7</v>
      </c>
      <c r="H171" s="20">
        <v>892.0</v>
      </c>
      <c r="I171" s="20">
        <v>270.0</v>
      </c>
      <c r="J171" s="20">
        <v>71.0</v>
      </c>
      <c r="K171" s="20">
        <v>32.0</v>
      </c>
      <c r="L171" s="20">
        <v>44.0</v>
      </c>
      <c r="N171" s="24"/>
      <c r="O171" s="19">
        <f>$G$15</f>
        <v>7</v>
      </c>
      <c r="P171" s="40">
        <f t="shared" ref="P171:T171" si="182">H171/H$188</f>
        <v>0.07226182761</v>
      </c>
      <c r="Q171" s="40">
        <f t="shared" si="182"/>
        <v>0.07502083912</v>
      </c>
      <c r="R171" s="40">
        <f t="shared" si="182"/>
        <v>0.2581818182</v>
      </c>
      <c r="S171" s="40">
        <f t="shared" si="182"/>
        <v>0.1022364217</v>
      </c>
      <c r="T171" s="40">
        <f t="shared" si="182"/>
        <v>0.07732864675</v>
      </c>
    </row>
    <row r="172" ht="15.75" customHeight="1">
      <c r="F172" s="24"/>
      <c r="G172" s="19">
        <f>$G$16</f>
        <v>8</v>
      </c>
      <c r="H172" s="20">
        <v>1167.0</v>
      </c>
      <c r="I172" s="20">
        <v>366.0</v>
      </c>
      <c r="J172" s="20">
        <v>36.0</v>
      </c>
      <c r="K172" s="20">
        <v>21.0</v>
      </c>
      <c r="L172" s="20">
        <v>54.0</v>
      </c>
      <c r="N172" s="24"/>
      <c r="O172" s="19">
        <f>$G$16</f>
        <v>8</v>
      </c>
      <c r="P172" s="40">
        <f t="shared" ref="P172:T172" si="183">H172/H$188</f>
        <v>0.09453985742</v>
      </c>
      <c r="Q172" s="40">
        <f t="shared" si="183"/>
        <v>0.1016949153</v>
      </c>
      <c r="R172" s="40">
        <f t="shared" si="183"/>
        <v>0.1309090909</v>
      </c>
      <c r="S172" s="40">
        <f t="shared" si="183"/>
        <v>0.06709265176</v>
      </c>
      <c r="T172" s="40">
        <f t="shared" si="183"/>
        <v>0.09490333919</v>
      </c>
    </row>
    <row r="173" ht="15.75" customHeight="1">
      <c r="F173" s="24"/>
      <c r="G173" s="19">
        <f>$G$17</f>
        <v>9</v>
      </c>
      <c r="H173" s="20">
        <v>1282.0</v>
      </c>
      <c r="I173" s="20">
        <v>347.0</v>
      </c>
      <c r="J173" s="20">
        <v>23.0</v>
      </c>
      <c r="K173" s="20">
        <v>21.0</v>
      </c>
      <c r="L173" s="20">
        <v>61.0</v>
      </c>
      <c r="N173" s="24"/>
      <c r="O173" s="19">
        <f>$G$17</f>
        <v>9</v>
      </c>
      <c r="P173" s="40">
        <f t="shared" ref="P173:T173" si="184">H173/H$188</f>
        <v>0.1038561244</v>
      </c>
      <c r="Q173" s="40">
        <f t="shared" si="184"/>
        <v>0.09641567102</v>
      </c>
      <c r="R173" s="40">
        <f t="shared" si="184"/>
        <v>0.08363636364</v>
      </c>
      <c r="S173" s="40">
        <f t="shared" si="184"/>
        <v>0.06709265176</v>
      </c>
      <c r="T173" s="40">
        <f t="shared" si="184"/>
        <v>0.1072056239</v>
      </c>
    </row>
    <row r="174" ht="15.75" customHeight="1">
      <c r="F174" s="24"/>
      <c r="G174" s="19">
        <f>$G$18</f>
        <v>10</v>
      </c>
      <c r="H174" s="20">
        <v>1195.0</v>
      </c>
      <c r="I174" s="20">
        <v>268.0</v>
      </c>
      <c r="J174" s="20">
        <v>11.0</v>
      </c>
      <c r="K174" s="20">
        <v>27.0</v>
      </c>
      <c r="L174" s="20">
        <v>53.0</v>
      </c>
      <c r="N174" s="24"/>
      <c r="O174" s="19">
        <f>$G$18</f>
        <v>10</v>
      </c>
      <c r="P174" s="40">
        <f t="shared" ref="P174:T174" si="185">H174/H$188</f>
        <v>0.09680816591</v>
      </c>
      <c r="Q174" s="40">
        <f t="shared" si="185"/>
        <v>0.0744651292</v>
      </c>
      <c r="R174" s="40">
        <f t="shared" si="185"/>
        <v>0.04</v>
      </c>
      <c r="S174" s="40">
        <f t="shared" si="185"/>
        <v>0.08626198083</v>
      </c>
      <c r="T174" s="40">
        <f t="shared" si="185"/>
        <v>0.09314586995</v>
      </c>
    </row>
    <row r="175" ht="15.75" customHeight="1">
      <c r="F175" s="24"/>
      <c r="G175" s="19">
        <f>$G$19</f>
        <v>11</v>
      </c>
      <c r="H175" s="20">
        <v>691.0</v>
      </c>
      <c r="I175" s="20">
        <v>213.0</v>
      </c>
      <c r="J175" s="20">
        <v>8.0</v>
      </c>
      <c r="K175" s="20">
        <v>13.0</v>
      </c>
      <c r="L175" s="20">
        <v>53.0</v>
      </c>
      <c r="N175" s="24"/>
      <c r="O175" s="19">
        <f>$G$19</f>
        <v>11</v>
      </c>
      <c r="P175" s="40">
        <f t="shared" ref="P175:T175" si="186">H175/H$188</f>
        <v>0.05597861309</v>
      </c>
      <c r="Q175" s="40">
        <f t="shared" si="186"/>
        <v>0.05918310642</v>
      </c>
      <c r="R175" s="40">
        <f t="shared" si="186"/>
        <v>0.02909090909</v>
      </c>
      <c r="S175" s="40">
        <f t="shared" si="186"/>
        <v>0.04153354633</v>
      </c>
      <c r="T175" s="40">
        <f t="shared" si="186"/>
        <v>0.09314586995</v>
      </c>
    </row>
    <row r="176" ht="15.75" customHeight="1">
      <c r="F176" s="24"/>
      <c r="G176" s="19">
        <f>$G$20</f>
        <v>12</v>
      </c>
      <c r="H176" s="20">
        <v>775.0</v>
      </c>
      <c r="I176" s="20">
        <v>200.0</v>
      </c>
      <c r="J176" s="20">
        <v>5.0</v>
      </c>
      <c r="K176" s="20">
        <v>17.0</v>
      </c>
      <c r="L176" s="20">
        <v>42.0</v>
      </c>
      <c r="N176" s="24"/>
      <c r="O176" s="19">
        <f>$G$20</f>
        <v>12</v>
      </c>
      <c r="P176" s="40">
        <f t="shared" ref="P176:T176" si="187">H176/H$188</f>
        <v>0.06278353856</v>
      </c>
      <c r="Q176" s="40">
        <f t="shared" si="187"/>
        <v>0.05557099194</v>
      </c>
      <c r="R176" s="40">
        <f t="shared" si="187"/>
        <v>0.01818181818</v>
      </c>
      <c r="S176" s="40">
        <f t="shared" si="187"/>
        <v>0.05431309904</v>
      </c>
      <c r="T176" s="40">
        <f t="shared" si="187"/>
        <v>0.07381370826</v>
      </c>
    </row>
    <row r="177" ht="15.75" customHeight="1">
      <c r="F177" s="24"/>
      <c r="G177" s="19">
        <f>$G$21</f>
        <v>13</v>
      </c>
      <c r="H177" s="20">
        <v>855.0</v>
      </c>
      <c r="I177" s="20">
        <v>209.0</v>
      </c>
      <c r="J177" s="20">
        <v>16.0</v>
      </c>
      <c r="K177" s="20">
        <v>8.0</v>
      </c>
      <c r="L177" s="20">
        <v>31.0</v>
      </c>
      <c r="N177" s="24"/>
      <c r="O177" s="19">
        <f>$G$21</f>
        <v>13</v>
      </c>
      <c r="P177" s="40">
        <f t="shared" ref="P177:T177" si="188">H177/H$188</f>
        <v>0.06926441996</v>
      </c>
      <c r="Q177" s="40">
        <f t="shared" si="188"/>
        <v>0.05807168658</v>
      </c>
      <c r="R177" s="40">
        <f t="shared" si="188"/>
        <v>0.05818181818</v>
      </c>
      <c r="S177" s="40">
        <f t="shared" si="188"/>
        <v>0.02555910543</v>
      </c>
      <c r="T177" s="40">
        <f t="shared" si="188"/>
        <v>0.05448154657</v>
      </c>
    </row>
    <row r="178" ht="15.75" customHeight="1">
      <c r="F178" s="24"/>
      <c r="G178" s="19">
        <f>$G$22</f>
        <v>14</v>
      </c>
      <c r="H178" s="20">
        <v>773.0</v>
      </c>
      <c r="I178" s="20">
        <v>207.0</v>
      </c>
      <c r="J178" s="20">
        <v>14.0</v>
      </c>
      <c r="K178" s="20">
        <v>14.0</v>
      </c>
      <c r="L178" s="20">
        <v>51.0</v>
      </c>
      <c r="N178" s="24"/>
      <c r="O178" s="19">
        <f>$G$22</f>
        <v>14</v>
      </c>
      <c r="P178" s="40">
        <f t="shared" ref="P178:T178" si="189">H178/H$188</f>
        <v>0.06262151653</v>
      </c>
      <c r="Q178" s="40">
        <f t="shared" si="189"/>
        <v>0.05751597666</v>
      </c>
      <c r="R178" s="40">
        <f t="shared" si="189"/>
        <v>0.05090909091</v>
      </c>
      <c r="S178" s="40">
        <f t="shared" si="189"/>
        <v>0.0447284345</v>
      </c>
      <c r="T178" s="40">
        <f t="shared" si="189"/>
        <v>0.08963093146</v>
      </c>
    </row>
    <row r="179" ht="15.75" customHeight="1">
      <c r="F179" s="24"/>
      <c r="G179" s="19">
        <f>$G$23</f>
        <v>15</v>
      </c>
      <c r="H179" s="20">
        <v>674.0</v>
      </c>
      <c r="I179" s="20">
        <v>194.0</v>
      </c>
      <c r="J179" s="20">
        <v>18.0</v>
      </c>
      <c r="K179" s="20">
        <v>11.0</v>
      </c>
      <c r="L179" s="20">
        <v>25.0</v>
      </c>
      <c r="N179" s="24"/>
      <c r="O179" s="19">
        <f>$G$23</f>
        <v>15</v>
      </c>
      <c r="P179" s="40">
        <f t="shared" ref="P179:T179" si="190">H179/H$188</f>
        <v>0.05460142579</v>
      </c>
      <c r="Q179" s="40">
        <f t="shared" si="190"/>
        <v>0.05390386218</v>
      </c>
      <c r="R179" s="40">
        <f t="shared" si="190"/>
        <v>0.06545454545</v>
      </c>
      <c r="S179" s="40">
        <f t="shared" si="190"/>
        <v>0.03514376997</v>
      </c>
      <c r="T179" s="40">
        <f t="shared" si="190"/>
        <v>0.04393673111</v>
      </c>
    </row>
    <row r="180" ht="15.75" customHeight="1">
      <c r="F180" s="24"/>
      <c r="G180" s="19">
        <f>$G$24</f>
        <v>16</v>
      </c>
      <c r="H180" s="20">
        <v>575.0</v>
      </c>
      <c r="I180" s="20">
        <v>192.0</v>
      </c>
      <c r="J180" s="20">
        <v>6.0</v>
      </c>
      <c r="K180" s="20">
        <v>14.0</v>
      </c>
      <c r="L180" s="20">
        <v>23.0</v>
      </c>
      <c r="N180" s="24"/>
      <c r="O180" s="19">
        <f>$G$24</f>
        <v>16</v>
      </c>
      <c r="P180" s="40">
        <f t="shared" ref="P180:T180" si="191">H180/H$188</f>
        <v>0.04658133506</v>
      </c>
      <c r="Q180" s="40">
        <f t="shared" si="191"/>
        <v>0.05334815226</v>
      </c>
      <c r="R180" s="40">
        <f t="shared" si="191"/>
        <v>0.02181818182</v>
      </c>
      <c r="S180" s="40">
        <f t="shared" si="191"/>
        <v>0.0447284345</v>
      </c>
      <c r="T180" s="40">
        <f t="shared" si="191"/>
        <v>0.04042179262</v>
      </c>
    </row>
    <row r="181" ht="15.75" customHeight="1">
      <c r="F181" s="24"/>
      <c r="G181" s="19">
        <f>$G$25</f>
        <v>17</v>
      </c>
      <c r="H181" s="20">
        <v>499.0</v>
      </c>
      <c r="I181" s="20">
        <v>198.0</v>
      </c>
      <c r="J181" s="20">
        <v>4.0</v>
      </c>
      <c r="K181" s="20">
        <v>7.0</v>
      </c>
      <c r="L181" s="20">
        <v>4.0</v>
      </c>
      <c r="N181" s="24"/>
      <c r="O181" s="19">
        <f>$G$25</f>
        <v>17</v>
      </c>
      <c r="P181" s="40">
        <f t="shared" ref="P181:T181" si="192">H181/H$188</f>
        <v>0.04042449773</v>
      </c>
      <c r="Q181" s="40">
        <f t="shared" si="192"/>
        <v>0.05501528202</v>
      </c>
      <c r="R181" s="40">
        <f t="shared" si="192"/>
        <v>0.01454545455</v>
      </c>
      <c r="S181" s="40">
        <f t="shared" si="192"/>
        <v>0.02236421725</v>
      </c>
      <c r="T181" s="40">
        <f t="shared" si="192"/>
        <v>0.007029876977</v>
      </c>
    </row>
    <row r="182" ht="15.75" customHeight="1">
      <c r="F182" s="24"/>
      <c r="G182" s="19">
        <f>$G$26</f>
        <v>18</v>
      </c>
      <c r="H182" s="20">
        <v>399.0</v>
      </c>
      <c r="I182" s="20">
        <v>125.0</v>
      </c>
      <c r="J182" s="20">
        <v>1.0</v>
      </c>
      <c r="K182" s="20">
        <v>4.0</v>
      </c>
      <c r="L182" s="20">
        <v>6.0</v>
      </c>
      <c r="N182" s="24"/>
      <c r="O182" s="19">
        <f>$G$26</f>
        <v>18</v>
      </c>
      <c r="P182" s="40">
        <f t="shared" ref="P182:T182" si="193">H182/H$188</f>
        <v>0.03232339598</v>
      </c>
      <c r="Q182" s="40">
        <f t="shared" si="193"/>
        <v>0.03473186996</v>
      </c>
      <c r="R182" s="40">
        <f t="shared" si="193"/>
        <v>0.003636363636</v>
      </c>
      <c r="S182" s="40">
        <f t="shared" si="193"/>
        <v>0.01277955272</v>
      </c>
      <c r="T182" s="40">
        <f t="shared" si="193"/>
        <v>0.01054481547</v>
      </c>
    </row>
    <row r="183" ht="15.75" customHeight="1">
      <c r="F183" s="24"/>
      <c r="G183" s="19">
        <f>$G$27</f>
        <v>19</v>
      </c>
      <c r="H183" s="20">
        <v>363.0</v>
      </c>
      <c r="I183" s="20">
        <v>91.0</v>
      </c>
      <c r="J183" s="20">
        <v>3.0</v>
      </c>
      <c r="K183" s="20">
        <v>9.0</v>
      </c>
      <c r="L183" s="20">
        <v>7.0</v>
      </c>
      <c r="N183" s="24"/>
      <c r="O183" s="19">
        <f>$G$27</f>
        <v>19</v>
      </c>
      <c r="P183" s="40">
        <f t="shared" ref="P183:T183" si="194">H183/H$188</f>
        <v>0.02940699935</v>
      </c>
      <c r="Q183" s="40">
        <f t="shared" si="194"/>
        <v>0.02528480133</v>
      </c>
      <c r="R183" s="40">
        <f t="shared" si="194"/>
        <v>0.01090909091</v>
      </c>
      <c r="S183" s="40">
        <f t="shared" si="194"/>
        <v>0.02875399361</v>
      </c>
      <c r="T183" s="40">
        <f t="shared" si="194"/>
        <v>0.01230228471</v>
      </c>
    </row>
    <row r="184" ht="15.75" customHeight="1">
      <c r="F184" s="24"/>
      <c r="G184" s="19">
        <f>$G$28</f>
        <v>20</v>
      </c>
      <c r="H184" s="20">
        <v>262.0</v>
      </c>
      <c r="I184" s="20">
        <v>64.0</v>
      </c>
      <c r="J184" s="20">
        <v>5.0</v>
      </c>
      <c r="K184" s="20">
        <v>9.0</v>
      </c>
      <c r="L184" s="20">
        <v>1.0</v>
      </c>
      <c r="N184" s="24"/>
      <c r="O184" s="19">
        <f>$G$28</f>
        <v>20</v>
      </c>
      <c r="P184" s="40">
        <f t="shared" ref="P184:T184" si="195">H184/H$188</f>
        <v>0.02122488658</v>
      </c>
      <c r="Q184" s="40">
        <f t="shared" si="195"/>
        <v>0.01778271742</v>
      </c>
      <c r="R184" s="40">
        <f t="shared" si="195"/>
        <v>0.01818181818</v>
      </c>
      <c r="S184" s="40">
        <f t="shared" si="195"/>
        <v>0.02875399361</v>
      </c>
      <c r="T184" s="40">
        <f t="shared" si="195"/>
        <v>0.001757469244</v>
      </c>
    </row>
    <row r="185" ht="15.75" customHeight="1">
      <c r="F185" s="24"/>
      <c r="G185" s="19">
        <f>$G$29</f>
        <v>21</v>
      </c>
      <c r="H185" s="20">
        <v>277.0</v>
      </c>
      <c r="I185" s="20">
        <v>76.0</v>
      </c>
      <c r="J185" s="20">
        <v>3.0</v>
      </c>
      <c r="K185" s="20">
        <v>4.0</v>
      </c>
      <c r="L185" s="20">
        <v>2.0</v>
      </c>
      <c r="N185" s="24"/>
      <c r="O185" s="19">
        <f>$G$29</f>
        <v>21</v>
      </c>
      <c r="P185" s="40">
        <f t="shared" ref="P185:T185" si="196">H185/H$188</f>
        <v>0.02244005185</v>
      </c>
      <c r="Q185" s="40">
        <f t="shared" si="196"/>
        <v>0.02111697694</v>
      </c>
      <c r="R185" s="40">
        <f t="shared" si="196"/>
        <v>0.01090909091</v>
      </c>
      <c r="S185" s="40">
        <f t="shared" si="196"/>
        <v>0.01277955272</v>
      </c>
      <c r="T185" s="40">
        <f t="shared" si="196"/>
        <v>0.003514938489</v>
      </c>
    </row>
    <row r="186" ht="15.75" customHeight="1">
      <c r="F186" s="24"/>
      <c r="G186" s="19">
        <f>$G$30</f>
        <v>22</v>
      </c>
      <c r="H186" s="20">
        <v>198.0</v>
      </c>
      <c r="I186" s="20">
        <v>42.0</v>
      </c>
      <c r="J186" s="20">
        <v>1.0</v>
      </c>
      <c r="K186" s="20">
        <v>3.0</v>
      </c>
      <c r="L186" s="20">
        <v>3.0</v>
      </c>
      <c r="N186" s="24"/>
      <c r="O186" s="19">
        <f>$G$30</f>
        <v>22</v>
      </c>
      <c r="P186" s="40">
        <f t="shared" ref="P186:T186" si="197">H186/H$188</f>
        <v>0.01604018146</v>
      </c>
      <c r="Q186" s="40">
        <f t="shared" si="197"/>
        <v>0.01166990831</v>
      </c>
      <c r="R186" s="40">
        <f t="shared" si="197"/>
        <v>0.003636363636</v>
      </c>
      <c r="S186" s="40">
        <f t="shared" si="197"/>
        <v>0.009584664537</v>
      </c>
      <c r="T186" s="40">
        <f t="shared" si="197"/>
        <v>0.005272407733</v>
      </c>
    </row>
    <row r="187" ht="15.75" customHeight="1">
      <c r="F187" s="28"/>
      <c r="G187" s="19">
        <f>$G$31</f>
        <v>23</v>
      </c>
      <c r="H187" s="20">
        <v>153.0</v>
      </c>
      <c r="I187" s="20">
        <v>37.0</v>
      </c>
      <c r="J187" s="20">
        <v>1.0</v>
      </c>
      <c r="K187" s="20">
        <v>2.0</v>
      </c>
      <c r="L187" s="20">
        <v>4.0</v>
      </c>
      <c r="N187" s="28"/>
      <c r="O187" s="19">
        <f>$G$31</f>
        <v>23</v>
      </c>
      <c r="P187" s="40">
        <f t="shared" ref="P187:T187" si="198">H187/H$188</f>
        <v>0.01239468568</v>
      </c>
      <c r="Q187" s="40">
        <f t="shared" si="198"/>
        <v>0.01028063351</v>
      </c>
      <c r="R187" s="40">
        <f t="shared" si="198"/>
        <v>0.003636363636</v>
      </c>
      <c r="S187" s="40">
        <f t="shared" si="198"/>
        <v>0.006389776358</v>
      </c>
      <c r="T187" s="40">
        <f t="shared" si="198"/>
        <v>0.007029876977</v>
      </c>
    </row>
    <row r="188" ht="15.75" customHeight="1">
      <c r="F188" s="111"/>
      <c r="G188" s="112"/>
      <c r="H188" s="26">
        <f t="shared" ref="H188:L188" si="199">SUM(H164:H187)</f>
        <v>12344</v>
      </c>
      <c r="I188" s="26">
        <f t="shared" si="199"/>
        <v>3599</v>
      </c>
      <c r="J188" s="26">
        <f t="shared" si="199"/>
        <v>275</v>
      </c>
      <c r="K188" s="26">
        <f t="shared" si="199"/>
        <v>313</v>
      </c>
      <c r="L188" s="26">
        <f t="shared" si="199"/>
        <v>569</v>
      </c>
    </row>
    <row r="189" ht="15.75" customHeight="1">
      <c r="G189" s="16"/>
      <c r="H189" s="17">
        <f>$H$7</f>
        <v>31</v>
      </c>
      <c r="I189" s="17">
        <f>$I$7</f>
        <v>32</v>
      </c>
      <c r="J189" s="17">
        <f>$J$7</f>
        <v>41</v>
      </c>
      <c r="K189" s="17">
        <f>$K$7</f>
        <v>42</v>
      </c>
      <c r="L189" s="17">
        <f>$L$7</f>
        <v>5</v>
      </c>
      <c r="O189" s="16"/>
      <c r="P189" s="17">
        <f>$H$7</f>
        <v>31</v>
      </c>
      <c r="Q189" s="17">
        <f>$I$7</f>
        <v>32</v>
      </c>
      <c r="R189" s="17">
        <f>$J$7</f>
        <v>41</v>
      </c>
      <c r="S189" s="17">
        <f>$K$7</f>
        <v>42</v>
      </c>
      <c r="T189" s="17">
        <f>$L$7</f>
        <v>5</v>
      </c>
    </row>
    <row r="190" ht="15.75" customHeight="1">
      <c r="F190" s="56">
        <v>45214.0</v>
      </c>
      <c r="G190" s="19">
        <f>$G$8</f>
        <v>0</v>
      </c>
      <c r="H190" s="20">
        <v>103.0</v>
      </c>
      <c r="I190" s="20">
        <v>17.0</v>
      </c>
      <c r="J190" s="20">
        <v>0.0</v>
      </c>
      <c r="K190" s="20">
        <v>4.0</v>
      </c>
      <c r="L190" s="20">
        <v>1.0</v>
      </c>
      <c r="N190" s="56">
        <v>45214.0</v>
      </c>
      <c r="O190" s="19">
        <f>$G$8</f>
        <v>0</v>
      </c>
      <c r="P190" s="40">
        <f t="shared" ref="P190:T190" si="200">H190/H$214</f>
        <v>0.00967590418</v>
      </c>
      <c r="Q190" s="40">
        <f t="shared" si="200"/>
        <v>0.005811965812</v>
      </c>
      <c r="R190" s="40">
        <f t="shared" si="200"/>
        <v>0</v>
      </c>
      <c r="S190" s="40">
        <f t="shared" si="200"/>
        <v>0.0243902439</v>
      </c>
      <c r="T190" s="40">
        <f t="shared" si="200"/>
        <v>0.004132231405</v>
      </c>
    </row>
    <row r="191" ht="15.75" customHeight="1">
      <c r="F191" s="24"/>
      <c r="G191" s="19">
        <f>$G$9</f>
        <v>1</v>
      </c>
      <c r="H191" s="20">
        <v>60.0</v>
      </c>
      <c r="I191" s="20">
        <v>23.0</v>
      </c>
      <c r="J191" s="20">
        <v>2.0</v>
      </c>
      <c r="K191" s="20">
        <v>7.0</v>
      </c>
      <c r="L191" s="20">
        <v>3.0</v>
      </c>
      <c r="N191" s="24"/>
      <c r="O191" s="19">
        <f>$G$9</f>
        <v>1</v>
      </c>
      <c r="P191" s="40">
        <f t="shared" ref="P191:T191" si="201">H191/H$214</f>
        <v>0.005636449037</v>
      </c>
      <c r="Q191" s="40">
        <f t="shared" si="201"/>
        <v>0.007863247863</v>
      </c>
      <c r="R191" s="40">
        <f t="shared" si="201"/>
        <v>0.01092896175</v>
      </c>
      <c r="S191" s="40">
        <f t="shared" si="201"/>
        <v>0.04268292683</v>
      </c>
      <c r="T191" s="40">
        <f t="shared" si="201"/>
        <v>0.01239669421</v>
      </c>
    </row>
    <row r="192" ht="15.75" customHeight="1">
      <c r="F192" s="24"/>
      <c r="G192" s="19">
        <f>$G$10</f>
        <v>2</v>
      </c>
      <c r="H192" s="16">
        <v>59.0</v>
      </c>
      <c r="I192" s="16">
        <v>15.0</v>
      </c>
      <c r="J192" s="16">
        <v>0.0</v>
      </c>
      <c r="K192" s="16">
        <v>1.0</v>
      </c>
      <c r="L192" s="16">
        <v>2.0</v>
      </c>
      <c r="N192" s="24"/>
      <c r="O192" s="19">
        <f>$G$10</f>
        <v>2</v>
      </c>
      <c r="P192" s="40">
        <f t="shared" ref="P192:T192" si="202">H192/H$214</f>
        <v>0.00554250822</v>
      </c>
      <c r="Q192" s="40">
        <f t="shared" si="202"/>
        <v>0.005128205128</v>
      </c>
      <c r="R192" s="40">
        <f t="shared" si="202"/>
        <v>0</v>
      </c>
      <c r="S192" s="40">
        <f t="shared" si="202"/>
        <v>0.006097560976</v>
      </c>
      <c r="T192" s="40">
        <f t="shared" si="202"/>
        <v>0.00826446281</v>
      </c>
    </row>
    <row r="193" ht="15.75" customHeight="1">
      <c r="F193" s="24"/>
      <c r="G193" s="19">
        <f>$G$11</f>
        <v>3</v>
      </c>
      <c r="H193" s="20">
        <v>54.0</v>
      </c>
      <c r="I193" s="20">
        <v>26.0</v>
      </c>
      <c r="J193" s="20">
        <v>1.0</v>
      </c>
      <c r="K193" s="20">
        <v>1.0</v>
      </c>
      <c r="L193" s="20">
        <v>4.0</v>
      </c>
      <c r="N193" s="24"/>
      <c r="O193" s="19">
        <f>$G$11</f>
        <v>3</v>
      </c>
      <c r="P193" s="40">
        <f t="shared" ref="P193:T193" si="203">H193/H$214</f>
        <v>0.005072804133</v>
      </c>
      <c r="Q193" s="40">
        <f t="shared" si="203"/>
        <v>0.008888888889</v>
      </c>
      <c r="R193" s="40">
        <f t="shared" si="203"/>
        <v>0.005464480874</v>
      </c>
      <c r="S193" s="40">
        <f t="shared" si="203"/>
        <v>0.006097560976</v>
      </c>
      <c r="T193" s="40">
        <f t="shared" si="203"/>
        <v>0.01652892562</v>
      </c>
    </row>
    <row r="194" ht="15.75" customHeight="1">
      <c r="F194" s="24"/>
      <c r="G194" s="19">
        <f>$G$12</f>
        <v>4</v>
      </c>
      <c r="H194" s="20">
        <v>95.0</v>
      </c>
      <c r="I194" s="20">
        <v>37.0</v>
      </c>
      <c r="J194" s="20">
        <v>1.0</v>
      </c>
      <c r="K194" s="20">
        <v>6.0</v>
      </c>
      <c r="L194" s="20">
        <v>3.0</v>
      </c>
      <c r="N194" s="24"/>
      <c r="O194" s="19">
        <f>$G$12</f>
        <v>4</v>
      </c>
      <c r="P194" s="40">
        <f t="shared" ref="P194:T194" si="204">H194/H$214</f>
        <v>0.008924377642</v>
      </c>
      <c r="Q194" s="40">
        <f t="shared" si="204"/>
        <v>0.01264957265</v>
      </c>
      <c r="R194" s="40">
        <f t="shared" si="204"/>
        <v>0.005464480874</v>
      </c>
      <c r="S194" s="40">
        <f t="shared" si="204"/>
        <v>0.03658536585</v>
      </c>
      <c r="T194" s="40">
        <f t="shared" si="204"/>
        <v>0.01239669421</v>
      </c>
    </row>
    <row r="195" ht="15.75" customHeight="1">
      <c r="F195" s="24"/>
      <c r="G195" s="19">
        <f>$G$13</f>
        <v>5</v>
      </c>
      <c r="H195" s="20">
        <v>150.0</v>
      </c>
      <c r="I195" s="20">
        <v>74.0</v>
      </c>
      <c r="J195" s="20">
        <v>7.0</v>
      </c>
      <c r="K195" s="20">
        <v>10.0</v>
      </c>
      <c r="L195" s="20">
        <v>11.0</v>
      </c>
      <c r="N195" s="24"/>
      <c r="O195" s="19">
        <f>$G$13</f>
        <v>5</v>
      </c>
      <c r="P195" s="40">
        <f t="shared" ref="P195:T195" si="205">H195/H$214</f>
        <v>0.01409112259</v>
      </c>
      <c r="Q195" s="40">
        <f t="shared" si="205"/>
        <v>0.0252991453</v>
      </c>
      <c r="R195" s="40">
        <f t="shared" si="205"/>
        <v>0.03825136612</v>
      </c>
      <c r="S195" s="40">
        <f t="shared" si="205"/>
        <v>0.06097560976</v>
      </c>
      <c r="T195" s="40">
        <f t="shared" si="205"/>
        <v>0.04545454545</v>
      </c>
    </row>
    <row r="196" ht="15.75" customHeight="1">
      <c r="F196" s="24"/>
      <c r="G196" s="19">
        <f>$G$14</f>
        <v>6</v>
      </c>
      <c r="H196" s="20">
        <v>287.0</v>
      </c>
      <c r="I196" s="20">
        <v>107.0</v>
      </c>
      <c r="J196" s="20">
        <v>15.0</v>
      </c>
      <c r="K196" s="20">
        <v>10.0</v>
      </c>
      <c r="L196" s="20">
        <v>6.0</v>
      </c>
      <c r="N196" s="24"/>
      <c r="O196" s="19">
        <f>$G$14</f>
        <v>6</v>
      </c>
      <c r="P196" s="40">
        <f t="shared" ref="P196:T196" si="206">H196/H$214</f>
        <v>0.02696101456</v>
      </c>
      <c r="Q196" s="40">
        <f t="shared" si="206"/>
        <v>0.03658119658</v>
      </c>
      <c r="R196" s="40">
        <f t="shared" si="206"/>
        <v>0.08196721311</v>
      </c>
      <c r="S196" s="40">
        <f t="shared" si="206"/>
        <v>0.06097560976</v>
      </c>
      <c r="T196" s="40">
        <f t="shared" si="206"/>
        <v>0.02479338843</v>
      </c>
    </row>
    <row r="197" ht="15.75" customHeight="1">
      <c r="F197" s="24"/>
      <c r="G197" s="19">
        <f>$G$15</f>
        <v>7</v>
      </c>
      <c r="H197" s="20">
        <v>530.0</v>
      </c>
      <c r="I197" s="20">
        <v>154.0</v>
      </c>
      <c r="J197" s="20">
        <v>37.0</v>
      </c>
      <c r="K197" s="20">
        <v>9.0</v>
      </c>
      <c r="L197" s="20">
        <v>9.0</v>
      </c>
      <c r="N197" s="24"/>
      <c r="O197" s="19">
        <f>$G$15</f>
        <v>7</v>
      </c>
      <c r="P197" s="40">
        <f t="shared" ref="P197:T197" si="207">H197/H$214</f>
        <v>0.04978863316</v>
      </c>
      <c r="Q197" s="40">
        <f t="shared" si="207"/>
        <v>0.05264957265</v>
      </c>
      <c r="R197" s="40">
        <f t="shared" si="207"/>
        <v>0.2021857923</v>
      </c>
      <c r="S197" s="40">
        <f t="shared" si="207"/>
        <v>0.05487804878</v>
      </c>
      <c r="T197" s="40">
        <f t="shared" si="207"/>
        <v>0.03719008264</v>
      </c>
    </row>
    <row r="198" ht="15.75" customHeight="1">
      <c r="F198" s="24"/>
      <c r="G198" s="19">
        <f>$G$16</f>
        <v>8</v>
      </c>
      <c r="H198" s="20">
        <v>754.0</v>
      </c>
      <c r="I198" s="20">
        <v>221.0</v>
      </c>
      <c r="J198" s="20">
        <v>16.0</v>
      </c>
      <c r="K198" s="20">
        <v>10.0</v>
      </c>
      <c r="L198" s="20">
        <v>33.0</v>
      </c>
      <c r="N198" s="24"/>
      <c r="O198" s="19">
        <f>$G$16</f>
        <v>8</v>
      </c>
      <c r="P198" s="40">
        <f t="shared" ref="P198:T198" si="208">H198/H$214</f>
        <v>0.07083137623</v>
      </c>
      <c r="Q198" s="40">
        <f t="shared" si="208"/>
        <v>0.07555555556</v>
      </c>
      <c r="R198" s="40">
        <f t="shared" si="208"/>
        <v>0.08743169399</v>
      </c>
      <c r="S198" s="40">
        <f t="shared" si="208"/>
        <v>0.06097560976</v>
      </c>
      <c r="T198" s="40">
        <f t="shared" si="208"/>
        <v>0.1363636364</v>
      </c>
    </row>
    <row r="199" ht="15.75" customHeight="1">
      <c r="F199" s="24"/>
      <c r="G199" s="19">
        <f>$G$17</f>
        <v>9</v>
      </c>
      <c r="H199" s="20">
        <v>1024.0</v>
      </c>
      <c r="I199" s="20">
        <v>279.0</v>
      </c>
      <c r="J199" s="20">
        <v>12.0</v>
      </c>
      <c r="K199" s="20">
        <v>9.0</v>
      </c>
      <c r="L199" s="20">
        <v>30.0</v>
      </c>
      <c r="N199" s="24"/>
      <c r="O199" s="19">
        <f>$G$17</f>
        <v>9</v>
      </c>
      <c r="P199" s="40">
        <f t="shared" ref="P199:T199" si="209">H199/H$214</f>
        <v>0.0961953969</v>
      </c>
      <c r="Q199" s="40">
        <f t="shared" si="209"/>
        <v>0.09538461538</v>
      </c>
      <c r="R199" s="40">
        <f t="shared" si="209"/>
        <v>0.06557377049</v>
      </c>
      <c r="S199" s="40">
        <f t="shared" si="209"/>
        <v>0.05487804878</v>
      </c>
      <c r="T199" s="40">
        <f t="shared" si="209"/>
        <v>0.1239669421</v>
      </c>
    </row>
    <row r="200" ht="15.75" customHeight="1">
      <c r="F200" s="24"/>
      <c r="G200" s="19">
        <f>$G$18</f>
        <v>10</v>
      </c>
      <c r="H200" s="20">
        <v>952.0</v>
      </c>
      <c r="I200" s="20">
        <v>247.0</v>
      </c>
      <c r="J200" s="20">
        <v>5.0</v>
      </c>
      <c r="K200" s="20">
        <v>14.0</v>
      </c>
      <c r="L200" s="20">
        <v>28.0</v>
      </c>
      <c r="N200" s="24"/>
      <c r="O200" s="19">
        <f>$G$18</f>
        <v>10</v>
      </c>
      <c r="P200" s="40">
        <f t="shared" ref="P200:T200" si="210">H200/H$214</f>
        <v>0.08943165806</v>
      </c>
      <c r="Q200" s="40">
        <f t="shared" si="210"/>
        <v>0.08444444444</v>
      </c>
      <c r="R200" s="40">
        <f t="shared" si="210"/>
        <v>0.02732240437</v>
      </c>
      <c r="S200" s="40">
        <f t="shared" si="210"/>
        <v>0.08536585366</v>
      </c>
      <c r="T200" s="40">
        <f t="shared" si="210"/>
        <v>0.1157024793</v>
      </c>
    </row>
    <row r="201" ht="15.75" customHeight="1">
      <c r="F201" s="24"/>
      <c r="G201" s="19">
        <f>$G$19</f>
        <v>11</v>
      </c>
      <c r="H201" s="20">
        <v>874.0</v>
      </c>
      <c r="I201" s="20">
        <v>204.0</v>
      </c>
      <c r="J201" s="20">
        <v>7.0</v>
      </c>
      <c r="K201" s="20">
        <v>4.0</v>
      </c>
      <c r="L201" s="20">
        <v>17.0</v>
      </c>
      <c r="N201" s="24"/>
      <c r="O201" s="19">
        <f>$G$19</f>
        <v>11</v>
      </c>
      <c r="P201" s="40">
        <f t="shared" ref="P201:T201" si="211">H201/H$214</f>
        <v>0.08210427431</v>
      </c>
      <c r="Q201" s="40">
        <f t="shared" si="211"/>
        <v>0.06974358974</v>
      </c>
      <c r="R201" s="40">
        <f t="shared" si="211"/>
        <v>0.03825136612</v>
      </c>
      <c r="S201" s="40">
        <f t="shared" si="211"/>
        <v>0.0243902439</v>
      </c>
      <c r="T201" s="40">
        <f t="shared" si="211"/>
        <v>0.07024793388</v>
      </c>
    </row>
    <row r="202" ht="15.75" customHeight="1">
      <c r="F202" s="24"/>
      <c r="G202" s="19">
        <f>$G$20</f>
        <v>12</v>
      </c>
      <c r="H202" s="20">
        <v>692.0</v>
      </c>
      <c r="I202" s="20">
        <v>167.0</v>
      </c>
      <c r="J202" s="20">
        <v>7.0</v>
      </c>
      <c r="K202" s="20">
        <v>11.0</v>
      </c>
      <c r="L202" s="20">
        <v>19.0</v>
      </c>
      <c r="N202" s="24"/>
      <c r="O202" s="19">
        <f>$G$20</f>
        <v>12</v>
      </c>
      <c r="P202" s="40">
        <f t="shared" ref="P202:T202" si="212">H202/H$214</f>
        <v>0.06500704556</v>
      </c>
      <c r="Q202" s="40">
        <f t="shared" si="212"/>
        <v>0.05709401709</v>
      </c>
      <c r="R202" s="40">
        <f t="shared" si="212"/>
        <v>0.03825136612</v>
      </c>
      <c r="S202" s="40">
        <f t="shared" si="212"/>
        <v>0.06707317073</v>
      </c>
      <c r="T202" s="40">
        <f t="shared" si="212"/>
        <v>0.07851239669</v>
      </c>
    </row>
    <row r="203" ht="15.75" customHeight="1">
      <c r="F203" s="24"/>
      <c r="G203" s="19">
        <f>$G$21</f>
        <v>13</v>
      </c>
      <c r="H203" s="20">
        <v>700.0</v>
      </c>
      <c r="I203" s="20">
        <v>193.0</v>
      </c>
      <c r="J203" s="20">
        <v>11.0</v>
      </c>
      <c r="K203" s="20">
        <v>12.0</v>
      </c>
      <c r="L203" s="20">
        <v>12.0</v>
      </c>
      <c r="N203" s="24"/>
      <c r="O203" s="19">
        <f>$G$21</f>
        <v>13</v>
      </c>
      <c r="P203" s="40">
        <f t="shared" ref="P203:T203" si="213">H203/H$214</f>
        <v>0.0657585721</v>
      </c>
      <c r="Q203" s="40">
        <f t="shared" si="213"/>
        <v>0.06598290598</v>
      </c>
      <c r="R203" s="40">
        <f t="shared" si="213"/>
        <v>0.06010928962</v>
      </c>
      <c r="S203" s="40">
        <f t="shared" si="213"/>
        <v>0.07317073171</v>
      </c>
      <c r="T203" s="40">
        <f t="shared" si="213"/>
        <v>0.04958677686</v>
      </c>
    </row>
    <row r="204" ht="15.75" customHeight="1">
      <c r="F204" s="24"/>
      <c r="G204" s="19">
        <f>$G$22</f>
        <v>14</v>
      </c>
      <c r="H204" s="20">
        <v>736.0</v>
      </c>
      <c r="I204" s="20">
        <v>196.0</v>
      </c>
      <c r="J204" s="20">
        <v>9.0</v>
      </c>
      <c r="K204" s="20">
        <v>7.0</v>
      </c>
      <c r="L204" s="20">
        <v>19.0</v>
      </c>
      <c r="N204" s="24"/>
      <c r="O204" s="19">
        <f>$G$22</f>
        <v>14</v>
      </c>
      <c r="P204" s="40">
        <f t="shared" ref="P204:T204" si="214">H204/H$214</f>
        <v>0.06914044152</v>
      </c>
      <c r="Q204" s="40">
        <f t="shared" si="214"/>
        <v>0.06700854701</v>
      </c>
      <c r="R204" s="40">
        <f t="shared" si="214"/>
        <v>0.04918032787</v>
      </c>
      <c r="S204" s="40">
        <f t="shared" si="214"/>
        <v>0.04268292683</v>
      </c>
      <c r="T204" s="40">
        <f t="shared" si="214"/>
        <v>0.07851239669</v>
      </c>
    </row>
    <row r="205" ht="15.75" customHeight="1">
      <c r="F205" s="24"/>
      <c r="G205" s="19">
        <f>$G$23</f>
        <v>15</v>
      </c>
      <c r="H205" s="20">
        <v>643.0</v>
      </c>
      <c r="I205" s="20">
        <v>175.0</v>
      </c>
      <c r="J205" s="20">
        <v>7.0</v>
      </c>
      <c r="K205" s="20">
        <v>7.0</v>
      </c>
      <c r="L205" s="20">
        <v>8.0</v>
      </c>
      <c r="N205" s="24"/>
      <c r="O205" s="19">
        <f>$G$23</f>
        <v>15</v>
      </c>
      <c r="P205" s="40">
        <f t="shared" ref="P205:T205" si="215">H205/H$214</f>
        <v>0.06040394551</v>
      </c>
      <c r="Q205" s="40">
        <f t="shared" si="215"/>
        <v>0.05982905983</v>
      </c>
      <c r="R205" s="40">
        <f t="shared" si="215"/>
        <v>0.03825136612</v>
      </c>
      <c r="S205" s="40">
        <f t="shared" si="215"/>
        <v>0.04268292683</v>
      </c>
      <c r="T205" s="40">
        <f t="shared" si="215"/>
        <v>0.03305785124</v>
      </c>
    </row>
    <row r="206" ht="15.75" customHeight="1">
      <c r="F206" s="24"/>
      <c r="G206" s="19">
        <f>$G$24</f>
        <v>16</v>
      </c>
      <c r="H206" s="20">
        <v>530.0</v>
      </c>
      <c r="I206" s="20">
        <v>166.0</v>
      </c>
      <c r="J206" s="20">
        <v>9.0</v>
      </c>
      <c r="K206" s="20">
        <v>7.0</v>
      </c>
      <c r="L206" s="20">
        <v>3.0</v>
      </c>
      <c r="N206" s="24"/>
      <c r="O206" s="19">
        <f>$G$24</f>
        <v>16</v>
      </c>
      <c r="P206" s="40">
        <f t="shared" ref="P206:T206" si="216">H206/H$214</f>
        <v>0.04978863316</v>
      </c>
      <c r="Q206" s="40">
        <f t="shared" si="216"/>
        <v>0.05675213675</v>
      </c>
      <c r="R206" s="40">
        <f t="shared" si="216"/>
        <v>0.04918032787</v>
      </c>
      <c r="S206" s="40">
        <f t="shared" si="216"/>
        <v>0.04268292683</v>
      </c>
      <c r="T206" s="40">
        <f t="shared" si="216"/>
        <v>0.01239669421</v>
      </c>
    </row>
    <row r="207" ht="15.75" customHeight="1">
      <c r="F207" s="24"/>
      <c r="G207" s="19">
        <f>$G$25</f>
        <v>17</v>
      </c>
      <c r="H207" s="20">
        <v>493.0</v>
      </c>
      <c r="I207" s="20">
        <v>156.0</v>
      </c>
      <c r="J207" s="20">
        <v>13.0</v>
      </c>
      <c r="K207" s="20">
        <v>3.0</v>
      </c>
      <c r="L207" s="20">
        <v>5.0</v>
      </c>
      <c r="N207" s="24"/>
      <c r="O207" s="19">
        <f>$G$25</f>
        <v>17</v>
      </c>
      <c r="P207" s="40">
        <f t="shared" ref="P207:T207" si="217">H207/H$214</f>
        <v>0.04631282292</v>
      </c>
      <c r="Q207" s="40">
        <f t="shared" si="217"/>
        <v>0.05333333333</v>
      </c>
      <c r="R207" s="40">
        <f t="shared" si="217"/>
        <v>0.07103825137</v>
      </c>
      <c r="S207" s="40">
        <f t="shared" si="217"/>
        <v>0.01829268293</v>
      </c>
      <c r="T207" s="40">
        <f t="shared" si="217"/>
        <v>0.02066115702</v>
      </c>
    </row>
    <row r="208" ht="15.75" customHeight="1">
      <c r="F208" s="24"/>
      <c r="G208" s="19">
        <f>$G$26</f>
        <v>18</v>
      </c>
      <c r="H208" s="20">
        <v>421.0</v>
      </c>
      <c r="I208" s="20">
        <v>101.0</v>
      </c>
      <c r="J208" s="20">
        <v>9.0</v>
      </c>
      <c r="K208" s="20">
        <v>7.0</v>
      </c>
      <c r="L208" s="20">
        <v>3.0</v>
      </c>
      <c r="N208" s="24"/>
      <c r="O208" s="19">
        <f>$G$26</f>
        <v>18</v>
      </c>
      <c r="P208" s="40">
        <f t="shared" ref="P208:T208" si="218">H208/H$214</f>
        <v>0.03954908408</v>
      </c>
      <c r="Q208" s="40">
        <f t="shared" si="218"/>
        <v>0.03452991453</v>
      </c>
      <c r="R208" s="40">
        <f t="shared" si="218"/>
        <v>0.04918032787</v>
      </c>
      <c r="S208" s="40">
        <f t="shared" si="218"/>
        <v>0.04268292683</v>
      </c>
      <c r="T208" s="40">
        <f t="shared" si="218"/>
        <v>0.01239669421</v>
      </c>
    </row>
    <row r="209" ht="15.75" customHeight="1">
      <c r="F209" s="24"/>
      <c r="G209" s="19">
        <f>$G$27</f>
        <v>19</v>
      </c>
      <c r="H209" s="20">
        <v>434.0</v>
      </c>
      <c r="I209" s="20">
        <v>106.0</v>
      </c>
      <c r="J209" s="20">
        <v>8.0</v>
      </c>
      <c r="K209" s="20">
        <v>5.0</v>
      </c>
      <c r="L209" s="20">
        <v>2.0</v>
      </c>
      <c r="N209" s="24"/>
      <c r="O209" s="19">
        <f>$G$27</f>
        <v>19</v>
      </c>
      <c r="P209" s="40">
        <f t="shared" ref="P209:T209" si="219">H209/H$214</f>
        <v>0.0407703147</v>
      </c>
      <c r="Q209" s="40">
        <f t="shared" si="219"/>
        <v>0.03623931624</v>
      </c>
      <c r="R209" s="40">
        <f t="shared" si="219"/>
        <v>0.04371584699</v>
      </c>
      <c r="S209" s="40">
        <f t="shared" si="219"/>
        <v>0.03048780488</v>
      </c>
      <c r="T209" s="40">
        <f t="shared" si="219"/>
        <v>0.00826446281</v>
      </c>
    </row>
    <row r="210" ht="15.75" customHeight="1">
      <c r="F210" s="24"/>
      <c r="G210" s="19">
        <f>$G$28</f>
        <v>20</v>
      </c>
      <c r="H210" s="20">
        <v>409.0</v>
      </c>
      <c r="I210" s="20">
        <v>105.0</v>
      </c>
      <c r="J210" s="20">
        <v>1.0</v>
      </c>
      <c r="K210" s="20">
        <v>7.0</v>
      </c>
      <c r="L210" s="20">
        <v>4.0</v>
      </c>
      <c r="N210" s="24"/>
      <c r="O210" s="19">
        <f>$G$28</f>
        <v>20</v>
      </c>
      <c r="P210" s="40">
        <f t="shared" ref="P210:T210" si="220">H210/H$214</f>
        <v>0.03842179427</v>
      </c>
      <c r="Q210" s="40">
        <f t="shared" si="220"/>
        <v>0.0358974359</v>
      </c>
      <c r="R210" s="40">
        <f t="shared" si="220"/>
        <v>0.005464480874</v>
      </c>
      <c r="S210" s="40">
        <f t="shared" si="220"/>
        <v>0.04268292683</v>
      </c>
      <c r="T210" s="40">
        <f t="shared" si="220"/>
        <v>0.01652892562</v>
      </c>
    </row>
    <row r="211" ht="15.75" customHeight="1">
      <c r="F211" s="24"/>
      <c r="G211" s="19">
        <f>$G$29</f>
        <v>21</v>
      </c>
      <c r="H211" s="20">
        <v>330.0</v>
      </c>
      <c r="I211" s="20">
        <v>76.0</v>
      </c>
      <c r="J211" s="20">
        <v>3.0</v>
      </c>
      <c r="K211" s="20">
        <v>4.0</v>
      </c>
      <c r="L211" s="20">
        <v>6.0</v>
      </c>
      <c r="N211" s="24"/>
      <c r="O211" s="19">
        <f>$G$29</f>
        <v>21</v>
      </c>
      <c r="P211" s="40">
        <f t="shared" ref="P211:T211" si="221">H211/H$214</f>
        <v>0.0310004697</v>
      </c>
      <c r="Q211" s="40">
        <f t="shared" si="221"/>
        <v>0.02598290598</v>
      </c>
      <c r="R211" s="40">
        <f t="shared" si="221"/>
        <v>0.01639344262</v>
      </c>
      <c r="S211" s="40">
        <f t="shared" si="221"/>
        <v>0.0243902439</v>
      </c>
      <c r="T211" s="40">
        <f t="shared" si="221"/>
        <v>0.02479338843</v>
      </c>
    </row>
    <row r="212" ht="15.75" customHeight="1">
      <c r="F212" s="24"/>
      <c r="G212" s="19">
        <f>$G$30</f>
        <v>22</v>
      </c>
      <c r="H212" s="20">
        <v>211.0</v>
      </c>
      <c r="I212" s="20">
        <v>52.0</v>
      </c>
      <c r="J212" s="20">
        <v>1.0</v>
      </c>
      <c r="K212" s="20">
        <v>1.0</v>
      </c>
      <c r="L212" s="20">
        <v>8.0</v>
      </c>
      <c r="N212" s="24"/>
      <c r="O212" s="19">
        <f>$G$30</f>
        <v>22</v>
      </c>
      <c r="P212" s="40">
        <f t="shared" ref="P212:T212" si="222">H212/H$214</f>
        <v>0.01982151245</v>
      </c>
      <c r="Q212" s="40">
        <f t="shared" si="222"/>
        <v>0.01777777778</v>
      </c>
      <c r="R212" s="40">
        <f t="shared" si="222"/>
        <v>0.005464480874</v>
      </c>
      <c r="S212" s="40">
        <f t="shared" si="222"/>
        <v>0.006097560976</v>
      </c>
      <c r="T212" s="40">
        <f t="shared" si="222"/>
        <v>0.03305785124</v>
      </c>
    </row>
    <row r="213" ht="15.75" customHeight="1">
      <c r="F213" s="28"/>
      <c r="G213" s="19">
        <f>$G$31</f>
        <v>23</v>
      </c>
      <c r="H213" s="20">
        <v>104.0</v>
      </c>
      <c r="I213" s="20">
        <v>28.0</v>
      </c>
      <c r="J213" s="20">
        <v>2.0</v>
      </c>
      <c r="K213" s="20">
        <v>8.0</v>
      </c>
      <c r="L213" s="20">
        <v>6.0</v>
      </c>
      <c r="N213" s="28"/>
      <c r="O213" s="19">
        <f>$G$31</f>
        <v>23</v>
      </c>
      <c r="P213" s="40">
        <f t="shared" ref="P213:T213" si="223">H213/H$214</f>
        <v>0.009769844998</v>
      </c>
      <c r="Q213" s="40">
        <f t="shared" si="223"/>
        <v>0.009572649573</v>
      </c>
      <c r="R213" s="40">
        <f t="shared" si="223"/>
        <v>0.01092896175</v>
      </c>
      <c r="S213" s="40">
        <f t="shared" si="223"/>
        <v>0.0487804878</v>
      </c>
      <c r="T213" s="40">
        <f t="shared" si="223"/>
        <v>0.02479338843</v>
      </c>
    </row>
    <row r="214" ht="15.75" customHeight="1">
      <c r="F214" s="111"/>
      <c r="G214" s="112"/>
      <c r="H214" s="26">
        <f t="shared" ref="H214:L214" si="224">SUM(H190:H213)</f>
        <v>10645</v>
      </c>
      <c r="I214" s="26">
        <f t="shared" si="224"/>
        <v>2925</v>
      </c>
      <c r="J214" s="26">
        <f t="shared" si="224"/>
        <v>183</v>
      </c>
      <c r="K214" s="26">
        <f t="shared" si="224"/>
        <v>164</v>
      </c>
      <c r="L214" s="26">
        <f t="shared" si="224"/>
        <v>242</v>
      </c>
    </row>
    <row r="215" ht="15.75" customHeight="1">
      <c r="G215" s="16"/>
      <c r="H215" s="17">
        <f>$H$7</f>
        <v>31</v>
      </c>
      <c r="I215" s="17">
        <f>$I$7</f>
        <v>32</v>
      </c>
      <c r="J215" s="17">
        <f>$J$7</f>
        <v>41</v>
      </c>
      <c r="K215" s="17">
        <f>$K$7</f>
        <v>42</v>
      </c>
      <c r="L215" s="17">
        <f>$L$7</f>
        <v>5</v>
      </c>
      <c r="O215" s="16"/>
      <c r="P215" s="17">
        <f>$H$7</f>
        <v>31</v>
      </c>
      <c r="Q215" s="17">
        <f>$I$7</f>
        <v>32</v>
      </c>
      <c r="R215" s="17">
        <f>$J$7</f>
        <v>41</v>
      </c>
      <c r="S215" s="17">
        <f>$K$7</f>
        <v>42</v>
      </c>
      <c r="T215" s="17">
        <f>$L$7</f>
        <v>5</v>
      </c>
    </row>
    <row r="216" ht="15.75" customHeight="1">
      <c r="F216" s="56">
        <v>45215.0</v>
      </c>
      <c r="G216" s="19">
        <f>$G$8</f>
        <v>0</v>
      </c>
      <c r="H216" s="20">
        <v>70.0</v>
      </c>
      <c r="I216" s="20">
        <v>19.0</v>
      </c>
      <c r="J216" s="20"/>
      <c r="K216" s="20">
        <v>4.0</v>
      </c>
      <c r="L216" s="20">
        <v>3.0</v>
      </c>
      <c r="N216" s="56">
        <v>45215.0</v>
      </c>
      <c r="O216" s="19">
        <f>$G$8</f>
        <v>0</v>
      </c>
      <c r="P216" s="40">
        <f t="shared" ref="P216:T216" si="225">H216/H$240</f>
        <v>0.009222661397</v>
      </c>
      <c r="Q216" s="40">
        <f t="shared" si="225"/>
        <v>0.006365159129</v>
      </c>
      <c r="R216" s="40">
        <f t="shared" si="225"/>
        <v>0</v>
      </c>
      <c r="S216" s="40">
        <f t="shared" si="225"/>
        <v>0.007104795737</v>
      </c>
      <c r="T216" s="40">
        <f t="shared" si="225"/>
        <v>0.004172461752</v>
      </c>
    </row>
    <row r="217" ht="15.75" customHeight="1">
      <c r="F217" s="24"/>
      <c r="G217" s="19">
        <f>$G$9</f>
        <v>1</v>
      </c>
      <c r="H217" s="20">
        <v>52.0</v>
      </c>
      <c r="I217" s="20">
        <v>16.0</v>
      </c>
      <c r="J217" s="20">
        <v>1.0</v>
      </c>
      <c r="K217" s="20">
        <v>6.0</v>
      </c>
      <c r="L217" s="20">
        <v>2.0</v>
      </c>
      <c r="N217" s="24"/>
      <c r="O217" s="19">
        <f>$G$9</f>
        <v>1</v>
      </c>
      <c r="P217" s="40">
        <f t="shared" ref="P217:T217" si="226">H217/H$240</f>
        <v>0.006851119895</v>
      </c>
      <c r="Q217" s="40">
        <f t="shared" si="226"/>
        <v>0.005360134003</v>
      </c>
      <c r="R217" s="40">
        <f t="shared" si="226"/>
        <v>0.007299270073</v>
      </c>
      <c r="S217" s="40">
        <f t="shared" si="226"/>
        <v>0.01065719361</v>
      </c>
      <c r="T217" s="40">
        <f t="shared" si="226"/>
        <v>0.002781641168</v>
      </c>
    </row>
    <row r="218" ht="15.75" customHeight="1">
      <c r="F218" s="24"/>
      <c r="G218" s="19">
        <f>$G$10</f>
        <v>2</v>
      </c>
      <c r="H218" s="16">
        <v>39.0</v>
      </c>
      <c r="I218" s="16">
        <v>11.0</v>
      </c>
      <c r="J218" s="16">
        <v>1.0</v>
      </c>
      <c r="K218" s="16">
        <v>4.0</v>
      </c>
      <c r="L218" s="16">
        <v>6.0</v>
      </c>
      <c r="N218" s="24"/>
      <c r="O218" s="19">
        <f>$G$10</f>
        <v>2</v>
      </c>
      <c r="P218" s="40">
        <f t="shared" ref="P218:T218" si="227">H218/H$240</f>
        <v>0.005138339921</v>
      </c>
      <c r="Q218" s="40">
        <f t="shared" si="227"/>
        <v>0.003685092127</v>
      </c>
      <c r="R218" s="40">
        <f t="shared" si="227"/>
        <v>0.007299270073</v>
      </c>
      <c r="S218" s="40">
        <f t="shared" si="227"/>
        <v>0.007104795737</v>
      </c>
      <c r="T218" s="40">
        <f t="shared" si="227"/>
        <v>0.008344923505</v>
      </c>
    </row>
    <row r="219" ht="15.75" customHeight="1">
      <c r="F219" s="24"/>
      <c r="G219" s="19">
        <f>$G$11</f>
        <v>3</v>
      </c>
      <c r="H219" s="20">
        <v>52.0</v>
      </c>
      <c r="I219" s="20">
        <v>16.0</v>
      </c>
      <c r="J219" s="20"/>
      <c r="K219" s="20">
        <v>11.0</v>
      </c>
      <c r="L219" s="20">
        <v>2.0</v>
      </c>
      <c r="N219" s="24"/>
      <c r="O219" s="19">
        <f>$G$11</f>
        <v>3</v>
      </c>
      <c r="P219" s="40">
        <f t="shared" ref="P219:T219" si="228">H219/H$240</f>
        <v>0.006851119895</v>
      </c>
      <c r="Q219" s="40">
        <f t="shared" si="228"/>
        <v>0.005360134003</v>
      </c>
      <c r="R219" s="40">
        <f t="shared" si="228"/>
        <v>0</v>
      </c>
      <c r="S219" s="40">
        <f t="shared" si="228"/>
        <v>0.01953818828</v>
      </c>
      <c r="T219" s="40">
        <f t="shared" si="228"/>
        <v>0.002781641168</v>
      </c>
    </row>
    <row r="220" ht="15.75" customHeight="1">
      <c r="F220" s="24"/>
      <c r="G220" s="19">
        <f>$G$12</f>
        <v>4</v>
      </c>
      <c r="H220" s="20">
        <v>70.0</v>
      </c>
      <c r="I220" s="20">
        <v>52.0</v>
      </c>
      <c r="J220" s="20"/>
      <c r="K220" s="20">
        <v>18.0</v>
      </c>
      <c r="L220" s="20">
        <v>10.0</v>
      </c>
      <c r="N220" s="24"/>
      <c r="O220" s="19">
        <f>$G$12</f>
        <v>4</v>
      </c>
      <c r="P220" s="40">
        <f t="shared" ref="P220:T220" si="229">H220/H$240</f>
        <v>0.009222661397</v>
      </c>
      <c r="Q220" s="40">
        <f t="shared" si="229"/>
        <v>0.01742043551</v>
      </c>
      <c r="R220" s="40">
        <f t="shared" si="229"/>
        <v>0</v>
      </c>
      <c r="S220" s="40">
        <f t="shared" si="229"/>
        <v>0.03197158082</v>
      </c>
      <c r="T220" s="40">
        <f t="shared" si="229"/>
        <v>0.01390820584</v>
      </c>
    </row>
    <row r="221" ht="15.75" customHeight="1">
      <c r="F221" s="24"/>
      <c r="G221" s="19">
        <f>$G$13</f>
        <v>5</v>
      </c>
      <c r="H221" s="20">
        <v>181.0</v>
      </c>
      <c r="I221" s="20">
        <v>82.0</v>
      </c>
      <c r="J221" s="20">
        <v>4.0</v>
      </c>
      <c r="K221" s="20">
        <v>20.0</v>
      </c>
      <c r="L221" s="20">
        <v>18.0</v>
      </c>
      <c r="N221" s="24"/>
      <c r="O221" s="19">
        <f>$G$13</f>
        <v>5</v>
      </c>
      <c r="P221" s="40">
        <f t="shared" ref="P221:T221" si="230">H221/H$240</f>
        <v>0.02384716733</v>
      </c>
      <c r="Q221" s="40">
        <f t="shared" si="230"/>
        <v>0.02747068677</v>
      </c>
      <c r="R221" s="40">
        <f t="shared" si="230"/>
        <v>0.02919708029</v>
      </c>
      <c r="S221" s="40">
        <f t="shared" si="230"/>
        <v>0.03552397869</v>
      </c>
      <c r="T221" s="40">
        <f t="shared" si="230"/>
        <v>0.02503477051</v>
      </c>
    </row>
    <row r="222" ht="15.75" customHeight="1">
      <c r="F222" s="24"/>
      <c r="G222" s="19">
        <f>$G$14</f>
        <v>6</v>
      </c>
      <c r="H222" s="20">
        <v>423.0</v>
      </c>
      <c r="I222" s="20">
        <v>146.0</v>
      </c>
      <c r="J222" s="20">
        <v>14.0</v>
      </c>
      <c r="K222" s="20">
        <v>34.0</v>
      </c>
      <c r="L222" s="20">
        <v>30.0</v>
      </c>
      <c r="N222" s="24"/>
      <c r="O222" s="19">
        <f>$G$14</f>
        <v>6</v>
      </c>
      <c r="P222" s="40">
        <f t="shared" ref="P222:T222" si="231">H222/H$240</f>
        <v>0.0557312253</v>
      </c>
      <c r="Q222" s="40">
        <f t="shared" si="231"/>
        <v>0.04891122278</v>
      </c>
      <c r="R222" s="40">
        <f t="shared" si="231"/>
        <v>0.102189781</v>
      </c>
      <c r="S222" s="40">
        <f t="shared" si="231"/>
        <v>0.06039076377</v>
      </c>
      <c r="T222" s="40">
        <f t="shared" si="231"/>
        <v>0.04172461752</v>
      </c>
    </row>
    <row r="223" ht="15.75" customHeight="1">
      <c r="F223" s="24"/>
      <c r="G223" s="19">
        <f>$G$15</f>
        <v>7</v>
      </c>
      <c r="H223" s="20">
        <v>637.0</v>
      </c>
      <c r="I223" s="20">
        <v>243.0</v>
      </c>
      <c r="J223" s="20">
        <v>25.0</v>
      </c>
      <c r="K223" s="20">
        <v>46.0</v>
      </c>
      <c r="L223" s="20">
        <v>35.0</v>
      </c>
      <c r="N223" s="24"/>
      <c r="O223" s="19">
        <f>$G$15</f>
        <v>7</v>
      </c>
      <c r="P223" s="40">
        <f t="shared" ref="P223:T223" si="232">H223/H$240</f>
        <v>0.08392621871</v>
      </c>
      <c r="Q223" s="40">
        <f t="shared" si="232"/>
        <v>0.08140703518</v>
      </c>
      <c r="R223" s="40">
        <f t="shared" si="232"/>
        <v>0.1824817518</v>
      </c>
      <c r="S223" s="40">
        <f t="shared" si="232"/>
        <v>0.08170515098</v>
      </c>
      <c r="T223" s="40">
        <f t="shared" si="232"/>
        <v>0.04867872045</v>
      </c>
    </row>
    <row r="224" ht="15.75" customHeight="1">
      <c r="F224" s="24"/>
      <c r="G224" s="19">
        <f>$G$16</f>
        <v>8</v>
      </c>
      <c r="H224" s="20">
        <v>620.0</v>
      </c>
      <c r="I224" s="20">
        <v>281.0</v>
      </c>
      <c r="J224" s="20">
        <v>17.0</v>
      </c>
      <c r="K224" s="20">
        <v>55.0</v>
      </c>
      <c r="L224" s="20">
        <v>56.0</v>
      </c>
      <c r="N224" s="24"/>
      <c r="O224" s="19">
        <f>$G$16</f>
        <v>8</v>
      </c>
      <c r="P224" s="40">
        <f t="shared" ref="P224:T224" si="233">H224/H$240</f>
        <v>0.08168642951</v>
      </c>
      <c r="Q224" s="40">
        <f t="shared" si="233"/>
        <v>0.09413735343</v>
      </c>
      <c r="R224" s="40">
        <f t="shared" si="233"/>
        <v>0.1240875912</v>
      </c>
      <c r="S224" s="40">
        <f t="shared" si="233"/>
        <v>0.09769094139</v>
      </c>
      <c r="T224" s="40">
        <f t="shared" si="233"/>
        <v>0.07788595271</v>
      </c>
    </row>
    <row r="225" ht="15.75" customHeight="1">
      <c r="F225" s="24"/>
      <c r="G225" s="19">
        <f>$G$17</f>
        <v>9</v>
      </c>
      <c r="H225" s="20">
        <v>709.0</v>
      </c>
      <c r="I225" s="20">
        <v>312.0</v>
      </c>
      <c r="J225" s="20">
        <v>15.0</v>
      </c>
      <c r="K225" s="20">
        <v>50.0</v>
      </c>
      <c r="L225" s="20">
        <v>73.0</v>
      </c>
      <c r="N225" s="24"/>
      <c r="O225" s="19">
        <f>$G$17</f>
        <v>9</v>
      </c>
      <c r="P225" s="40">
        <f t="shared" ref="P225:T225" si="234">H225/H$240</f>
        <v>0.09341238472</v>
      </c>
      <c r="Q225" s="40">
        <f t="shared" si="234"/>
        <v>0.1045226131</v>
      </c>
      <c r="R225" s="40">
        <f t="shared" si="234"/>
        <v>0.1094890511</v>
      </c>
      <c r="S225" s="40">
        <f t="shared" si="234"/>
        <v>0.08880994671</v>
      </c>
      <c r="T225" s="40">
        <f t="shared" si="234"/>
        <v>0.1015299026</v>
      </c>
    </row>
    <row r="226" ht="15.75" customHeight="1">
      <c r="F226" s="24"/>
      <c r="G226" s="19">
        <f>$G$18</f>
        <v>10</v>
      </c>
      <c r="H226" s="20">
        <v>636.0</v>
      </c>
      <c r="I226" s="20">
        <v>244.0</v>
      </c>
      <c r="J226" s="20">
        <v>7.0</v>
      </c>
      <c r="K226" s="20">
        <v>33.0</v>
      </c>
      <c r="L226" s="20">
        <v>64.0</v>
      </c>
      <c r="N226" s="24"/>
      <c r="O226" s="19">
        <f>$G$18</f>
        <v>10</v>
      </c>
      <c r="P226" s="40">
        <f t="shared" ref="P226:T226" si="235">H226/H$240</f>
        <v>0.0837944664</v>
      </c>
      <c r="Q226" s="40">
        <f t="shared" si="235"/>
        <v>0.08174204355</v>
      </c>
      <c r="R226" s="40">
        <f t="shared" si="235"/>
        <v>0.05109489051</v>
      </c>
      <c r="S226" s="40">
        <f t="shared" si="235"/>
        <v>0.05861456483</v>
      </c>
      <c r="T226" s="40">
        <f t="shared" si="235"/>
        <v>0.08901251739</v>
      </c>
    </row>
    <row r="227" ht="15.75" customHeight="1">
      <c r="F227" s="24"/>
      <c r="G227" s="19">
        <f>$G$19</f>
        <v>11</v>
      </c>
      <c r="H227" s="20">
        <v>528.0</v>
      </c>
      <c r="I227" s="20">
        <v>204.0</v>
      </c>
      <c r="J227" s="20">
        <v>5.0</v>
      </c>
      <c r="K227" s="20">
        <v>38.0</v>
      </c>
      <c r="L227" s="20">
        <v>70.0</v>
      </c>
      <c r="N227" s="24"/>
      <c r="O227" s="19">
        <f>$G$19</f>
        <v>11</v>
      </c>
      <c r="P227" s="40">
        <f t="shared" ref="P227:T227" si="236">H227/H$240</f>
        <v>0.06956521739</v>
      </c>
      <c r="Q227" s="40">
        <f t="shared" si="236"/>
        <v>0.06834170854</v>
      </c>
      <c r="R227" s="40">
        <f t="shared" si="236"/>
        <v>0.03649635036</v>
      </c>
      <c r="S227" s="40">
        <f t="shared" si="236"/>
        <v>0.0674955595</v>
      </c>
      <c r="T227" s="40">
        <f t="shared" si="236"/>
        <v>0.09735744089</v>
      </c>
    </row>
    <row r="228" ht="15.75" customHeight="1">
      <c r="F228" s="24"/>
      <c r="G228" s="19">
        <f>$G$20</f>
        <v>12</v>
      </c>
      <c r="H228" s="20">
        <v>391.0</v>
      </c>
      <c r="I228" s="20">
        <v>159.0</v>
      </c>
      <c r="J228" s="20">
        <v>10.0</v>
      </c>
      <c r="K228" s="20">
        <v>30.0</v>
      </c>
      <c r="L228" s="20">
        <v>56.0</v>
      </c>
      <c r="N228" s="24"/>
      <c r="O228" s="19">
        <f>$G$20</f>
        <v>12</v>
      </c>
      <c r="P228" s="40">
        <f t="shared" ref="P228:T228" si="237">H228/H$240</f>
        <v>0.05151515152</v>
      </c>
      <c r="Q228" s="40">
        <f t="shared" si="237"/>
        <v>0.05326633166</v>
      </c>
      <c r="R228" s="40">
        <f t="shared" si="237"/>
        <v>0.07299270073</v>
      </c>
      <c r="S228" s="40">
        <f t="shared" si="237"/>
        <v>0.05328596803</v>
      </c>
      <c r="T228" s="40">
        <f t="shared" si="237"/>
        <v>0.07788595271</v>
      </c>
    </row>
    <row r="229" ht="15.75" customHeight="1">
      <c r="F229" s="24"/>
      <c r="G229" s="19">
        <f>$G$21</f>
        <v>13</v>
      </c>
      <c r="H229" s="20">
        <v>406.0</v>
      </c>
      <c r="I229" s="20">
        <v>154.0</v>
      </c>
      <c r="J229" s="20">
        <v>7.0</v>
      </c>
      <c r="K229" s="20">
        <v>29.0</v>
      </c>
      <c r="L229" s="20">
        <v>62.0</v>
      </c>
      <c r="N229" s="24"/>
      <c r="O229" s="19">
        <f>$G$21</f>
        <v>13</v>
      </c>
      <c r="P229" s="40">
        <f t="shared" ref="P229:T229" si="238">H229/H$240</f>
        <v>0.0534914361</v>
      </c>
      <c r="Q229" s="40">
        <f t="shared" si="238"/>
        <v>0.05159128978</v>
      </c>
      <c r="R229" s="40">
        <f t="shared" si="238"/>
        <v>0.05109489051</v>
      </c>
      <c r="S229" s="40">
        <f t="shared" si="238"/>
        <v>0.05150976909</v>
      </c>
      <c r="T229" s="40">
        <f t="shared" si="238"/>
        <v>0.08623087622</v>
      </c>
    </row>
    <row r="230" ht="15.75" customHeight="1">
      <c r="F230" s="24"/>
      <c r="G230" s="19">
        <f>$G$22</f>
        <v>14</v>
      </c>
      <c r="H230" s="20">
        <v>404.0</v>
      </c>
      <c r="I230" s="20">
        <v>152.0</v>
      </c>
      <c r="J230" s="20">
        <v>8.0</v>
      </c>
      <c r="K230" s="20">
        <v>32.0</v>
      </c>
      <c r="L230" s="20">
        <v>57.0</v>
      </c>
      <c r="N230" s="24"/>
      <c r="O230" s="19">
        <f>$G$22</f>
        <v>14</v>
      </c>
      <c r="P230" s="40">
        <f t="shared" ref="P230:T230" si="239">H230/H$240</f>
        <v>0.05322793149</v>
      </c>
      <c r="Q230" s="40">
        <f t="shared" si="239"/>
        <v>0.05092127303</v>
      </c>
      <c r="R230" s="40">
        <f t="shared" si="239"/>
        <v>0.05839416058</v>
      </c>
      <c r="S230" s="40">
        <f t="shared" si="239"/>
        <v>0.0568383659</v>
      </c>
      <c r="T230" s="40">
        <f t="shared" si="239"/>
        <v>0.0792767733</v>
      </c>
    </row>
    <row r="231" ht="15.75" customHeight="1">
      <c r="F231" s="24"/>
      <c r="G231" s="19">
        <f>$G$23</f>
        <v>15</v>
      </c>
      <c r="H231" s="20">
        <v>399.0</v>
      </c>
      <c r="I231" s="20">
        <v>167.0</v>
      </c>
      <c r="J231" s="20">
        <v>10.0</v>
      </c>
      <c r="K231" s="20">
        <v>24.0</v>
      </c>
      <c r="L231" s="20">
        <v>43.0</v>
      </c>
      <c r="N231" s="24"/>
      <c r="O231" s="19">
        <f>$G$23</f>
        <v>15</v>
      </c>
      <c r="P231" s="40">
        <f t="shared" ref="P231:T231" si="240">H231/H$240</f>
        <v>0.05256916996</v>
      </c>
      <c r="Q231" s="40">
        <f t="shared" si="240"/>
        <v>0.05594639866</v>
      </c>
      <c r="R231" s="40">
        <f t="shared" si="240"/>
        <v>0.07299270073</v>
      </c>
      <c r="S231" s="40">
        <f t="shared" si="240"/>
        <v>0.04262877442</v>
      </c>
      <c r="T231" s="40">
        <f t="shared" si="240"/>
        <v>0.05980528512</v>
      </c>
    </row>
    <row r="232" ht="15.75" customHeight="1">
      <c r="F232" s="24"/>
      <c r="G232" s="19">
        <f>$G$24</f>
        <v>16</v>
      </c>
      <c r="H232" s="20">
        <v>356.0</v>
      </c>
      <c r="I232" s="20">
        <v>176.0</v>
      </c>
      <c r="J232" s="20">
        <v>2.0</v>
      </c>
      <c r="K232" s="20">
        <v>36.0</v>
      </c>
      <c r="L232" s="20">
        <v>43.0</v>
      </c>
      <c r="N232" s="24"/>
      <c r="O232" s="19">
        <f>$G$24</f>
        <v>16</v>
      </c>
      <c r="P232" s="40">
        <f t="shared" ref="P232:T232" si="241">H232/H$240</f>
        <v>0.04690382082</v>
      </c>
      <c r="Q232" s="40">
        <f t="shared" si="241"/>
        <v>0.05896147404</v>
      </c>
      <c r="R232" s="40">
        <f t="shared" si="241"/>
        <v>0.01459854015</v>
      </c>
      <c r="S232" s="40">
        <f t="shared" si="241"/>
        <v>0.06394316163</v>
      </c>
      <c r="T232" s="40">
        <f t="shared" si="241"/>
        <v>0.05980528512</v>
      </c>
    </row>
    <row r="233" ht="15.75" customHeight="1">
      <c r="F233" s="24"/>
      <c r="G233" s="19">
        <f>$G$25</f>
        <v>17</v>
      </c>
      <c r="H233" s="20">
        <v>410.0</v>
      </c>
      <c r="I233" s="20">
        <v>221.0</v>
      </c>
      <c r="J233" s="20">
        <v>2.0</v>
      </c>
      <c r="K233" s="20">
        <v>18.0</v>
      </c>
      <c r="L233" s="20">
        <v>25.0</v>
      </c>
      <c r="N233" s="24"/>
      <c r="O233" s="19">
        <f>$G$25</f>
        <v>17</v>
      </c>
      <c r="P233" s="40">
        <f t="shared" ref="P233:T233" si="242">H233/H$240</f>
        <v>0.05401844532</v>
      </c>
      <c r="Q233" s="40">
        <f t="shared" si="242"/>
        <v>0.07403685092</v>
      </c>
      <c r="R233" s="40">
        <f t="shared" si="242"/>
        <v>0.01459854015</v>
      </c>
      <c r="S233" s="40">
        <f t="shared" si="242"/>
        <v>0.03197158082</v>
      </c>
      <c r="T233" s="40">
        <f t="shared" si="242"/>
        <v>0.0347705146</v>
      </c>
    </row>
    <row r="234" ht="15.75" customHeight="1">
      <c r="F234" s="24"/>
      <c r="G234" s="19">
        <f>$G$26</f>
        <v>18</v>
      </c>
      <c r="H234" s="20">
        <v>287.0</v>
      </c>
      <c r="I234" s="20">
        <v>82.0</v>
      </c>
      <c r="J234" s="20"/>
      <c r="K234" s="20">
        <v>18.0</v>
      </c>
      <c r="L234" s="20">
        <v>13.0</v>
      </c>
      <c r="N234" s="24"/>
      <c r="O234" s="19">
        <f>$G$26</f>
        <v>18</v>
      </c>
      <c r="P234" s="40">
        <f t="shared" ref="P234:T234" si="243">H234/H$240</f>
        <v>0.03781291173</v>
      </c>
      <c r="Q234" s="40">
        <f t="shared" si="243"/>
        <v>0.02747068677</v>
      </c>
      <c r="R234" s="40">
        <f t="shared" si="243"/>
        <v>0</v>
      </c>
      <c r="S234" s="40">
        <f t="shared" si="243"/>
        <v>0.03197158082</v>
      </c>
      <c r="T234" s="40">
        <f t="shared" si="243"/>
        <v>0.01808066759</v>
      </c>
    </row>
    <row r="235" ht="15.75" customHeight="1">
      <c r="F235" s="24"/>
      <c r="G235" s="19">
        <f>$G$27</f>
        <v>19</v>
      </c>
      <c r="H235" s="20">
        <v>281.0</v>
      </c>
      <c r="I235" s="20">
        <v>65.0</v>
      </c>
      <c r="J235" s="20">
        <v>5.0</v>
      </c>
      <c r="K235" s="20">
        <v>23.0</v>
      </c>
      <c r="L235" s="20">
        <v>18.0</v>
      </c>
      <c r="N235" s="24"/>
      <c r="O235" s="19">
        <f>$G$27</f>
        <v>19</v>
      </c>
      <c r="P235" s="40">
        <f t="shared" ref="P235:T235" si="244">H235/H$240</f>
        <v>0.03702239789</v>
      </c>
      <c r="Q235" s="40">
        <f t="shared" si="244"/>
        <v>0.02177554439</v>
      </c>
      <c r="R235" s="40">
        <f t="shared" si="244"/>
        <v>0.03649635036</v>
      </c>
      <c r="S235" s="40">
        <f t="shared" si="244"/>
        <v>0.04085257549</v>
      </c>
      <c r="T235" s="40">
        <f t="shared" si="244"/>
        <v>0.02503477051</v>
      </c>
    </row>
    <row r="236" ht="15.75" customHeight="1">
      <c r="F236" s="24"/>
      <c r="G236" s="19">
        <f>$G$28</f>
        <v>20</v>
      </c>
      <c r="H236" s="20">
        <v>214.0</v>
      </c>
      <c r="I236" s="20">
        <v>64.0</v>
      </c>
      <c r="J236" s="20"/>
      <c r="K236" s="20">
        <v>10.0</v>
      </c>
      <c r="L236" s="20">
        <v>11.0</v>
      </c>
      <c r="N236" s="24"/>
      <c r="O236" s="19">
        <f>$G$28</f>
        <v>20</v>
      </c>
      <c r="P236" s="40">
        <f t="shared" ref="P236:T236" si="245">H236/H$240</f>
        <v>0.02819499341</v>
      </c>
      <c r="Q236" s="40">
        <f t="shared" si="245"/>
        <v>0.02144053601</v>
      </c>
      <c r="R236" s="40">
        <f t="shared" si="245"/>
        <v>0</v>
      </c>
      <c r="S236" s="40">
        <f t="shared" si="245"/>
        <v>0.01776198934</v>
      </c>
      <c r="T236" s="40">
        <f t="shared" si="245"/>
        <v>0.01529902643</v>
      </c>
    </row>
    <row r="237" ht="15.75" customHeight="1">
      <c r="F237" s="24"/>
      <c r="G237" s="19">
        <f>$G$29</f>
        <v>21</v>
      </c>
      <c r="H237" s="20">
        <v>194.0</v>
      </c>
      <c r="I237" s="20">
        <v>45.0</v>
      </c>
      <c r="J237" s="20">
        <v>1.0</v>
      </c>
      <c r="K237" s="20">
        <v>5.0</v>
      </c>
      <c r="L237" s="20">
        <v>9.0</v>
      </c>
      <c r="N237" s="24"/>
      <c r="O237" s="19">
        <f>$G$29</f>
        <v>21</v>
      </c>
      <c r="P237" s="40">
        <f t="shared" ref="P237:T237" si="246">H237/H$240</f>
        <v>0.0255599473</v>
      </c>
      <c r="Q237" s="40">
        <f t="shared" si="246"/>
        <v>0.01507537688</v>
      </c>
      <c r="R237" s="40">
        <f t="shared" si="246"/>
        <v>0.007299270073</v>
      </c>
      <c r="S237" s="40">
        <f t="shared" si="246"/>
        <v>0.008880994671</v>
      </c>
      <c r="T237" s="40">
        <f t="shared" si="246"/>
        <v>0.01251738526</v>
      </c>
    </row>
    <row r="238" ht="15.75" customHeight="1">
      <c r="F238" s="24"/>
      <c r="G238" s="19">
        <f>$G$30</f>
        <v>22</v>
      </c>
      <c r="H238" s="20">
        <v>145.0</v>
      </c>
      <c r="I238" s="20">
        <v>47.0</v>
      </c>
      <c r="J238" s="20">
        <v>2.0</v>
      </c>
      <c r="K238" s="20">
        <v>11.0</v>
      </c>
      <c r="L238" s="20">
        <v>4.0</v>
      </c>
      <c r="N238" s="24"/>
      <c r="O238" s="19">
        <f>$G$30</f>
        <v>22</v>
      </c>
      <c r="P238" s="40">
        <f t="shared" ref="P238:T238" si="247">H238/H$240</f>
        <v>0.01910408432</v>
      </c>
      <c r="Q238" s="40">
        <f t="shared" si="247"/>
        <v>0.01574539363</v>
      </c>
      <c r="R238" s="40">
        <f t="shared" si="247"/>
        <v>0.01459854015</v>
      </c>
      <c r="S238" s="40">
        <f t="shared" si="247"/>
        <v>0.01953818828</v>
      </c>
      <c r="T238" s="40">
        <f t="shared" si="247"/>
        <v>0.005563282337</v>
      </c>
    </row>
    <row r="239" ht="15.75" customHeight="1">
      <c r="F239" s="28"/>
      <c r="G239" s="19">
        <f>$G$31</f>
        <v>23</v>
      </c>
      <c r="H239" s="20">
        <v>86.0</v>
      </c>
      <c r="I239" s="20">
        <v>27.0</v>
      </c>
      <c r="J239" s="20">
        <v>1.0</v>
      </c>
      <c r="K239" s="20">
        <v>8.0</v>
      </c>
      <c r="L239" s="20">
        <v>9.0</v>
      </c>
      <c r="N239" s="28"/>
      <c r="O239" s="19">
        <f>$G$31</f>
        <v>23</v>
      </c>
      <c r="P239" s="40">
        <f t="shared" ref="P239:T239" si="248">H239/H$240</f>
        <v>0.01133069829</v>
      </c>
      <c r="Q239" s="40">
        <f t="shared" si="248"/>
        <v>0.009045226131</v>
      </c>
      <c r="R239" s="40">
        <f t="shared" si="248"/>
        <v>0.007299270073</v>
      </c>
      <c r="S239" s="40">
        <f t="shared" si="248"/>
        <v>0.01420959147</v>
      </c>
      <c r="T239" s="40">
        <f t="shared" si="248"/>
        <v>0.01251738526</v>
      </c>
    </row>
    <row r="240" ht="15.75" customHeight="1">
      <c r="F240" s="111"/>
      <c r="G240" s="112"/>
      <c r="H240" s="26">
        <f t="shared" ref="H240:L240" si="249">SUM(H216:H239)</f>
        <v>7590</v>
      </c>
      <c r="I240" s="26">
        <f t="shared" si="249"/>
        <v>2985</v>
      </c>
      <c r="J240" s="26">
        <f t="shared" si="249"/>
        <v>137</v>
      </c>
      <c r="K240" s="26">
        <f t="shared" si="249"/>
        <v>563</v>
      </c>
      <c r="L240" s="26">
        <f t="shared" si="249"/>
        <v>719</v>
      </c>
    </row>
    <row r="241" ht="15.75" customHeight="1">
      <c r="G241" s="16"/>
      <c r="H241" s="17">
        <f>$H$7</f>
        <v>31</v>
      </c>
      <c r="I241" s="17">
        <f>$I$7</f>
        <v>32</v>
      </c>
      <c r="J241" s="17">
        <f>$J$7</f>
        <v>41</v>
      </c>
      <c r="K241" s="17">
        <f>$K$7</f>
        <v>42</v>
      </c>
      <c r="L241" s="17">
        <f>$L$7</f>
        <v>5</v>
      </c>
      <c r="O241" s="16"/>
      <c r="P241" s="17">
        <f>$H$7</f>
        <v>31</v>
      </c>
      <c r="Q241" s="17">
        <f>$I$7</f>
        <v>32</v>
      </c>
      <c r="R241" s="17">
        <f>$J$7</f>
        <v>41</v>
      </c>
      <c r="S241" s="17">
        <f>$K$7</f>
        <v>42</v>
      </c>
      <c r="T241" s="17">
        <f>$L$7</f>
        <v>5</v>
      </c>
    </row>
    <row r="242" ht="15.75" customHeight="1">
      <c r="F242" s="56">
        <v>45216.0</v>
      </c>
      <c r="G242" s="19">
        <f>$G$8</f>
        <v>0</v>
      </c>
      <c r="H242" s="20">
        <v>54.0</v>
      </c>
      <c r="I242" s="20">
        <v>14.0</v>
      </c>
      <c r="J242" s="20"/>
      <c r="K242" s="20">
        <v>10.0</v>
      </c>
      <c r="L242" s="20">
        <v>11.0</v>
      </c>
      <c r="N242" s="56">
        <v>45216.0</v>
      </c>
      <c r="O242" s="19">
        <f>$G$8</f>
        <v>0</v>
      </c>
      <c r="P242" s="40">
        <f t="shared" ref="P242:T242" si="250">H242/H$266</f>
        <v>0.007613139715</v>
      </c>
      <c r="Q242" s="40">
        <f t="shared" si="250"/>
        <v>0.004883153122</v>
      </c>
      <c r="R242" s="40">
        <f t="shared" si="250"/>
        <v>0</v>
      </c>
      <c r="S242" s="40">
        <f t="shared" si="250"/>
        <v>0.01754385965</v>
      </c>
      <c r="T242" s="40">
        <f t="shared" si="250"/>
        <v>0.01395939086</v>
      </c>
    </row>
    <row r="243" ht="15.75" customHeight="1">
      <c r="F243" s="24"/>
      <c r="G243" s="19">
        <f>$G$9</f>
        <v>1</v>
      </c>
      <c r="H243" s="20">
        <v>35.0</v>
      </c>
      <c r="I243" s="20">
        <v>15.0</v>
      </c>
      <c r="J243" s="20"/>
      <c r="K243" s="20">
        <v>7.0</v>
      </c>
      <c r="L243" s="20">
        <v>7.0</v>
      </c>
      <c r="N243" s="24"/>
      <c r="O243" s="19">
        <f>$G$9</f>
        <v>1</v>
      </c>
      <c r="P243" s="40">
        <f t="shared" ref="P243:T243" si="251">H243/H$266</f>
        <v>0.004934442408</v>
      </c>
      <c r="Q243" s="40">
        <f t="shared" si="251"/>
        <v>0.005231949773</v>
      </c>
      <c r="R243" s="40">
        <f t="shared" si="251"/>
        <v>0</v>
      </c>
      <c r="S243" s="40">
        <f t="shared" si="251"/>
        <v>0.01228070175</v>
      </c>
      <c r="T243" s="40">
        <f t="shared" si="251"/>
        <v>0.008883248731</v>
      </c>
    </row>
    <row r="244" ht="15.75" customHeight="1">
      <c r="F244" s="24"/>
      <c r="G244" s="19">
        <f>$G$10</f>
        <v>2</v>
      </c>
      <c r="H244" s="16">
        <v>30.0</v>
      </c>
      <c r="I244" s="16">
        <v>10.0</v>
      </c>
      <c r="J244" s="16"/>
      <c r="K244" s="16">
        <v>9.0</v>
      </c>
      <c r="L244" s="16">
        <v>19.0</v>
      </c>
      <c r="N244" s="24"/>
      <c r="O244" s="19">
        <f>$G$10</f>
        <v>2</v>
      </c>
      <c r="P244" s="40">
        <f t="shared" ref="P244:T244" si="252">H244/H$266</f>
        <v>0.004229522064</v>
      </c>
      <c r="Q244" s="40">
        <f t="shared" si="252"/>
        <v>0.003487966516</v>
      </c>
      <c r="R244" s="40">
        <f t="shared" si="252"/>
        <v>0</v>
      </c>
      <c r="S244" s="40">
        <f t="shared" si="252"/>
        <v>0.01578947368</v>
      </c>
      <c r="T244" s="40">
        <f t="shared" si="252"/>
        <v>0.02411167513</v>
      </c>
    </row>
    <row r="245" ht="15.75" customHeight="1">
      <c r="F245" s="24"/>
      <c r="G245" s="19">
        <f>$G$11</f>
        <v>3</v>
      </c>
      <c r="H245" s="20">
        <v>31.0</v>
      </c>
      <c r="I245" s="20">
        <v>19.0</v>
      </c>
      <c r="J245" s="20">
        <v>2.0</v>
      </c>
      <c r="K245" s="20">
        <v>12.0</v>
      </c>
      <c r="L245" s="20">
        <v>9.0</v>
      </c>
      <c r="N245" s="24"/>
      <c r="O245" s="19">
        <f>$G$11</f>
        <v>3</v>
      </c>
      <c r="P245" s="40">
        <f t="shared" ref="P245:T245" si="253">H245/H$266</f>
        <v>0.004370506133</v>
      </c>
      <c r="Q245" s="40">
        <f t="shared" si="253"/>
        <v>0.006627136379</v>
      </c>
      <c r="R245" s="40">
        <f t="shared" si="253"/>
        <v>0.01470588235</v>
      </c>
      <c r="S245" s="40">
        <f t="shared" si="253"/>
        <v>0.02105263158</v>
      </c>
      <c r="T245" s="40">
        <f t="shared" si="253"/>
        <v>0.0114213198</v>
      </c>
    </row>
    <row r="246" ht="15.75" customHeight="1">
      <c r="F246" s="24"/>
      <c r="G246" s="19">
        <f>$G$12</f>
        <v>4</v>
      </c>
      <c r="H246" s="20">
        <v>80.0</v>
      </c>
      <c r="I246" s="20">
        <v>44.0</v>
      </c>
      <c r="J246" s="20">
        <v>3.0</v>
      </c>
      <c r="K246" s="20">
        <v>25.0</v>
      </c>
      <c r="L246" s="20">
        <v>34.0</v>
      </c>
      <c r="N246" s="24"/>
      <c r="O246" s="19">
        <f>$G$12</f>
        <v>4</v>
      </c>
      <c r="P246" s="40">
        <f t="shared" ref="P246:T246" si="254">H246/H$266</f>
        <v>0.0112787255</v>
      </c>
      <c r="Q246" s="40">
        <f t="shared" si="254"/>
        <v>0.01534705267</v>
      </c>
      <c r="R246" s="40">
        <f t="shared" si="254"/>
        <v>0.02205882353</v>
      </c>
      <c r="S246" s="40">
        <f t="shared" si="254"/>
        <v>0.04385964912</v>
      </c>
      <c r="T246" s="40">
        <f t="shared" si="254"/>
        <v>0.04314720812</v>
      </c>
    </row>
    <row r="247" ht="15.75" customHeight="1">
      <c r="F247" s="24"/>
      <c r="G247" s="19">
        <f>$G$13</f>
        <v>5</v>
      </c>
      <c r="H247" s="20">
        <v>137.0</v>
      </c>
      <c r="I247" s="20">
        <v>64.0</v>
      </c>
      <c r="J247" s="20">
        <v>6.0</v>
      </c>
      <c r="K247" s="20">
        <v>23.0</v>
      </c>
      <c r="L247" s="20">
        <v>24.0</v>
      </c>
      <c r="N247" s="24"/>
      <c r="O247" s="19">
        <f>$G$13</f>
        <v>5</v>
      </c>
      <c r="P247" s="40">
        <f t="shared" ref="P247:T247" si="255">H247/H$266</f>
        <v>0.01931481743</v>
      </c>
      <c r="Q247" s="40">
        <f t="shared" si="255"/>
        <v>0.0223229857</v>
      </c>
      <c r="R247" s="40">
        <f t="shared" si="255"/>
        <v>0.04411764706</v>
      </c>
      <c r="S247" s="40">
        <f t="shared" si="255"/>
        <v>0.04035087719</v>
      </c>
      <c r="T247" s="40">
        <f t="shared" si="255"/>
        <v>0.03045685279</v>
      </c>
    </row>
    <row r="248" ht="15.75" customHeight="1">
      <c r="F248" s="24"/>
      <c r="G248" s="19">
        <f>$G$14</f>
        <v>6</v>
      </c>
      <c r="H248" s="20">
        <v>321.0</v>
      </c>
      <c r="I248" s="20">
        <v>129.0</v>
      </c>
      <c r="J248" s="20">
        <v>13.0</v>
      </c>
      <c r="K248" s="20">
        <v>38.0</v>
      </c>
      <c r="L248" s="20">
        <v>36.0</v>
      </c>
      <c r="N248" s="24"/>
      <c r="O248" s="19">
        <f>$G$14</f>
        <v>6</v>
      </c>
      <c r="P248" s="40">
        <f t="shared" ref="P248:T248" si="256">H248/H$266</f>
        <v>0.04525588608</v>
      </c>
      <c r="Q248" s="40">
        <f t="shared" si="256"/>
        <v>0.04499476805</v>
      </c>
      <c r="R248" s="40">
        <f t="shared" si="256"/>
        <v>0.09558823529</v>
      </c>
      <c r="S248" s="40">
        <f t="shared" si="256"/>
        <v>0.06666666667</v>
      </c>
      <c r="T248" s="40">
        <f t="shared" si="256"/>
        <v>0.04568527919</v>
      </c>
    </row>
    <row r="249" ht="15.75" customHeight="1">
      <c r="F249" s="24"/>
      <c r="G249" s="19">
        <f>$G$15</f>
        <v>7</v>
      </c>
      <c r="H249" s="20">
        <v>562.0</v>
      </c>
      <c r="I249" s="20">
        <v>243.0</v>
      </c>
      <c r="J249" s="20">
        <v>25.0</v>
      </c>
      <c r="K249" s="20">
        <v>48.0</v>
      </c>
      <c r="L249" s="20">
        <v>38.0</v>
      </c>
      <c r="N249" s="24"/>
      <c r="O249" s="19">
        <f>$G$15</f>
        <v>7</v>
      </c>
      <c r="P249" s="40">
        <f t="shared" ref="P249:T249" si="257">H249/H$266</f>
        <v>0.07923304667</v>
      </c>
      <c r="Q249" s="40">
        <f t="shared" si="257"/>
        <v>0.08475758633</v>
      </c>
      <c r="R249" s="40">
        <f t="shared" si="257"/>
        <v>0.1838235294</v>
      </c>
      <c r="S249" s="40">
        <f t="shared" si="257"/>
        <v>0.08421052632</v>
      </c>
      <c r="T249" s="40">
        <f t="shared" si="257"/>
        <v>0.04822335025</v>
      </c>
    </row>
    <row r="250" ht="15.75" customHeight="1">
      <c r="F250" s="24"/>
      <c r="G250" s="19">
        <f>$G$16</f>
        <v>8</v>
      </c>
      <c r="H250" s="20">
        <v>554.0</v>
      </c>
      <c r="I250" s="20">
        <v>299.0</v>
      </c>
      <c r="J250" s="20">
        <v>23.0</v>
      </c>
      <c r="K250" s="20">
        <v>35.0</v>
      </c>
      <c r="L250" s="20">
        <v>46.0</v>
      </c>
      <c r="N250" s="24"/>
      <c r="O250" s="19">
        <f>$G$16</f>
        <v>8</v>
      </c>
      <c r="P250" s="40">
        <f t="shared" ref="P250:T250" si="258">H250/H$266</f>
        <v>0.07810517412</v>
      </c>
      <c r="Q250" s="40">
        <f t="shared" si="258"/>
        <v>0.1042901988</v>
      </c>
      <c r="R250" s="40">
        <f t="shared" si="258"/>
        <v>0.1691176471</v>
      </c>
      <c r="S250" s="40">
        <f t="shared" si="258"/>
        <v>0.06140350877</v>
      </c>
      <c r="T250" s="40">
        <f t="shared" si="258"/>
        <v>0.05837563452</v>
      </c>
    </row>
    <row r="251" ht="15.75" customHeight="1">
      <c r="F251" s="24"/>
      <c r="G251" s="19">
        <f>$G$17</f>
        <v>9</v>
      </c>
      <c r="H251" s="20">
        <v>647.0</v>
      </c>
      <c r="I251" s="20">
        <v>306.0</v>
      </c>
      <c r="J251" s="20">
        <v>14.0</v>
      </c>
      <c r="K251" s="20">
        <v>48.0</v>
      </c>
      <c r="L251" s="20">
        <v>79.0</v>
      </c>
      <c r="N251" s="24"/>
      <c r="O251" s="19">
        <f>$G$17</f>
        <v>9</v>
      </c>
      <c r="P251" s="40">
        <f t="shared" ref="P251:T251" si="259">H251/H$266</f>
        <v>0.09121669251</v>
      </c>
      <c r="Q251" s="40">
        <f t="shared" si="259"/>
        <v>0.1067317754</v>
      </c>
      <c r="R251" s="40">
        <f t="shared" si="259"/>
        <v>0.1029411765</v>
      </c>
      <c r="S251" s="40">
        <f t="shared" si="259"/>
        <v>0.08421052632</v>
      </c>
      <c r="T251" s="40">
        <f t="shared" si="259"/>
        <v>0.1002538071</v>
      </c>
    </row>
    <row r="252" ht="15.75" customHeight="1">
      <c r="F252" s="24"/>
      <c r="G252" s="19">
        <f>$G$18</f>
        <v>10</v>
      </c>
      <c r="H252" s="20">
        <v>613.0</v>
      </c>
      <c r="I252" s="20">
        <v>256.0</v>
      </c>
      <c r="J252" s="20">
        <v>3.0</v>
      </c>
      <c r="K252" s="20">
        <v>43.0</v>
      </c>
      <c r="L252" s="20">
        <v>62.0</v>
      </c>
      <c r="N252" s="24"/>
      <c r="O252" s="19">
        <f>$G$18</f>
        <v>10</v>
      </c>
      <c r="P252" s="40">
        <f t="shared" ref="P252:T252" si="260">H252/H$266</f>
        <v>0.08642323417</v>
      </c>
      <c r="Q252" s="40">
        <f t="shared" si="260"/>
        <v>0.0892919428</v>
      </c>
      <c r="R252" s="40">
        <f t="shared" si="260"/>
        <v>0.02205882353</v>
      </c>
      <c r="S252" s="40">
        <f t="shared" si="260"/>
        <v>0.07543859649</v>
      </c>
      <c r="T252" s="40">
        <f t="shared" si="260"/>
        <v>0.07868020305</v>
      </c>
    </row>
    <row r="253" ht="15.75" customHeight="1">
      <c r="F253" s="24"/>
      <c r="G253" s="19">
        <f>$G$19</f>
        <v>11</v>
      </c>
      <c r="H253" s="20">
        <v>477.0</v>
      </c>
      <c r="I253" s="20">
        <v>152.0</v>
      </c>
      <c r="J253" s="20">
        <v>5.0</v>
      </c>
      <c r="K253" s="20">
        <v>35.0</v>
      </c>
      <c r="L253" s="20">
        <v>68.0</v>
      </c>
      <c r="N253" s="24"/>
      <c r="O253" s="19">
        <f>$G$19</f>
        <v>11</v>
      </c>
      <c r="P253" s="40">
        <f t="shared" ref="P253:T253" si="261">H253/H$266</f>
        <v>0.06724940082</v>
      </c>
      <c r="Q253" s="40">
        <f t="shared" si="261"/>
        <v>0.05301709104</v>
      </c>
      <c r="R253" s="40">
        <f t="shared" si="261"/>
        <v>0.03676470588</v>
      </c>
      <c r="S253" s="40">
        <f t="shared" si="261"/>
        <v>0.06140350877</v>
      </c>
      <c r="T253" s="40">
        <f t="shared" si="261"/>
        <v>0.08629441624</v>
      </c>
    </row>
    <row r="254" ht="15.75" customHeight="1">
      <c r="F254" s="24"/>
      <c r="G254" s="19">
        <f>$G$20</f>
        <v>12</v>
      </c>
      <c r="H254" s="20">
        <v>401.0</v>
      </c>
      <c r="I254" s="20">
        <v>165.0</v>
      </c>
      <c r="J254" s="20">
        <v>5.0</v>
      </c>
      <c r="K254" s="20">
        <v>26.0</v>
      </c>
      <c r="L254" s="20">
        <v>82.0</v>
      </c>
      <c r="N254" s="24"/>
      <c r="O254" s="19">
        <f>$G$20</f>
        <v>12</v>
      </c>
      <c r="P254" s="40">
        <f t="shared" ref="P254:T254" si="262">H254/H$266</f>
        <v>0.05653461159</v>
      </c>
      <c r="Q254" s="40">
        <f t="shared" si="262"/>
        <v>0.05755144751</v>
      </c>
      <c r="R254" s="40">
        <f t="shared" si="262"/>
        <v>0.03676470588</v>
      </c>
      <c r="S254" s="40">
        <f t="shared" si="262"/>
        <v>0.04561403509</v>
      </c>
      <c r="T254" s="40">
        <f t="shared" si="262"/>
        <v>0.1040609137</v>
      </c>
    </row>
    <row r="255" ht="15.75" customHeight="1">
      <c r="F255" s="24"/>
      <c r="G255" s="19">
        <f>$G$21</f>
        <v>13</v>
      </c>
      <c r="H255" s="20">
        <v>374.0</v>
      </c>
      <c r="I255" s="20">
        <v>174.0</v>
      </c>
      <c r="J255" s="20">
        <v>9.0</v>
      </c>
      <c r="K255" s="20">
        <v>35.0</v>
      </c>
      <c r="L255" s="20">
        <v>41.0</v>
      </c>
      <c r="N255" s="24"/>
      <c r="O255" s="19">
        <f>$G$21</f>
        <v>13</v>
      </c>
      <c r="P255" s="40">
        <f t="shared" ref="P255:T255" si="263">H255/H$266</f>
        <v>0.05272804173</v>
      </c>
      <c r="Q255" s="40">
        <f t="shared" si="263"/>
        <v>0.06069061737</v>
      </c>
      <c r="R255" s="40">
        <f t="shared" si="263"/>
        <v>0.06617647059</v>
      </c>
      <c r="S255" s="40">
        <f t="shared" si="263"/>
        <v>0.06140350877</v>
      </c>
      <c r="T255" s="40">
        <f t="shared" si="263"/>
        <v>0.05203045685</v>
      </c>
    </row>
    <row r="256" ht="15.75" customHeight="1">
      <c r="F256" s="24"/>
      <c r="G256" s="19">
        <f>$G$22</f>
        <v>14</v>
      </c>
      <c r="H256" s="20">
        <v>370.0</v>
      </c>
      <c r="I256" s="20">
        <v>175.0</v>
      </c>
      <c r="J256" s="20">
        <v>6.0</v>
      </c>
      <c r="K256" s="20">
        <v>28.0</v>
      </c>
      <c r="L256" s="20">
        <v>73.0</v>
      </c>
      <c r="N256" s="24"/>
      <c r="O256" s="19">
        <f>$G$22</f>
        <v>14</v>
      </c>
      <c r="P256" s="40">
        <f t="shared" ref="P256:T256" si="264">H256/H$266</f>
        <v>0.05216410546</v>
      </c>
      <c r="Q256" s="40">
        <f t="shared" si="264"/>
        <v>0.06103941402</v>
      </c>
      <c r="R256" s="40">
        <f t="shared" si="264"/>
        <v>0.04411764706</v>
      </c>
      <c r="S256" s="40">
        <f t="shared" si="264"/>
        <v>0.04912280702</v>
      </c>
      <c r="T256" s="40">
        <f t="shared" si="264"/>
        <v>0.09263959391</v>
      </c>
    </row>
    <row r="257" ht="15.75" customHeight="1">
      <c r="F257" s="24"/>
      <c r="G257" s="19">
        <f>$G$23</f>
        <v>15</v>
      </c>
      <c r="H257" s="20">
        <v>373.0</v>
      </c>
      <c r="I257" s="20">
        <v>141.0</v>
      </c>
      <c r="J257" s="20">
        <v>10.0</v>
      </c>
      <c r="K257" s="20">
        <v>35.0</v>
      </c>
      <c r="L257" s="20">
        <v>39.0</v>
      </c>
      <c r="N257" s="24"/>
      <c r="O257" s="19">
        <f>$G$23</f>
        <v>15</v>
      </c>
      <c r="P257" s="40">
        <f t="shared" ref="P257:T257" si="265">H257/H$266</f>
        <v>0.05258705766</v>
      </c>
      <c r="Q257" s="40">
        <f t="shared" si="265"/>
        <v>0.04918032787</v>
      </c>
      <c r="R257" s="40">
        <f t="shared" si="265"/>
        <v>0.07352941176</v>
      </c>
      <c r="S257" s="40">
        <f t="shared" si="265"/>
        <v>0.06140350877</v>
      </c>
      <c r="T257" s="40">
        <f t="shared" si="265"/>
        <v>0.04949238579</v>
      </c>
    </row>
    <row r="258" ht="15.75" customHeight="1">
      <c r="F258" s="24"/>
      <c r="G258" s="19">
        <f>$G$24</f>
        <v>16</v>
      </c>
      <c r="H258" s="20">
        <v>414.0</v>
      </c>
      <c r="I258" s="20">
        <v>172.0</v>
      </c>
      <c r="J258" s="20">
        <v>5.0</v>
      </c>
      <c r="K258" s="20">
        <v>34.0</v>
      </c>
      <c r="L258" s="20">
        <v>36.0</v>
      </c>
      <c r="N258" s="24"/>
      <c r="O258" s="19">
        <f>$G$24</f>
        <v>16</v>
      </c>
      <c r="P258" s="40">
        <f t="shared" ref="P258:T258" si="266">H258/H$266</f>
        <v>0.05836740448</v>
      </c>
      <c r="Q258" s="40">
        <f t="shared" si="266"/>
        <v>0.05999302407</v>
      </c>
      <c r="R258" s="40">
        <f t="shared" si="266"/>
        <v>0.03676470588</v>
      </c>
      <c r="S258" s="40">
        <f t="shared" si="266"/>
        <v>0.05964912281</v>
      </c>
      <c r="T258" s="40">
        <f t="shared" si="266"/>
        <v>0.04568527919</v>
      </c>
    </row>
    <row r="259" ht="15.75" customHeight="1">
      <c r="F259" s="24"/>
      <c r="G259" s="19">
        <f>$G$25</f>
        <v>17</v>
      </c>
      <c r="H259" s="20">
        <v>469.0</v>
      </c>
      <c r="I259" s="20">
        <v>202.0</v>
      </c>
      <c r="J259" s="20">
        <v>1.0</v>
      </c>
      <c r="K259" s="20">
        <v>14.0</v>
      </c>
      <c r="L259" s="20">
        <v>22.0</v>
      </c>
      <c r="N259" s="24"/>
      <c r="O259" s="19">
        <f>$G$25</f>
        <v>17</v>
      </c>
      <c r="P259" s="40">
        <f t="shared" ref="P259:T259" si="267">H259/H$266</f>
        <v>0.06612152827</v>
      </c>
      <c r="Q259" s="40">
        <f t="shared" si="267"/>
        <v>0.07045692361</v>
      </c>
      <c r="R259" s="40">
        <f t="shared" si="267"/>
        <v>0.007352941176</v>
      </c>
      <c r="S259" s="40">
        <f t="shared" si="267"/>
        <v>0.02456140351</v>
      </c>
      <c r="T259" s="40">
        <f t="shared" si="267"/>
        <v>0.02791878173</v>
      </c>
    </row>
    <row r="260" ht="15.75" customHeight="1">
      <c r="F260" s="24"/>
      <c r="G260" s="19">
        <f>$G$26</f>
        <v>18</v>
      </c>
      <c r="H260" s="20">
        <v>277.0</v>
      </c>
      <c r="I260" s="20">
        <v>87.0</v>
      </c>
      <c r="J260" s="20"/>
      <c r="K260" s="20">
        <v>9.0</v>
      </c>
      <c r="L260" s="20">
        <v>17.0</v>
      </c>
      <c r="N260" s="24"/>
      <c r="O260" s="19">
        <f>$G$26</f>
        <v>18</v>
      </c>
      <c r="P260" s="40">
        <f t="shared" ref="P260:T260" si="268">H260/H$266</f>
        <v>0.03905258706</v>
      </c>
      <c r="Q260" s="40">
        <f t="shared" si="268"/>
        <v>0.03034530869</v>
      </c>
      <c r="R260" s="40">
        <f t="shared" si="268"/>
        <v>0</v>
      </c>
      <c r="S260" s="40">
        <f t="shared" si="268"/>
        <v>0.01578947368</v>
      </c>
      <c r="T260" s="40">
        <f t="shared" si="268"/>
        <v>0.02157360406</v>
      </c>
    </row>
    <row r="261" ht="15.75" customHeight="1">
      <c r="F261" s="24"/>
      <c r="G261" s="19">
        <f>$G$27</f>
        <v>19</v>
      </c>
      <c r="H261" s="20">
        <v>241.0</v>
      </c>
      <c r="I261" s="20">
        <v>58.0</v>
      </c>
      <c r="J261" s="20">
        <v>2.0</v>
      </c>
      <c r="K261" s="20">
        <v>17.0</v>
      </c>
      <c r="L261" s="20">
        <v>7.0</v>
      </c>
      <c r="N261" s="24"/>
      <c r="O261" s="19">
        <f>$G$27</f>
        <v>19</v>
      </c>
      <c r="P261" s="40">
        <f t="shared" ref="P261:T261" si="269">H261/H$266</f>
        <v>0.03397716058</v>
      </c>
      <c r="Q261" s="40">
        <f t="shared" si="269"/>
        <v>0.02023020579</v>
      </c>
      <c r="R261" s="40">
        <f t="shared" si="269"/>
        <v>0.01470588235</v>
      </c>
      <c r="S261" s="40">
        <f t="shared" si="269"/>
        <v>0.0298245614</v>
      </c>
      <c r="T261" s="40">
        <f t="shared" si="269"/>
        <v>0.008883248731</v>
      </c>
    </row>
    <row r="262" ht="15.75" customHeight="1">
      <c r="F262" s="24"/>
      <c r="G262" s="19">
        <f>$G$28</f>
        <v>20</v>
      </c>
      <c r="H262" s="20">
        <v>233.0</v>
      </c>
      <c r="I262" s="20">
        <v>55.0</v>
      </c>
      <c r="J262" s="20">
        <v>1.0</v>
      </c>
      <c r="K262" s="20">
        <v>19.0</v>
      </c>
      <c r="L262" s="20">
        <v>12.0</v>
      </c>
      <c r="N262" s="24"/>
      <c r="O262" s="19">
        <f>$G$28</f>
        <v>20</v>
      </c>
      <c r="P262" s="40">
        <f t="shared" ref="P262:T262" si="270">H262/H$266</f>
        <v>0.03284928803</v>
      </c>
      <c r="Q262" s="40">
        <f t="shared" si="270"/>
        <v>0.01918381584</v>
      </c>
      <c r="R262" s="40">
        <f t="shared" si="270"/>
        <v>0.007352941176</v>
      </c>
      <c r="S262" s="40">
        <f t="shared" si="270"/>
        <v>0.03333333333</v>
      </c>
      <c r="T262" s="40">
        <f t="shared" si="270"/>
        <v>0.0152284264</v>
      </c>
    </row>
    <row r="263" ht="15.75" customHeight="1">
      <c r="F263" s="24"/>
      <c r="G263" s="19">
        <f>$G$29</f>
        <v>21</v>
      </c>
      <c r="H263" s="20">
        <v>189.0</v>
      </c>
      <c r="I263" s="20">
        <v>28.0</v>
      </c>
      <c r="J263" s="20">
        <v>2.0</v>
      </c>
      <c r="K263" s="20">
        <v>9.0</v>
      </c>
      <c r="L263" s="20">
        <v>5.0</v>
      </c>
      <c r="N263" s="24"/>
      <c r="O263" s="19">
        <f>$G$29</f>
        <v>21</v>
      </c>
      <c r="P263" s="40">
        <f t="shared" ref="P263:T263" si="271">H263/H$266</f>
        <v>0.026645989</v>
      </c>
      <c r="Q263" s="40">
        <f t="shared" si="271"/>
        <v>0.009766306243</v>
      </c>
      <c r="R263" s="40">
        <f t="shared" si="271"/>
        <v>0.01470588235</v>
      </c>
      <c r="S263" s="40">
        <f t="shared" si="271"/>
        <v>0.01578947368</v>
      </c>
      <c r="T263" s="40">
        <f t="shared" si="271"/>
        <v>0.006345177665</v>
      </c>
    </row>
    <row r="264" ht="15.75" customHeight="1">
      <c r="F264" s="24"/>
      <c r="G264" s="19">
        <f>$G$30</f>
        <v>22</v>
      </c>
      <c r="H264" s="20">
        <v>143.0</v>
      </c>
      <c r="I264" s="20">
        <v>39.0</v>
      </c>
      <c r="J264" s="20"/>
      <c r="K264" s="20">
        <v>3.0</v>
      </c>
      <c r="L264" s="20">
        <v>9.0</v>
      </c>
      <c r="N264" s="24"/>
      <c r="O264" s="19">
        <f>$G$30</f>
        <v>22</v>
      </c>
      <c r="P264" s="40">
        <f t="shared" ref="P264:T264" si="272">H264/H$266</f>
        <v>0.02016072184</v>
      </c>
      <c r="Q264" s="40">
        <f t="shared" si="272"/>
        <v>0.01360306941</v>
      </c>
      <c r="R264" s="40">
        <f t="shared" si="272"/>
        <v>0</v>
      </c>
      <c r="S264" s="40">
        <f t="shared" si="272"/>
        <v>0.005263157895</v>
      </c>
      <c r="T264" s="40">
        <f t="shared" si="272"/>
        <v>0.0114213198</v>
      </c>
    </row>
    <row r="265" ht="15.75" customHeight="1">
      <c r="F265" s="28"/>
      <c r="G265" s="19">
        <f>$G$31</f>
        <v>23</v>
      </c>
      <c r="H265" s="20">
        <v>68.0</v>
      </c>
      <c r="I265" s="20">
        <v>20.0</v>
      </c>
      <c r="J265" s="20">
        <v>1.0</v>
      </c>
      <c r="K265" s="20">
        <v>8.0</v>
      </c>
      <c r="L265" s="20">
        <v>12.0</v>
      </c>
      <c r="N265" s="28"/>
      <c r="O265" s="19">
        <f>$G$31</f>
        <v>23</v>
      </c>
      <c r="P265" s="40">
        <f t="shared" ref="P265:T265" si="273">H265/H$266</f>
        <v>0.009586916678</v>
      </c>
      <c r="Q265" s="40">
        <f t="shared" si="273"/>
        <v>0.006975933031</v>
      </c>
      <c r="R265" s="40">
        <f t="shared" si="273"/>
        <v>0.007352941176</v>
      </c>
      <c r="S265" s="40">
        <f t="shared" si="273"/>
        <v>0.01403508772</v>
      </c>
      <c r="T265" s="40">
        <f t="shared" si="273"/>
        <v>0.0152284264</v>
      </c>
    </row>
    <row r="266" ht="15.75" customHeight="1">
      <c r="F266" s="111"/>
      <c r="G266" s="112"/>
      <c r="H266" s="26">
        <f t="shared" ref="H266:L266" si="274">SUM(H242:H265)</f>
        <v>7093</v>
      </c>
      <c r="I266" s="26">
        <f t="shared" si="274"/>
        <v>2867</v>
      </c>
      <c r="J266" s="26">
        <f t="shared" si="274"/>
        <v>136</v>
      </c>
      <c r="K266" s="26">
        <f t="shared" si="274"/>
        <v>570</v>
      </c>
      <c r="L266" s="26">
        <f t="shared" si="274"/>
        <v>788</v>
      </c>
    </row>
    <row r="267" ht="15.75" customHeight="1">
      <c r="G267" s="16"/>
      <c r="H267" s="17">
        <f>$H$7</f>
        <v>31</v>
      </c>
      <c r="I267" s="17">
        <f>$I$7</f>
        <v>32</v>
      </c>
      <c r="J267" s="17">
        <f>$J$7</f>
        <v>41</v>
      </c>
      <c r="K267" s="17">
        <f>$K$7</f>
        <v>42</v>
      </c>
      <c r="L267" s="17">
        <f>$L$7</f>
        <v>5</v>
      </c>
      <c r="O267" s="16"/>
      <c r="P267" s="17">
        <f>$H$7</f>
        <v>31</v>
      </c>
      <c r="Q267" s="17">
        <f>$I$7</f>
        <v>32</v>
      </c>
      <c r="R267" s="17">
        <f>$J$7</f>
        <v>41</v>
      </c>
      <c r="S267" s="17">
        <f>$K$7</f>
        <v>42</v>
      </c>
      <c r="T267" s="17">
        <f>$L$7</f>
        <v>5</v>
      </c>
    </row>
    <row r="268" ht="15.75" customHeight="1">
      <c r="F268" s="56">
        <v>45217.0</v>
      </c>
      <c r="G268" s="19">
        <f>$G$8</f>
        <v>0</v>
      </c>
      <c r="H268" s="20">
        <v>55.0</v>
      </c>
      <c r="I268" s="20">
        <v>16.0</v>
      </c>
      <c r="J268" s="20"/>
      <c r="K268" s="20">
        <v>11.0</v>
      </c>
      <c r="L268" s="20">
        <v>9.0</v>
      </c>
      <c r="N268" s="56">
        <v>45217.0</v>
      </c>
      <c r="O268" s="19">
        <f>$G$8</f>
        <v>0</v>
      </c>
      <c r="P268" s="40">
        <f t="shared" ref="P268:T268" si="275">H268/H$292</f>
        <v>0.007922788822</v>
      </c>
      <c r="Q268" s="40">
        <f t="shared" si="275"/>
        <v>0.005326231691</v>
      </c>
      <c r="R268" s="40">
        <f t="shared" si="275"/>
        <v>0</v>
      </c>
      <c r="S268" s="40">
        <f t="shared" si="275"/>
        <v>0.01923076923</v>
      </c>
      <c r="T268" s="40">
        <f t="shared" si="275"/>
        <v>0.009090909091</v>
      </c>
    </row>
    <row r="269" ht="15.75" customHeight="1">
      <c r="F269" s="24"/>
      <c r="G269" s="19">
        <f>$G$9</f>
        <v>1</v>
      </c>
      <c r="H269" s="20">
        <v>46.0</v>
      </c>
      <c r="I269" s="20">
        <v>14.0</v>
      </c>
      <c r="J269" s="20"/>
      <c r="K269" s="20">
        <v>9.0</v>
      </c>
      <c r="L269" s="20">
        <v>17.0</v>
      </c>
      <c r="N269" s="24"/>
      <c r="O269" s="19">
        <f>$G$9</f>
        <v>1</v>
      </c>
      <c r="P269" s="40">
        <f t="shared" ref="P269:T269" si="276">H269/H$292</f>
        <v>0.006626332469</v>
      </c>
      <c r="Q269" s="40">
        <f t="shared" si="276"/>
        <v>0.00466045273</v>
      </c>
      <c r="R269" s="40">
        <f t="shared" si="276"/>
        <v>0</v>
      </c>
      <c r="S269" s="40">
        <f t="shared" si="276"/>
        <v>0.01573426573</v>
      </c>
      <c r="T269" s="40">
        <f t="shared" si="276"/>
        <v>0.01717171717</v>
      </c>
    </row>
    <row r="270" ht="15.75" customHeight="1">
      <c r="F270" s="24"/>
      <c r="G270" s="19">
        <f>$G$10</f>
        <v>2</v>
      </c>
      <c r="H270" s="16">
        <v>25.0</v>
      </c>
      <c r="I270" s="16">
        <v>16.0</v>
      </c>
      <c r="J270" s="16"/>
      <c r="K270" s="16">
        <v>6.0</v>
      </c>
      <c r="L270" s="16">
        <v>6.0</v>
      </c>
      <c r="N270" s="24"/>
      <c r="O270" s="19">
        <f>$G$10</f>
        <v>2</v>
      </c>
      <c r="P270" s="40">
        <f t="shared" ref="P270:T270" si="277">H270/H$292</f>
        <v>0.003601267646</v>
      </c>
      <c r="Q270" s="40">
        <f t="shared" si="277"/>
        <v>0.005326231691</v>
      </c>
      <c r="R270" s="40">
        <f t="shared" si="277"/>
        <v>0</v>
      </c>
      <c r="S270" s="40">
        <f t="shared" si="277"/>
        <v>0.01048951049</v>
      </c>
      <c r="T270" s="40">
        <f t="shared" si="277"/>
        <v>0.006060606061</v>
      </c>
    </row>
    <row r="271" ht="15.75" customHeight="1">
      <c r="F271" s="24"/>
      <c r="G271" s="19">
        <f>$G$11</f>
        <v>3</v>
      </c>
      <c r="H271" s="20">
        <v>37.0</v>
      </c>
      <c r="I271" s="20">
        <v>31.0</v>
      </c>
      <c r="J271" s="20"/>
      <c r="K271" s="20">
        <v>17.0</v>
      </c>
      <c r="L271" s="20">
        <v>24.0</v>
      </c>
      <c r="N271" s="24"/>
      <c r="O271" s="19">
        <f>$G$11</f>
        <v>3</v>
      </c>
      <c r="P271" s="40">
        <f t="shared" ref="P271:T271" si="278">H271/H$292</f>
        <v>0.005329876116</v>
      </c>
      <c r="Q271" s="40">
        <f t="shared" si="278"/>
        <v>0.0103195739</v>
      </c>
      <c r="R271" s="40">
        <f t="shared" si="278"/>
        <v>0</v>
      </c>
      <c r="S271" s="40">
        <f t="shared" si="278"/>
        <v>0.02972027972</v>
      </c>
      <c r="T271" s="40">
        <f t="shared" si="278"/>
        <v>0.02424242424</v>
      </c>
    </row>
    <row r="272" ht="15.75" customHeight="1">
      <c r="F272" s="24"/>
      <c r="G272" s="19">
        <f>$G$12</f>
        <v>4</v>
      </c>
      <c r="H272" s="20">
        <v>75.0</v>
      </c>
      <c r="I272" s="20">
        <v>47.0</v>
      </c>
      <c r="J272" s="20">
        <v>2.0</v>
      </c>
      <c r="K272" s="20">
        <v>30.0</v>
      </c>
      <c r="L272" s="20">
        <v>22.0</v>
      </c>
      <c r="N272" s="24"/>
      <c r="O272" s="19">
        <f>$G$12</f>
        <v>4</v>
      </c>
      <c r="P272" s="40">
        <f t="shared" ref="P272:T272" si="279">H272/H$292</f>
        <v>0.01080380294</v>
      </c>
      <c r="Q272" s="40">
        <f t="shared" si="279"/>
        <v>0.01564580559</v>
      </c>
      <c r="R272" s="40">
        <f t="shared" si="279"/>
        <v>0.01550387597</v>
      </c>
      <c r="S272" s="40">
        <f t="shared" si="279"/>
        <v>0.05244755245</v>
      </c>
      <c r="T272" s="40">
        <f t="shared" si="279"/>
        <v>0.02222222222</v>
      </c>
    </row>
    <row r="273" ht="15.75" customHeight="1">
      <c r="F273" s="24"/>
      <c r="G273" s="19">
        <f>$G$13</f>
        <v>5</v>
      </c>
      <c r="H273" s="20">
        <v>179.0</v>
      </c>
      <c r="I273" s="20">
        <v>98.0</v>
      </c>
      <c r="J273" s="20">
        <v>3.0</v>
      </c>
      <c r="K273" s="20">
        <v>16.0</v>
      </c>
      <c r="L273" s="20">
        <v>37.0</v>
      </c>
      <c r="N273" s="24"/>
      <c r="O273" s="19">
        <f>$G$13</f>
        <v>5</v>
      </c>
      <c r="P273" s="40">
        <f t="shared" ref="P273:T273" si="280">H273/H$292</f>
        <v>0.02578507635</v>
      </c>
      <c r="Q273" s="40">
        <f t="shared" si="280"/>
        <v>0.03262316911</v>
      </c>
      <c r="R273" s="40">
        <f t="shared" si="280"/>
        <v>0.02325581395</v>
      </c>
      <c r="S273" s="40">
        <f t="shared" si="280"/>
        <v>0.02797202797</v>
      </c>
      <c r="T273" s="40">
        <f t="shared" si="280"/>
        <v>0.03737373737</v>
      </c>
    </row>
    <row r="274" ht="15.75" customHeight="1">
      <c r="F274" s="24"/>
      <c r="G274" s="19">
        <f>$G$14</f>
        <v>6</v>
      </c>
      <c r="H274" s="20">
        <v>334.0</v>
      </c>
      <c r="I274" s="20">
        <v>119.0</v>
      </c>
      <c r="J274" s="20">
        <v>12.0</v>
      </c>
      <c r="K274" s="20">
        <v>29.0</v>
      </c>
      <c r="L274" s="20">
        <v>53.0</v>
      </c>
      <c r="N274" s="24"/>
      <c r="O274" s="19">
        <f>$G$14</f>
        <v>6</v>
      </c>
      <c r="P274" s="40">
        <f t="shared" ref="P274:T274" si="281">H274/H$292</f>
        <v>0.04811293575</v>
      </c>
      <c r="Q274" s="40">
        <f t="shared" si="281"/>
        <v>0.0396138482</v>
      </c>
      <c r="R274" s="40">
        <f t="shared" si="281"/>
        <v>0.09302325581</v>
      </c>
      <c r="S274" s="40">
        <f t="shared" si="281"/>
        <v>0.0506993007</v>
      </c>
      <c r="T274" s="40">
        <f t="shared" si="281"/>
        <v>0.05353535354</v>
      </c>
    </row>
    <row r="275" ht="15.75" customHeight="1">
      <c r="F275" s="24"/>
      <c r="G275" s="19">
        <f>$G$15</f>
        <v>7</v>
      </c>
      <c r="H275" s="20">
        <v>582.0</v>
      </c>
      <c r="I275" s="20">
        <v>237.0</v>
      </c>
      <c r="J275" s="20">
        <v>20.0</v>
      </c>
      <c r="K275" s="20">
        <v>47.0</v>
      </c>
      <c r="L275" s="20">
        <v>57.0</v>
      </c>
      <c r="N275" s="24"/>
      <c r="O275" s="19">
        <f>$G$15</f>
        <v>7</v>
      </c>
      <c r="P275" s="40">
        <f t="shared" ref="P275:T275" si="282">H275/H$292</f>
        <v>0.0838375108</v>
      </c>
      <c r="Q275" s="40">
        <f t="shared" si="282"/>
        <v>0.07889480692</v>
      </c>
      <c r="R275" s="40">
        <f t="shared" si="282"/>
        <v>0.1550387597</v>
      </c>
      <c r="S275" s="40">
        <f t="shared" si="282"/>
        <v>0.08216783217</v>
      </c>
      <c r="T275" s="40">
        <f t="shared" si="282"/>
        <v>0.05757575758</v>
      </c>
    </row>
    <row r="276" ht="15.75" customHeight="1">
      <c r="F276" s="24"/>
      <c r="G276" s="19">
        <f>$G$16</f>
        <v>8</v>
      </c>
      <c r="H276" s="20">
        <v>584.0</v>
      </c>
      <c r="I276" s="20">
        <v>314.0</v>
      </c>
      <c r="J276" s="20">
        <v>19.0</v>
      </c>
      <c r="K276" s="20">
        <v>49.0</v>
      </c>
      <c r="L276" s="20">
        <v>68.0</v>
      </c>
      <c r="N276" s="24"/>
      <c r="O276" s="19">
        <f>$G$16</f>
        <v>8</v>
      </c>
      <c r="P276" s="40">
        <f t="shared" ref="P276:T276" si="283">H276/H$292</f>
        <v>0.08412561222</v>
      </c>
      <c r="Q276" s="40">
        <f t="shared" si="283"/>
        <v>0.1045272969</v>
      </c>
      <c r="R276" s="40">
        <f t="shared" si="283"/>
        <v>0.1472868217</v>
      </c>
      <c r="S276" s="40">
        <f t="shared" si="283"/>
        <v>0.08566433566</v>
      </c>
      <c r="T276" s="40">
        <f t="shared" si="283"/>
        <v>0.06868686869</v>
      </c>
    </row>
    <row r="277" ht="15.75" customHeight="1">
      <c r="F277" s="24"/>
      <c r="G277" s="19">
        <f>$G$17</f>
        <v>9</v>
      </c>
      <c r="H277" s="20">
        <v>603.0</v>
      </c>
      <c r="I277" s="20">
        <v>310.0</v>
      </c>
      <c r="J277" s="20">
        <v>14.0</v>
      </c>
      <c r="K277" s="20">
        <v>54.0</v>
      </c>
      <c r="L277" s="20">
        <v>82.0</v>
      </c>
      <c r="N277" s="24"/>
      <c r="O277" s="19">
        <f>$G$17</f>
        <v>9</v>
      </c>
      <c r="P277" s="40">
        <f t="shared" ref="P277:T277" si="284">H277/H$292</f>
        <v>0.08686257563</v>
      </c>
      <c r="Q277" s="40">
        <f t="shared" si="284"/>
        <v>0.103195739</v>
      </c>
      <c r="R277" s="40">
        <f t="shared" si="284"/>
        <v>0.1085271318</v>
      </c>
      <c r="S277" s="40">
        <f t="shared" si="284"/>
        <v>0.09440559441</v>
      </c>
      <c r="T277" s="40">
        <f t="shared" si="284"/>
        <v>0.08282828283</v>
      </c>
    </row>
    <row r="278" ht="15.75" customHeight="1">
      <c r="F278" s="24"/>
      <c r="G278" s="19">
        <f>$G$18</f>
        <v>10</v>
      </c>
      <c r="H278" s="20">
        <v>550.0</v>
      </c>
      <c r="I278" s="20">
        <v>242.0</v>
      </c>
      <c r="J278" s="20">
        <v>2.0</v>
      </c>
      <c r="K278" s="20">
        <v>51.0</v>
      </c>
      <c r="L278" s="20">
        <v>88.0</v>
      </c>
      <c r="N278" s="24"/>
      <c r="O278" s="19">
        <f>$G$18</f>
        <v>10</v>
      </c>
      <c r="P278" s="40">
        <f t="shared" ref="P278:T278" si="285">H278/H$292</f>
        <v>0.07922788822</v>
      </c>
      <c r="Q278" s="40">
        <f t="shared" si="285"/>
        <v>0.08055925433</v>
      </c>
      <c r="R278" s="40">
        <f t="shared" si="285"/>
        <v>0.01550387597</v>
      </c>
      <c r="S278" s="40">
        <f t="shared" si="285"/>
        <v>0.08916083916</v>
      </c>
      <c r="T278" s="40">
        <f t="shared" si="285"/>
        <v>0.08888888889</v>
      </c>
    </row>
    <row r="279" ht="15.75" customHeight="1">
      <c r="F279" s="24"/>
      <c r="G279" s="19">
        <f>$G$19</f>
        <v>11</v>
      </c>
      <c r="H279" s="20">
        <v>472.0</v>
      </c>
      <c r="I279" s="20">
        <v>188.0</v>
      </c>
      <c r="J279" s="20">
        <v>11.0</v>
      </c>
      <c r="K279" s="20">
        <v>31.0</v>
      </c>
      <c r="L279" s="20">
        <v>87.0</v>
      </c>
      <c r="N279" s="24"/>
      <c r="O279" s="19">
        <f>$G$19</f>
        <v>11</v>
      </c>
      <c r="P279" s="40">
        <f t="shared" ref="P279:T279" si="286">H279/H$292</f>
        <v>0.06799193316</v>
      </c>
      <c r="Q279" s="40">
        <f t="shared" si="286"/>
        <v>0.06258322237</v>
      </c>
      <c r="R279" s="40">
        <f t="shared" si="286"/>
        <v>0.08527131783</v>
      </c>
      <c r="S279" s="40">
        <f t="shared" si="286"/>
        <v>0.0541958042</v>
      </c>
      <c r="T279" s="40">
        <f t="shared" si="286"/>
        <v>0.08787878788</v>
      </c>
    </row>
    <row r="280" ht="15.75" customHeight="1">
      <c r="F280" s="24"/>
      <c r="G280" s="19">
        <f>$G$20</f>
        <v>12</v>
      </c>
      <c r="H280" s="20">
        <v>403.0</v>
      </c>
      <c r="I280" s="20">
        <v>160.0</v>
      </c>
      <c r="J280" s="20">
        <v>5.0</v>
      </c>
      <c r="K280" s="20">
        <v>24.0</v>
      </c>
      <c r="L280" s="20">
        <v>71.0</v>
      </c>
      <c r="N280" s="24"/>
      <c r="O280" s="19">
        <f>$G$20</f>
        <v>12</v>
      </c>
      <c r="P280" s="40">
        <f t="shared" ref="P280:T280" si="287">H280/H$292</f>
        <v>0.05805243446</v>
      </c>
      <c r="Q280" s="40">
        <f t="shared" si="287"/>
        <v>0.05326231691</v>
      </c>
      <c r="R280" s="40">
        <f t="shared" si="287"/>
        <v>0.03875968992</v>
      </c>
      <c r="S280" s="40">
        <f t="shared" si="287"/>
        <v>0.04195804196</v>
      </c>
      <c r="T280" s="40">
        <f t="shared" si="287"/>
        <v>0.07171717172</v>
      </c>
    </row>
    <row r="281" ht="15.75" customHeight="1">
      <c r="F281" s="24"/>
      <c r="G281" s="19">
        <f>$G$21</f>
        <v>13</v>
      </c>
      <c r="H281" s="20">
        <v>382.0</v>
      </c>
      <c r="I281" s="20">
        <v>186.0</v>
      </c>
      <c r="J281" s="20">
        <v>3.0</v>
      </c>
      <c r="K281" s="20">
        <v>30.0</v>
      </c>
      <c r="L281" s="20">
        <v>72.0</v>
      </c>
      <c r="N281" s="24"/>
      <c r="O281" s="19">
        <f>$G$21</f>
        <v>13</v>
      </c>
      <c r="P281" s="40">
        <f t="shared" ref="P281:T281" si="288">H281/H$292</f>
        <v>0.05502736963</v>
      </c>
      <c r="Q281" s="40">
        <f t="shared" si="288"/>
        <v>0.06191744341</v>
      </c>
      <c r="R281" s="40">
        <f t="shared" si="288"/>
        <v>0.02325581395</v>
      </c>
      <c r="S281" s="40">
        <f t="shared" si="288"/>
        <v>0.05244755245</v>
      </c>
      <c r="T281" s="40">
        <f t="shared" si="288"/>
        <v>0.07272727273</v>
      </c>
    </row>
    <row r="282" ht="15.75" customHeight="1">
      <c r="F282" s="24"/>
      <c r="G282" s="19">
        <f>$G$22</f>
        <v>14</v>
      </c>
      <c r="H282" s="20">
        <v>376.0</v>
      </c>
      <c r="I282" s="20">
        <v>150.0</v>
      </c>
      <c r="J282" s="20">
        <v>13.0</v>
      </c>
      <c r="K282" s="20">
        <v>34.0</v>
      </c>
      <c r="L282" s="20">
        <v>78.0</v>
      </c>
      <c r="N282" s="24"/>
      <c r="O282" s="19">
        <f>$G$22</f>
        <v>14</v>
      </c>
      <c r="P282" s="40">
        <f t="shared" ref="P282:T282" si="289">H282/H$292</f>
        <v>0.0541630654</v>
      </c>
      <c r="Q282" s="40">
        <f t="shared" si="289"/>
        <v>0.0499334221</v>
      </c>
      <c r="R282" s="40">
        <f t="shared" si="289"/>
        <v>0.1007751938</v>
      </c>
      <c r="S282" s="40">
        <f t="shared" si="289"/>
        <v>0.05944055944</v>
      </c>
      <c r="T282" s="40">
        <f t="shared" si="289"/>
        <v>0.07878787879</v>
      </c>
    </row>
    <row r="283" ht="15.75" customHeight="1">
      <c r="F283" s="24"/>
      <c r="G283" s="19">
        <f>$G$23</f>
        <v>15</v>
      </c>
      <c r="H283" s="20">
        <v>367.0</v>
      </c>
      <c r="I283" s="20">
        <v>140.0</v>
      </c>
      <c r="J283" s="20">
        <v>9.0</v>
      </c>
      <c r="K283" s="20">
        <v>39.0</v>
      </c>
      <c r="L283" s="20">
        <v>71.0</v>
      </c>
      <c r="N283" s="24"/>
      <c r="O283" s="19">
        <f>$G$23</f>
        <v>15</v>
      </c>
      <c r="P283" s="40">
        <f t="shared" ref="P283:T283" si="290">H283/H$292</f>
        <v>0.05286660905</v>
      </c>
      <c r="Q283" s="40">
        <f t="shared" si="290"/>
        <v>0.0466045273</v>
      </c>
      <c r="R283" s="40">
        <f t="shared" si="290"/>
        <v>0.06976744186</v>
      </c>
      <c r="S283" s="40">
        <f t="shared" si="290"/>
        <v>0.06818181818</v>
      </c>
      <c r="T283" s="40">
        <f t="shared" si="290"/>
        <v>0.07171717172</v>
      </c>
    </row>
    <row r="284" ht="15.75" customHeight="1">
      <c r="F284" s="24"/>
      <c r="G284" s="19">
        <f>$G$24</f>
        <v>16</v>
      </c>
      <c r="H284" s="20">
        <v>352.0</v>
      </c>
      <c r="I284" s="20">
        <v>183.0</v>
      </c>
      <c r="J284" s="20">
        <v>8.0</v>
      </c>
      <c r="K284" s="20">
        <v>36.0</v>
      </c>
      <c r="L284" s="20">
        <v>47.0</v>
      </c>
      <c r="N284" s="24"/>
      <c r="O284" s="19">
        <f>$G$24</f>
        <v>16</v>
      </c>
      <c r="P284" s="40">
        <f t="shared" ref="P284:T284" si="291">H284/H$292</f>
        <v>0.05070584846</v>
      </c>
      <c r="Q284" s="40">
        <f t="shared" si="291"/>
        <v>0.06091877497</v>
      </c>
      <c r="R284" s="40">
        <f t="shared" si="291"/>
        <v>0.06201550388</v>
      </c>
      <c r="S284" s="40">
        <f t="shared" si="291"/>
        <v>0.06293706294</v>
      </c>
      <c r="T284" s="40">
        <f t="shared" si="291"/>
        <v>0.04747474747</v>
      </c>
    </row>
    <row r="285" ht="15.75" customHeight="1">
      <c r="F285" s="24"/>
      <c r="G285" s="19">
        <f>$G$25</f>
        <v>17</v>
      </c>
      <c r="H285" s="20">
        <v>450.0</v>
      </c>
      <c r="I285" s="20">
        <v>203.0</v>
      </c>
      <c r="J285" s="20">
        <v>2.0</v>
      </c>
      <c r="K285" s="20">
        <v>17.0</v>
      </c>
      <c r="L285" s="20">
        <v>31.0</v>
      </c>
      <c r="N285" s="24"/>
      <c r="O285" s="19">
        <f>$G$25</f>
        <v>17</v>
      </c>
      <c r="P285" s="40">
        <f t="shared" ref="P285:T285" si="292">H285/H$292</f>
        <v>0.06482281763</v>
      </c>
      <c r="Q285" s="40">
        <f t="shared" si="292"/>
        <v>0.06757656458</v>
      </c>
      <c r="R285" s="40">
        <f t="shared" si="292"/>
        <v>0.01550387597</v>
      </c>
      <c r="S285" s="40">
        <f t="shared" si="292"/>
        <v>0.02972027972</v>
      </c>
      <c r="T285" s="40">
        <f t="shared" si="292"/>
        <v>0.03131313131</v>
      </c>
    </row>
    <row r="286" ht="15.75" customHeight="1">
      <c r="F286" s="24"/>
      <c r="G286" s="19">
        <f>$G$26</f>
        <v>18</v>
      </c>
      <c r="H286" s="20">
        <v>281.0</v>
      </c>
      <c r="I286" s="20">
        <v>104.0</v>
      </c>
      <c r="J286" s="20">
        <v>2.0</v>
      </c>
      <c r="K286" s="20">
        <v>11.0</v>
      </c>
      <c r="L286" s="20">
        <v>15.0</v>
      </c>
      <c r="N286" s="24"/>
      <c r="O286" s="19">
        <f>$G$26</f>
        <v>18</v>
      </c>
      <c r="P286" s="40">
        <f t="shared" ref="P286:T286" si="293">H286/H$292</f>
        <v>0.04047824834</v>
      </c>
      <c r="Q286" s="40">
        <f t="shared" si="293"/>
        <v>0.03462050599</v>
      </c>
      <c r="R286" s="40">
        <f t="shared" si="293"/>
        <v>0.01550387597</v>
      </c>
      <c r="S286" s="40">
        <f t="shared" si="293"/>
        <v>0.01923076923</v>
      </c>
      <c r="T286" s="40">
        <f t="shared" si="293"/>
        <v>0.01515151515</v>
      </c>
    </row>
    <row r="287" ht="15.75" customHeight="1">
      <c r="F287" s="24"/>
      <c r="G287" s="19">
        <f>$G$27</f>
        <v>19</v>
      </c>
      <c r="H287" s="20">
        <v>214.0</v>
      </c>
      <c r="I287" s="20">
        <v>67.0</v>
      </c>
      <c r="J287" s="20">
        <v>1.0</v>
      </c>
      <c r="K287" s="20">
        <v>11.0</v>
      </c>
      <c r="L287" s="20">
        <v>6.0</v>
      </c>
      <c r="N287" s="24"/>
      <c r="O287" s="19">
        <f>$G$27</f>
        <v>19</v>
      </c>
      <c r="P287" s="40">
        <f t="shared" ref="P287:T287" si="294">H287/H$292</f>
        <v>0.03082685105</v>
      </c>
      <c r="Q287" s="40">
        <f t="shared" si="294"/>
        <v>0.02230359521</v>
      </c>
      <c r="R287" s="40">
        <f t="shared" si="294"/>
        <v>0.007751937984</v>
      </c>
      <c r="S287" s="40">
        <f t="shared" si="294"/>
        <v>0.01923076923</v>
      </c>
      <c r="T287" s="40">
        <f t="shared" si="294"/>
        <v>0.006060606061</v>
      </c>
    </row>
    <row r="288" ht="15.75" customHeight="1">
      <c r="F288" s="24"/>
      <c r="G288" s="19">
        <f>$G$28</f>
        <v>20</v>
      </c>
      <c r="H288" s="20">
        <v>179.0</v>
      </c>
      <c r="I288" s="20">
        <v>49.0</v>
      </c>
      <c r="J288" s="20"/>
      <c r="K288" s="20">
        <v>6.0</v>
      </c>
      <c r="L288" s="20">
        <v>16.0</v>
      </c>
      <c r="N288" s="24"/>
      <c r="O288" s="19">
        <f>$G$28</f>
        <v>20</v>
      </c>
      <c r="P288" s="40">
        <f t="shared" ref="P288:T288" si="295">H288/H$292</f>
        <v>0.02578507635</v>
      </c>
      <c r="Q288" s="40">
        <f t="shared" si="295"/>
        <v>0.01631158455</v>
      </c>
      <c r="R288" s="40">
        <f t="shared" si="295"/>
        <v>0</v>
      </c>
      <c r="S288" s="40">
        <f t="shared" si="295"/>
        <v>0.01048951049</v>
      </c>
      <c r="T288" s="40">
        <f t="shared" si="295"/>
        <v>0.01616161616</v>
      </c>
    </row>
    <row r="289" ht="15.75" customHeight="1">
      <c r="F289" s="24"/>
      <c r="G289" s="19">
        <f>$G$29</f>
        <v>21</v>
      </c>
      <c r="H289" s="20">
        <v>188.0</v>
      </c>
      <c r="I289" s="20">
        <v>50.0</v>
      </c>
      <c r="J289" s="20"/>
      <c r="K289" s="20">
        <v>6.0</v>
      </c>
      <c r="L289" s="20">
        <v>7.0</v>
      </c>
      <c r="N289" s="24"/>
      <c r="O289" s="19">
        <f>$G$29</f>
        <v>21</v>
      </c>
      <c r="P289" s="40">
        <f t="shared" ref="P289:T289" si="296">H289/H$292</f>
        <v>0.0270815327</v>
      </c>
      <c r="Q289" s="40">
        <f t="shared" si="296"/>
        <v>0.01664447403</v>
      </c>
      <c r="R289" s="40">
        <f t="shared" si="296"/>
        <v>0</v>
      </c>
      <c r="S289" s="40">
        <f t="shared" si="296"/>
        <v>0.01048951049</v>
      </c>
      <c r="T289" s="40">
        <f t="shared" si="296"/>
        <v>0.007070707071</v>
      </c>
    </row>
    <row r="290" ht="15.75" customHeight="1">
      <c r="F290" s="24"/>
      <c r="G290" s="19">
        <f>$G$30</f>
        <v>22</v>
      </c>
      <c r="H290" s="20">
        <v>140.0</v>
      </c>
      <c r="I290" s="20">
        <v>56.0</v>
      </c>
      <c r="J290" s="20">
        <v>2.0</v>
      </c>
      <c r="K290" s="20">
        <v>2.0</v>
      </c>
      <c r="L290" s="20">
        <v>10.0</v>
      </c>
      <c r="N290" s="24"/>
      <c r="O290" s="19">
        <f>$G$30</f>
        <v>22</v>
      </c>
      <c r="P290" s="40">
        <f t="shared" ref="P290:T290" si="297">H290/H$292</f>
        <v>0.02016709882</v>
      </c>
      <c r="Q290" s="40">
        <f t="shared" si="297"/>
        <v>0.01864181092</v>
      </c>
      <c r="R290" s="40">
        <f t="shared" si="297"/>
        <v>0.01550387597</v>
      </c>
      <c r="S290" s="40">
        <f t="shared" si="297"/>
        <v>0.003496503497</v>
      </c>
      <c r="T290" s="40">
        <f t="shared" si="297"/>
        <v>0.0101010101</v>
      </c>
    </row>
    <row r="291" ht="15.75" customHeight="1">
      <c r="F291" s="28"/>
      <c r="G291" s="19">
        <f>$G$31</f>
        <v>23</v>
      </c>
      <c r="H291" s="20">
        <v>68.0</v>
      </c>
      <c r="I291" s="20">
        <v>24.0</v>
      </c>
      <c r="J291" s="20">
        <v>1.0</v>
      </c>
      <c r="K291" s="20">
        <v>6.0</v>
      </c>
      <c r="L291" s="20">
        <v>16.0</v>
      </c>
      <c r="N291" s="28"/>
      <c r="O291" s="19">
        <f>$G$31</f>
        <v>23</v>
      </c>
      <c r="P291" s="40">
        <f t="shared" ref="P291:T291" si="298">H291/H$292</f>
        <v>0.009795447998</v>
      </c>
      <c r="Q291" s="40">
        <f t="shared" si="298"/>
        <v>0.007989347537</v>
      </c>
      <c r="R291" s="40">
        <f t="shared" si="298"/>
        <v>0.007751937984</v>
      </c>
      <c r="S291" s="40">
        <f t="shared" si="298"/>
        <v>0.01048951049</v>
      </c>
      <c r="T291" s="40">
        <f t="shared" si="298"/>
        <v>0.01616161616</v>
      </c>
    </row>
    <row r="292" ht="15.75" customHeight="1">
      <c r="F292" s="111"/>
      <c r="G292" s="112"/>
      <c r="H292" s="26">
        <f t="shared" ref="H292:L292" si="299">SUM(H268:H291)</f>
        <v>6942</v>
      </c>
      <c r="I292" s="26">
        <f t="shared" si="299"/>
        <v>3004</v>
      </c>
      <c r="J292" s="26">
        <f t="shared" si="299"/>
        <v>129</v>
      </c>
      <c r="K292" s="26">
        <f t="shared" si="299"/>
        <v>572</v>
      </c>
      <c r="L292" s="26">
        <f t="shared" si="299"/>
        <v>990</v>
      </c>
    </row>
    <row r="293" ht="15.75" customHeight="1">
      <c r="G293" s="16"/>
      <c r="H293" s="17">
        <f>$H$7</f>
        <v>31</v>
      </c>
      <c r="I293" s="17">
        <f>$I$7</f>
        <v>32</v>
      </c>
      <c r="J293" s="17">
        <f>$J$7</f>
        <v>41</v>
      </c>
      <c r="K293" s="17">
        <f>$K$7</f>
        <v>42</v>
      </c>
      <c r="L293" s="17">
        <f>$L$7</f>
        <v>5</v>
      </c>
      <c r="O293" s="16"/>
      <c r="P293" s="17">
        <f>$H$7</f>
        <v>31</v>
      </c>
      <c r="Q293" s="17">
        <f>$I$7</f>
        <v>32</v>
      </c>
      <c r="R293" s="17">
        <f>$J$7</f>
        <v>41</v>
      </c>
      <c r="S293" s="17">
        <f>$K$7</f>
        <v>42</v>
      </c>
      <c r="T293" s="17">
        <f>$L$7</f>
        <v>5</v>
      </c>
    </row>
    <row r="294" ht="15.75" customHeight="1">
      <c r="F294" s="56">
        <v>45218.0</v>
      </c>
      <c r="G294" s="19">
        <f>$G$8</f>
        <v>0</v>
      </c>
      <c r="H294" s="19">
        <v>46.0</v>
      </c>
      <c r="I294" s="60">
        <v>22.0</v>
      </c>
      <c r="J294" s="60">
        <v>1.0</v>
      </c>
      <c r="K294" s="60">
        <v>6.0</v>
      </c>
      <c r="L294" s="60">
        <v>8.0</v>
      </c>
      <c r="N294" s="56">
        <v>45218.0</v>
      </c>
      <c r="O294" s="19">
        <f>$G$8</f>
        <v>0</v>
      </c>
      <c r="P294" s="44">
        <f t="shared" ref="P294:T294" si="300">H294/H$318</f>
        <v>0.006650281914</v>
      </c>
      <c r="Q294" s="44">
        <f t="shared" si="300"/>
        <v>0.007787610619</v>
      </c>
      <c r="R294" s="44">
        <f t="shared" si="300"/>
        <v>0.005813953488</v>
      </c>
      <c r="S294" s="44">
        <f t="shared" si="300"/>
        <v>0.009538950715</v>
      </c>
      <c r="T294" s="44">
        <f t="shared" si="300"/>
        <v>0.008307372793</v>
      </c>
    </row>
    <row r="295" ht="15.75" customHeight="1">
      <c r="F295" s="24"/>
      <c r="G295" s="19">
        <f>$G$9</f>
        <v>1</v>
      </c>
      <c r="H295" s="45">
        <v>33.0</v>
      </c>
      <c r="I295" s="31">
        <v>12.0</v>
      </c>
      <c r="J295" s="31">
        <v>1.0</v>
      </c>
      <c r="K295" s="31">
        <v>3.0</v>
      </c>
      <c r="L295" s="31">
        <v>8.0</v>
      </c>
      <c r="N295" s="24"/>
      <c r="O295" s="19">
        <f>$G$9</f>
        <v>1</v>
      </c>
      <c r="P295" s="44">
        <f t="shared" ref="P295:T295" si="301">H295/H$318</f>
        <v>0.004770854417</v>
      </c>
      <c r="Q295" s="44">
        <f t="shared" si="301"/>
        <v>0.004247787611</v>
      </c>
      <c r="R295" s="44">
        <f t="shared" si="301"/>
        <v>0.005813953488</v>
      </c>
      <c r="S295" s="44">
        <f t="shared" si="301"/>
        <v>0.004769475358</v>
      </c>
      <c r="T295" s="44">
        <f t="shared" si="301"/>
        <v>0.008307372793</v>
      </c>
    </row>
    <row r="296" ht="15.75" customHeight="1">
      <c r="F296" s="24"/>
      <c r="G296" s="19">
        <f>$G$10</f>
        <v>2</v>
      </c>
      <c r="H296" s="45">
        <v>34.0</v>
      </c>
      <c r="I296" s="31">
        <v>9.0</v>
      </c>
      <c r="J296" s="20"/>
      <c r="K296" s="31">
        <v>14.0</v>
      </c>
      <c r="L296" s="31">
        <v>13.0</v>
      </c>
      <c r="N296" s="24"/>
      <c r="O296" s="19">
        <f>$G$10</f>
        <v>2</v>
      </c>
      <c r="P296" s="44">
        <f t="shared" ref="P296:T296" si="302">H296/H$318</f>
        <v>0.004915425763</v>
      </c>
      <c r="Q296" s="44">
        <f t="shared" si="302"/>
        <v>0.003185840708</v>
      </c>
      <c r="R296" s="44">
        <f t="shared" si="302"/>
        <v>0</v>
      </c>
      <c r="S296" s="44">
        <f t="shared" si="302"/>
        <v>0.02225755167</v>
      </c>
      <c r="T296" s="44">
        <f t="shared" si="302"/>
        <v>0.01349948079</v>
      </c>
    </row>
    <row r="297" ht="15.75" customHeight="1">
      <c r="F297" s="24"/>
      <c r="G297" s="19">
        <f>$G$11</f>
        <v>3</v>
      </c>
      <c r="H297" s="45">
        <v>27.0</v>
      </c>
      <c r="I297" s="31">
        <v>18.0</v>
      </c>
      <c r="J297" s="20"/>
      <c r="K297" s="31">
        <v>7.0</v>
      </c>
      <c r="L297" s="31">
        <v>15.0</v>
      </c>
      <c r="N297" s="24"/>
      <c r="O297" s="19">
        <f>$G$11</f>
        <v>3</v>
      </c>
      <c r="P297" s="44">
        <f t="shared" ref="P297:T297" si="303">H297/H$318</f>
        <v>0.003903426341</v>
      </c>
      <c r="Q297" s="44">
        <f t="shared" si="303"/>
        <v>0.006371681416</v>
      </c>
      <c r="R297" s="44">
        <f t="shared" si="303"/>
        <v>0</v>
      </c>
      <c r="S297" s="44">
        <f t="shared" si="303"/>
        <v>0.01112877583</v>
      </c>
      <c r="T297" s="44">
        <f t="shared" si="303"/>
        <v>0.01557632399</v>
      </c>
    </row>
    <row r="298" ht="15.75" customHeight="1">
      <c r="F298" s="24"/>
      <c r="G298" s="19">
        <f>$G$12</f>
        <v>4</v>
      </c>
      <c r="H298" s="45">
        <v>65.0</v>
      </c>
      <c r="I298" s="31">
        <v>42.0</v>
      </c>
      <c r="J298" s="31">
        <v>2.0</v>
      </c>
      <c r="K298" s="31">
        <v>25.0</v>
      </c>
      <c r="L298" s="31">
        <v>24.0</v>
      </c>
      <c r="N298" s="24"/>
      <c r="O298" s="19">
        <f>$G$12</f>
        <v>4</v>
      </c>
      <c r="P298" s="44">
        <f t="shared" ref="P298:T298" si="304">H298/H$318</f>
        <v>0.009397137487</v>
      </c>
      <c r="Q298" s="44">
        <f t="shared" si="304"/>
        <v>0.01486725664</v>
      </c>
      <c r="R298" s="44">
        <f t="shared" si="304"/>
        <v>0.01162790698</v>
      </c>
      <c r="S298" s="44">
        <f t="shared" si="304"/>
        <v>0.03974562798</v>
      </c>
      <c r="T298" s="44">
        <f t="shared" si="304"/>
        <v>0.02492211838</v>
      </c>
    </row>
    <row r="299" ht="15.75" customHeight="1">
      <c r="F299" s="24"/>
      <c r="G299" s="19">
        <f>$G$13</f>
        <v>5</v>
      </c>
      <c r="H299" s="45">
        <v>147.0</v>
      </c>
      <c r="I299" s="31">
        <v>76.0</v>
      </c>
      <c r="J299" s="31">
        <v>7.0</v>
      </c>
      <c r="K299" s="31">
        <v>27.0</v>
      </c>
      <c r="L299" s="31">
        <v>33.0</v>
      </c>
      <c r="N299" s="24"/>
      <c r="O299" s="19">
        <f>$G$13</f>
        <v>5</v>
      </c>
      <c r="P299" s="44">
        <f t="shared" ref="P299:T299" si="305">H299/H$318</f>
        <v>0.02125198786</v>
      </c>
      <c r="Q299" s="44">
        <f t="shared" si="305"/>
        <v>0.02690265487</v>
      </c>
      <c r="R299" s="44">
        <f t="shared" si="305"/>
        <v>0.04069767442</v>
      </c>
      <c r="S299" s="44">
        <f t="shared" si="305"/>
        <v>0.04292527822</v>
      </c>
      <c r="T299" s="44">
        <f t="shared" si="305"/>
        <v>0.03426791277</v>
      </c>
    </row>
    <row r="300" ht="15.75" customHeight="1">
      <c r="F300" s="24"/>
      <c r="G300" s="19">
        <f>$G$14</f>
        <v>6</v>
      </c>
      <c r="H300" s="45">
        <v>36.0</v>
      </c>
      <c r="I300" s="31">
        <v>145.0</v>
      </c>
      <c r="J300" s="31">
        <v>11.0</v>
      </c>
      <c r="K300" s="31">
        <v>40.0</v>
      </c>
      <c r="L300" s="31">
        <v>49.0</v>
      </c>
      <c r="N300" s="24"/>
      <c r="O300" s="19">
        <f>$G$14</f>
        <v>6</v>
      </c>
      <c r="P300" s="44">
        <f t="shared" ref="P300:T300" si="306">H300/H$318</f>
        <v>0.005204568455</v>
      </c>
      <c r="Q300" s="44">
        <f t="shared" si="306"/>
        <v>0.05132743363</v>
      </c>
      <c r="R300" s="44">
        <f t="shared" si="306"/>
        <v>0.06395348837</v>
      </c>
      <c r="S300" s="44">
        <f t="shared" si="306"/>
        <v>0.06359300477</v>
      </c>
      <c r="T300" s="44">
        <f t="shared" si="306"/>
        <v>0.05088265836</v>
      </c>
    </row>
    <row r="301" ht="15.75" customHeight="1">
      <c r="F301" s="24"/>
      <c r="G301" s="19">
        <f>$G$15</f>
        <v>7</v>
      </c>
      <c r="H301" s="45">
        <v>624.0</v>
      </c>
      <c r="I301" s="31">
        <v>220.0</v>
      </c>
      <c r="J301" s="31">
        <v>22.0</v>
      </c>
      <c r="K301" s="31">
        <v>54.0</v>
      </c>
      <c r="L301" s="31">
        <v>67.0</v>
      </c>
      <c r="N301" s="24"/>
      <c r="O301" s="19">
        <f>$G$15</f>
        <v>7</v>
      </c>
      <c r="P301" s="44">
        <f t="shared" ref="P301:T301" si="307">H301/H$318</f>
        <v>0.09021251988</v>
      </c>
      <c r="Q301" s="44">
        <f t="shared" si="307"/>
        <v>0.07787610619</v>
      </c>
      <c r="R301" s="44">
        <f t="shared" si="307"/>
        <v>0.1279069767</v>
      </c>
      <c r="S301" s="44">
        <f t="shared" si="307"/>
        <v>0.08585055644</v>
      </c>
      <c r="T301" s="44">
        <f t="shared" si="307"/>
        <v>0.06957424714</v>
      </c>
    </row>
    <row r="302" ht="15.75" customHeight="1">
      <c r="F302" s="24"/>
      <c r="G302" s="19">
        <f>$G$16</f>
        <v>8</v>
      </c>
      <c r="H302" s="45">
        <v>596.0</v>
      </c>
      <c r="I302" s="31">
        <v>305.0</v>
      </c>
      <c r="J302" s="31">
        <v>14.0</v>
      </c>
      <c r="K302" s="31">
        <v>48.0</v>
      </c>
      <c r="L302" s="31">
        <v>91.0</v>
      </c>
      <c r="N302" s="24"/>
      <c r="O302" s="19">
        <f>$G$16</f>
        <v>8</v>
      </c>
      <c r="P302" s="44">
        <f t="shared" ref="P302:T302" si="308">H302/H$318</f>
        <v>0.08616452219</v>
      </c>
      <c r="Q302" s="44">
        <f t="shared" si="308"/>
        <v>0.1079646018</v>
      </c>
      <c r="R302" s="44">
        <f t="shared" si="308"/>
        <v>0.08139534884</v>
      </c>
      <c r="S302" s="44">
        <f t="shared" si="308"/>
        <v>0.07631160572</v>
      </c>
      <c r="T302" s="44">
        <f t="shared" si="308"/>
        <v>0.09449636552</v>
      </c>
    </row>
    <row r="303" ht="15.75" customHeight="1">
      <c r="F303" s="24"/>
      <c r="G303" s="19">
        <f>$G$17</f>
        <v>9</v>
      </c>
      <c r="H303" s="45">
        <v>637.0</v>
      </c>
      <c r="I303" s="31">
        <v>280.0</v>
      </c>
      <c r="J303" s="31">
        <v>19.0</v>
      </c>
      <c r="K303" s="31">
        <v>66.0</v>
      </c>
      <c r="L303" s="31">
        <v>91.0</v>
      </c>
      <c r="N303" s="24"/>
      <c r="O303" s="19">
        <f>$G$17</f>
        <v>9</v>
      </c>
      <c r="P303" s="44">
        <f t="shared" ref="P303:T303" si="309">H303/H$318</f>
        <v>0.09209194738</v>
      </c>
      <c r="Q303" s="44">
        <f t="shared" si="309"/>
        <v>0.09911504425</v>
      </c>
      <c r="R303" s="44">
        <f t="shared" si="309"/>
        <v>0.1104651163</v>
      </c>
      <c r="S303" s="44">
        <f t="shared" si="309"/>
        <v>0.1049284579</v>
      </c>
      <c r="T303" s="44">
        <f t="shared" si="309"/>
        <v>0.09449636552</v>
      </c>
    </row>
    <row r="304" ht="15.75" customHeight="1">
      <c r="F304" s="24"/>
      <c r="G304" s="19">
        <f>$G$18</f>
        <v>10</v>
      </c>
      <c r="H304" s="45">
        <v>610.0</v>
      </c>
      <c r="I304" s="31">
        <v>230.0</v>
      </c>
      <c r="J304" s="31">
        <v>7.0</v>
      </c>
      <c r="K304" s="31">
        <v>50.0</v>
      </c>
      <c r="L304" s="31">
        <v>96.0</v>
      </c>
      <c r="N304" s="24"/>
      <c r="O304" s="19">
        <f>$G$18</f>
        <v>10</v>
      </c>
      <c r="P304" s="44">
        <f t="shared" ref="P304:T304" si="310">H304/H$318</f>
        <v>0.08818852104</v>
      </c>
      <c r="Q304" s="44">
        <f t="shared" si="310"/>
        <v>0.0814159292</v>
      </c>
      <c r="R304" s="44">
        <f t="shared" si="310"/>
        <v>0.04069767442</v>
      </c>
      <c r="S304" s="44">
        <f t="shared" si="310"/>
        <v>0.07949125596</v>
      </c>
      <c r="T304" s="44">
        <f t="shared" si="310"/>
        <v>0.09968847352</v>
      </c>
    </row>
    <row r="305" ht="15.75" customHeight="1">
      <c r="F305" s="24"/>
      <c r="G305" s="19">
        <f>$G$19</f>
        <v>11</v>
      </c>
      <c r="H305" s="45">
        <v>480.0</v>
      </c>
      <c r="I305" s="31">
        <v>157.0</v>
      </c>
      <c r="J305" s="31">
        <v>20.0</v>
      </c>
      <c r="K305" s="31">
        <v>40.0</v>
      </c>
      <c r="L305" s="31">
        <v>76.0</v>
      </c>
      <c r="N305" s="24"/>
      <c r="O305" s="19">
        <f>$G$19</f>
        <v>11</v>
      </c>
      <c r="P305" s="44">
        <f t="shared" ref="P305:T305" si="311">H305/H$318</f>
        <v>0.06939424606</v>
      </c>
      <c r="Q305" s="44">
        <f t="shared" si="311"/>
        <v>0.05557522124</v>
      </c>
      <c r="R305" s="44">
        <f t="shared" si="311"/>
        <v>0.1162790698</v>
      </c>
      <c r="S305" s="44">
        <f t="shared" si="311"/>
        <v>0.06359300477</v>
      </c>
      <c r="T305" s="44">
        <f t="shared" si="311"/>
        <v>0.07892004154</v>
      </c>
    </row>
    <row r="306" ht="15.75" customHeight="1">
      <c r="F306" s="24"/>
      <c r="G306" s="19">
        <f>$G$20</f>
        <v>12</v>
      </c>
      <c r="H306" s="45">
        <v>389.0</v>
      </c>
      <c r="I306" s="31">
        <v>136.0</v>
      </c>
      <c r="J306" s="31">
        <v>7.0</v>
      </c>
      <c r="K306" s="31">
        <v>34.0</v>
      </c>
      <c r="L306" s="31">
        <v>77.0</v>
      </c>
      <c r="N306" s="24"/>
      <c r="O306" s="19">
        <f>$G$20</f>
        <v>12</v>
      </c>
      <c r="P306" s="44">
        <f t="shared" ref="P306:T306" si="312">H306/H$318</f>
        <v>0.05623825358</v>
      </c>
      <c r="Q306" s="44">
        <f t="shared" si="312"/>
        <v>0.04814159292</v>
      </c>
      <c r="R306" s="44">
        <f t="shared" si="312"/>
        <v>0.04069767442</v>
      </c>
      <c r="S306" s="44">
        <f t="shared" si="312"/>
        <v>0.05405405405</v>
      </c>
      <c r="T306" s="44">
        <f t="shared" si="312"/>
        <v>0.07995846314</v>
      </c>
    </row>
    <row r="307" ht="15.75" customHeight="1">
      <c r="F307" s="24"/>
      <c r="G307" s="19">
        <f>$G$21</f>
        <v>13</v>
      </c>
      <c r="H307" s="45">
        <v>395.0</v>
      </c>
      <c r="I307" s="31">
        <v>135.0</v>
      </c>
      <c r="J307" s="31">
        <v>11.0</v>
      </c>
      <c r="K307" s="31">
        <v>36.0</v>
      </c>
      <c r="L307" s="31">
        <v>83.0</v>
      </c>
      <c r="N307" s="24"/>
      <c r="O307" s="19">
        <f>$G$21</f>
        <v>13</v>
      </c>
      <c r="P307" s="44">
        <f t="shared" ref="P307:T307" si="313">H307/H$318</f>
        <v>0.05710568165</v>
      </c>
      <c r="Q307" s="44">
        <f t="shared" si="313"/>
        <v>0.04778761062</v>
      </c>
      <c r="R307" s="44">
        <f t="shared" si="313"/>
        <v>0.06395348837</v>
      </c>
      <c r="S307" s="44">
        <f t="shared" si="313"/>
        <v>0.05723370429</v>
      </c>
      <c r="T307" s="44">
        <f t="shared" si="313"/>
        <v>0.08618899273</v>
      </c>
    </row>
    <row r="308" ht="15.75" customHeight="1">
      <c r="F308" s="24"/>
      <c r="G308" s="19">
        <f>$G$22</f>
        <v>14</v>
      </c>
      <c r="H308" s="45">
        <v>416.0</v>
      </c>
      <c r="I308" s="31">
        <v>155.0</v>
      </c>
      <c r="J308" s="31">
        <v>13.0</v>
      </c>
      <c r="K308" s="31">
        <v>35.0</v>
      </c>
      <c r="L308" s="31">
        <v>63.0</v>
      </c>
      <c r="N308" s="24"/>
      <c r="O308" s="19">
        <f>$G$22</f>
        <v>14</v>
      </c>
      <c r="P308" s="44">
        <f t="shared" ref="P308:T308" si="314">H308/H$318</f>
        <v>0.06014167992</v>
      </c>
      <c r="Q308" s="44">
        <f t="shared" si="314"/>
        <v>0.05486725664</v>
      </c>
      <c r="R308" s="44">
        <f t="shared" si="314"/>
        <v>0.07558139535</v>
      </c>
      <c r="S308" s="44">
        <f t="shared" si="314"/>
        <v>0.05564387917</v>
      </c>
      <c r="T308" s="44">
        <f t="shared" si="314"/>
        <v>0.06542056075</v>
      </c>
    </row>
    <row r="309" ht="15.75" customHeight="1">
      <c r="F309" s="24"/>
      <c r="G309" s="19">
        <f>$G$23</f>
        <v>15</v>
      </c>
      <c r="H309" s="45">
        <v>395.0</v>
      </c>
      <c r="I309" s="31">
        <v>151.0</v>
      </c>
      <c r="J309" s="31">
        <v>17.0</v>
      </c>
      <c r="K309" s="31">
        <v>33.0</v>
      </c>
      <c r="L309" s="31">
        <v>51.0</v>
      </c>
      <c r="N309" s="24"/>
      <c r="O309" s="19">
        <f>$G$23</f>
        <v>15</v>
      </c>
      <c r="P309" s="44">
        <f t="shared" ref="P309:T309" si="315">H309/H$318</f>
        <v>0.05710568165</v>
      </c>
      <c r="Q309" s="44">
        <f t="shared" si="315"/>
        <v>0.05345132743</v>
      </c>
      <c r="R309" s="44">
        <f t="shared" si="315"/>
        <v>0.0988372093</v>
      </c>
      <c r="S309" s="44">
        <f t="shared" si="315"/>
        <v>0.05246422893</v>
      </c>
      <c r="T309" s="44">
        <f t="shared" si="315"/>
        <v>0.05295950156</v>
      </c>
    </row>
    <row r="310" ht="15.75" customHeight="1">
      <c r="F310" s="24"/>
      <c r="G310" s="19">
        <f>$G$24</f>
        <v>16</v>
      </c>
      <c r="H310" s="45">
        <v>375.0</v>
      </c>
      <c r="I310" s="31">
        <v>168.0</v>
      </c>
      <c r="J310" s="31">
        <v>10.0</v>
      </c>
      <c r="K310" s="31">
        <v>28.0</v>
      </c>
      <c r="L310" s="31">
        <v>34.0</v>
      </c>
      <c r="N310" s="24"/>
      <c r="O310" s="19">
        <f>$G$24</f>
        <v>16</v>
      </c>
      <c r="P310" s="44">
        <f t="shared" ref="P310:T310" si="316">H310/H$318</f>
        <v>0.05421425473</v>
      </c>
      <c r="Q310" s="44">
        <f t="shared" si="316"/>
        <v>0.05946902655</v>
      </c>
      <c r="R310" s="44">
        <f t="shared" si="316"/>
        <v>0.05813953488</v>
      </c>
      <c r="S310" s="44">
        <f t="shared" si="316"/>
        <v>0.04451510334</v>
      </c>
      <c r="T310" s="44">
        <f t="shared" si="316"/>
        <v>0.03530633437</v>
      </c>
    </row>
    <row r="311" ht="15.75" customHeight="1">
      <c r="F311" s="24"/>
      <c r="G311" s="19">
        <f>$G$25</f>
        <v>17</v>
      </c>
      <c r="H311" s="45">
        <v>414.0</v>
      </c>
      <c r="I311" s="31">
        <v>179.0</v>
      </c>
      <c r="J311" s="31">
        <v>1.0</v>
      </c>
      <c r="K311" s="31">
        <v>19.0</v>
      </c>
      <c r="L311" s="31">
        <v>17.0</v>
      </c>
      <c r="N311" s="24"/>
      <c r="O311" s="19">
        <f>$G$25</f>
        <v>17</v>
      </c>
      <c r="P311" s="44">
        <f t="shared" ref="P311:T311" si="317">H311/H$318</f>
        <v>0.05985253723</v>
      </c>
      <c r="Q311" s="44">
        <f t="shared" si="317"/>
        <v>0.06336283186</v>
      </c>
      <c r="R311" s="44">
        <f t="shared" si="317"/>
        <v>0.005813953488</v>
      </c>
      <c r="S311" s="44">
        <f t="shared" si="317"/>
        <v>0.03020667727</v>
      </c>
      <c r="T311" s="44">
        <f t="shared" si="317"/>
        <v>0.01765316719</v>
      </c>
    </row>
    <row r="312" ht="15.75" customHeight="1">
      <c r="F312" s="24"/>
      <c r="G312" s="19">
        <f>$G$26</f>
        <v>18</v>
      </c>
      <c r="H312" s="45">
        <v>336.0</v>
      </c>
      <c r="I312" s="31">
        <v>120.0</v>
      </c>
      <c r="J312" s="31">
        <v>2.0</v>
      </c>
      <c r="K312" s="31">
        <v>9.0</v>
      </c>
      <c r="L312" s="31">
        <v>12.0</v>
      </c>
      <c r="N312" s="24"/>
      <c r="O312" s="19">
        <f>$G$26</f>
        <v>18</v>
      </c>
      <c r="P312" s="44">
        <f t="shared" ref="P312:T312" si="318">H312/H$318</f>
        <v>0.04857597224</v>
      </c>
      <c r="Q312" s="44">
        <f t="shared" si="318"/>
        <v>0.04247787611</v>
      </c>
      <c r="R312" s="44">
        <f t="shared" si="318"/>
        <v>0.01162790698</v>
      </c>
      <c r="S312" s="44">
        <f t="shared" si="318"/>
        <v>0.01430842607</v>
      </c>
      <c r="T312" s="44">
        <f t="shared" si="318"/>
        <v>0.01246105919</v>
      </c>
    </row>
    <row r="313" ht="15.75" customHeight="1">
      <c r="F313" s="24"/>
      <c r="G313" s="19">
        <f>$G$27</f>
        <v>19</v>
      </c>
      <c r="H313" s="45">
        <v>243.0</v>
      </c>
      <c r="I313" s="31">
        <v>83.0</v>
      </c>
      <c r="J313" s="31">
        <v>5.0</v>
      </c>
      <c r="K313" s="31">
        <v>18.0</v>
      </c>
      <c r="L313" s="31">
        <v>13.0</v>
      </c>
      <c r="N313" s="24"/>
      <c r="O313" s="19">
        <f>$G$27</f>
        <v>19</v>
      </c>
      <c r="P313" s="44">
        <f t="shared" ref="P313:T313" si="319">H313/H$318</f>
        <v>0.03513083707</v>
      </c>
      <c r="Q313" s="44">
        <f t="shared" si="319"/>
        <v>0.02938053097</v>
      </c>
      <c r="R313" s="44">
        <f t="shared" si="319"/>
        <v>0.02906976744</v>
      </c>
      <c r="S313" s="44">
        <f t="shared" si="319"/>
        <v>0.02861685215</v>
      </c>
      <c r="T313" s="44">
        <f t="shared" si="319"/>
        <v>0.01349948079</v>
      </c>
    </row>
    <row r="314" ht="15.75" customHeight="1">
      <c r="F314" s="24"/>
      <c r="G314" s="19">
        <f>$G$28</f>
        <v>20</v>
      </c>
      <c r="H314" s="45">
        <v>225.0</v>
      </c>
      <c r="I314" s="31">
        <v>62.0</v>
      </c>
      <c r="J314" s="20"/>
      <c r="K314" s="31">
        <v>10.0</v>
      </c>
      <c r="L314" s="31">
        <v>10.0</v>
      </c>
      <c r="N314" s="24"/>
      <c r="O314" s="19">
        <f>$G$28</f>
        <v>20</v>
      </c>
      <c r="P314" s="44">
        <f t="shared" ref="P314:T314" si="320">H314/H$318</f>
        <v>0.03252855284</v>
      </c>
      <c r="Q314" s="44">
        <f t="shared" si="320"/>
        <v>0.02194690265</v>
      </c>
      <c r="R314" s="44">
        <f t="shared" si="320"/>
        <v>0</v>
      </c>
      <c r="S314" s="44">
        <f t="shared" si="320"/>
        <v>0.01589825119</v>
      </c>
      <c r="T314" s="44">
        <f t="shared" si="320"/>
        <v>0.01038421599</v>
      </c>
    </row>
    <row r="315" ht="15.75" customHeight="1">
      <c r="F315" s="24"/>
      <c r="G315" s="19">
        <f>$G$29</f>
        <v>21</v>
      </c>
      <c r="H315" s="45">
        <v>192.0</v>
      </c>
      <c r="I315" s="31">
        <v>58.0</v>
      </c>
      <c r="J315" s="20"/>
      <c r="K315" s="31">
        <v>4.0</v>
      </c>
      <c r="L315" s="31">
        <v>14.0</v>
      </c>
      <c r="N315" s="24"/>
      <c r="O315" s="19">
        <f>$G$29</f>
        <v>21</v>
      </c>
      <c r="P315" s="44">
        <f t="shared" ref="P315:T315" si="321">H315/H$318</f>
        <v>0.02775769842</v>
      </c>
      <c r="Q315" s="44">
        <f t="shared" si="321"/>
        <v>0.02053097345</v>
      </c>
      <c r="R315" s="44">
        <f t="shared" si="321"/>
        <v>0</v>
      </c>
      <c r="S315" s="44">
        <f t="shared" si="321"/>
        <v>0.006359300477</v>
      </c>
      <c r="T315" s="44">
        <f t="shared" si="321"/>
        <v>0.01453790239</v>
      </c>
    </row>
    <row r="316" ht="15.75" customHeight="1">
      <c r="F316" s="24"/>
      <c r="G316" s="19">
        <f>$G$30</f>
        <v>22</v>
      </c>
      <c r="H316" s="45">
        <v>137.0</v>
      </c>
      <c r="I316" s="31">
        <v>38.0</v>
      </c>
      <c r="J316" s="31">
        <v>2.0</v>
      </c>
      <c r="K316" s="31">
        <v>9.0</v>
      </c>
      <c r="L316" s="31">
        <v>10.0</v>
      </c>
      <c r="N316" s="24"/>
      <c r="O316" s="19">
        <f>$G$30</f>
        <v>22</v>
      </c>
      <c r="P316" s="44">
        <f t="shared" ref="P316:T316" si="322">H316/H$318</f>
        <v>0.0198062744</v>
      </c>
      <c r="Q316" s="44">
        <f t="shared" si="322"/>
        <v>0.01345132743</v>
      </c>
      <c r="R316" s="44">
        <f t="shared" si="322"/>
        <v>0.01162790698</v>
      </c>
      <c r="S316" s="44">
        <f t="shared" si="322"/>
        <v>0.01430842607</v>
      </c>
      <c r="T316" s="44">
        <f t="shared" si="322"/>
        <v>0.01038421599</v>
      </c>
    </row>
    <row r="317" ht="15.75" customHeight="1">
      <c r="F317" s="28"/>
      <c r="G317" s="19">
        <f>$G$31</f>
        <v>23</v>
      </c>
      <c r="H317" s="46">
        <v>65.0</v>
      </c>
      <c r="I317" s="61">
        <v>24.0</v>
      </c>
      <c r="J317" s="20"/>
      <c r="K317" s="61">
        <v>14.0</v>
      </c>
      <c r="L317" s="61">
        <v>8.0</v>
      </c>
      <c r="N317" s="28"/>
      <c r="O317" s="19">
        <f>$G$31</f>
        <v>23</v>
      </c>
      <c r="P317" s="44">
        <f t="shared" ref="P317:T317" si="323">H317/H$318</f>
        <v>0.009397137487</v>
      </c>
      <c r="Q317" s="44">
        <f t="shared" si="323"/>
        <v>0.008495575221</v>
      </c>
      <c r="R317" s="44">
        <f t="shared" si="323"/>
        <v>0</v>
      </c>
      <c r="S317" s="44">
        <f t="shared" si="323"/>
        <v>0.02225755167</v>
      </c>
      <c r="T317" s="44">
        <f t="shared" si="323"/>
        <v>0.008307372793</v>
      </c>
    </row>
    <row r="318" ht="15.75" customHeight="1">
      <c r="F318" s="111"/>
      <c r="G318" s="112"/>
      <c r="H318" s="26">
        <f t="shared" ref="H318:L318" si="324">SUM(H294:H317)</f>
        <v>6917</v>
      </c>
      <c r="I318" s="26">
        <f t="shared" si="324"/>
        <v>2825</v>
      </c>
      <c r="J318" s="26">
        <f t="shared" si="324"/>
        <v>172</v>
      </c>
      <c r="K318" s="26">
        <f t="shared" si="324"/>
        <v>629</v>
      </c>
      <c r="L318" s="26">
        <f t="shared" si="324"/>
        <v>963</v>
      </c>
    </row>
    <row r="319" ht="15.75" customHeight="1">
      <c r="G319" s="16"/>
      <c r="H319" s="17">
        <f>$H$7</f>
        <v>31</v>
      </c>
      <c r="I319" s="17">
        <f>$I$7</f>
        <v>32</v>
      </c>
      <c r="J319" s="17">
        <f>$J$7</f>
        <v>41</v>
      </c>
      <c r="K319" s="17">
        <f>$K$7</f>
        <v>42</v>
      </c>
      <c r="L319" s="17">
        <f>$L$7</f>
        <v>5</v>
      </c>
      <c r="O319" s="16"/>
      <c r="P319" s="17">
        <f>$H$7</f>
        <v>31</v>
      </c>
      <c r="Q319" s="17">
        <f>$I$7</f>
        <v>32</v>
      </c>
      <c r="R319" s="17">
        <f>$J$7</f>
        <v>41</v>
      </c>
      <c r="S319" s="17">
        <f>$K$7</f>
        <v>42</v>
      </c>
      <c r="T319" s="17">
        <f>$L$7</f>
        <v>5</v>
      </c>
    </row>
    <row r="320" ht="15.75" customHeight="1">
      <c r="F320" s="56">
        <v>45219.0</v>
      </c>
      <c r="G320" s="19">
        <f>$G$8</f>
        <v>0</v>
      </c>
      <c r="H320" s="20">
        <v>61.0</v>
      </c>
      <c r="I320" s="20">
        <v>18.0</v>
      </c>
      <c r="J320" s="20"/>
      <c r="K320" s="20">
        <v>9.0</v>
      </c>
      <c r="L320" s="20">
        <v>6.0</v>
      </c>
      <c r="N320" s="56">
        <v>45219.0</v>
      </c>
      <c r="O320" s="19">
        <f>$G$8</f>
        <v>0</v>
      </c>
      <c r="P320" s="40">
        <f t="shared" ref="P320:T320" si="325">H320/H$344</f>
        <v>0.006552798367</v>
      </c>
      <c r="Q320" s="40">
        <f t="shared" si="325"/>
        <v>0.005347593583</v>
      </c>
      <c r="R320" s="40">
        <f t="shared" si="325"/>
        <v>0</v>
      </c>
      <c r="S320" s="40">
        <f t="shared" si="325"/>
        <v>0.01570680628</v>
      </c>
      <c r="T320" s="40">
        <f t="shared" si="325"/>
        <v>0.006507592191</v>
      </c>
    </row>
    <row r="321" ht="15.75" customHeight="1">
      <c r="F321" s="24"/>
      <c r="G321" s="19">
        <f>$G$9</f>
        <v>1</v>
      </c>
      <c r="H321" s="20">
        <v>48.0</v>
      </c>
      <c r="I321" s="20">
        <v>19.0</v>
      </c>
      <c r="J321" s="20"/>
      <c r="K321" s="20">
        <v>12.0</v>
      </c>
      <c r="L321" s="20">
        <v>4.0</v>
      </c>
      <c r="N321" s="24"/>
      <c r="O321" s="19">
        <f>$G$9</f>
        <v>1</v>
      </c>
      <c r="P321" s="40">
        <f t="shared" ref="P321:T321" si="326">H321/H$344</f>
        <v>0.005156300354</v>
      </c>
      <c r="Q321" s="40">
        <f t="shared" si="326"/>
        <v>0.005644682115</v>
      </c>
      <c r="R321" s="40">
        <f t="shared" si="326"/>
        <v>0</v>
      </c>
      <c r="S321" s="40">
        <f t="shared" si="326"/>
        <v>0.02094240838</v>
      </c>
      <c r="T321" s="40">
        <f t="shared" si="326"/>
        <v>0.004338394794</v>
      </c>
    </row>
    <row r="322" ht="15.75" customHeight="1">
      <c r="F322" s="24"/>
      <c r="G322" s="19">
        <f>$G$10</f>
        <v>2</v>
      </c>
      <c r="H322" s="16">
        <v>40.0</v>
      </c>
      <c r="I322" s="16">
        <v>18.0</v>
      </c>
      <c r="J322" s="16"/>
      <c r="K322" s="16">
        <v>11.0</v>
      </c>
      <c r="L322" s="16">
        <v>14.0</v>
      </c>
      <c r="N322" s="24"/>
      <c r="O322" s="19">
        <f>$G$10</f>
        <v>2</v>
      </c>
      <c r="P322" s="40">
        <f t="shared" ref="P322:T322" si="327">H322/H$344</f>
        <v>0.004296916962</v>
      </c>
      <c r="Q322" s="40">
        <f t="shared" si="327"/>
        <v>0.005347593583</v>
      </c>
      <c r="R322" s="40">
        <f t="shared" si="327"/>
        <v>0</v>
      </c>
      <c r="S322" s="40">
        <f t="shared" si="327"/>
        <v>0.01919720768</v>
      </c>
      <c r="T322" s="40">
        <f t="shared" si="327"/>
        <v>0.01518438178</v>
      </c>
    </row>
    <row r="323" ht="15.75" customHeight="1">
      <c r="F323" s="24"/>
      <c r="G323" s="19">
        <f>$G$11</f>
        <v>3</v>
      </c>
      <c r="H323" s="20">
        <v>41.0</v>
      </c>
      <c r="I323" s="20">
        <v>22.0</v>
      </c>
      <c r="J323" s="20"/>
      <c r="K323" s="20">
        <v>11.0</v>
      </c>
      <c r="L323" s="20">
        <v>21.0</v>
      </c>
      <c r="N323" s="24"/>
      <c r="O323" s="19">
        <f>$G$11</f>
        <v>3</v>
      </c>
      <c r="P323" s="40">
        <f t="shared" ref="P323:T323" si="328">H323/H$344</f>
        <v>0.004404339886</v>
      </c>
      <c r="Q323" s="40">
        <f t="shared" si="328"/>
        <v>0.006535947712</v>
      </c>
      <c r="R323" s="40">
        <f t="shared" si="328"/>
        <v>0</v>
      </c>
      <c r="S323" s="40">
        <f t="shared" si="328"/>
        <v>0.01919720768</v>
      </c>
      <c r="T323" s="40">
        <f t="shared" si="328"/>
        <v>0.02277657267</v>
      </c>
    </row>
    <row r="324" ht="15.75" customHeight="1">
      <c r="F324" s="24"/>
      <c r="G324" s="19">
        <f>$G$12</f>
        <v>4</v>
      </c>
      <c r="H324" s="20">
        <v>84.0</v>
      </c>
      <c r="I324" s="20">
        <v>40.0</v>
      </c>
      <c r="J324" s="20">
        <v>1.0</v>
      </c>
      <c r="K324" s="20">
        <v>32.0</v>
      </c>
      <c r="L324" s="20">
        <v>22.0</v>
      </c>
      <c r="N324" s="24"/>
      <c r="O324" s="19">
        <f>$G$12</f>
        <v>4</v>
      </c>
      <c r="P324" s="40">
        <f t="shared" ref="P324:T324" si="329">H324/H$344</f>
        <v>0.00902352562</v>
      </c>
      <c r="Q324" s="40">
        <f t="shared" si="329"/>
        <v>0.0118835413</v>
      </c>
      <c r="R324" s="40">
        <f t="shared" si="329"/>
        <v>0.004716981132</v>
      </c>
      <c r="S324" s="40">
        <f t="shared" si="329"/>
        <v>0.05584642234</v>
      </c>
      <c r="T324" s="40">
        <f t="shared" si="329"/>
        <v>0.02386117137</v>
      </c>
    </row>
    <row r="325" ht="15.75" customHeight="1">
      <c r="F325" s="24"/>
      <c r="G325" s="19">
        <f>$G$13</f>
        <v>5</v>
      </c>
      <c r="H325" s="20">
        <v>143.0</v>
      </c>
      <c r="I325" s="20">
        <v>87.0</v>
      </c>
      <c r="J325" s="20">
        <v>6.0</v>
      </c>
      <c r="K325" s="20">
        <v>28.0</v>
      </c>
      <c r="L325" s="20">
        <v>40.0</v>
      </c>
      <c r="N325" s="24"/>
      <c r="O325" s="19">
        <f>$G$13</f>
        <v>5</v>
      </c>
      <c r="P325" s="40">
        <f t="shared" ref="P325:T325" si="330">H325/H$344</f>
        <v>0.01536147814</v>
      </c>
      <c r="Q325" s="40">
        <f t="shared" si="330"/>
        <v>0.02584670232</v>
      </c>
      <c r="R325" s="40">
        <f t="shared" si="330"/>
        <v>0.02830188679</v>
      </c>
      <c r="S325" s="40">
        <f t="shared" si="330"/>
        <v>0.04886561955</v>
      </c>
      <c r="T325" s="40">
        <f t="shared" si="330"/>
        <v>0.04338394794</v>
      </c>
    </row>
    <row r="326" ht="15.75" customHeight="1">
      <c r="F326" s="24"/>
      <c r="G326" s="19">
        <f>$G$14</f>
        <v>6</v>
      </c>
      <c r="H326" s="20">
        <v>326.0</v>
      </c>
      <c r="I326" s="20">
        <v>156.0</v>
      </c>
      <c r="J326" s="20">
        <v>18.0</v>
      </c>
      <c r="K326" s="20">
        <v>32.0</v>
      </c>
      <c r="L326" s="20">
        <v>48.0</v>
      </c>
      <c r="N326" s="24"/>
      <c r="O326" s="19">
        <f>$G$14</f>
        <v>6</v>
      </c>
      <c r="P326" s="40">
        <f t="shared" ref="P326:T326" si="331">H326/H$344</f>
        <v>0.03501987324</v>
      </c>
      <c r="Q326" s="40">
        <f t="shared" si="331"/>
        <v>0.04634581105</v>
      </c>
      <c r="R326" s="40">
        <f t="shared" si="331"/>
        <v>0.08490566038</v>
      </c>
      <c r="S326" s="40">
        <f t="shared" si="331"/>
        <v>0.05584642234</v>
      </c>
      <c r="T326" s="40">
        <f t="shared" si="331"/>
        <v>0.05206073753</v>
      </c>
    </row>
    <row r="327" ht="15.75" customHeight="1">
      <c r="F327" s="24"/>
      <c r="G327" s="19">
        <f>$G$15</f>
        <v>7</v>
      </c>
      <c r="H327" s="20">
        <v>625.0</v>
      </c>
      <c r="I327" s="20">
        <v>234.0</v>
      </c>
      <c r="J327" s="20">
        <v>28.0</v>
      </c>
      <c r="K327" s="20">
        <v>41.0</v>
      </c>
      <c r="L327" s="20">
        <v>45.0</v>
      </c>
      <c r="N327" s="24"/>
      <c r="O327" s="19">
        <f>$G$15</f>
        <v>7</v>
      </c>
      <c r="P327" s="40">
        <f t="shared" ref="P327:T327" si="332">H327/H$344</f>
        <v>0.06713932753</v>
      </c>
      <c r="Q327" s="40">
        <f t="shared" si="332"/>
        <v>0.06951871658</v>
      </c>
      <c r="R327" s="40">
        <f t="shared" si="332"/>
        <v>0.1320754717</v>
      </c>
      <c r="S327" s="40">
        <f t="shared" si="332"/>
        <v>0.07155322862</v>
      </c>
      <c r="T327" s="40">
        <f t="shared" si="332"/>
        <v>0.04880694143</v>
      </c>
    </row>
    <row r="328" ht="15.75" customHeight="1">
      <c r="F328" s="24"/>
      <c r="G328" s="19">
        <f>$G$16</f>
        <v>8</v>
      </c>
      <c r="H328" s="20">
        <v>649.0</v>
      </c>
      <c r="I328" s="20">
        <v>290.0</v>
      </c>
      <c r="J328" s="20">
        <v>26.0</v>
      </c>
      <c r="K328" s="20">
        <v>48.0</v>
      </c>
      <c r="L328" s="20">
        <v>77.0</v>
      </c>
      <c r="N328" s="24"/>
      <c r="O328" s="19">
        <f>$G$16</f>
        <v>8</v>
      </c>
      <c r="P328" s="40">
        <f t="shared" ref="P328:T328" si="333">H328/H$344</f>
        <v>0.06971747771</v>
      </c>
      <c r="Q328" s="40">
        <f t="shared" si="333"/>
        <v>0.08615567439</v>
      </c>
      <c r="R328" s="40">
        <f t="shared" si="333"/>
        <v>0.1226415094</v>
      </c>
      <c r="S328" s="40">
        <f t="shared" si="333"/>
        <v>0.08376963351</v>
      </c>
      <c r="T328" s="40">
        <f t="shared" si="333"/>
        <v>0.08351409978</v>
      </c>
    </row>
    <row r="329" ht="15.75" customHeight="1">
      <c r="F329" s="24"/>
      <c r="G329" s="19">
        <f>$G$17</f>
        <v>9</v>
      </c>
      <c r="H329" s="20">
        <v>618.0</v>
      </c>
      <c r="I329" s="20">
        <v>314.0</v>
      </c>
      <c r="J329" s="20">
        <v>23.0</v>
      </c>
      <c r="K329" s="20">
        <v>56.0</v>
      </c>
      <c r="L329" s="20">
        <v>72.0</v>
      </c>
      <c r="N329" s="24"/>
      <c r="O329" s="19">
        <f>$G$17</f>
        <v>9</v>
      </c>
      <c r="P329" s="40">
        <f t="shared" ref="P329:T329" si="334">H329/H$344</f>
        <v>0.06638736706</v>
      </c>
      <c r="Q329" s="40">
        <f t="shared" si="334"/>
        <v>0.09328579917</v>
      </c>
      <c r="R329" s="40">
        <f t="shared" si="334"/>
        <v>0.108490566</v>
      </c>
      <c r="S329" s="40">
        <f t="shared" si="334"/>
        <v>0.09773123909</v>
      </c>
      <c r="T329" s="40">
        <f t="shared" si="334"/>
        <v>0.07809110629</v>
      </c>
    </row>
    <row r="330" ht="15.75" customHeight="1">
      <c r="F330" s="24"/>
      <c r="G330" s="19">
        <f>$G$18</f>
        <v>10</v>
      </c>
      <c r="H330" s="20">
        <v>683.0</v>
      </c>
      <c r="I330" s="20">
        <v>220.0</v>
      </c>
      <c r="J330" s="20">
        <v>17.0</v>
      </c>
      <c r="K330" s="20">
        <v>45.0</v>
      </c>
      <c r="L330" s="20">
        <v>83.0</v>
      </c>
      <c r="N330" s="24"/>
      <c r="O330" s="19">
        <f>$G$18</f>
        <v>10</v>
      </c>
      <c r="P330" s="40">
        <f t="shared" ref="P330:T330" si="335">H330/H$344</f>
        <v>0.07336985713</v>
      </c>
      <c r="Q330" s="40">
        <f t="shared" si="335"/>
        <v>0.06535947712</v>
      </c>
      <c r="R330" s="40">
        <f t="shared" si="335"/>
        <v>0.08018867925</v>
      </c>
      <c r="S330" s="40">
        <f t="shared" si="335"/>
        <v>0.07853403141</v>
      </c>
      <c r="T330" s="40">
        <f t="shared" si="335"/>
        <v>0.09002169197</v>
      </c>
    </row>
    <row r="331" ht="15.75" customHeight="1">
      <c r="F331" s="24"/>
      <c r="G331" s="19">
        <f>$G$19</f>
        <v>11</v>
      </c>
      <c r="H331" s="20">
        <v>556.0</v>
      </c>
      <c r="I331" s="20">
        <v>174.0</v>
      </c>
      <c r="J331" s="20">
        <v>18.0</v>
      </c>
      <c r="K331" s="20">
        <v>25.0</v>
      </c>
      <c r="L331" s="20">
        <v>84.0</v>
      </c>
      <c r="N331" s="24"/>
      <c r="O331" s="19">
        <f>$G$19</f>
        <v>11</v>
      </c>
      <c r="P331" s="40">
        <f t="shared" ref="P331:T331" si="336">H331/H$344</f>
        <v>0.05972714577</v>
      </c>
      <c r="Q331" s="40">
        <f t="shared" si="336"/>
        <v>0.05169340463</v>
      </c>
      <c r="R331" s="40">
        <f t="shared" si="336"/>
        <v>0.08490566038</v>
      </c>
      <c r="S331" s="40">
        <f t="shared" si="336"/>
        <v>0.04363001745</v>
      </c>
      <c r="T331" s="40">
        <f t="shared" si="336"/>
        <v>0.09110629067</v>
      </c>
    </row>
    <row r="332" ht="15.75" customHeight="1">
      <c r="F332" s="24"/>
      <c r="G332" s="19">
        <f>$G$20</f>
        <v>12</v>
      </c>
      <c r="H332" s="20">
        <v>466.0</v>
      </c>
      <c r="I332" s="20">
        <v>166.0</v>
      </c>
      <c r="J332" s="20">
        <v>7.0</v>
      </c>
      <c r="K332" s="20">
        <v>37.0</v>
      </c>
      <c r="L332" s="20">
        <v>79.0</v>
      </c>
      <c r="N332" s="24"/>
      <c r="O332" s="19">
        <f>$G$20</f>
        <v>12</v>
      </c>
      <c r="P332" s="40">
        <f t="shared" ref="P332:T332" si="337">H332/H$344</f>
        <v>0.05005908261</v>
      </c>
      <c r="Q332" s="40">
        <f t="shared" si="337"/>
        <v>0.04931669638</v>
      </c>
      <c r="R332" s="40">
        <f t="shared" si="337"/>
        <v>0.03301886792</v>
      </c>
      <c r="S332" s="40">
        <f t="shared" si="337"/>
        <v>0.06457242583</v>
      </c>
      <c r="T332" s="40">
        <f t="shared" si="337"/>
        <v>0.08568329718</v>
      </c>
    </row>
    <row r="333" ht="15.75" customHeight="1">
      <c r="F333" s="24"/>
      <c r="G333" s="19">
        <f>$G$21</f>
        <v>13</v>
      </c>
      <c r="H333" s="20">
        <v>524.0</v>
      </c>
      <c r="I333" s="20">
        <v>189.0</v>
      </c>
      <c r="J333" s="20">
        <v>15.0</v>
      </c>
      <c r="K333" s="20">
        <v>31.0</v>
      </c>
      <c r="L333" s="20">
        <v>86.0</v>
      </c>
      <c r="N333" s="24"/>
      <c r="O333" s="19">
        <f>$G$21</f>
        <v>13</v>
      </c>
      <c r="P333" s="40">
        <f t="shared" ref="P333:T333" si="338">H333/H$344</f>
        <v>0.0562896122</v>
      </c>
      <c r="Q333" s="40">
        <f t="shared" si="338"/>
        <v>0.05614973262</v>
      </c>
      <c r="R333" s="40">
        <f t="shared" si="338"/>
        <v>0.07075471698</v>
      </c>
      <c r="S333" s="40">
        <f t="shared" si="338"/>
        <v>0.05410122164</v>
      </c>
      <c r="T333" s="40">
        <f t="shared" si="338"/>
        <v>0.09327548807</v>
      </c>
    </row>
    <row r="334" ht="15.75" customHeight="1">
      <c r="F334" s="24"/>
      <c r="G334" s="19">
        <f>$G$22</f>
        <v>14</v>
      </c>
      <c r="H334" s="20">
        <v>546.0</v>
      </c>
      <c r="I334" s="20">
        <v>199.0</v>
      </c>
      <c r="J334" s="20">
        <v>11.0</v>
      </c>
      <c r="K334" s="20">
        <v>33.0</v>
      </c>
      <c r="L334" s="20">
        <v>76.0</v>
      </c>
      <c r="N334" s="24"/>
      <c r="O334" s="19">
        <f>$G$22</f>
        <v>14</v>
      </c>
      <c r="P334" s="40">
        <f t="shared" ref="P334:T334" si="339">H334/H$344</f>
        <v>0.05865291653</v>
      </c>
      <c r="Q334" s="40">
        <f t="shared" si="339"/>
        <v>0.05912061794</v>
      </c>
      <c r="R334" s="40">
        <f t="shared" si="339"/>
        <v>0.05188679245</v>
      </c>
      <c r="S334" s="40">
        <f t="shared" si="339"/>
        <v>0.05759162304</v>
      </c>
      <c r="T334" s="40">
        <f t="shared" si="339"/>
        <v>0.08242950108</v>
      </c>
    </row>
    <row r="335" ht="15.75" customHeight="1">
      <c r="F335" s="24"/>
      <c r="G335" s="19">
        <f>$G$23</f>
        <v>15</v>
      </c>
      <c r="H335" s="20">
        <v>511.0</v>
      </c>
      <c r="I335" s="20">
        <v>167.0</v>
      </c>
      <c r="J335" s="20">
        <v>10.0</v>
      </c>
      <c r="K335" s="20">
        <v>28.0</v>
      </c>
      <c r="L335" s="20">
        <v>60.0</v>
      </c>
      <c r="N335" s="24"/>
      <c r="O335" s="19">
        <f>$G$23</f>
        <v>15</v>
      </c>
      <c r="P335" s="40">
        <f t="shared" ref="P335:T335" si="340">H335/H$344</f>
        <v>0.05489311419</v>
      </c>
      <c r="Q335" s="40">
        <f t="shared" si="340"/>
        <v>0.04961378491</v>
      </c>
      <c r="R335" s="40">
        <f t="shared" si="340"/>
        <v>0.04716981132</v>
      </c>
      <c r="S335" s="40">
        <f t="shared" si="340"/>
        <v>0.04886561955</v>
      </c>
      <c r="T335" s="40">
        <f t="shared" si="340"/>
        <v>0.06507592191</v>
      </c>
    </row>
    <row r="336" ht="15.75" customHeight="1">
      <c r="F336" s="24"/>
      <c r="G336" s="19">
        <f>$G$24</f>
        <v>16</v>
      </c>
      <c r="H336" s="20">
        <v>542.0</v>
      </c>
      <c r="I336" s="20">
        <v>202.0</v>
      </c>
      <c r="J336" s="20">
        <v>11.0</v>
      </c>
      <c r="K336" s="20">
        <v>18.0</v>
      </c>
      <c r="L336" s="20">
        <v>34.0</v>
      </c>
      <c r="N336" s="24"/>
      <c r="O336" s="19">
        <f>$G$24</f>
        <v>16</v>
      </c>
      <c r="P336" s="40">
        <f t="shared" ref="P336:T336" si="341">H336/H$344</f>
        <v>0.05822322484</v>
      </c>
      <c r="Q336" s="40">
        <f t="shared" si="341"/>
        <v>0.06001188354</v>
      </c>
      <c r="R336" s="40">
        <f t="shared" si="341"/>
        <v>0.05188679245</v>
      </c>
      <c r="S336" s="40">
        <f t="shared" si="341"/>
        <v>0.03141361257</v>
      </c>
      <c r="T336" s="40">
        <f t="shared" si="341"/>
        <v>0.03687635575</v>
      </c>
    </row>
    <row r="337" ht="15.75" customHeight="1">
      <c r="F337" s="24"/>
      <c r="G337" s="19">
        <f>$G$25</f>
        <v>17</v>
      </c>
      <c r="H337" s="20">
        <v>569.0</v>
      </c>
      <c r="I337" s="20">
        <v>230.0</v>
      </c>
      <c r="J337" s="20">
        <v>7.0</v>
      </c>
      <c r="K337" s="20">
        <v>13.0</v>
      </c>
      <c r="L337" s="20">
        <v>15.0</v>
      </c>
      <c r="N337" s="24"/>
      <c r="O337" s="19">
        <f>$G$25</f>
        <v>17</v>
      </c>
      <c r="P337" s="40">
        <f t="shared" ref="P337:T337" si="342">H337/H$344</f>
        <v>0.06112364379</v>
      </c>
      <c r="Q337" s="40">
        <f t="shared" si="342"/>
        <v>0.06833036245</v>
      </c>
      <c r="R337" s="40">
        <f t="shared" si="342"/>
        <v>0.03301886792</v>
      </c>
      <c r="S337" s="40">
        <f t="shared" si="342"/>
        <v>0.02268760908</v>
      </c>
      <c r="T337" s="40">
        <f t="shared" si="342"/>
        <v>0.01626898048</v>
      </c>
    </row>
    <row r="338" ht="15.75" customHeight="1">
      <c r="F338" s="24"/>
      <c r="G338" s="19">
        <f>$G$26</f>
        <v>18</v>
      </c>
      <c r="H338" s="20">
        <v>559.0</v>
      </c>
      <c r="I338" s="20">
        <v>160.0</v>
      </c>
      <c r="J338" s="20">
        <v>4.0</v>
      </c>
      <c r="K338" s="20">
        <v>15.0</v>
      </c>
      <c r="L338" s="20">
        <v>9.0</v>
      </c>
      <c r="N338" s="24"/>
      <c r="O338" s="19">
        <f>$G$26</f>
        <v>18</v>
      </c>
      <c r="P338" s="40">
        <f t="shared" ref="P338:T338" si="343">H338/H$344</f>
        <v>0.06004941455</v>
      </c>
      <c r="Q338" s="40">
        <f t="shared" si="343"/>
        <v>0.04753416518</v>
      </c>
      <c r="R338" s="40">
        <f t="shared" si="343"/>
        <v>0.01886792453</v>
      </c>
      <c r="S338" s="40">
        <f t="shared" si="343"/>
        <v>0.02617801047</v>
      </c>
      <c r="T338" s="40">
        <f t="shared" si="343"/>
        <v>0.009761388286</v>
      </c>
    </row>
    <row r="339" ht="15.75" customHeight="1">
      <c r="F339" s="24"/>
      <c r="G339" s="19">
        <f>$G$27</f>
        <v>19</v>
      </c>
      <c r="H339" s="20">
        <v>507.0</v>
      </c>
      <c r="I339" s="20">
        <v>152.0</v>
      </c>
      <c r="J339" s="20">
        <v>3.0</v>
      </c>
      <c r="K339" s="20">
        <v>23.0</v>
      </c>
      <c r="L339" s="20">
        <v>11.0</v>
      </c>
      <c r="N339" s="24"/>
      <c r="O339" s="19">
        <f>$G$27</f>
        <v>19</v>
      </c>
      <c r="P339" s="40">
        <f t="shared" ref="P339:T339" si="344">H339/H$344</f>
        <v>0.05446342249</v>
      </c>
      <c r="Q339" s="40">
        <f t="shared" si="344"/>
        <v>0.04515745692</v>
      </c>
      <c r="R339" s="40">
        <f t="shared" si="344"/>
        <v>0.0141509434</v>
      </c>
      <c r="S339" s="40">
        <f t="shared" si="344"/>
        <v>0.04013961606</v>
      </c>
      <c r="T339" s="40">
        <f t="shared" si="344"/>
        <v>0.01193058568</v>
      </c>
    </row>
    <row r="340" ht="15.75" customHeight="1">
      <c r="F340" s="24"/>
      <c r="G340" s="19">
        <f>$G$28</f>
        <v>20</v>
      </c>
      <c r="H340" s="20">
        <v>402.0</v>
      </c>
      <c r="I340" s="20">
        <v>94.0</v>
      </c>
      <c r="J340" s="20">
        <v>1.0</v>
      </c>
      <c r="K340" s="20">
        <v>4.0</v>
      </c>
      <c r="L340" s="20">
        <v>14.0</v>
      </c>
      <c r="N340" s="24"/>
      <c r="O340" s="19">
        <f>$G$28</f>
        <v>20</v>
      </c>
      <c r="P340" s="40">
        <f t="shared" ref="P340:T340" si="345">H340/H$344</f>
        <v>0.04318401547</v>
      </c>
      <c r="Q340" s="40">
        <f t="shared" si="345"/>
        <v>0.02792632204</v>
      </c>
      <c r="R340" s="40">
        <f t="shared" si="345"/>
        <v>0.004716981132</v>
      </c>
      <c r="S340" s="40">
        <f t="shared" si="345"/>
        <v>0.006980802792</v>
      </c>
      <c r="T340" s="40">
        <f t="shared" si="345"/>
        <v>0.01518438178</v>
      </c>
    </row>
    <row r="341" ht="15.75" customHeight="1">
      <c r="F341" s="24"/>
      <c r="G341" s="19">
        <f>$G$29</f>
        <v>21</v>
      </c>
      <c r="H341" s="20">
        <v>347.0</v>
      </c>
      <c r="I341" s="20">
        <v>99.0</v>
      </c>
      <c r="J341" s="20">
        <v>4.0</v>
      </c>
      <c r="K341" s="20">
        <v>6.0</v>
      </c>
      <c r="L341" s="20">
        <v>5.0</v>
      </c>
      <c r="N341" s="24"/>
      <c r="O341" s="19">
        <f>$G$29</f>
        <v>21</v>
      </c>
      <c r="P341" s="40">
        <f t="shared" ref="P341:T341" si="346">H341/H$344</f>
        <v>0.03727575465</v>
      </c>
      <c r="Q341" s="40">
        <f t="shared" si="346"/>
        <v>0.02941176471</v>
      </c>
      <c r="R341" s="40">
        <f t="shared" si="346"/>
        <v>0.01886792453</v>
      </c>
      <c r="S341" s="40">
        <f t="shared" si="346"/>
        <v>0.01047120419</v>
      </c>
      <c r="T341" s="40">
        <f t="shared" si="346"/>
        <v>0.005422993492</v>
      </c>
    </row>
    <row r="342" ht="15.75" customHeight="1">
      <c r="F342" s="24"/>
      <c r="G342" s="19">
        <f>$G$30</f>
        <v>22</v>
      </c>
      <c r="H342" s="20">
        <v>289.0</v>
      </c>
      <c r="I342" s="20">
        <v>67.0</v>
      </c>
      <c r="J342" s="20">
        <v>1.0</v>
      </c>
      <c r="K342" s="20">
        <v>9.0</v>
      </c>
      <c r="L342" s="20">
        <v>7.0</v>
      </c>
      <c r="N342" s="24"/>
      <c r="O342" s="19">
        <f>$G$30</f>
        <v>22</v>
      </c>
      <c r="P342" s="40">
        <f t="shared" ref="P342:T342" si="347">H342/H$344</f>
        <v>0.03104522505</v>
      </c>
      <c r="Q342" s="40">
        <f t="shared" si="347"/>
        <v>0.01990493167</v>
      </c>
      <c r="R342" s="40">
        <f t="shared" si="347"/>
        <v>0.004716981132</v>
      </c>
      <c r="S342" s="40">
        <f t="shared" si="347"/>
        <v>0.01570680628</v>
      </c>
      <c r="T342" s="40">
        <f t="shared" si="347"/>
        <v>0.007592190889</v>
      </c>
    </row>
    <row r="343" ht="15.75" customHeight="1">
      <c r="F343" s="28"/>
      <c r="G343" s="19">
        <f>$G$31</f>
        <v>23</v>
      </c>
      <c r="H343" s="20">
        <v>173.0</v>
      </c>
      <c r="I343" s="20">
        <v>49.0</v>
      </c>
      <c r="J343" s="20">
        <v>1.0</v>
      </c>
      <c r="K343" s="20">
        <v>6.0</v>
      </c>
      <c r="L343" s="20">
        <v>10.0</v>
      </c>
      <c r="N343" s="28"/>
      <c r="O343" s="19">
        <f>$G$31</f>
        <v>23</v>
      </c>
      <c r="P343" s="40">
        <f t="shared" ref="P343:T343" si="348">H343/H$344</f>
        <v>0.01858416586</v>
      </c>
      <c r="Q343" s="40">
        <f t="shared" si="348"/>
        <v>0.01455733809</v>
      </c>
      <c r="R343" s="40">
        <f t="shared" si="348"/>
        <v>0.004716981132</v>
      </c>
      <c r="S343" s="40">
        <f t="shared" si="348"/>
        <v>0.01047120419</v>
      </c>
      <c r="T343" s="40">
        <f t="shared" si="348"/>
        <v>0.01084598698</v>
      </c>
    </row>
    <row r="344" ht="15.75" customHeight="1">
      <c r="F344" s="111"/>
      <c r="G344" s="112"/>
      <c r="H344" s="26">
        <f t="shared" ref="H344:L344" si="349">SUM(H320:H343)</f>
        <v>9309</v>
      </c>
      <c r="I344" s="26">
        <f t="shared" si="349"/>
        <v>3366</v>
      </c>
      <c r="J344" s="26">
        <f t="shared" si="349"/>
        <v>212</v>
      </c>
      <c r="K344" s="26">
        <f t="shared" si="349"/>
        <v>573</v>
      </c>
      <c r="L344" s="26">
        <f t="shared" si="349"/>
        <v>922</v>
      </c>
    </row>
    <row r="345" ht="15.75" customHeight="1">
      <c r="G345" s="16"/>
      <c r="H345" s="17">
        <f>$H$7</f>
        <v>31</v>
      </c>
      <c r="I345" s="17">
        <f>$I$7</f>
        <v>32</v>
      </c>
      <c r="J345" s="17">
        <f>$J$7</f>
        <v>41</v>
      </c>
      <c r="K345" s="17">
        <f>$K$7</f>
        <v>42</v>
      </c>
      <c r="L345" s="17">
        <f>$L$7</f>
        <v>5</v>
      </c>
      <c r="O345" s="16"/>
      <c r="P345" s="17">
        <f>$H$7</f>
        <v>31</v>
      </c>
      <c r="Q345" s="17">
        <f>$I$7</f>
        <v>32</v>
      </c>
      <c r="R345" s="17">
        <f>$J$7</f>
        <v>41</v>
      </c>
      <c r="S345" s="17">
        <f>$K$7</f>
        <v>42</v>
      </c>
      <c r="T345" s="17">
        <f>$L$7</f>
        <v>5</v>
      </c>
    </row>
    <row r="346" ht="15.75" customHeight="1">
      <c r="F346" s="56">
        <v>45220.0</v>
      </c>
      <c r="G346" s="19">
        <f>$G$8</f>
        <v>0</v>
      </c>
      <c r="H346" s="105">
        <v>101.0</v>
      </c>
      <c r="I346" s="105">
        <v>36.0</v>
      </c>
      <c r="J346" s="105">
        <v>2.0</v>
      </c>
      <c r="K346" s="105">
        <v>15.0</v>
      </c>
      <c r="L346" s="105">
        <v>6.0</v>
      </c>
      <c r="N346" s="56">
        <v>45220.0</v>
      </c>
      <c r="O346" s="19">
        <f>$G$8</f>
        <v>0</v>
      </c>
      <c r="P346" s="106">
        <f t="shared" ref="P346:T346" si="350">H346/H$370</f>
        <v>0.007847098128</v>
      </c>
      <c r="Q346" s="106">
        <f t="shared" si="350"/>
        <v>0.009577015164</v>
      </c>
      <c r="R346" s="106">
        <f t="shared" si="350"/>
        <v>0.008474576271</v>
      </c>
      <c r="S346" s="106">
        <f t="shared" si="350"/>
        <v>0.04934210526</v>
      </c>
      <c r="T346" s="106">
        <f t="shared" si="350"/>
        <v>0.01578947368</v>
      </c>
    </row>
    <row r="347" ht="15.75" customHeight="1">
      <c r="F347" s="24"/>
      <c r="G347" s="19">
        <f>$G$9</f>
        <v>1</v>
      </c>
      <c r="H347" s="34">
        <v>86.0</v>
      </c>
      <c r="I347" s="34">
        <v>21.0</v>
      </c>
      <c r="J347" s="34"/>
      <c r="K347" s="34">
        <v>8.0</v>
      </c>
      <c r="L347" s="34">
        <v>9.0</v>
      </c>
      <c r="N347" s="24"/>
      <c r="O347" s="19">
        <f>$G$9</f>
        <v>1</v>
      </c>
      <c r="P347" s="106">
        <f t="shared" ref="P347:T347" si="351">H347/H$370</f>
        <v>0.006681687515</v>
      </c>
      <c r="Q347" s="106">
        <f t="shared" si="351"/>
        <v>0.005586592179</v>
      </c>
      <c r="R347" s="106">
        <f t="shared" si="351"/>
        <v>0</v>
      </c>
      <c r="S347" s="106">
        <f t="shared" si="351"/>
        <v>0.02631578947</v>
      </c>
      <c r="T347" s="106">
        <f t="shared" si="351"/>
        <v>0.02368421053</v>
      </c>
    </row>
    <row r="348" ht="15.75" customHeight="1">
      <c r="F348" s="24"/>
      <c r="G348" s="19">
        <f>$G$10</f>
        <v>2</v>
      </c>
      <c r="H348" s="34">
        <v>56.0</v>
      </c>
      <c r="I348" s="34">
        <v>27.0</v>
      </c>
      <c r="J348" s="34"/>
      <c r="K348" s="34">
        <v>10.0</v>
      </c>
      <c r="L348" s="34">
        <v>6.0</v>
      </c>
      <c r="N348" s="24"/>
      <c r="O348" s="19">
        <f>$G$10</f>
        <v>2</v>
      </c>
      <c r="P348" s="106">
        <f t="shared" ref="P348:T348" si="352">H348/H$370</f>
        <v>0.004350866289</v>
      </c>
      <c r="Q348" s="106">
        <f t="shared" si="352"/>
        <v>0.007182761373</v>
      </c>
      <c r="R348" s="106">
        <f t="shared" si="352"/>
        <v>0</v>
      </c>
      <c r="S348" s="106">
        <f t="shared" si="352"/>
        <v>0.03289473684</v>
      </c>
      <c r="T348" s="106">
        <f t="shared" si="352"/>
        <v>0.01578947368</v>
      </c>
    </row>
    <row r="349" ht="15.75" customHeight="1">
      <c r="F349" s="24"/>
      <c r="G349" s="19">
        <f>$G$11</f>
        <v>3</v>
      </c>
      <c r="H349" s="34">
        <v>96.0</v>
      </c>
      <c r="I349" s="34">
        <v>39.0</v>
      </c>
      <c r="J349" s="34">
        <v>1.0</v>
      </c>
      <c r="K349" s="34">
        <v>8.0</v>
      </c>
      <c r="L349" s="34">
        <v>8.0</v>
      </c>
      <c r="N349" s="24"/>
      <c r="O349" s="19">
        <f>$G$11</f>
        <v>3</v>
      </c>
      <c r="P349" s="106">
        <f t="shared" ref="P349:T349" si="353">H349/H$370</f>
        <v>0.007458627923</v>
      </c>
      <c r="Q349" s="106">
        <f t="shared" si="353"/>
        <v>0.01037509976</v>
      </c>
      <c r="R349" s="106">
        <f t="shared" si="353"/>
        <v>0.004237288136</v>
      </c>
      <c r="S349" s="106">
        <f t="shared" si="353"/>
        <v>0.02631578947</v>
      </c>
      <c r="T349" s="106">
        <f t="shared" si="353"/>
        <v>0.02105263158</v>
      </c>
    </row>
    <row r="350" ht="15.75" customHeight="1">
      <c r="F350" s="24"/>
      <c r="G350" s="19">
        <f>$G$12</f>
        <v>4</v>
      </c>
      <c r="H350" s="34">
        <v>142.0</v>
      </c>
      <c r="I350" s="34">
        <v>68.0</v>
      </c>
      <c r="J350" s="34">
        <v>3.0</v>
      </c>
      <c r="K350" s="34">
        <v>16.0</v>
      </c>
      <c r="L350" s="34">
        <v>8.0</v>
      </c>
      <c r="N350" s="24"/>
      <c r="O350" s="19">
        <f>$G$12</f>
        <v>4</v>
      </c>
      <c r="P350" s="106">
        <f t="shared" ref="P350:T350" si="354">H350/H$370</f>
        <v>0.0110325538</v>
      </c>
      <c r="Q350" s="106">
        <f t="shared" si="354"/>
        <v>0.01808991753</v>
      </c>
      <c r="R350" s="106">
        <f t="shared" si="354"/>
        <v>0.01271186441</v>
      </c>
      <c r="S350" s="106">
        <f t="shared" si="354"/>
        <v>0.05263157895</v>
      </c>
      <c r="T350" s="106">
        <f t="shared" si="354"/>
        <v>0.02105263158</v>
      </c>
    </row>
    <row r="351" ht="15.75" customHeight="1">
      <c r="F351" s="24"/>
      <c r="G351" s="19">
        <f>$G$13</f>
        <v>5</v>
      </c>
      <c r="H351" s="20">
        <v>251.0</v>
      </c>
      <c r="I351" s="20">
        <v>137.0</v>
      </c>
      <c r="J351" s="20">
        <v>9.0</v>
      </c>
      <c r="K351" s="20">
        <v>13.0</v>
      </c>
      <c r="L351" s="20">
        <v>15.0</v>
      </c>
      <c r="N351" s="24"/>
      <c r="O351" s="19">
        <f>$G$13</f>
        <v>5</v>
      </c>
      <c r="P351" s="106">
        <f t="shared" ref="P351:T351" si="355">H351/H$370</f>
        <v>0.01950120426</v>
      </c>
      <c r="Q351" s="106">
        <f t="shared" si="355"/>
        <v>0.03644586326</v>
      </c>
      <c r="R351" s="106">
        <f t="shared" si="355"/>
        <v>0.03813559322</v>
      </c>
      <c r="S351" s="106">
        <f t="shared" si="355"/>
        <v>0.04276315789</v>
      </c>
      <c r="T351" s="106">
        <f t="shared" si="355"/>
        <v>0.03947368421</v>
      </c>
    </row>
    <row r="352" ht="15.75" customHeight="1">
      <c r="F352" s="24"/>
      <c r="G352" s="19">
        <f>$G$14</f>
        <v>6</v>
      </c>
      <c r="H352" s="20">
        <v>545.0</v>
      </c>
      <c r="I352" s="20">
        <v>193.0</v>
      </c>
      <c r="J352" s="20">
        <v>23.0</v>
      </c>
      <c r="K352" s="20">
        <v>17.0</v>
      </c>
      <c r="L352" s="20">
        <v>11.0</v>
      </c>
      <c r="N352" s="24"/>
      <c r="O352" s="19">
        <f>$G$14</f>
        <v>6</v>
      </c>
      <c r="P352" s="106">
        <f t="shared" ref="P352:T352" si="356">H352/H$370</f>
        <v>0.04234325227</v>
      </c>
      <c r="Q352" s="106">
        <f t="shared" si="356"/>
        <v>0.0513434424</v>
      </c>
      <c r="R352" s="106">
        <f t="shared" si="356"/>
        <v>0.09745762712</v>
      </c>
      <c r="S352" s="106">
        <f t="shared" si="356"/>
        <v>0.05592105263</v>
      </c>
      <c r="T352" s="106">
        <f t="shared" si="356"/>
        <v>0.02894736842</v>
      </c>
    </row>
    <row r="353" ht="15.75" customHeight="1">
      <c r="F353" s="24"/>
      <c r="G353" s="19">
        <f>$G$15</f>
        <v>7</v>
      </c>
      <c r="H353" s="20">
        <v>854.0</v>
      </c>
      <c r="I353" s="20">
        <v>311.0</v>
      </c>
      <c r="J353" s="20">
        <v>54.0</v>
      </c>
      <c r="K353" s="20">
        <v>32.0</v>
      </c>
      <c r="L353" s="20">
        <v>41.0</v>
      </c>
      <c r="N353" s="24"/>
      <c r="O353" s="19">
        <f>$G$15</f>
        <v>7</v>
      </c>
      <c r="P353" s="106">
        <f t="shared" ref="P353:T353" si="357">H353/H$370</f>
        <v>0.0663507109</v>
      </c>
      <c r="Q353" s="106">
        <f t="shared" si="357"/>
        <v>0.08273476989</v>
      </c>
      <c r="R353" s="106">
        <f t="shared" si="357"/>
        <v>0.2288135593</v>
      </c>
      <c r="S353" s="106">
        <f t="shared" si="357"/>
        <v>0.1052631579</v>
      </c>
      <c r="T353" s="106">
        <f t="shared" si="357"/>
        <v>0.1078947368</v>
      </c>
    </row>
    <row r="354" ht="15.75" customHeight="1">
      <c r="F354" s="24"/>
      <c r="G354" s="19">
        <f>$G$16</f>
        <v>8</v>
      </c>
      <c r="H354" s="20">
        <v>1160.0</v>
      </c>
      <c r="I354" s="20">
        <v>373.0</v>
      </c>
      <c r="J354" s="20">
        <v>42.0</v>
      </c>
      <c r="K354" s="20">
        <v>22.0</v>
      </c>
      <c r="L354" s="20">
        <v>27.0</v>
      </c>
      <c r="N354" s="24"/>
      <c r="O354" s="19">
        <f>$G$16</f>
        <v>8</v>
      </c>
      <c r="P354" s="106">
        <f t="shared" ref="P354:T354" si="358">H354/H$370</f>
        <v>0.09012508741</v>
      </c>
      <c r="Q354" s="106">
        <f t="shared" si="358"/>
        <v>0.09922851822</v>
      </c>
      <c r="R354" s="106">
        <f t="shared" si="358"/>
        <v>0.1779661017</v>
      </c>
      <c r="S354" s="106">
        <f t="shared" si="358"/>
        <v>0.07236842105</v>
      </c>
      <c r="T354" s="106">
        <f t="shared" si="358"/>
        <v>0.07105263158</v>
      </c>
    </row>
    <row r="355" ht="15.75" customHeight="1">
      <c r="F355" s="24"/>
      <c r="G355" s="19">
        <f>$G$17</f>
        <v>9</v>
      </c>
      <c r="H355" s="20">
        <v>1310.0</v>
      </c>
      <c r="I355" s="20">
        <v>354.0</v>
      </c>
      <c r="J355" s="20">
        <v>17.0</v>
      </c>
      <c r="K355" s="20">
        <v>22.0</v>
      </c>
      <c r="L355" s="20">
        <v>27.0</v>
      </c>
      <c r="N355" s="24"/>
      <c r="O355" s="19">
        <f>$G$17</f>
        <v>9</v>
      </c>
      <c r="P355" s="106">
        <f t="shared" ref="P355:T355" si="359">H355/H$370</f>
        <v>0.1017791935</v>
      </c>
      <c r="Q355" s="106">
        <f t="shared" si="359"/>
        <v>0.09417398244</v>
      </c>
      <c r="R355" s="106">
        <f t="shared" si="359"/>
        <v>0.07203389831</v>
      </c>
      <c r="S355" s="106">
        <f t="shared" si="359"/>
        <v>0.07236842105</v>
      </c>
      <c r="T355" s="106">
        <f t="shared" si="359"/>
        <v>0.07105263158</v>
      </c>
    </row>
    <row r="356" ht="15.75" customHeight="1">
      <c r="F356" s="24"/>
      <c r="G356" s="19">
        <f>$G$18</f>
        <v>10</v>
      </c>
      <c r="H356" s="20">
        <v>1282.0</v>
      </c>
      <c r="I356" s="20">
        <v>309.0</v>
      </c>
      <c r="J356" s="20">
        <v>11.0</v>
      </c>
      <c r="K356" s="20">
        <v>15.0</v>
      </c>
      <c r="L356" s="20">
        <v>21.0</v>
      </c>
      <c r="N356" s="24"/>
      <c r="O356" s="19">
        <f>$G$18</f>
        <v>10</v>
      </c>
      <c r="P356" s="106">
        <f t="shared" ref="P356:T356" si="360">H356/H$370</f>
        <v>0.09960376039</v>
      </c>
      <c r="Q356" s="106">
        <f t="shared" si="360"/>
        <v>0.08220271349</v>
      </c>
      <c r="R356" s="106">
        <f t="shared" si="360"/>
        <v>0.04661016949</v>
      </c>
      <c r="S356" s="106">
        <f t="shared" si="360"/>
        <v>0.04934210526</v>
      </c>
      <c r="T356" s="106">
        <f t="shared" si="360"/>
        <v>0.05526315789</v>
      </c>
    </row>
    <row r="357" ht="15.75" customHeight="1">
      <c r="F357" s="24"/>
      <c r="G357" s="19">
        <f>$G$19</f>
        <v>11</v>
      </c>
      <c r="H357" s="20">
        <v>1043.0</v>
      </c>
      <c r="I357" s="20">
        <v>230.0</v>
      </c>
      <c r="J357" s="20">
        <v>8.0</v>
      </c>
      <c r="K357" s="20">
        <v>15.0</v>
      </c>
      <c r="L357" s="20">
        <v>33.0</v>
      </c>
      <c r="N357" s="24"/>
      <c r="O357" s="19">
        <f>$G$19</f>
        <v>11</v>
      </c>
      <c r="P357" s="106">
        <f t="shared" ref="P357:T357" si="361">H357/H$370</f>
        <v>0.08103488462</v>
      </c>
      <c r="Q357" s="106">
        <f t="shared" si="361"/>
        <v>0.06118648577</v>
      </c>
      <c r="R357" s="106">
        <f t="shared" si="361"/>
        <v>0.03389830508</v>
      </c>
      <c r="S357" s="106">
        <f t="shared" si="361"/>
        <v>0.04934210526</v>
      </c>
      <c r="T357" s="106">
        <f t="shared" si="361"/>
        <v>0.08684210526</v>
      </c>
    </row>
    <row r="358" ht="15.75" customHeight="1">
      <c r="F358" s="24"/>
      <c r="G358" s="19">
        <f>$G$20</f>
        <v>12</v>
      </c>
      <c r="H358" s="20">
        <v>793.0</v>
      </c>
      <c r="I358" s="20">
        <v>188.0</v>
      </c>
      <c r="J358" s="20">
        <v>12.0</v>
      </c>
      <c r="K358" s="20">
        <v>14.0</v>
      </c>
      <c r="L358" s="20">
        <v>30.0</v>
      </c>
      <c r="N358" s="24"/>
      <c r="O358" s="19">
        <f>$G$20</f>
        <v>12</v>
      </c>
      <c r="P358" s="106">
        <f t="shared" ref="P358:T358" si="362">H358/H$370</f>
        <v>0.06161137441</v>
      </c>
      <c r="Q358" s="106">
        <f t="shared" si="362"/>
        <v>0.05001330141</v>
      </c>
      <c r="R358" s="106">
        <f t="shared" si="362"/>
        <v>0.05084745763</v>
      </c>
      <c r="S358" s="106">
        <f t="shared" si="362"/>
        <v>0.04605263158</v>
      </c>
      <c r="T358" s="106">
        <f t="shared" si="362"/>
        <v>0.07894736842</v>
      </c>
    </row>
    <row r="359" ht="15.75" customHeight="1">
      <c r="F359" s="24"/>
      <c r="G359" s="19">
        <f>$G$21</f>
        <v>13</v>
      </c>
      <c r="H359" s="20">
        <v>895.0</v>
      </c>
      <c r="I359" s="20">
        <v>246.0</v>
      </c>
      <c r="J359" s="20">
        <v>5.0</v>
      </c>
      <c r="K359" s="20">
        <v>12.0</v>
      </c>
      <c r="L359" s="20">
        <v>30.0</v>
      </c>
      <c r="N359" s="24"/>
      <c r="O359" s="19">
        <f>$G$21</f>
        <v>13</v>
      </c>
      <c r="P359" s="106">
        <f t="shared" ref="P359:T359" si="363">H359/H$370</f>
        <v>0.06953616658</v>
      </c>
      <c r="Q359" s="106">
        <f t="shared" si="363"/>
        <v>0.06544293695</v>
      </c>
      <c r="R359" s="106">
        <f t="shared" si="363"/>
        <v>0.02118644068</v>
      </c>
      <c r="S359" s="106">
        <f t="shared" si="363"/>
        <v>0.03947368421</v>
      </c>
      <c r="T359" s="106">
        <f t="shared" si="363"/>
        <v>0.07894736842</v>
      </c>
    </row>
    <row r="360" ht="15.75" customHeight="1">
      <c r="F360" s="24"/>
      <c r="G360" s="19">
        <f>$G$22</f>
        <v>14</v>
      </c>
      <c r="H360" s="20">
        <v>792.0</v>
      </c>
      <c r="I360" s="20">
        <v>193.0</v>
      </c>
      <c r="J360" s="20">
        <v>24.0</v>
      </c>
      <c r="K360" s="20">
        <v>20.0</v>
      </c>
      <c r="L360" s="20">
        <v>23.0</v>
      </c>
      <c r="N360" s="24"/>
      <c r="O360" s="19">
        <f>$G$22</f>
        <v>14</v>
      </c>
      <c r="P360" s="106">
        <f t="shared" ref="P360:T360" si="364">H360/H$370</f>
        <v>0.06153368037</v>
      </c>
      <c r="Q360" s="106">
        <f t="shared" si="364"/>
        <v>0.0513434424</v>
      </c>
      <c r="R360" s="106">
        <f t="shared" si="364"/>
        <v>0.1016949153</v>
      </c>
      <c r="S360" s="106">
        <f t="shared" si="364"/>
        <v>0.06578947368</v>
      </c>
      <c r="T360" s="106">
        <f t="shared" si="364"/>
        <v>0.06052631579</v>
      </c>
    </row>
    <row r="361" ht="15.75" customHeight="1">
      <c r="F361" s="24"/>
      <c r="G361" s="19">
        <f>$G$23</f>
        <v>15</v>
      </c>
      <c r="H361" s="20">
        <v>646.0</v>
      </c>
      <c r="I361" s="20">
        <v>204.0</v>
      </c>
      <c r="J361" s="20">
        <v>9.0</v>
      </c>
      <c r="K361" s="20">
        <v>13.0</v>
      </c>
      <c r="L361" s="20">
        <v>22.0</v>
      </c>
      <c r="N361" s="24"/>
      <c r="O361" s="19">
        <f>$G$23</f>
        <v>15</v>
      </c>
      <c r="P361" s="106">
        <f t="shared" ref="P361:T361" si="365">H361/H$370</f>
        <v>0.0501903504</v>
      </c>
      <c r="Q361" s="106">
        <f t="shared" si="365"/>
        <v>0.05426975259</v>
      </c>
      <c r="R361" s="106">
        <f t="shared" si="365"/>
        <v>0.03813559322</v>
      </c>
      <c r="S361" s="106">
        <f t="shared" si="365"/>
        <v>0.04276315789</v>
      </c>
      <c r="T361" s="106">
        <f t="shared" si="365"/>
        <v>0.05789473684</v>
      </c>
    </row>
    <row r="362" ht="15.75" customHeight="1">
      <c r="F362" s="24"/>
      <c r="G362" s="19">
        <f>$G$24</f>
        <v>16</v>
      </c>
      <c r="H362" s="20">
        <v>558.0</v>
      </c>
      <c r="I362" s="20">
        <v>184.0</v>
      </c>
      <c r="J362" s="20">
        <v>4.0</v>
      </c>
      <c r="K362" s="20">
        <v>10.0</v>
      </c>
      <c r="L362" s="20">
        <v>21.0</v>
      </c>
      <c r="N362" s="24"/>
      <c r="O362" s="19">
        <f>$G$24</f>
        <v>16</v>
      </c>
      <c r="P362" s="106">
        <f t="shared" ref="P362:T362" si="366">H362/H$370</f>
        <v>0.0433532748</v>
      </c>
      <c r="Q362" s="106">
        <f t="shared" si="366"/>
        <v>0.04894918861</v>
      </c>
      <c r="R362" s="106">
        <f t="shared" si="366"/>
        <v>0.01694915254</v>
      </c>
      <c r="S362" s="106">
        <f t="shared" si="366"/>
        <v>0.03289473684</v>
      </c>
      <c r="T362" s="106">
        <f t="shared" si="366"/>
        <v>0.05526315789</v>
      </c>
    </row>
    <row r="363" ht="15.75" customHeight="1">
      <c r="F363" s="24"/>
      <c r="G363" s="19">
        <f>$G$25</f>
        <v>17</v>
      </c>
      <c r="H363" s="20">
        <v>523.0</v>
      </c>
      <c r="I363" s="20">
        <v>182.0</v>
      </c>
      <c r="J363" s="20">
        <v>2.0</v>
      </c>
      <c r="K363" s="20">
        <v>11.0</v>
      </c>
      <c r="L363" s="20">
        <v>12.0</v>
      </c>
      <c r="N363" s="24"/>
      <c r="O363" s="19">
        <f>$G$25</f>
        <v>17</v>
      </c>
      <c r="P363" s="106">
        <f t="shared" ref="P363:T363" si="367">H363/H$370</f>
        <v>0.04063398337</v>
      </c>
      <c r="Q363" s="106">
        <f t="shared" si="367"/>
        <v>0.04841713222</v>
      </c>
      <c r="R363" s="106">
        <f t="shared" si="367"/>
        <v>0.008474576271</v>
      </c>
      <c r="S363" s="106">
        <f t="shared" si="367"/>
        <v>0.03618421053</v>
      </c>
      <c r="T363" s="106">
        <f t="shared" si="367"/>
        <v>0.03157894737</v>
      </c>
    </row>
    <row r="364" ht="15.75" customHeight="1">
      <c r="F364" s="24"/>
      <c r="G364" s="19">
        <f>$G$26</f>
        <v>18</v>
      </c>
      <c r="H364" s="20">
        <v>421.0</v>
      </c>
      <c r="I364" s="20">
        <v>134.0</v>
      </c>
      <c r="J364" s="20">
        <v>2.0</v>
      </c>
      <c r="K364" s="20">
        <v>5.0</v>
      </c>
      <c r="L364" s="20">
        <v>12.0</v>
      </c>
      <c r="N364" s="24"/>
      <c r="O364" s="19">
        <f>$G$26</f>
        <v>18</v>
      </c>
      <c r="P364" s="106">
        <f t="shared" ref="P364:T364" si="368">H364/H$370</f>
        <v>0.03270919121</v>
      </c>
      <c r="Q364" s="106">
        <f t="shared" si="368"/>
        <v>0.03564777866</v>
      </c>
      <c r="R364" s="106">
        <f t="shared" si="368"/>
        <v>0.008474576271</v>
      </c>
      <c r="S364" s="106">
        <f t="shared" si="368"/>
        <v>0.01644736842</v>
      </c>
      <c r="T364" s="106">
        <f t="shared" si="368"/>
        <v>0.03157894737</v>
      </c>
    </row>
    <row r="365" ht="15.75" customHeight="1">
      <c r="F365" s="24"/>
      <c r="G365" s="19">
        <f>$G$27</f>
        <v>19</v>
      </c>
      <c r="H365" s="20">
        <v>376.0</v>
      </c>
      <c r="I365" s="20">
        <v>95.0</v>
      </c>
      <c r="J365" s="20">
        <v>4.0</v>
      </c>
      <c r="K365" s="20">
        <v>9.0</v>
      </c>
      <c r="L365" s="20">
        <v>9.0</v>
      </c>
      <c r="N365" s="24"/>
      <c r="O365" s="19">
        <f>$G$27</f>
        <v>19</v>
      </c>
      <c r="P365" s="106">
        <f t="shared" ref="P365:T365" si="369">H365/H$370</f>
        <v>0.02921295937</v>
      </c>
      <c r="Q365" s="106">
        <f t="shared" si="369"/>
        <v>0.0252726789</v>
      </c>
      <c r="R365" s="106">
        <f t="shared" si="369"/>
        <v>0.01694915254</v>
      </c>
      <c r="S365" s="106">
        <f t="shared" si="369"/>
        <v>0.02960526316</v>
      </c>
      <c r="T365" s="106">
        <f t="shared" si="369"/>
        <v>0.02368421053</v>
      </c>
    </row>
    <row r="366" ht="15.75" customHeight="1">
      <c r="F366" s="24"/>
      <c r="G366" s="19">
        <f>$G$28</f>
        <v>20</v>
      </c>
      <c r="H366" s="20">
        <v>303.0</v>
      </c>
      <c r="I366" s="20">
        <v>68.0</v>
      </c>
      <c r="J366" s="20">
        <v>2.0</v>
      </c>
      <c r="K366" s="20">
        <v>4.0</v>
      </c>
      <c r="L366" s="20">
        <v>3.0</v>
      </c>
      <c r="N366" s="24"/>
      <c r="O366" s="19">
        <f>$G$28</f>
        <v>20</v>
      </c>
      <c r="P366" s="106">
        <f t="shared" ref="P366:T366" si="370">H366/H$370</f>
        <v>0.02354129438</v>
      </c>
      <c r="Q366" s="106">
        <f t="shared" si="370"/>
        <v>0.01808991753</v>
      </c>
      <c r="R366" s="106">
        <f t="shared" si="370"/>
        <v>0.008474576271</v>
      </c>
      <c r="S366" s="106">
        <f t="shared" si="370"/>
        <v>0.01315789474</v>
      </c>
      <c r="T366" s="106">
        <f t="shared" si="370"/>
        <v>0.007894736842</v>
      </c>
    </row>
    <row r="367" ht="15.75" customHeight="1">
      <c r="F367" s="24"/>
      <c r="G367" s="19">
        <f>$G$29</f>
        <v>21</v>
      </c>
      <c r="H367" s="20">
        <v>261.0</v>
      </c>
      <c r="I367" s="20">
        <v>81.0</v>
      </c>
      <c r="J367" s="20">
        <v>1.0</v>
      </c>
      <c r="K367" s="20">
        <v>4.0</v>
      </c>
      <c r="L367" s="20">
        <v>3.0</v>
      </c>
      <c r="N367" s="24"/>
      <c r="O367" s="19">
        <f>$G$29</f>
        <v>21</v>
      </c>
      <c r="P367" s="106">
        <f t="shared" ref="P367:T367" si="371">H367/H$370</f>
        <v>0.02027814467</v>
      </c>
      <c r="Q367" s="106">
        <f t="shared" si="371"/>
        <v>0.02154828412</v>
      </c>
      <c r="R367" s="106">
        <f t="shared" si="371"/>
        <v>0.004237288136</v>
      </c>
      <c r="S367" s="106">
        <f t="shared" si="371"/>
        <v>0.01315789474</v>
      </c>
      <c r="T367" s="106">
        <f t="shared" si="371"/>
        <v>0.007894736842</v>
      </c>
    </row>
    <row r="368" ht="15.75" customHeight="1">
      <c r="F368" s="24"/>
      <c r="G368" s="19">
        <f>$G$30</f>
        <v>22</v>
      </c>
      <c r="H368" s="20">
        <v>224.0</v>
      </c>
      <c r="I368" s="20">
        <v>49.0</v>
      </c>
      <c r="J368" s="20"/>
      <c r="K368" s="20">
        <v>6.0</v>
      </c>
      <c r="L368" s="20">
        <v>2.0</v>
      </c>
      <c r="N368" s="24"/>
      <c r="O368" s="19">
        <f>$G$30</f>
        <v>22</v>
      </c>
      <c r="P368" s="106">
        <f t="shared" ref="P368:T368" si="372">H368/H$370</f>
        <v>0.01740346515</v>
      </c>
      <c r="Q368" s="106">
        <f t="shared" si="372"/>
        <v>0.01303538175</v>
      </c>
      <c r="R368" s="106">
        <f t="shared" si="372"/>
        <v>0</v>
      </c>
      <c r="S368" s="106">
        <f t="shared" si="372"/>
        <v>0.01973684211</v>
      </c>
      <c r="T368" s="106">
        <f t="shared" si="372"/>
        <v>0.005263157895</v>
      </c>
    </row>
    <row r="369" ht="15.75" customHeight="1">
      <c r="F369" s="28"/>
      <c r="G369" s="19">
        <f>$G$31</f>
        <v>23</v>
      </c>
      <c r="H369" s="20">
        <v>153.0</v>
      </c>
      <c r="I369" s="20">
        <v>37.0</v>
      </c>
      <c r="J369" s="20">
        <v>1.0</v>
      </c>
      <c r="K369" s="20">
        <v>3.0</v>
      </c>
      <c r="L369" s="20">
        <v>1.0</v>
      </c>
      <c r="N369" s="28"/>
      <c r="O369" s="19">
        <f>$G$31</f>
        <v>23</v>
      </c>
      <c r="P369" s="106">
        <f t="shared" ref="P369:T369" si="373">H369/H$370</f>
        <v>0.01188718825</v>
      </c>
      <c r="Q369" s="106">
        <f t="shared" si="373"/>
        <v>0.009843043363</v>
      </c>
      <c r="R369" s="106">
        <f t="shared" si="373"/>
        <v>0.004237288136</v>
      </c>
      <c r="S369" s="106">
        <f t="shared" si="373"/>
        <v>0.009868421053</v>
      </c>
      <c r="T369" s="106">
        <f t="shared" si="373"/>
        <v>0.002631578947</v>
      </c>
    </row>
    <row r="370" ht="15.75" customHeight="1">
      <c r="F370" s="111"/>
      <c r="G370" s="112"/>
      <c r="H370" s="26">
        <f t="shared" ref="H370:L370" si="374">SUM(H346:H369)</f>
        <v>12871</v>
      </c>
      <c r="I370" s="26">
        <f t="shared" si="374"/>
        <v>3759</v>
      </c>
      <c r="J370" s="26">
        <f t="shared" si="374"/>
        <v>236</v>
      </c>
      <c r="K370" s="26">
        <f t="shared" si="374"/>
        <v>304</v>
      </c>
      <c r="L370" s="26">
        <f t="shared" si="374"/>
        <v>380</v>
      </c>
    </row>
    <row r="371" ht="15.75" customHeight="1">
      <c r="G371" s="16"/>
      <c r="H371" s="17">
        <f>$H$7</f>
        <v>31</v>
      </c>
      <c r="I371" s="17">
        <f>$I$7</f>
        <v>32</v>
      </c>
      <c r="J371" s="17">
        <f>$J$7</f>
        <v>41</v>
      </c>
      <c r="K371" s="17">
        <f>$K$7</f>
        <v>42</v>
      </c>
      <c r="L371" s="17">
        <f>$L$7</f>
        <v>5</v>
      </c>
      <c r="O371" s="16"/>
      <c r="P371" s="17">
        <f>$H$7</f>
        <v>31</v>
      </c>
      <c r="Q371" s="17">
        <f>$I$7</f>
        <v>32</v>
      </c>
      <c r="R371" s="17">
        <f>$J$7</f>
        <v>41</v>
      </c>
      <c r="S371" s="17">
        <f>$K$7</f>
        <v>42</v>
      </c>
      <c r="T371" s="17">
        <f>$L$7</f>
        <v>5</v>
      </c>
    </row>
    <row r="372" ht="15.75" customHeight="1">
      <c r="F372" s="56">
        <v>45221.0</v>
      </c>
      <c r="G372" s="19">
        <f>$G$8</f>
        <v>0</v>
      </c>
      <c r="H372" s="20">
        <v>98.0</v>
      </c>
      <c r="I372" s="20">
        <v>38.0</v>
      </c>
      <c r="J372" s="20">
        <v>2.0</v>
      </c>
      <c r="K372" s="20">
        <v>4.0</v>
      </c>
      <c r="L372" s="20">
        <v>2.0</v>
      </c>
      <c r="N372" s="56">
        <v>45221.0</v>
      </c>
      <c r="O372" s="19">
        <f>$G$8</f>
        <v>0</v>
      </c>
      <c r="P372" s="40">
        <f t="shared" ref="P372:T372" si="375">H372/H$396</f>
        <v>0.008891308293</v>
      </c>
      <c r="Q372" s="40">
        <f t="shared" si="375"/>
        <v>0.01242236025</v>
      </c>
      <c r="R372" s="40">
        <f t="shared" si="375"/>
        <v>0.01041666667</v>
      </c>
      <c r="S372" s="40">
        <f t="shared" si="375"/>
        <v>0.0245398773</v>
      </c>
      <c r="T372" s="40">
        <f t="shared" si="375"/>
        <v>0.01408450704</v>
      </c>
    </row>
    <row r="373" ht="15.75" customHeight="1">
      <c r="F373" s="24"/>
      <c r="G373" s="19">
        <f>$G$9</f>
        <v>1</v>
      </c>
      <c r="H373" s="20">
        <v>84.0</v>
      </c>
      <c r="I373" s="20">
        <v>22.0</v>
      </c>
      <c r="J373" s="20">
        <v>2.0</v>
      </c>
      <c r="K373" s="20">
        <v>5.0</v>
      </c>
      <c r="L373" s="20">
        <v>2.0</v>
      </c>
      <c r="N373" s="24"/>
      <c r="O373" s="19">
        <f>$G$9</f>
        <v>1</v>
      </c>
      <c r="P373" s="40">
        <f t="shared" ref="P373:T373" si="376">H373/H$396</f>
        <v>0.007621121394</v>
      </c>
      <c r="Q373" s="40">
        <f t="shared" si="376"/>
        <v>0.007191892775</v>
      </c>
      <c r="R373" s="40">
        <f t="shared" si="376"/>
        <v>0.01041666667</v>
      </c>
      <c r="S373" s="40">
        <f t="shared" si="376"/>
        <v>0.03067484663</v>
      </c>
      <c r="T373" s="40">
        <f t="shared" si="376"/>
        <v>0.01408450704</v>
      </c>
    </row>
    <row r="374" ht="15.75" customHeight="1">
      <c r="F374" s="24"/>
      <c r="G374" s="19">
        <f>$G$10</f>
        <v>2</v>
      </c>
      <c r="H374" s="16">
        <v>58.0</v>
      </c>
      <c r="I374" s="16">
        <v>19.0</v>
      </c>
      <c r="J374" s="16"/>
      <c r="K374" s="16">
        <v>2.0</v>
      </c>
      <c r="L374" s="16">
        <v>2.0</v>
      </c>
      <c r="N374" s="24"/>
      <c r="O374" s="19">
        <f>$G$10</f>
        <v>2</v>
      </c>
      <c r="P374" s="40">
        <f t="shared" ref="P374:T374" si="377">H374/H$396</f>
        <v>0.005262202867</v>
      </c>
      <c r="Q374" s="40">
        <f t="shared" si="377"/>
        <v>0.006211180124</v>
      </c>
      <c r="R374" s="40">
        <f t="shared" si="377"/>
        <v>0</v>
      </c>
      <c r="S374" s="40">
        <f t="shared" si="377"/>
        <v>0.01226993865</v>
      </c>
      <c r="T374" s="40">
        <f t="shared" si="377"/>
        <v>0.01408450704</v>
      </c>
    </row>
    <row r="375" ht="15.75" customHeight="1">
      <c r="F375" s="24"/>
      <c r="G375" s="19">
        <f>$G$11</f>
        <v>3</v>
      </c>
      <c r="H375" s="20">
        <v>69.0</v>
      </c>
      <c r="I375" s="20">
        <v>22.0</v>
      </c>
      <c r="J375" s="20">
        <v>1.0</v>
      </c>
      <c r="K375" s="20">
        <v>3.0</v>
      </c>
      <c r="L375" s="20">
        <v>2.0</v>
      </c>
      <c r="N375" s="24"/>
      <c r="O375" s="19">
        <f>$G$11</f>
        <v>3</v>
      </c>
      <c r="P375" s="40">
        <f t="shared" ref="P375:T375" si="378">H375/H$396</f>
        <v>0.006260206859</v>
      </c>
      <c r="Q375" s="40">
        <f t="shared" si="378"/>
        <v>0.007191892775</v>
      </c>
      <c r="R375" s="40">
        <f t="shared" si="378"/>
        <v>0.005208333333</v>
      </c>
      <c r="S375" s="40">
        <f t="shared" si="378"/>
        <v>0.01840490798</v>
      </c>
      <c r="T375" s="40">
        <f t="shared" si="378"/>
        <v>0.01408450704</v>
      </c>
    </row>
    <row r="376" ht="15.75" customHeight="1">
      <c r="F376" s="24"/>
      <c r="G376" s="19">
        <f>$G$12</f>
        <v>4</v>
      </c>
      <c r="H376" s="20">
        <v>87.0</v>
      </c>
      <c r="I376" s="20">
        <v>53.0</v>
      </c>
      <c r="J376" s="20">
        <v>1.0</v>
      </c>
      <c r="K376" s="20">
        <v>2.0</v>
      </c>
      <c r="L376" s="20">
        <v>2.0</v>
      </c>
      <c r="N376" s="24"/>
      <c r="O376" s="19">
        <f>$G$12</f>
        <v>4</v>
      </c>
      <c r="P376" s="40">
        <f t="shared" ref="P376:T376" si="379">H376/H$396</f>
        <v>0.0078933043</v>
      </c>
      <c r="Q376" s="40">
        <f t="shared" si="379"/>
        <v>0.0173259235</v>
      </c>
      <c r="R376" s="40">
        <f t="shared" si="379"/>
        <v>0.005208333333</v>
      </c>
      <c r="S376" s="40">
        <f t="shared" si="379"/>
        <v>0.01226993865</v>
      </c>
      <c r="T376" s="40">
        <f t="shared" si="379"/>
        <v>0.01408450704</v>
      </c>
    </row>
    <row r="377" ht="15.75" customHeight="1">
      <c r="F377" s="24"/>
      <c r="G377" s="19">
        <f>$G$13</f>
        <v>5</v>
      </c>
      <c r="H377" s="20">
        <v>154.0</v>
      </c>
      <c r="I377" s="20">
        <v>79.0</v>
      </c>
      <c r="J377" s="20">
        <v>7.0</v>
      </c>
      <c r="K377" s="20">
        <v>9.0</v>
      </c>
      <c r="L377" s="20">
        <v>8.0</v>
      </c>
      <c r="N377" s="24"/>
      <c r="O377" s="19">
        <f>$G$13</f>
        <v>5</v>
      </c>
      <c r="P377" s="40">
        <f t="shared" ref="P377:T377" si="380">H377/H$396</f>
        <v>0.01397205589</v>
      </c>
      <c r="Q377" s="40">
        <f t="shared" si="380"/>
        <v>0.02582543315</v>
      </c>
      <c r="R377" s="40">
        <f t="shared" si="380"/>
        <v>0.03645833333</v>
      </c>
      <c r="S377" s="40">
        <f t="shared" si="380"/>
        <v>0.05521472393</v>
      </c>
      <c r="T377" s="40">
        <f t="shared" si="380"/>
        <v>0.05633802817</v>
      </c>
    </row>
    <row r="378" ht="15.75" customHeight="1">
      <c r="F378" s="24"/>
      <c r="G378" s="19">
        <f>$G$14</f>
        <v>6</v>
      </c>
      <c r="H378" s="20">
        <v>301.0</v>
      </c>
      <c r="I378" s="20">
        <v>107.0</v>
      </c>
      <c r="J378" s="20">
        <v>8.0</v>
      </c>
      <c r="K378" s="20">
        <v>14.0</v>
      </c>
      <c r="L378" s="20">
        <v>10.0</v>
      </c>
      <c r="N378" s="24"/>
      <c r="O378" s="19">
        <f>$G$14</f>
        <v>6</v>
      </c>
      <c r="P378" s="40">
        <f t="shared" ref="P378:T378" si="381">H378/H$396</f>
        <v>0.02730901833</v>
      </c>
      <c r="Q378" s="40">
        <f t="shared" si="381"/>
        <v>0.03497875123</v>
      </c>
      <c r="R378" s="40">
        <f t="shared" si="381"/>
        <v>0.04166666667</v>
      </c>
      <c r="S378" s="40">
        <f t="shared" si="381"/>
        <v>0.08588957055</v>
      </c>
      <c r="T378" s="40">
        <f t="shared" si="381"/>
        <v>0.07042253521</v>
      </c>
    </row>
    <row r="379" ht="15.75" customHeight="1">
      <c r="F379" s="24"/>
      <c r="G379" s="19">
        <f>$G$15</f>
        <v>7</v>
      </c>
      <c r="H379" s="20">
        <v>527.0</v>
      </c>
      <c r="I379" s="20">
        <v>182.0</v>
      </c>
      <c r="J379" s="20">
        <v>35.0</v>
      </c>
      <c r="K379" s="20">
        <v>18.0</v>
      </c>
      <c r="L379" s="20">
        <v>6.0</v>
      </c>
      <c r="N379" s="24"/>
      <c r="O379" s="19">
        <f>$G$15</f>
        <v>7</v>
      </c>
      <c r="P379" s="40">
        <f t="shared" ref="P379:T379" si="382">H379/H$396</f>
        <v>0.04781346398</v>
      </c>
      <c r="Q379" s="40">
        <f t="shared" si="382"/>
        <v>0.05949656751</v>
      </c>
      <c r="R379" s="40">
        <f t="shared" si="382"/>
        <v>0.1822916667</v>
      </c>
      <c r="S379" s="40">
        <f t="shared" si="382"/>
        <v>0.1104294479</v>
      </c>
      <c r="T379" s="40">
        <f t="shared" si="382"/>
        <v>0.04225352113</v>
      </c>
    </row>
    <row r="380" ht="15.75" customHeight="1">
      <c r="F380" s="24"/>
      <c r="G380" s="19">
        <f>$G$16</f>
        <v>8</v>
      </c>
      <c r="H380" s="20">
        <v>784.0</v>
      </c>
      <c r="I380" s="20">
        <v>239.0</v>
      </c>
      <c r="J380" s="20">
        <v>24.0</v>
      </c>
      <c r="K380" s="20">
        <v>17.0</v>
      </c>
      <c r="L380" s="20">
        <v>13.0</v>
      </c>
      <c r="N380" s="24"/>
      <c r="O380" s="19">
        <f>$G$16</f>
        <v>8</v>
      </c>
      <c r="P380" s="40">
        <f t="shared" ref="P380:T380" si="383">H380/H$396</f>
        <v>0.07113046634</v>
      </c>
      <c r="Q380" s="40">
        <f t="shared" si="383"/>
        <v>0.07813010788</v>
      </c>
      <c r="R380" s="40">
        <f t="shared" si="383"/>
        <v>0.125</v>
      </c>
      <c r="S380" s="40">
        <f t="shared" si="383"/>
        <v>0.1042944785</v>
      </c>
      <c r="T380" s="40">
        <f t="shared" si="383"/>
        <v>0.09154929577</v>
      </c>
    </row>
    <row r="381" ht="15.75" customHeight="1">
      <c r="F381" s="24"/>
      <c r="G381" s="19">
        <f>$G$17</f>
        <v>9</v>
      </c>
      <c r="H381" s="20">
        <v>1005.0</v>
      </c>
      <c r="I381" s="20">
        <v>260.0</v>
      </c>
      <c r="J381" s="20">
        <v>12.0</v>
      </c>
      <c r="K381" s="20">
        <v>11.0</v>
      </c>
      <c r="L381" s="20">
        <v>6.0</v>
      </c>
      <c r="N381" s="24"/>
      <c r="O381" s="19">
        <f>$G$17</f>
        <v>9</v>
      </c>
      <c r="P381" s="40">
        <f t="shared" ref="P381:T381" si="384">H381/H$396</f>
        <v>0.09118127382</v>
      </c>
      <c r="Q381" s="40">
        <f t="shared" si="384"/>
        <v>0.08499509644</v>
      </c>
      <c r="R381" s="40">
        <f t="shared" si="384"/>
        <v>0.0625</v>
      </c>
      <c r="S381" s="40">
        <f t="shared" si="384"/>
        <v>0.06748466258</v>
      </c>
      <c r="T381" s="40">
        <f t="shared" si="384"/>
        <v>0.04225352113</v>
      </c>
    </row>
    <row r="382" ht="15.75" customHeight="1">
      <c r="F382" s="24"/>
      <c r="G382" s="19">
        <f>$G$18</f>
        <v>10</v>
      </c>
      <c r="H382" s="20">
        <v>984.0</v>
      </c>
      <c r="I382" s="20">
        <v>251.0</v>
      </c>
      <c r="J382" s="20">
        <v>7.0</v>
      </c>
      <c r="K382" s="20">
        <v>14.0</v>
      </c>
      <c r="L382" s="20">
        <v>6.0</v>
      </c>
      <c r="N382" s="24"/>
      <c r="O382" s="19">
        <f>$G$18</f>
        <v>10</v>
      </c>
      <c r="P382" s="40">
        <f t="shared" ref="P382:T382" si="385">H382/H$396</f>
        <v>0.08927599347</v>
      </c>
      <c r="Q382" s="40">
        <f t="shared" si="385"/>
        <v>0.08205295848</v>
      </c>
      <c r="R382" s="40">
        <f t="shared" si="385"/>
        <v>0.03645833333</v>
      </c>
      <c r="S382" s="40">
        <f t="shared" si="385"/>
        <v>0.08588957055</v>
      </c>
      <c r="T382" s="40">
        <f t="shared" si="385"/>
        <v>0.04225352113</v>
      </c>
    </row>
    <row r="383" ht="15.75" customHeight="1">
      <c r="F383" s="24"/>
      <c r="G383" s="19">
        <f>$G$19</f>
        <v>11</v>
      </c>
      <c r="H383" s="20">
        <v>836.0</v>
      </c>
      <c r="I383" s="20">
        <v>179.0</v>
      </c>
      <c r="J383" s="20">
        <v>8.0</v>
      </c>
      <c r="K383" s="20">
        <v>2.0</v>
      </c>
      <c r="L383" s="20">
        <v>9.0</v>
      </c>
      <c r="N383" s="24"/>
      <c r="O383" s="19">
        <f>$G$19</f>
        <v>11</v>
      </c>
      <c r="P383" s="40">
        <f t="shared" ref="P383:T383" si="386">H383/H$396</f>
        <v>0.07584830339</v>
      </c>
      <c r="Q383" s="40">
        <f t="shared" si="386"/>
        <v>0.05851585485</v>
      </c>
      <c r="R383" s="40">
        <f t="shared" si="386"/>
        <v>0.04166666667</v>
      </c>
      <c r="S383" s="40">
        <f t="shared" si="386"/>
        <v>0.01226993865</v>
      </c>
      <c r="T383" s="40">
        <f t="shared" si="386"/>
        <v>0.06338028169</v>
      </c>
    </row>
    <row r="384" ht="15.75" customHeight="1">
      <c r="F384" s="24"/>
      <c r="G384" s="19">
        <f>$G$20</f>
        <v>12</v>
      </c>
      <c r="H384" s="20">
        <v>639.0</v>
      </c>
      <c r="I384" s="20">
        <v>196.0</v>
      </c>
      <c r="J384" s="20">
        <v>11.0</v>
      </c>
      <c r="K384" s="20">
        <v>10.0</v>
      </c>
      <c r="L384" s="20">
        <v>6.0</v>
      </c>
      <c r="N384" s="24"/>
      <c r="O384" s="19">
        <f>$G$20</f>
        <v>12</v>
      </c>
      <c r="P384" s="40">
        <f t="shared" ref="P384:T384" si="387">H384/H$396</f>
        <v>0.05797495917</v>
      </c>
      <c r="Q384" s="40">
        <f t="shared" si="387"/>
        <v>0.06407322654</v>
      </c>
      <c r="R384" s="40">
        <f t="shared" si="387"/>
        <v>0.05729166667</v>
      </c>
      <c r="S384" s="40">
        <f t="shared" si="387"/>
        <v>0.06134969325</v>
      </c>
      <c r="T384" s="40">
        <f t="shared" si="387"/>
        <v>0.04225352113</v>
      </c>
    </row>
    <row r="385" ht="15.75" customHeight="1">
      <c r="F385" s="24"/>
      <c r="G385" s="19">
        <f>$G$21</f>
        <v>13</v>
      </c>
      <c r="H385" s="20">
        <v>796.0</v>
      </c>
      <c r="I385" s="20">
        <v>170.0</v>
      </c>
      <c r="J385" s="20">
        <v>10.0</v>
      </c>
      <c r="K385" s="20">
        <v>5.0</v>
      </c>
      <c r="L385" s="20">
        <v>4.0</v>
      </c>
      <c r="N385" s="24"/>
      <c r="O385" s="19">
        <f>$G$21</f>
        <v>13</v>
      </c>
      <c r="P385" s="40">
        <f t="shared" ref="P385:T385" si="388">H385/H$396</f>
        <v>0.07221919797</v>
      </c>
      <c r="Q385" s="40">
        <f t="shared" si="388"/>
        <v>0.0555737169</v>
      </c>
      <c r="R385" s="40">
        <f t="shared" si="388"/>
        <v>0.05208333333</v>
      </c>
      <c r="S385" s="40">
        <f t="shared" si="388"/>
        <v>0.03067484663</v>
      </c>
      <c r="T385" s="40">
        <f t="shared" si="388"/>
        <v>0.02816901408</v>
      </c>
    </row>
    <row r="386" ht="15.75" customHeight="1">
      <c r="F386" s="24"/>
      <c r="G386" s="19">
        <f>$G$22</f>
        <v>14</v>
      </c>
      <c r="H386" s="20">
        <v>714.0</v>
      </c>
      <c r="I386" s="20">
        <v>219.0</v>
      </c>
      <c r="J386" s="20">
        <v>14.0</v>
      </c>
      <c r="K386" s="20">
        <v>11.0</v>
      </c>
      <c r="L386" s="20">
        <v>6.0</v>
      </c>
      <c r="N386" s="24"/>
      <c r="O386" s="19">
        <f>$G$22</f>
        <v>14</v>
      </c>
      <c r="P386" s="40">
        <f t="shared" ref="P386:T386" si="389">H386/H$396</f>
        <v>0.06477953185</v>
      </c>
      <c r="Q386" s="40">
        <f t="shared" si="389"/>
        <v>0.07159202354</v>
      </c>
      <c r="R386" s="40">
        <f t="shared" si="389"/>
        <v>0.07291666667</v>
      </c>
      <c r="S386" s="40">
        <f t="shared" si="389"/>
        <v>0.06748466258</v>
      </c>
      <c r="T386" s="40">
        <f t="shared" si="389"/>
        <v>0.04225352113</v>
      </c>
    </row>
    <row r="387" ht="15.75" customHeight="1">
      <c r="F387" s="24"/>
      <c r="G387" s="19">
        <f>$G$23</f>
        <v>15</v>
      </c>
      <c r="H387" s="20">
        <v>653.0</v>
      </c>
      <c r="I387" s="20">
        <v>175.0</v>
      </c>
      <c r="J387" s="20">
        <v>10.0</v>
      </c>
      <c r="K387" s="20">
        <v>5.0</v>
      </c>
      <c r="L387" s="20">
        <v>9.0</v>
      </c>
      <c r="N387" s="24"/>
      <c r="O387" s="19">
        <f>$G$23</f>
        <v>15</v>
      </c>
      <c r="P387" s="40">
        <f t="shared" ref="P387:T387" si="390">H387/H$396</f>
        <v>0.05924514607</v>
      </c>
      <c r="Q387" s="40">
        <f t="shared" si="390"/>
        <v>0.05720823799</v>
      </c>
      <c r="R387" s="40">
        <f t="shared" si="390"/>
        <v>0.05208333333</v>
      </c>
      <c r="S387" s="40">
        <f t="shared" si="390"/>
        <v>0.03067484663</v>
      </c>
      <c r="T387" s="40">
        <f t="shared" si="390"/>
        <v>0.06338028169</v>
      </c>
    </row>
    <row r="388" ht="15.75" customHeight="1">
      <c r="F388" s="24"/>
      <c r="G388" s="19">
        <f>$G$24</f>
        <v>16</v>
      </c>
      <c r="H388" s="20">
        <v>628.0</v>
      </c>
      <c r="I388" s="20">
        <v>154.0</v>
      </c>
      <c r="J388" s="20">
        <v>11.0</v>
      </c>
      <c r="K388" s="20">
        <v>4.0</v>
      </c>
      <c r="L388" s="20">
        <v>7.0</v>
      </c>
      <c r="N388" s="24"/>
      <c r="O388" s="19">
        <f>$G$24</f>
        <v>16</v>
      </c>
      <c r="P388" s="40">
        <f t="shared" ref="P388:T388" si="391">H388/H$396</f>
        <v>0.05697695518</v>
      </c>
      <c r="Q388" s="40">
        <f t="shared" si="391"/>
        <v>0.05034324943</v>
      </c>
      <c r="R388" s="40">
        <f t="shared" si="391"/>
        <v>0.05729166667</v>
      </c>
      <c r="S388" s="40">
        <f t="shared" si="391"/>
        <v>0.0245398773</v>
      </c>
      <c r="T388" s="40">
        <f t="shared" si="391"/>
        <v>0.04929577465</v>
      </c>
    </row>
    <row r="389" ht="15.75" customHeight="1">
      <c r="F389" s="24"/>
      <c r="G389" s="19">
        <f>$G$25</f>
        <v>17</v>
      </c>
      <c r="H389" s="20">
        <v>558.0</v>
      </c>
      <c r="I389" s="20">
        <v>151.0</v>
      </c>
      <c r="J389" s="20">
        <v>8.0</v>
      </c>
      <c r="K389" s="20">
        <v>1.0</v>
      </c>
      <c r="L389" s="20">
        <v>3.0</v>
      </c>
      <c r="N389" s="24"/>
      <c r="O389" s="19">
        <f>$G$25</f>
        <v>17</v>
      </c>
      <c r="P389" s="40">
        <f t="shared" ref="P389:T389" si="392">H389/H$396</f>
        <v>0.05062602069</v>
      </c>
      <c r="Q389" s="40">
        <f t="shared" si="392"/>
        <v>0.04936253678</v>
      </c>
      <c r="R389" s="40">
        <f t="shared" si="392"/>
        <v>0.04166666667</v>
      </c>
      <c r="S389" s="40">
        <f t="shared" si="392"/>
        <v>0.006134969325</v>
      </c>
      <c r="T389" s="40">
        <f t="shared" si="392"/>
        <v>0.02112676056</v>
      </c>
    </row>
    <row r="390" ht="15.75" customHeight="1">
      <c r="F390" s="24"/>
      <c r="G390" s="19">
        <f>$G$26</f>
        <v>18</v>
      </c>
      <c r="H390" s="20">
        <v>450.0</v>
      </c>
      <c r="I390" s="20">
        <v>143.0</v>
      </c>
      <c r="J390" s="20">
        <v>4.0</v>
      </c>
      <c r="K390" s="20">
        <v>3.0</v>
      </c>
      <c r="L390" s="20">
        <v>5.0</v>
      </c>
      <c r="N390" s="24"/>
      <c r="O390" s="19">
        <f>$G$26</f>
        <v>18</v>
      </c>
      <c r="P390" s="40">
        <f t="shared" ref="P390:T390" si="393">H390/H$396</f>
        <v>0.04082743604</v>
      </c>
      <c r="Q390" s="40">
        <f t="shared" si="393"/>
        <v>0.04674730304</v>
      </c>
      <c r="R390" s="40">
        <f t="shared" si="393"/>
        <v>0.02083333333</v>
      </c>
      <c r="S390" s="40">
        <f t="shared" si="393"/>
        <v>0.01840490798</v>
      </c>
      <c r="T390" s="40">
        <f t="shared" si="393"/>
        <v>0.03521126761</v>
      </c>
    </row>
    <row r="391" ht="15.75" customHeight="1">
      <c r="F391" s="24"/>
      <c r="G391" s="19">
        <f>$G$27</f>
        <v>19</v>
      </c>
      <c r="H391" s="20">
        <v>459.0</v>
      </c>
      <c r="I391" s="20">
        <v>105.0</v>
      </c>
      <c r="J391" s="20">
        <v>6.0</v>
      </c>
      <c r="K391" s="20">
        <v>7.0</v>
      </c>
      <c r="L391" s="20">
        <v>5.0</v>
      </c>
      <c r="N391" s="24"/>
      <c r="O391" s="19">
        <f>$G$27</f>
        <v>19</v>
      </c>
      <c r="P391" s="40">
        <f t="shared" ref="P391:T391" si="394">H391/H$396</f>
        <v>0.04164398476</v>
      </c>
      <c r="Q391" s="40">
        <f t="shared" si="394"/>
        <v>0.03432494279</v>
      </c>
      <c r="R391" s="40">
        <f t="shared" si="394"/>
        <v>0.03125</v>
      </c>
      <c r="S391" s="40">
        <f t="shared" si="394"/>
        <v>0.04294478528</v>
      </c>
      <c r="T391" s="40">
        <f t="shared" si="394"/>
        <v>0.03521126761</v>
      </c>
    </row>
    <row r="392" ht="15.75" customHeight="1">
      <c r="F392" s="24"/>
      <c r="G392" s="19">
        <f>$G$28</f>
        <v>20</v>
      </c>
      <c r="H392" s="20">
        <v>455.0</v>
      </c>
      <c r="I392" s="20">
        <v>101.0</v>
      </c>
      <c r="J392" s="20">
        <v>3.0</v>
      </c>
      <c r="K392" s="20">
        <v>4.0</v>
      </c>
      <c r="L392" s="20">
        <v>4.0</v>
      </c>
      <c r="N392" s="24"/>
      <c r="O392" s="19">
        <f>$G$28</f>
        <v>20</v>
      </c>
      <c r="P392" s="40">
        <f t="shared" ref="P392:T392" si="395">H392/H$396</f>
        <v>0.04128107422</v>
      </c>
      <c r="Q392" s="40">
        <f t="shared" si="395"/>
        <v>0.03301732592</v>
      </c>
      <c r="R392" s="40">
        <f t="shared" si="395"/>
        <v>0.015625</v>
      </c>
      <c r="S392" s="40">
        <f t="shared" si="395"/>
        <v>0.0245398773</v>
      </c>
      <c r="T392" s="40">
        <f t="shared" si="395"/>
        <v>0.02816901408</v>
      </c>
    </row>
    <row r="393" ht="15.75" customHeight="1">
      <c r="F393" s="24"/>
      <c r="G393" s="19">
        <f>$G$29</f>
        <v>21</v>
      </c>
      <c r="H393" s="20">
        <v>362.0</v>
      </c>
      <c r="I393" s="20">
        <v>105.0</v>
      </c>
      <c r="J393" s="20">
        <v>5.0</v>
      </c>
      <c r="K393" s="20">
        <v>2.0</v>
      </c>
      <c r="L393" s="20">
        <v>6.0</v>
      </c>
      <c r="N393" s="24"/>
      <c r="O393" s="19">
        <f>$G$29</f>
        <v>21</v>
      </c>
      <c r="P393" s="40">
        <f t="shared" ref="P393:T393" si="396">H393/H$396</f>
        <v>0.0328434041</v>
      </c>
      <c r="Q393" s="40">
        <f t="shared" si="396"/>
        <v>0.03432494279</v>
      </c>
      <c r="R393" s="40">
        <f t="shared" si="396"/>
        <v>0.02604166667</v>
      </c>
      <c r="S393" s="40">
        <f t="shared" si="396"/>
        <v>0.01226993865</v>
      </c>
      <c r="T393" s="40">
        <f t="shared" si="396"/>
        <v>0.04225352113</v>
      </c>
    </row>
    <row r="394" ht="15.75" customHeight="1">
      <c r="F394" s="24"/>
      <c r="G394" s="19">
        <f>$G$30</f>
        <v>22</v>
      </c>
      <c r="H394" s="20">
        <v>220.0</v>
      </c>
      <c r="I394" s="20">
        <v>63.0</v>
      </c>
      <c r="J394" s="20">
        <v>1.0</v>
      </c>
      <c r="K394" s="20">
        <v>8.0</v>
      </c>
      <c r="L394" s="20">
        <v>13.0</v>
      </c>
      <c r="N394" s="24"/>
      <c r="O394" s="19">
        <f>$G$30</f>
        <v>22</v>
      </c>
      <c r="P394" s="40">
        <f t="shared" ref="P394:T394" si="397">H394/H$396</f>
        <v>0.01996007984</v>
      </c>
      <c r="Q394" s="40">
        <f t="shared" si="397"/>
        <v>0.02059496568</v>
      </c>
      <c r="R394" s="40">
        <f t="shared" si="397"/>
        <v>0.005208333333</v>
      </c>
      <c r="S394" s="40">
        <f t="shared" si="397"/>
        <v>0.0490797546</v>
      </c>
      <c r="T394" s="40">
        <f t="shared" si="397"/>
        <v>0.09154929577</v>
      </c>
    </row>
    <row r="395" ht="15.75" customHeight="1">
      <c r="F395" s="28"/>
      <c r="G395" s="19">
        <f>$G$31</f>
        <v>23</v>
      </c>
      <c r="H395" s="20">
        <v>101.0</v>
      </c>
      <c r="I395" s="20">
        <v>26.0</v>
      </c>
      <c r="J395" s="20">
        <v>2.0</v>
      </c>
      <c r="K395" s="20">
        <v>2.0</v>
      </c>
      <c r="L395" s="20">
        <v>6.0</v>
      </c>
      <c r="N395" s="28"/>
      <c r="O395" s="19">
        <f>$G$31</f>
        <v>23</v>
      </c>
      <c r="P395" s="40">
        <f t="shared" ref="P395:T395" si="398">H395/H$396</f>
        <v>0.009163491199</v>
      </c>
      <c r="Q395" s="40">
        <f t="shared" si="398"/>
        <v>0.008499509644</v>
      </c>
      <c r="R395" s="40">
        <f t="shared" si="398"/>
        <v>0.01041666667</v>
      </c>
      <c r="S395" s="40">
        <f t="shared" si="398"/>
        <v>0.01226993865</v>
      </c>
      <c r="T395" s="40">
        <f t="shared" si="398"/>
        <v>0.04225352113</v>
      </c>
    </row>
    <row r="396" ht="15.75" customHeight="1">
      <c r="F396" s="111"/>
      <c r="G396" s="112"/>
      <c r="H396" s="26">
        <f t="shared" ref="H396:L396" si="399">SUM(H372:H395)</f>
        <v>11022</v>
      </c>
      <c r="I396" s="26">
        <f t="shared" si="399"/>
        <v>3059</v>
      </c>
      <c r="J396" s="26">
        <f t="shared" si="399"/>
        <v>192</v>
      </c>
      <c r="K396" s="26">
        <f t="shared" si="399"/>
        <v>163</v>
      </c>
      <c r="L396" s="26">
        <f t="shared" si="399"/>
        <v>142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240:G240"/>
    <mergeCell ref="F266:G266"/>
    <mergeCell ref="F292:G292"/>
    <mergeCell ref="F318:G318"/>
    <mergeCell ref="F344:G344"/>
    <mergeCell ref="F370:G370"/>
    <mergeCell ref="F86:F109"/>
    <mergeCell ref="F110:G110"/>
    <mergeCell ref="F112:F135"/>
    <mergeCell ref="F136:G136"/>
    <mergeCell ref="F138:F161"/>
    <mergeCell ref="F162:G162"/>
    <mergeCell ref="F188:G188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46:F369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