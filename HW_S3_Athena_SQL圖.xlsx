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A0A59F9-BE04-4C58-861E-BF60F2BD149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3_Athena" sheetId="1" r:id="rId1"/>
    <sheet name="1019 03F4232N" sheetId="7" r:id="rId2"/>
    <sheet name="03F4263S 1019" sheetId="8" r:id="rId3"/>
    <sheet name="03F42591019" sheetId="9" r:id="rId4"/>
    <sheet name="03F4232S" sheetId="10" r:id="rId5"/>
    <sheet name="上(交流道)北上" sheetId="2" r:id="rId6"/>
    <sheet name="上(交流道)南下" sheetId="3" r:id="rId7"/>
    <sheet name="下(交流道)北上" sheetId="4" r:id="rId8"/>
    <sheet name="下(交流道)南下" sheetId="5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0" roundtripDataChecksum="ojuUwMxTSOv/avBUf0BFLgYOhLPYiVLosTntdEDfqoU="/>
    </ext>
  </extLst>
</workbook>
</file>

<file path=xl/calcChain.xml><?xml version="1.0" encoding="utf-8"?>
<calcChain xmlns="http://schemas.openxmlformats.org/spreadsheetml/2006/main">
  <c r="P32" i="2" l="1"/>
  <c r="Q8" i="5"/>
  <c r="R8" i="5"/>
  <c r="S8" i="5"/>
  <c r="T8" i="5"/>
  <c r="Q9" i="5"/>
  <c r="R9" i="5"/>
  <c r="S9" i="5"/>
  <c r="T9" i="5"/>
  <c r="Q10" i="5"/>
  <c r="R10" i="5"/>
  <c r="S10" i="5"/>
  <c r="T10" i="5"/>
  <c r="Q11" i="5"/>
  <c r="R11" i="5"/>
  <c r="S11" i="5"/>
  <c r="T11" i="5"/>
  <c r="Q12" i="5"/>
  <c r="R12" i="5"/>
  <c r="S12" i="5"/>
  <c r="T12" i="5"/>
  <c r="Q13" i="5"/>
  <c r="R13" i="5"/>
  <c r="S13" i="5"/>
  <c r="T13" i="5"/>
  <c r="Q14" i="5"/>
  <c r="R14" i="5"/>
  <c r="S14" i="5"/>
  <c r="T14" i="5"/>
  <c r="Q15" i="5"/>
  <c r="R15" i="5"/>
  <c r="S15" i="5"/>
  <c r="T15" i="5"/>
  <c r="Q16" i="5"/>
  <c r="R16" i="5"/>
  <c r="S16" i="5"/>
  <c r="T16" i="5"/>
  <c r="Q17" i="5"/>
  <c r="R17" i="5"/>
  <c r="S17" i="5"/>
  <c r="T17" i="5"/>
  <c r="Q18" i="5"/>
  <c r="R18" i="5"/>
  <c r="S18" i="5"/>
  <c r="T18" i="5"/>
  <c r="Q19" i="5"/>
  <c r="R19" i="5"/>
  <c r="S19" i="5"/>
  <c r="T19" i="5"/>
  <c r="Q20" i="5"/>
  <c r="R20" i="5"/>
  <c r="S20" i="5"/>
  <c r="T20" i="5"/>
  <c r="Q21" i="5"/>
  <c r="R21" i="5"/>
  <c r="S21" i="5"/>
  <c r="T21" i="5"/>
  <c r="Q22" i="5"/>
  <c r="R22" i="5"/>
  <c r="S22" i="5"/>
  <c r="T22" i="5"/>
  <c r="Q23" i="5"/>
  <c r="R23" i="5"/>
  <c r="S23" i="5"/>
  <c r="T23" i="5"/>
  <c r="Q24" i="5"/>
  <c r="R24" i="5"/>
  <c r="S24" i="5"/>
  <c r="T24" i="5"/>
  <c r="Q25" i="5"/>
  <c r="R25" i="5"/>
  <c r="S25" i="5"/>
  <c r="T25" i="5"/>
  <c r="Q26" i="5"/>
  <c r="R26" i="5"/>
  <c r="S26" i="5"/>
  <c r="T26" i="5"/>
  <c r="Q27" i="5"/>
  <c r="R27" i="5"/>
  <c r="S27" i="5"/>
  <c r="T27" i="5"/>
  <c r="Q28" i="5"/>
  <c r="R28" i="5"/>
  <c r="S28" i="5"/>
  <c r="T28" i="5"/>
  <c r="Q29" i="5"/>
  <c r="R29" i="5"/>
  <c r="S29" i="5"/>
  <c r="T29" i="5"/>
  <c r="Q30" i="5"/>
  <c r="R30" i="5"/>
  <c r="S30" i="5"/>
  <c r="T30" i="5"/>
  <c r="Q31" i="5"/>
  <c r="R31" i="5"/>
  <c r="S31" i="5"/>
  <c r="T31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8" i="5"/>
  <c r="Q8" i="4"/>
  <c r="R8" i="4"/>
  <c r="S8" i="4"/>
  <c r="T8" i="4"/>
  <c r="Q9" i="4"/>
  <c r="R9" i="4"/>
  <c r="S9" i="4"/>
  <c r="T9" i="4"/>
  <c r="Q10" i="4"/>
  <c r="R10" i="4"/>
  <c r="S10" i="4"/>
  <c r="T10" i="4"/>
  <c r="Q11" i="4"/>
  <c r="R11" i="4"/>
  <c r="S11" i="4"/>
  <c r="T11" i="4"/>
  <c r="Q12" i="4"/>
  <c r="R12" i="4"/>
  <c r="S12" i="4"/>
  <c r="T12" i="4"/>
  <c r="Q13" i="4"/>
  <c r="R13" i="4"/>
  <c r="S13" i="4"/>
  <c r="T13" i="4"/>
  <c r="Q14" i="4"/>
  <c r="R14" i="4"/>
  <c r="S14" i="4"/>
  <c r="T14" i="4"/>
  <c r="Q15" i="4"/>
  <c r="R15" i="4"/>
  <c r="S15" i="4"/>
  <c r="T15" i="4"/>
  <c r="Q16" i="4"/>
  <c r="R16" i="4"/>
  <c r="S16" i="4"/>
  <c r="T16" i="4"/>
  <c r="Q17" i="4"/>
  <c r="R17" i="4"/>
  <c r="S17" i="4"/>
  <c r="T17" i="4"/>
  <c r="Q18" i="4"/>
  <c r="R18" i="4"/>
  <c r="S18" i="4"/>
  <c r="T18" i="4"/>
  <c r="Q19" i="4"/>
  <c r="R19" i="4"/>
  <c r="S19" i="4"/>
  <c r="T19" i="4"/>
  <c r="Q20" i="4"/>
  <c r="R20" i="4"/>
  <c r="S20" i="4"/>
  <c r="T20" i="4"/>
  <c r="Q21" i="4"/>
  <c r="R21" i="4"/>
  <c r="S21" i="4"/>
  <c r="T21" i="4"/>
  <c r="Q22" i="4"/>
  <c r="R22" i="4"/>
  <c r="S22" i="4"/>
  <c r="T22" i="4"/>
  <c r="Q23" i="4"/>
  <c r="R23" i="4"/>
  <c r="S23" i="4"/>
  <c r="T23" i="4"/>
  <c r="Q24" i="4"/>
  <c r="R24" i="4"/>
  <c r="S24" i="4"/>
  <c r="T24" i="4"/>
  <c r="Q25" i="4"/>
  <c r="R25" i="4"/>
  <c r="S25" i="4"/>
  <c r="T25" i="4"/>
  <c r="Q26" i="4"/>
  <c r="R26" i="4"/>
  <c r="S26" i="4"/>
  <c r="T26" i="4"/>
  <c r="Q27" i="4"/>
  <c r="R27" i="4"/>
  <c r="S27" i="4"/>
  <c r="T27" i="4"/>
  <c r="Q28" i="4"/>
  <c r="R28" i="4"/>
  <c r="S28" i="4"/>
  <c r="T28" i="4"/>
  <c r="Q29" i="4"/>
  <c r="R29" i="4"/>
  <c r="S29" i="4"/>
  <c r="T29" i="4"/>
  <c r="Q30" i="4"/>
  <c r="R30" i="4"/>
  <c r="S30" i="4"/>
  <c r="T30" i="4"/>
  <c r="Q31" i="4"/>
  <c r="R31" i="4"/>
  <c r="S31" i="4"/>
  <c r="T31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8" i="4"/>
  <c r="Q8" i="2"/>
  <c r="R8" i="2"/>
  <c r="S8" i="2"/>
  <c r="T8" i="2"/>
  <c r="Q9" i="2"/>
  <c r="R9" i="2"/>
  <c r="S9" i="2"/>
  <c r="T9" i="2"/>
  <c r="Q10" i="2"/>
  <c r="R10" i="2"/>
  <c r="S10" i="2"/>
  <c r="T10" i="2"/>
  <c r="Q11" i="2"/>
  <c r="R11" i="2"/>
  <c r="S11" i="2"/>
  <c r="T11" i="2"/>
  <c r="Q12" i="2"/>
  <c r="R12" i="2"/>
  <c r="S12" i="2"/>
  <c r="T12" i="2"/>
  <c r="Q13" i="2"/>
  <c r="R13" i="2"/>
  <c r="S13" i="2"/>
  <c r="T13" i="2"/>
  <c r="Q14" i="2"/>
  <c r="R14" i="2"/>
  <c r="S14" i="2"/>
  <c r="T14" i="2"/>
  <c r="Q15" i="2"/>
  <c r="R15" i="2"/>
  <c r="S15" i="2"/>
  <c r="T15" i="2"/>
  <c r="Q16" i="2"/>
  <c r="R16" i="2"/>
  <c r="S16" i="2"/>
  <c r="T16" i="2"/>
  <c r="Q17" i="2"/>
  <c r="R17" i="2"/>
  <c r="S17" i="2"/>
  <c r="T17" i="2"/>
  <c r="Q18" i="2"/>
  <c r="R18" i="2"/>
  <c r="S18" i="2"/>
  <c r="T18" i="2"/>
  <c r="Q19" i="2"/>
  <c r="R19" i="2"/>
  <c r="S19" i="2"/>
  <c r="T19" i="2"/>
  <c r="Q20" i="2"/>
  <c r="R20" i="2"/>
  <c r="S20" i="2"/>
  <c r="T20" i="2"/>
  <c r="Q21" i="2"/>
  <c r="R21" i="2"/>
  <c r="S21" i="2"/>
  <c r="T21" i="2"/>
  <c r="Q22" i="2"/>
  <c r="R22" i="2"/>
  <c r="S22" i="2"/>
  <c r="T22" i="2"/>
  <c r="Q23" i="2"/>
  <c r="R23" i="2"/>
  <c r="S23" i="2"/>
  <c r="T23" i="2"/>
  <c r="Q24" i="2"/>
  <c r="R24" i="2"/>
  <c r="S24" i="2"/>
  <c r="T24" i="2"/>
  <c r="Q25" i="2"/>
  <c r="R25" i="2"/>
  <c r="S25" i="2"/>
  <c r="T25" i="2"/>
  <c r="Q26" i="2"/>
  <c r="R26" i="2"/>
  <c r="S26" i="2"/>
  <c r="T26" i="2"/>
  <c r="Q27" i="2"/>
  <c r="R27" i="2"/>
  <c r="S27" i="2"/>
  <c r="T27" i="2"/>
  <c r="Q28" i="2"/>
  <c r="R28" i="2"/>
  <c r="S28" i="2"/>
  <c r="T28" i="2"/>
  <c r="Q29" i="2"/>
  <c r="R29" i="2"/>
  <c r="S29" i="2"/>
  <c r="T29" i="2"/>
  <c r="Q30" i="2"/>
  <c r="R30" i="2"/>
  <c r="S30" i="2"/>
  <c r="T30" i="2"/>
  <c r="Q31" i="2"/>
  <c r="R31" i="2"/>
  <c r="S31" i="2"/>
  <c r="T31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8" i="2"/>
  <c r="Q8" i="3"/>
  <c r="R8" i="3"/>
  <c r="S8" i="3"/>
  <c r="T8" i="3"/>
  <c r="Q9" i="3"/>
  <c r="R9" i="3"/>
  <c r="S9" i="3"/>
  <c r="T9" i="3"/>
  <c r="Q10" i="3"/>
  <c r="R10" i="3"/>
  <c r="S10" i="3"/>
  <c r="T10" i="3"/>
  <c r="Q11" i="3"/>
  <c r="R11" i="3"/>
  <c r="S11" i="3"/>
  <c r="T11" i="3"/>
  <c r="Q12" i="3"/>
  <c r="R12" i="3"/>
  <c r="S12" i="3"/>
  <c r="T12" i="3"/>
  <c r="Q13" i="3"/>
  <c r="R13" i="3"/>
  <c r="S13" i="3"/>
  <c r="T13" i="3"/>
  <c r="Q14" i="3"/>
  <c r="R14" i="3"/>
  <c r="S14" i="3"/>
  <c r="T14" i="3"/>
  <c r="Q15" i="3"/>
  <c r="R15" i="3"/>
  <c r="S15" i="3"/>
  <c r="T15" i="3"/>
  <c r="Q16" i="3"/>
  <c r="R16" i="3"/>
  <c r="S16" i="3"/>
  <c r="T16" i="3"/>
  <c r="Q17" i="3"/>
  <c r="R17" i="3"/>
  <c r="S17" i="3"/>
  <c r="T17" i="3"/>
  <c r="Q18" i="3"/>
  <c r="R18" i="3"/>
  <c r="S18" i="3"/>
  <c r="T18" i="3"/>
  <c r="Q19" i="3"/>
  <c r="R19" i="3"/>
  <c r="S19" i="3"/>
  <c r="T19" i="3"/>
  <c r="Q20" i="3"/>
  <c r="R20" i="3"/>
  <c r="S20" i="3"/>
  <c r="T20" i="3"/>
  <c r="Q21" i="3"/>
  <c r="R21" i="3"/>
  <c r="S21" i="3"/>
  <c r="T21" i="3"/>
  <c r="Q22" i="3"/>
  <c r="R22" i="3"/>
  <c r="S22" i="3"/>
  <c r="T22" i="3"/>
  <c r="Q23" i="3"/>
  <c r="R23" i="3"/>
  <c r="S23" i="3"/>
  <c r="T23" i="3"/>
  <c r="Q24" i="3"/>
  <c r="R24" i="3"/>
  <c r="S24" i="3"/>
  <c r="T24" i="3"/>
  <c r="Q25" i="3"/>
  <c r="R25" i="3"/>
  <c r="S25" i="3"/>
  <c r="T25" i="3"/>
  <c r="Q26" i="3"/>
  <c r="R26" i="3"/>
  <c r="S26" i="3"/>
  <c r="T26" i="3"/>
  <c r="Q27" i="3"/>
  <c r="R27" i="3"/>
  <c r="S27" i="3"/>
  <c r="T27" i="3"/>
  <c r="Q28" i="3"/>
  <c r="R28" i="3"/>
  <c r="S28" i="3"/>
  <c r="T28" i="3"/>
  <c r="Q29" i="3"/>
  <c r="R29" i="3"/>
  <c r="S29" i="3"/>
  <c r="T29" i="3"/>
  <c r="Q30" i="3"/>
  <c r="R30" i="3"/>
  <c r="S30" i="3"/>
  <c r="T30" i="3"/>
  <c r="Q31" i="3"/>
  <c r="R31" i="3"/>
  <c r="S31" i="3"/>
  <c r="T31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8" i="3"/>
  <c r="L32" i="5"/>
  <c r="K32" i="5"/>
  <c r="J32" i="5"/>
  <c r="I32" i="5"/>
  <c r="H32" i="5"/>
  <c r="L32" i="4"/>
  <c r="K32" i="4"/>
  <c r="J32" i="4"/>
  <c r="I32" i="4"/>
  <c r="H32" i="4"/>
  <c r="L32" i="3"/>
  <c r="K32" i="3"/>
  <c r="J32" i="3"/>
  <c r="I32" i="3"/>
  <c r="H32" i="3"/>
  <c r="L32" i="2"/>
  <c r="K32" i="2"/>
  <c r="J32" i="2"/>
  <c r="I32" i="2"/>
  <c r="H32" i="2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I33" i="1"/>
  <c r="H33" i="1"/>
  <c r="G33" i="1"/>
  <c r="E33" i="1" s="1"/>
  <c r="C33" i="1" s="1"/>
  <c r="F33" i="1"/>
  <c r="D33" i="1" s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1" i="1"/>
</calcChain>
</file>

<file path=xl/sharedStrings.xml><?xml version="1.0" encoding="utf-8"?>
<sst xmlns="http://schemas.openxmlformats.org/spreadsheetml/2006/main" count="196" uniqueCount="149">
  <si>
    <t>Score</t>
  </si>
  <si>
    <t>Checked 1</t>
  </si>
  <si>
    <t>Checked 2</t>
  </si>
  <si>
    <t>錯誤舉發（加分）（Check1&amp;2 都沒有問題）</t>
  </si>
  <si>
    <t>學號</t>
  </si>
  <si>
    <t>姓名</t>
  </si>
  <si>
    <t>交流道名稱 (Execl URL)</t>
  </si>
  <si>
    <t>北上</t>
  </si>
  <si>
    <t>南下</t>
  </si>
  <si>
    <t>Check (2 位)</t>
  </si>
  <si>
    <t>( 學號＿姓名)</t>
  </si>
  <si>
    <t xml:space="preserve">  Unknown Check（ID_Name）</t>
  </si>
  <si>
    <t>109021040</t>
  </si>
  <si>
    <t>李奇勳</t>
  </si>
  <si>
    <t>109021336</t>
  </si>
  <si>
    <t>林 威</t>
  </si>
  <si>
    <t>109021370</t>
  </si>
  <si>
    <t>黃裕睿</t>
  </si>
  <si>
    <t>109021402</t>
  </si>
  <si>
    <t>林亮宇</t>
  </si>
  <si>
    <t>109021480</t>
  </si>
  <si>
    <t>李明翰</t>
  </si>
  <si>
    <t>110021001</t>
  </si>
  <si>
    <t>賴建燁</t>
  </si>
  <si>
    <t>110021002</t>
  </si>
  <si>
    <t>林哲宇</t>
  </si>
  <si>
    <t>南港系統交流道</t>
  </si>
  <si>
    <t>110021006</t>
  </si>
  <si>
    <t>施柔謙</t>
  </si>
  <si>
    <t>110021007</t>
  </si>
  <si>
    <t>陳楷中</t>
  </si>
  <si>
    <t>110021008</t>
  </si>
  <si>
    <t>馮文郁</t>
  </si>
  <si>
    <t>110021011</t>
  </si>
  <si>
    <t>謝名泙</t>
  </si>
  <si>
    <t>110021015</t>
  </si>
  <si>
    <t>吳政育</t>
  </si>
  <si>
    <t>110021032</t>
  </si>
  <si>
    <t>陳宏遠</t>
  </si>
  <si>
    <t>110021034</t>
  </si>
  <si>
    <t>李志輝</t>
  </si>
  <si>
    <t>110021036</t>
  </si>
  <si>
    <t>陳奕辰</t>
  </si>
  <si>
    <t>110021038</t>
  </si>
  <si>
    <t>黃偉倫</t>
  </si>
  <si>
    <t>110021039</t>
  </si>
  <si>
    <t>黃柏翔</t>
  </si>
  <si>
    <t>110021047</t>
  </si>
  <si>
    <t>歐冠新</t>
  </si>
  <si>
    <t>110021052</t>
  </si>
  <si>
    <t>許聿萱</t>
  </si>
  <si>
    <t>110021053</t>
  </si>
  <si>
    <t>吳豐宇</t>
  </si>
  <si>
    <t>110021063</t>
  </si>
  <si>
    <t>林承翰</t>
  </si>
  <si>
    <t>110021064</t>
  </si>
  <si>
    <t>李洸劤</t>
  </si>
  <si>
    <t>110021065</t>
  </si>
  <si>
    <t>曾宇成</t>
  </si>
  <si>
    <t>110021066</t>
  </si>
  <si>
    <t>李侑誠</t>
  </si>
  <si>
    <t>110021070</t>
  </si>
  <si>
    <t>王翊驊</t>
  </si>
  <si>
    <t>110021075</t>
  </si>
  <si>
    <t>陳政翔</t>
  </si>
  <si>
    <t>110021083</t>
  </si>
  <si>
    <t>張秉暉</t>
  </si>
  <si>
    <t>110021088</t>
  </si>
  <si>
    <t>王昱宸</t>
  </si>
  <si>
    <t>110021095</t>
  </si>
  <si>
    <t>黃志峰</t>
  </si>
  <si>
    <t>110021098</t>
  </si>
  <si>
    <t>劉卜愷</t>
  </si>
  <si>
    <t>110021100</t>
  </si>
  <si>
    <t>賴雨安</t>
  </si>
  <si>
    <t>南州交流道</t>
  </si>
  <si>
    <t>110021101</t>
  </si>
  <si>
    <t>董亮杰</t>
  </si>
  <si>
    <t>110021105</t>
  </si>
  <si>
    <t>謝東霖</t>
  </si>
  <si>
    <t>110021106</t>
  </si>
  <si>
    <t>趙建核</t>
  </si>
  <si>
    <t>110021109</t>
  </si>
  <si>
    <t>洪紹棋</t>
  </si>
  <si>
    <t>110021110</t>
  </si>
  <si>
    <t>蔡宗侑</t>
  </si>
  <si>
    <t>110021111</t>
  </si>
  <si>
    <t>鄭博文</t>
  </si>
  <si>
    <t>110021113</t>
  </si>
  <si>
    <t>周晨峯</t>
  </si>
  <si>
    <t>110021115</t>
  </si>
  <si>
    <t>林家鋒</t>
  </si>
  <si>
    <t>110021128</t>
  </si>
  <si>
    <t>謝欣恩</t>
  </si>
  <si>
    <t>110021156</t>
  </si>
  <si>
    <t>王捷奕</t>
  </si>
  <si>
    <t>110021160</t>
  </si>
  <si>
    <t>林忠億</t>
  </si>
  <si>
    <t>110021162</t>
  </si>
  <si>
    <t>蔡詠鈞</t>
  </si>
  <si>
    <t>宜蘭交流道</t>
  </si>
  <si>
    <t>110021164</t>
  </si>
  <si>
    <t>葉禮盛</t>
  </si>
  <si>
    <t>110021165</t>
  </si>
  <si>
    <t>林瑋哲</t>
  </si>
  <si>
    <t>110021167</t>
  </si>
  <si>
    <t>連冠宇</t>
  </si>
  <si>
    <t>110021168</t>
  </si>
  <si>
    <t>謝博丞</t>
  </si>
  <si>
    <t>110021171</t>
  </si>
  <si>
    <t>傅澤雨</t>
  </si>
  <si>
    <t>110021172</t>
  </si>
  <si>
    <t>陳柏穎</t>
  </si>
  <si>
    <t>110021173</t>
  </si>
  <si>
    <t>黃毓庭</t>
  </si>
  <si>
    <t>110021176</t>
  </si>
  <si>
    <t>卓冠瑭</t>
  </si>
  <si>
    <t>110021178</t>
  </si>
  <si>
    <t>蔡松翰</t>
  </si>
  <si>
    <t>110021184</t>
  </si>
  <si>
    <t>劉妍群</t>
  </si>
  <si>
    <t>110021185</t>
  </si>
  <si>
    <t>江侑霖</t>
  </si>
  <si>
    <t>110021187</t>
  </si>
  <si>
    <t>張浩千</t>
  </si>
  <si>
    <t>110021190</t>
  </si>
  <si>
    <t>郭承勳</t>
  </si>
  <si>
    <t>110021208</t>
  </si>
  <si>
    <t>羅正旻</t>
  </si>
  <si>
    <t>111021144</t>
  </si>
  <si>
    <t>周耕弘</t>
  </si>
  <si>
    <t>111021148</t>
  </si>
  <si>
    <t>許茗竣</t>
  </si>
  <si>
    <t>上(交流道)(電子匝道代碼）
gantryid_o</t>
  </si>
  <si>
    <t>下(交流道)(電子匝道代碼）
gantryid_D</t>
  </si>
  <si>
    <r>
      <rPr>
        <sz val="10"/>
        <color theme="1"/>
        <rFont val="Arial"/>
        <family val="2"/>
      </rPr>
      <t xml:space="preserve">Datatime = </t>
    </r>
    <r>
      <rPr>
        <sz val="10"/>
        <color rgb="FFFF0000"/>
        <rFont val="Arial"/>
        <family val="2"/>
      </rPr>
      <t>2023/10/19</t>
    </r>
  </si>
  <si>
    <t>交流道名稱</t>
  </si>
  <si>
    <r>
      <rPr>
        <sz val="10"/>
        <color theme="1"/>
        <rFont val="Arial"/>
        <family val="2"/>
      </rPr>
      <t>gantryid_o =</t>
    </r>
    <r>
      <rPr>
        <sz val="10"/>
        <color rgb="FFFF0000"/>
        <rFont val="Arial"/>
        <family val="2"/>
      </rPr>
      <t xml:space="preserve"> '?N'</t>
    </r>
  </si>
  <si>
    <t>03F4232N</t>
  </si>
  <si>
    <t>VehicleType (VT)</t>
  </si>
  <si>
    <r>
      <rPr>
        <sz val="10"/>
        <color theme="1"/>
        <rFont val="Arial"/>
        <family val="2"/>
      </rPr>
      <t xml:space="preserve">Datatime = </t>
    </r>
    <r>
      <rPr>
        <sz val="10"/>
        <color rgb="FFFF0000"/>
        <rFont val="Arial"/>
        <family val="2"/>
      </rPr>
      <t>2023/10/19</t>
    </r>
  </si>
  <si>
    <t>gantryid_o = '03F4263S'</t>
  </si>
  <si>
    <r>
      <rPr>
        <sz val="10"/>
        <color theme="1"/>
        <rFont val="Arial"/>
        <family val="2"/>
      </rPr>
      <t xml:space="preserve">Datatime = </t>
    </r>
    <r>
      <rPr>
        <sz val="10"/>
        <color rgb="FFFF0000"/>
        <rFont val="Arial"/>
        <family val="2"/>
      </rPr>
      <t>2023/10/19</t>
    </r>
  </si>
  <si>
    <r>
      <rPr>
        <sz val="10"/>
        <color theme="1"/>
        <rFont val="Arial"/>
        <family val="2"/>
      </rPr>
      <t>gantryid_D =</t>
    </r>
    <r>
      <rPr>
        <sz val="10"/>
        <color rgb="FFFF0000"/>
        <rFont val="Arial"/>
        <family val="2"/>
      </rPr>
      <t xml:space="preserve"> '*N'</t>
    </r>
  </si>
  <si>
    <t>03F4259N</t>
  </si>
  <si>
    <r>
      <rPr>
        <sz val="10"/>
        <color theme="1"/>
        <rFont val="Arial"/>
        <family val="2"/>
      </rPr>
      <t xml:space="preserve">Datatime = </t>
    </r>
    <r>
      <rPr>
        <sz val="10"/>
        <color rgb="FFFF0000"/>
        <rFont val="Arial"/>
        <family val="2"/>
      </rPr>
      <t>2023/10/18</t>
    </r>
  </si>
  <si>
    <t>gantryid_D = '03F4232SS'</t>
  </si>
  <si>
    <t>03F4232S</t>
  </si>
  <si>
    <t>03F4263S</t>
    <phoneticPr fontId="2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</si>
</sst>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0"/>
      <color rgb="FF000000"/>
      <name val="Arial"/>
      <scheme val="minor"/>
    </font>
    <font>
      <u/>
      <sz val="12"/>
      <color rgb="FF0000FF"/>
      <name val="Calibri"/>
    </font>
    <font>
      <sz val="12"/>
      <color theme="1"/>
      <name val="Calibri"/>
    </font>
    <font>
      <b/>
      <sz val="12"/>
      <color theme="1"/>
      <name val="Calibri"/>
    </font>
    <font>
      <sz val="12"/>
      <color theme="1"/>
      <name val="Arial"/>
    </font>
    <font>
      <sz val="10"/>
      <name val="Arial"/>
    </font>
    <font>
      <sz val="12"/>
      <color theme="1"/>
      <name val="Microsoft JhengHei"/>
      <family val="2"/>
      <charset val="136"/>
    </font>
    <font>
      <sz val="12"/>
      <color rgb="FFFF0000"/>
      <name val="Calibri"/>
    </font>
    <font>
      <b/>
      <sz val="15"/>
      <color rgb="FF0000FF"/>
      <name val="Arial"/>
    </font>
    <font>
      <b/>
      <sz val="14"/>
      <color rgb="FF008080"/>
      <name val="Arial"/>
    </font>
    <font>
      <sz val="12"/>
      <color theme="1"/>
      <name val="Roboto"/>
    </font>
    <font>
      <sz val="11"/>
      <color rgb="FFFF0000"/>
      <name val="Arial"/>
    </font>
    <font>
      <sz val="12"/>
      <color rgb="FF0000FF"/>
      <name val="Arial"/>
    </font>
    <font>
      <sz val="14"/>
      <color theme="1"/>
      <name val="Arial"/>
    </font>
    <font>
      <sz val="12"/>
      <color rgb="FF000000"/>
      <name val="Docs-Calibri"/>
    </font>
    <font>
      <b/>
      <sz val="12"/>
      <color theme="1"/>
      <name val="Roboto"/>
    </font>
    <font>
      <sz val="12"/>
      <color rgb="FF0563C1"/>
      <name val="Calibri"/>
      <family val="2"/>
    </font>
    <font>
      <sz val="11"/>
      <color theme="1"/>
      <name val="Roboto"/>
    </font>
    <font>
      <sz val="10"/>
      <color theme="1"/>
      <name val="Arial"/>
      <family val="2"/>
    </font>
    <font>
      <sz val="12"/>
      <color rgb="FF1F1F1F"/>
      <name val="Arial"/>
      <family val="2"/>
    </font>
    <font>
      <sz val="12"/>
      <color rgb="FF000000"/>
      <name val="PMingLiu"/>
    </font>
    <font>
      <sz val="9"/>
      <color rgb="FF1F1F1F"/>
      <name val="Arial"/>
      <family val="2"/>
    </font>
    <font>
      <b/>
      <sz val="14"/>
      <color theme="1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  <scheme val="minor"/>
    </font>
    <font>
      <sz val="9"/>
      <name val="Arial"/>
      <family val="3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8DDF2"/>
        <bgColor rgb="FFC8DDF2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</fills>
  <borders count="11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9" fontId="25" fillId="0" borderId="0" applyFont="0" applyFill="0" applyBorder="0" applyAlignment="0" applyProtection="0">
      <alignment vertical="center"/>
    </xf>
  </cellStyleXfs>
  <cellXfs count="76">
    <xf numFmtId="0" fontId="0" fillId="0" borderId="0" xfId="0" applyFont="1" applyAlignment="1"/>
    <xf numFmtId="0" fontId="1" fillId="0" borderId="0" xfId="0" applyFont="1" applyAlignment="1"/>
    <xf numFmtId="0" fontId="2" fillId="0" borderId="1" xfId="0" applyFont="1" applyBorder="1" applyAlignment="1"/>
    <xf numFmtId="9" fontId="3" fillId="0" borderId="2" xfId="0" applyNumberFormat="1" applyFont="1" applyBorder="1" applyAlignment="1">
      <alignment horizontal="center"/>
    </xf>
    <xf numFmtId="9" fontId="4" fillId="0" borderId="0" xfId="0" applyNumberFormat="1" applyFont="1" applyAlignment="1">
      <alignment horizontal="center"/>
    </xf>
    <xf numFmtId="0" fontId="2" fillId="0" borderId="0" xfId="0" applyFont="1" applyAlignment="1"/>
    <xf numFmtId="0" fontId="2" fillId="0" borderId="4" xfId="0" applyFont="1" applyBorder="1" applyAlignment="1"/>
    <xf numFmtId="9" fontId="2" fillId="0" borderId="0" xfId="0" applyNumberFormat="1" applyFont="1" applyAlignment="1"/>
    <xf numFmtId="0" fontId="7" fillId="2" borderId="5" xfId="0" applyFont="1" applyFill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8" fillId="0" borderId="4" xfId="0" applyFont="1" applyBorder="1" applyAlignment="1">
      <alignment horizontal="center" wrapText="1"/>
    </xf>
    <xf numFmtId="0" fontId="9" fillId="3" borderId="6" xfId="0" applyFont="1" applyFill="1" applyBorder="1" applyAlignment="1">
      <alignment wrapText="1"/>
    </xf>
    <xf numFmtId="0" fontId="9" fillId="3" borderId="5" xfId="0" applyFont="1" applyFill="1" applyBorder="1" applyAlignment="1">
      <alignment wrapText="1"/>
    </xf>
    <xf numFmtId="9" fontId="2" fillId="2" borderId="5" xfId="0" applyNumberFormat="1" applyFont="1" applyFill="1" applyBorder="1" applyAlignment="1"/>
    <xf numFmtId="0" fontId="10" fillId="2" borderId="5" xfId="0" applyFont="1" applyFill="1" applyBorder="1" applyAlignment="1">
      <alignment horizontal="center" wrapText="1"/>
    </xf>
    <xf numFmtId="9" fontId="6" fillId="2" borderId="5" xfId="0" applyNumberFormat="1" applyFont="1" applyFill="1" applyBorder="1" applyAlignment="1">
      <alignment horizontal="center" wrapText="1"/>
    </xf>
    <xf numFmtId="9" fontId="4" fillId="2" borderId="5" xfId="0" applyNumberFormat="1" applyFont="1" applyFill="1" applyBorder="1" applyAlignment="1">
      <alignment horizontal="center" wrapText="1"/>
    </xf>
    <xf numFmtId="0" fontId="11" fillId="2" borderId="5" xfId="0" applyFont="1" applyFill="1" applyBorder="1" applyAlignment="1">
      <alignment horizontal="center" wrapText="1"/>
    </xf>
    <xf numFmtId="0" fontId="11" fillId="0" borderId="5" xfId="0" applyFont="1" applyBorder="1" applyAlignment="1">
      <alignment horizontal="center" wrapText="1"/>
    </xf>
    <xf numFmtId="0" fontId="12" fillId="4" borderId="6" xfId="0" applyFont="1" applyFill="1" applyBorder="1" applyAlignment="1">
      <alignment horizontal="center" wrapText="1"/>
    </xf>
    <xf numFmtId="49" fontId="2" fillId="4" borderId="6" xfId="0" applyNumberFormat="1" applyFont="1" applyFill="1" applyBorder="1" applyAlignment="1"/>
    <xf numFmtId="49" fontId="2" fillId="4" borderId="5" xfId="0" applyNumberFormat="1" applyFont="1" applyFill="1" applyBorder="1" applyAlignment="1"/>
    <xf numFmtId="3" fontId="2" fillId="5" borderId="5" xfId="0" applyNumberFormat="1" applyFont="1" applyFill="1" applyBorder="1" applyAlignment="1">
      <alignment horizontal="right"/>
    </xf>
    <xf numFmtId="0" fontId="13" fillId="4" borderId="5" xfId="0" applyFont="1" applyFill="1" applyBorder="1" applyAlignment="1"/>
    <xf numFmtId="3" fontId="3" fillId="0" borderId="2" xfId="0" applyNumberFormat="1" applyFont="1" applyBorder="1" applyAlignment="1">
      <alignment horizontal="center"/>
    </xf>
    <xf numFmtId="0" fontId="2" fillId="0" borderId="5" xfId="0" applyFont="1" applyBorder="1" applyAlignment="1"/>
    <xf numFmtId="0" fontId="2" fillId="0" borderId="7" xfId="0" applyFont="1" applyBorder="1" applyAlignment="1"/>
    <xf numFmtId="0" fontId="2" fillId="4" borderId="0" xfId="0" applyFont="1" applyFill="1" applyAlignment="1"/>
    <xf numFmtId="49" fontId="2" fillId="0" borderId="5" xfId="0" applyNumberFormat="1" applyFont="1" applyBorder="1" applyAlignment="1"/>
    <xf numFmtId="0" fontId="2" fillId="4" borderId="4" xfId="0" applyFont="1" applyFill="1" applyBorder="1" applyAlignment="1"/>
    <xf numFmtId="0" fontId="4" fillId="0" borderId="4" xfId="0" applyFont="1" applyBorder="1" applyAlignment="1"/>
    <xf numFmtId="0" fontId="2" fillId="4" borderId="5" xfId="0" applyFont="1" applyFill="1" applyBorder="1" applyAlignment="1"/>
    <xf numFmtId="0" fontId="6" fillId="4" borderId="0" xfId="0" applyFont="1" applyFill="1" applyAlignment="1"/>
    <xf numFmtId="0" fontId="10" fillId="4" borderId="5" xfId="0" applyFont="1" applyFill="1" applyBorder="1" applyAlignment="1"/>
    <xf numFmtId="0" fontId="2" fillId="5" borderId="5" xfId="0" applyFont="1" applyFill="1" applyBorder="1" applyAlignment="1">
      <alignment horizontal="right"/>
    </xf>
    <xf numFmtId="0" fontId="14" fillId="4" borderId="0" xfId="0" applyFont="1" applyFill="1" applyAlignment="1">
      <alignment horizontal="left"/>
    </xf>
    <xf numFmtId="0" fontId="15" fillId="4" borderId="0" xfId="0" applyFont="1" applyFill="1" applyAlignment="1"/>
    <xf numFmtId="0" fontId="16" fillId="0" borderId="4" xfId="0" applyFont="1" applyBorder="1" applyAlignment="1"/>
    <xf numFmtId="0" fontId="16" fillId="0" borderId="5" xfId="0" applyFont="1" applyBorder="1" applyAlignment="1"/>
    <xf numFmtId="0" fontId="17" fillId="0" borderId="5" xfId="0" applyFont="1" applyBorder="1" applyAlignment="1"/>
    <xf numFmtId="0" fontId="4" fillId="4" borderId="5" xfId="0" applyFont="1" applyFill="1" applyBorder="1" applyAlignment="1">
      <alignment wrapText="1"/>
    </xf>
    <xf numFmtId="0" fontId="6" fillId="0" borderId="0" xfId="0" applyFont="1" applyAlignment="1">
      <alignment horizontal="center" wrapText="1"/>
    </xf>
    <xf numFmtId="0" fontId="18" fillId="0" borderId="7" xfId="0" applyFont="1" applyBorder="1" applyAlignment="1">
      <alignment horizontal="left"/>
    </xf>
    <xf numFmtId="0" fontId="18" fillId="2" borderId="7" xfId="0" applyFont="1" applyFill="1" applyBorder="1" applyAlignment="1">
      <alignment horizontal="left"/>
    </xf>
    <xf numFmtId="0" fontId="19" fillId="0" borderId="7" xfId="0" applyFont="1" applyBorder="1"/>
    <xf numFmtId="9" fontId="6" fillId="0" borderId="5" xfId="0" applyNumberFormat="1" applyFont="1" applyBorder="1" applyAlignment="1">
      <alignment horizontal="center" wrapText="1"/>
    </xf>
    <xf numFmtId="9" fontId="4" fillId="0" borderId="5" xfId="0" applyNumberFormat="1" applyFont="1" applyBorder="1" applyAlignment="1">
      <alignment horizontal="center" wrapText="1"/>
    </xf>
    <xf numFmtId="0" fontId="2" fillId="0" borderId="7" xfId="0" applyFont="1" applyBorder="1" applyAlignment="1"/>
    <xf numFmtId="0" fontId="2" fillId="2" borderId="7" xfId="0" applyFont="1" applyFill="1" applyBorder="1" applyAlignment="1"/>
    <xf numFmtId="0" fontId="18" fillId="0" borderId="0" xfId="0" applyFont="1" applyAlignment="1"/>
    <xf numFmtId="0" fontId="4" fillId="0" borderId="7" xfId="0" applyFont="1" applyBorder="1" applyAlignment="1">
      <alignment horizontal="right"/>
    </xf>
    <xf numFmtId="0" fontId="18" fillId="0" borderId="7" xfId="0" applyFont="1" applyBorder="1" applyAlignment="1">
      <alignment horizontal="right"/>
    </xf>
    <xf numFmtId="0" fontId="18" fillId="0" borderId="5" xfId="0" applyFont="1" applyBorder="1" applyAlignment="1"/>
    <xf numFmtId="0" fontId="18" fillId="0" borderId="5" xfId="0" applyFont="1" applyBorder="1" applyAlignment="1"/>
    <xf numFmtId="0" fontId="20" fillId="0" borderId="0" xfId="0" applyFont="1" applyAlignment="1">
      <alignment horizontal="right"/>
    </xf>
    <xf numFmtId="0" fontId="20" fillId="0" borderId="7" xfId="0" applyFont="1" applyBorder="1" applyAlignment="1">
      <alignment horizontal="right"/>
    </xf>
    <xf numFmtId="0" fontId="22" fillId="0" borderId="0" xfId="0" applyFont="1"/>
    <xf numFmtId="0" fontId="18" fillId="2" borderId="7" xfId="0" applyFont="1" applyFill="1" applyBorder="1" applyAlignment="1">
      <alignment horizontal="left"/>
    </xf>
    <xf numFmtId="0" fontId="23" fillId="2" borderId="0" xfId="0" applyFont="1" applyFill="1" applyAlignment="1">
      <alignment horizontal="center"/>
    </xf>
    <xf numFmtId="0" fontId="20" fillId="0" borderId="7" xfId="0" applyFont="1" applyBorder="1" applyAlignment="1">
      <alignment horizontal="right"/>
    </xf>
    <xf numFmtId="0" fontId="20" fillId="0" borderId="0" xfId="0" applyFont="1" applyAlignment="1">
      <alignment horizontal="right"/>
    </xf>
    <xf numFmtId="9" fontId="3" fillId="0" borderId="3" xfId="0" applyNumberFormat="1" applyFont="1" applyBorder="1" applyAlignment="1">
      <alignment horizontal="center"/>
    </xf>
    <xf numFmtId="0" fontId="5" fillId="0" borderId="2" xfId="0" applyFont="1" applyBorder="1"/>
    <xf numFmtId="0" fontId="6" fillId="2" borderId="4" xfId="0" applyFont="1" applyFill="1" applyBorder="1" applyAlignment="1">
      <alignment horizontal="center" wrapText="1"/>
    </xf>
    <xf numFmtId="0" fontId="5" fillId="0" borderId="5" xfId="0" applyFont="1" applyBorder="1"/>
    <xf numFmtId="0" fontId="6" fillId="0" borderId="4" xfId="0" applyFont="1" applyBorder="1" applyAlignment="1">
      <alignment horizontal="center" wrapText="1"/>
    </xf>
    <xf numFmtId="0" fontId="18" fillId="0" borderId="8" xfId="0" applyFont="1" applyBorder="1" applyAlignment="1">
      <alignment horizontal="left"/>
    </xf>
    <xf numFmtId="0" fontId="5" fillId="0" borderId="3" xfId="0" applyFont="1" applyBorder="1"/>
    <xf numFmtId="0" fontId="18" fillId="0" borderId="8" xfId="0" applyFont="1" applyBorder="1" applyAlignment="1">
      <alignment horizontal="center"/>
    </xf>
    <xf numFmtId="14" fontId="18" fillId="0" borderId="9" xfId="0" applyNumberFormat="1" applyFont="1" applyBorder="1" applyAlignment="1">
      <alignment vertical="center"/>
    </xf>
    <xf numFmtId="0" fontId="5" fillId="0" borderId="10" xfId="0" applyFont="1" applyBorder="1"/>
    <xf numFmtId="0" fontId="5" fillId="0" borderId="6" xfId="0" applyFont="1" applyBorder="1"/>
    <xf numFmtId="0" fontId="21" fillId="4" borderId="0" xfId="0" applyFont="1" applyFill="1"/>
    <xf numFmtId="0" fontId="0" fillId="0" borderId="0" xfId="0" applyFont="1" applyAlignment="1"/>
    <xf numFmtId="10" fontId="18" fillId="0" borderId="5" xfId="1" applyNumberFormat="1" applyFont="1" applyBorder="1" applyAlignment="1"/>
    <xf numFmtId="10" fontId="0" fillId="0" borderId="0" xfId="0" applyNumberFormat="1" applyFont="1" applyAlignment="1"/>
  </cellXfs>
  <cellStyles count="2">
    <cellStyle name="一般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4.xml"/><Relationship Id="rId13" Type="http://schemas.openxmlformats.org/officeDocument/2006/relationships/sharedStrings" Target="sharedStrings.xml"/><Relationship Id="rId3" Type="http://schemas.openxmlformats.org/officeDocument/2006/relationships/chartsheet" Target="chartsheets/sheet2.xml"/><Relationship Id="rId7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1" Type="http://schemas.openxmlformats.org/officeDocument/2006/relationships/theme" Target="theme/theme1.xml"/><Relationship Id="rId5" Type="http://schemas.openxmlformats.org/officeDocument/2006/relationships/chartsheet" Target="chartsheets/sheet4.xml"/><Relationship Id="rId10" Type="http://customschemas.google.com/relationships/workbookmetadata" Target="metadata"/><Relationship Id="rId4" Type="http://schemas.openxmlformats.org/officeDocument/2006/relationships/chartsheet" Target="chartsheets/sheet3.xml"/><Relationship Id="rId9" Type="http://schemas.openxmlformats.org/officeDocument/2006/relationships/worksheet" Target="worksheets/sheet5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'上(交流道)北上'!$P$7</c:f>
              <c:strCache>
                <c:ptCount val="1"/>
                <c:pt idx="0">
                  <c:v>31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'上(交流道)北上'!$O$8:$O$31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'上(交流道)北上'!$P$8:$P$31</c:f>
              <c:numCache>
                <c:formatCode>0.00%</c:formatCode>
                <c:ptCount val="24"/>
                <c:pt idx="0">
                  <c:v>6.5377281394715337E-3</c:v>
                </c:pt>
                <c:pt idx="1">
                  <c:v>6.4015254698992097E-3</c:v>
                </c:pt>
                <c:pt idx="2">
                  <c:v>4.0860800871697087E-3</c:v>
                </c:pt>
                <c:pt idx="3">
                  <c:v>3.6774720784527376E-3</c:v>
                </c:pt>
                <c:pt idx="4">
                  <c:v>2.7240533914464722E-3</c:v>
                </c:pt>
                <c:pt idx="5">
                  <c:v>9.5341868700626539E-3</c:v>
                </c:pt>
                <c:pt idx="6">
                  <c:v>3.3233451375646962E-2</c:v>
                </c:pt>
                <c:pt idx="7">
                  <c:v>5.0258785072187416E-2</c:v>
                </c:pt>
                <c:pt idx="8">
                  <c:v>4.3857259602288208E-2</c:v>
                </c:pt>
                <c:pt idx="9">
                  <c:v>4.6989921002451647E-2</c:v>
                </c:pt>
                <c:pt idx="10">
                  <c:v>4.3721056932715878E-2</c:v>
                </c:pt>
                <c:pt idx="11">
                  <c:v>5.3119041133206209E-2</c:v>
                </c:pt>
                <c:pt idx="12">
                  <c:v>5.747752655952057E-2</c:v>
                </c:pt>
                <c:pt idx="13">
                  <c:v>6.6466902751293924E-2</c:v>
                </c:pt>
                <c:pt idx="14">
                  <c:v>6.8918550803595754E-2</c:v>
                </c:pt>
                <c:pt idx="15">
                  <c:v>8.2947425769545086E-2</c:v>
                </c:pt>
                <c:pt idx="16">
                  <c:v>8.962135657858894E-2</c:v>
                </c:pt>
                <c:pt idx="17">
                  <c:v>0.11100517570144375</c:v>
                </c:pt>
                <c:pt idx="18">
                  <c:v>7.7771724325796779E-2</c:v>
                </c:pt>
                <c:pt idx="19">
                  <c:v>5.1212203759193678E-2</c:v>
                </c:pt>
                <c:pt idx="20">
                  <c:v>3.5957504767093432E-2</c:v>
                </c:pt>
                <c:pt idx="21">
                  <c:v>2.5061291201307546E-2</c:v>
                </c:pt>
                <c:pt idx="22">
                  <c:v>1.8932171070552981E-2</c:v>
                </c:pt>
                <c:pt idx="23">
                  <c:v>1.0487605557068919E-2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8B-4780-8012-0C9F4020C5A4}"/>
            </c:ext>
          </c:extLst>
        </c:ser>
        <c:ser>
          <c:idx val="1"/>
          <c:order val="1"/>
          <c:tx>
            <c:strRef>
              <c:f>'上(交流道)北上'!$Q$7</c:f>
              <c:strCache>
                <c:ptCount val="1"/>
                <c:pt idx="0">
                  <c:v>32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'上(交流道)北上'!$O$8:$O$31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'上(交流道)北上'!$Q$8:$Q$31</c:f>
              <c:numCache>
                <c:formatCode>0.00%</c:formatCode>
                <c:ptCount val="24"/>
                <c:pt idx="0">
                  <c:v>5.9774964838255973E-3</c:v>
                </c:pt>
                <c:pt idx="1">
                  <c:v>4.9226441631504926E-3</c:v>
                </c:pt>
                <c:pt idx="2">
                  <c:v>5.2742616033755272E-3</c:v>
                </c:pt>
                <c:pt idx="3">
                  <c:v>3.5161744022503515E-3</c:v>
                </c:pt>
                <c:pt idx="4">
                  <c:v>6.6807313642756683E-3</c:v>
                </c:pt>
                <c:pt idx="5">
                  <c:v>1.1251758087201125E-2</c:v>
                </c:pt>
                <c:pt idx="6">
                  <c:v>4.746835443037975E-2</c:v>
                </c:pt>
                <c:pt idx="7">
                  <c:v>6.0126582278481014E-2</c:v>
                </c:pt>
                <c:pt idx="8">
                  <c:v>4.6413502109704644E-2</c:v>
                </c:pt>
                <c:pt idx="9">
                  <c:v>3.3403656821378337E-2</c:v>
                </c:pt>
                <c:pt idx="10">
                  <c:v>5.2742616033755275E-2</c:v>
                </c:pt>
                <c:pt idx="11">
                  <c:v>5.2039381153305204E-2</c:v>
                </c:pt>
                <c:pt idx="12">
                  <c:v>5.5907172995780588E-2</c:v>
                </c:pt>
                <c:pt idx="13">
                  <c:v>7.0675105485232065E-2</c:v>
                </c:pt>
                <c:pt idx="14">
                  <c:v>8.0168776371308023E-2</c:v>
                </c:pt>
                <c:pt idx="15">
                  <c:v>8.6497890295358648E-2</c:v>
                </c:pt>
                <c:pt idx="16">
                  <c:v>0.10056258790436005</c:v>
                </c:pt>
                <c:pt idx="17">
                  <c:v>0.10021097046413502</c:v>
                </c:pt>
                <c:pt idx="18">
                  <c:v>6.5049226441631511E-2</c:v>
                </c:pt>
                <c:pt idx="19">
                  <c:v>3.5864978902953586E-2</c:v>
                </c:pt>
                <c:pt idx="20">
                  <c:v>3.0239099859353025E-2</c:v>
                </c:pt>
                <c:pt idx="21">
                  <c:v>1.6174402250351619E-2</c:v>
                </c:pt>
                <c:pt idx="22">
                  <c:v>1.5119549929676512E-2</c:v>
                </c:pt>
                <c:pt idx="23">
                  <c:v>1.3713080168776372E-2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8B-4780-8012-0C9F4020C5A4}"/>
            </c:ext>
          </c:extLst>
        </c:ser>
        <c:ser>
          <c:idx val="2"/>
          <c:order val="2"/>
          <c:tx>
            <c:strRef>
              <c:f>'上(交流道)北上'!$R$7</c:f>
              <c:strCache>
                <c:ptCount val="1"/>
                <c:pt idx="0">
                  <c:v>41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'上(交流道)北上'!$O$8:$O$31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'上(交流道)北上'!$R$8:$R$31</c:f>
              <c:numCache>
                <c:formatCode>0.00%</c:formatCode>
                <c:ptCount val="24"/>
                <c:pt idx="0">
                  <c:v>0</c:v>
                </c:pt>
                <c:pt idx="1">
                  <c:v>8.4033613445378148E-3</c:v>
                </c:pt>
                <c:pt idx="2">
                  <c:v>0</c:v>
                </c:pt>
                <c:pt idx="3">
                  <c:v>0</c:v>
                </c:pt>
                <c:pt idx="4">
                  <c:v>8.4033613445378148E-3</c:v>
                </c:pt>
                <c:pt idx="5">
                  <c:v>1.680672268907563E-2</c:v>
                </c:pt>
                <c:pt idx="6">
                  <c:v>1.680672268907563E-2</c:v>
                </c:pt>
                <c:pt idx="7">
                  <c:v>1.680672268907563E-2</c:v>
                </c:pt>
                <c:pt idx="8">
                  <c:v>9.2436974789915971E-2</c:v>
                </c:pt>
                <c:pt idx="9">
                  <c:v>5.8823529411764705E-2</c:v>
                </c:pt>
                <c:pt idx="10">
                  <c:v>5.8823529411764705E-2</c:v>
                </c:pt>
                <c:pt idx="11">
                  <c:v>2.5210084033613446E-2</c:v>
                </c:pt>
                <c:pt idx="12">
                  <c:v>3.3613445378151259E-2</c:v>
                </c:pt>
                <c:pt idx="13">
                  <c:v>3.3613445378151259E-2</c:v>
                </c:pt>
                <c:pt idx="14">
                  <c:v>0.10084033613445378</c:v>
                </c:pt>
                <c:pt idx="15">
                  <c:v>0.10084033613445378</c:v>
                </c:pt>
                <c:pt idx="16">
                  <c:v>0.1092436974789916</c:v>
                </c:pt>
                <c:pt idx="17">
                  <c:v>0.12605042016806722</c:v>
                </c:pt>
                <c:pt idx="18">
                  <c:v>8.4033613445378158E-2</c:v>
                </c:pt>
                <c:pt idx="19">
                  <c:v>4.2016806722689079E-2</c:v>
                </c:pt>
                <c:pt idx="20">
                  <c:v>2.5210084033613446E-2</c:v>
                </c:pt>
                <c:pt idx="21">
                  <c:v>3.3613445378151259E-2</c:v>
                </c:pt>
                <c:pt idx="22">
                  <c:v>0</c:v>
                </c:pt>
                <c:pt idx="23">
                  <c:v>8.4033613445378148E-3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8B-4780-8012-0C9F4020C5A4}"/>
            </c:ext>
          </c:extLst>
        </c:ser>
        <c:ser>
          <c:idx val="3"/>
          <c:order val="3"/>
          <c:tx>
            <c:strRef>
              <c:f>'上(交流道)北上'!$S$7</c:f>
              <c:strCache>
                <c:ptCount val="1"/>
                <c:pt idx="0">
                  <c:v>42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'上(交流道)北上'!$O$8:$O$31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'上(交流道)北上'!$S$8:$S$31</c:f>
              <c:numCache>
                <c:formatCode>0.00%</c:formatCode>
                <c:ptCount val="24"/>
                <c:pt idx="0">
                  <c:v>5.5350553505535052E-3</c:v>
                </c:pt>
                <c:pt idx="1">
                  <c:v>3.6900369003690036E-3</c:v>
                </c:pt>
                <c:pt idx="2">
                  <c:v>9.2250922509225092E-3</c:v>
                </c:pt>
                <c:pt idx="3">
                  <c:v>5.5350553505535052E-3</c:v>
                </c:pt>
                <c:pt idx="4">
                  <c:v>9.2250922509225092E-3</c:v>
                </c:pt>
                <c:pt idx="5">
                  <c:v>1.4760147601476014E-2</c:v>
                </c:pt>
                <c:pt idx="6">
                  <c:v>4.2435424354243544E-2</c:v>
                </c:pt>
                <c:pt idx="7">
                  <c:v>3.8745387453874541E-2</c:v>
                </c:pt>
                <c:pt idx="8">
                  <c:v>4.797047970479705E-2</c:v>
                </c:pt>
                <c:pt idx="9">
                  <c:v>6.8265682656826573E-2</c:v>
                </c:pt>
                <c:pt idx="10">
                  <c:v>7.7490774907749083E-2</c:v>
                </c:pt>
                <c:pt idx="11">
                  <c:v>6.8265682656826573E-2</c:v>
                </c:pt>
                <c:pt idx="12">
                  <c:v>7.9335793357933573E-2</c:v>
                </c:pt>
                <c:pt idx="13">
                  <c:v>7.7490774907749083E-2</c:v>
                </c:pt>
                <c:pt idx="14">
                  <c:v>8.1180811808118078E-2</c:v>
                </c:pt>
                <c:pt idx="15">
                  <c:v>8.4870848708487087E-2</c:v>
                </c:pt>
                <c:pt idx="16">
                  <c:v>8.4870848708487087E-2</c:v>
                </c:pt>
                <c:pt idx="17">
                  <c:v>6.0885608856088562E-2</c:v>
                </c:pt>
                <c:pt idx="18">
                  <c:v>3.5055350553505532E-2</c:v>
                </c:pt>
                <c:pt idx="19">
                  <c:v>3.5055350553505532E-2</c:v>
                </c:pt>
                <c:pt idx="20">
                  <c:v>3.3210332103321034E-2</c:v>
                </c:pt>
                <c:pt idx="21">
                  <c:v>1.4760147601476014E-2</c:v>
                </c:pt>
                <c:pt idx="22">
                  <c:v>1.2915129151291513E-2</c:v>
                </c:pt>
                <c:pt idx="23">
                  <c:v>9.2250922509225092E-3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28B-4780-8012-0C9F4020C5A4}"/>
            </c:ext>
          </c:extLst>
        </c:ser>
        <c:ser>
          <c:idx val="4"/>
          <c:order val="4"/>
          <c:tx>
            <c:strRef>
              <c:f>'上(交流道)北上'!$T$7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'上(交流道)北上'!$O$8:$O$31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'上(交流道)北上'!$T$8:$T$31</c:f>
              <c:numCache>
                <c:formatCode>0.00%</c:formatCode>
                <c:ptCount val="24"/>
                <c:pt idx="0">
                  <c:v>4.5300113250283129E-3</c:v>
                </c:pt>
                <c:pt idx="1">
                  <c:v>3.3975084937712344E-3</c:v>
                </c:pt>
                <c:pt idx="2">
                  <c:v>2.2650056625141564E-3</c:v>
                </c:pt>
                <c:pt idx="3">
                  <c:v>1.245753114382786E-2</c:v>
                </c:pt>
                <c:pt idx="4">
                  <c:v>2.3782559456398639E-2</c:v>
                </c:pt>
                <c:pt idx="5">
                  <c:v>2.7180067950169876E-2</c:v>
                </c:pt>
                <c:pt idx="6">
                  <c:v>5.4360135900339751E-2</c:v>
                </c:pt>
                <c:pt idx="7">
                  <c:v>6.2287655719139301E-2</c:v>
                </c:pt>
                <c:pt idx="8">
                  <c:v>7.4745186862967161E-2</c:v>
                </c:pt>
                <c:pt idx="9">
                  <c:v>9.2865232163080402E-2</c:v>
                </c:pt>
                <c:pt idx="10">
                  <c:v>9.0600226500566247E-2</c:v>
                </c:pt>
                <c:pt idx="11">
                  <c:v>0.11098527746319366</c:v>
                </c:pt>
                <c:pt idx="12">
                  <c:v>6.9082672706681766E-2</c:v>
                </c:pt>
                <c:pt idx="13">
                  <c:v>6.5685164212910527E-2</c:v>
                </c:pt>
                <c:pt idx="14">
                  <c:v>7.2480181200453006E-2</c:v>
                </c:pt>
                <c:pt idx="15">
                  <c:v>6.9082672706681766E-2</c:v>
                </c:pt>
                <c:pt idx="16">
                  <c:v>5.7757644394110984E-2</c:v>
                </c:pt>
                <c:pt idx="17">
                  <c:v>3.0577576443941108E-2</c:v>
                </c:pt>
                <c:pt idx="18">
                  <c:v>1.8120045300113252E-2</c:v>
                </c:pt>
                <c:pt idx="19">
                  <c:v>1.9252548131370329E-2</c:v>
                </c:pt>
                <c:pt idx="20">
                  <c:v>1.245753114382786E-2</c:v>
                </c:pt>
                <c:pt idx="21">
                  <c:v>1.1325028312570781E-2</c:v>
                </c:pt>
                <c:pt idx="22">
                  <c:v>7.9275198187995465E-3</c:v>
                </c:pt>
                <c:pt idx="23">
                  <c:v>6.7950169875424689E-3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28B-4780-8012-0C9F4020C5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9596768"/>
        <c:axId val="2069595520"/>
      </c:lineChart>
      <c:catAx>
        <c:axId val="206959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一天</a:t>
                </a:r>
                <a:r>
                  <a:rPr lang="en-US" altLang="zh-TW"/>
                  <a:t>24</a:t>
                </a:r>
                <a:r>
                  <a:rPr lang="zh-TW" altLang="en-US"/>
                  <a:t>小時</a:t>
                </a:r>
                <a:endParaRPr lang="en-US" altLang="zh-TW"/>
              </a:p>
            </c:rich>
          </c:tx>
          <c:layout>
            <c:manualLayout>
              <c:xMode val="edge"/>
              <c:yMode val="edge"/>
              <c:x val="0.48481617119752729"/>
              <c:y val="0.8888508058185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069595520"/>
        <c:crosses val="autoZero"/>
        <c:auto val="1"/>
        <c:lblAlgn val="ctr"/>
        <c:lblOffset val="100"/>
        <c:noMultiLvlLbl val="0"/>
      </c:catAx>
      <c:valAx>
        <c:axId val="206959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06959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'上(交流道)南下'!$P$7</c:f>
              <c:strCache>
                <c:ptCount val="1"/>
                <c:pt idx="0">
                  <c:v>31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'上(交流道)南下'!$O$8:$O$31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'上(交流道)南下'!$P$8:$P$31</c:f>
              <c:numCache>
                <c:formatCode>0.00%</c:formatCode>
                <c:ptCount val="24"/>
                <c:pt idx="0">
                  <c:v>3.1545741324921135E-3</c:v>
                </c:pt>
                <c:pt idx="1">
                  <c:v>3.1545741324921135E-3</c:v>
                </c:pt>
                <c:pt idx="2">
                  <c:v>3.1545741324921135E-3</c:v>
                </c:pt>
                <c:pt idx="3">
                  <c:v>3.1545741324921135E-3</c:v>
                </c:pt>
                <c:pt idx="4">
                  <c:v>9.4637223974763408E-3</c:v>
                </c:pt>
                <c:pt idx="5">
                  <c:v>9.4637223974763408E-3</c:v>
                </c:pt>
                <c:pt idx="6">
                  <c:v>2.2082018927444796E-2</c:v>
                </c:pt>
                <c:pt idx="7">
                  <c:v>0.1167192429022082</c:v>
                </c:pt>
                <c:pt idx="8">
                  <c:v>7.5709779179810727E-2</c:v>
                </c:pt>
                <c:pt idx="9">
                  <c:v>5.6782334384858045E-2</c:v>
                </c:pt>
                <c:pt idx="10">
                  <c:v>6.3091482649842268E-2</c:v>
                </c:pt>
                <c:pt idx="11">
                  <c:v>6.3091482649842268E-2</c:v>
                </c:pt>
                <c:pt idx="12">
                  <c:v>5.6782334384858045E-2</c:v>
                </c:pt>
                <c:pt idx="13">
                  <c:v>5.6782334384858045E-2</c:v>
                </c:pt>
                <c:pt idx="14">
                  <c:v>6.6246056782334389E-2</c:v>
                </c:pt>
                <c:pt idx="15">
                  <c:v>5.6782334384858045E-2</c:v>
                </c:pt>
                <c:pt idx="16">
                  <c:v>6.3091482649842268E-2</c:v>
                </c:pt>
                <c:pt idx="17">
                  <c:v>7.2555205047318619E-2</c:v>
                </c:pt>
                <c:pt idx="18">
                  <c:v>5.993690851735016E-2</c:v>
                </c:pt>
                <c:pt idx="19">
                  <c:v>5.362776025236593E-2</c:v>
                </c:pt>
                <c:pt idx="20">
                  <c:v>3.7854889589905363E-2</c:v>
                </c:pt>
                <c:pt idx="21">
                  <c:v>1.8927444794952682E-2</c:v>
                </c:pt>
                <c:pt idx="22">
                  <c:v>9.4637223974763408E-3</c:v>
                </c:pt>
                <c:pt idx="23">
                  <c:v>1.8927444794952682E-2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4C-461D-A849-718C43641DCB}"/>
            </c:ext>
          </c:extLst>
        </c:ser>
        <c:ser>
          <c:idx val="1"/>
          <c:order val="1"/>
          <c:tx>
            <c:strRef>
              <c:f>'上(交流道)南下'!$Q$7</c:f>
              <c:strCache>
                <c:ptCount val="1"/>
                <c:pt idx="0">
                  <c:v>32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'上(交流道)南下'!$O$8:$O$31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'上(交流道)南下'!$Q$8:$Q$31</c:f>
              <c:numCache>
                <c:formatCode>0.00%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7.9365079365079361E-3</c:v>
                </c:pt>
                <c:pt idx="4">
                  <c:v>1.5873015873015872E-2</c:v>
                </c:pt>
                <c:pt idx="5">
                  <c:v>1.5873015873015872E-2</c:v>
                </c:pt>
                <c:pt idx="6">
                  <c:v>4.7619047619047616E-2</c:v>
                </c:pt>
                <c:pt idx="7">
                  <c:v>4.7619047619047616E-2</c:v>
                </c:pt>
                <c:pt idx="8">
                  <c:v>8.7301587301587297E-2</c:v>
                </c:pt>
                <c:pt idx="9">
                  <c:v>7.1428571428571425E-2</c:v>
                </c:pt>
                <c:pt idx="10">
                  <c:v>4.7619047619047616E-2</c:v>
                </c:pt>
                <c:pt idx="11">
                  <c:v>7.1428571428571425E-2</c:v>
                </c:pt>
                <c:pt idx="12">
                  <c:v>8.7301587301587297E-2</c:v>
                </c:pt>
                <c:pt idx="13">
                  <c:v>7.1428571428571425E-2</c:v>
                </c:pt>
                <c:pt idx="14">
                  <c:v>6.3492063492063489E-2</c:v>
                </c:pt>
                <c:pt idx="15">
                  <c:v>6.3492063492063489E-2</c:v>
                </c:pt>
                <c:pt idx="16">
                  <c:v>7.9365079365079361E-2</c:v>
                </c:pt>
                <c:pt idx="17">
                  <c:v>7.1428571428571425E-2</c:v>
                </c:pt>
                <c:pt idx="18">
                  <c:v>5.5555555555555552E-2</c:v>
                </c:pt>
                <c:pt idx="19">
                  <c:v>3.968253968253968E-2</c:v>
                </c:pt>
                <c:pt idx="20">
                  <c:v>4.7619047619047616E-2</c:v>
                </c:pt>
                <c:pt idx="21">
                  <c:v>0</c:v>
                </c:pt>
                <c:pt idx="22">
                  <c:v>7.9365079365079361E-3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4C-461D-A849-718C43641DCB}"/>
            </c:ext>
          </c:extLst>
        </c:ser>
        <c:ser>
          <c:idx val="2"/>
          <c:order val="2"/>
          <c:tx>
            <c:strRef>
              <c:f>'上(交流道)南下'!$R$7</c:f>
              <c:strCache>
                <c:ptCount val="1"/>
                <c:pt idx="0">
                  <c:v>41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'上(交流道)南下'!$O$8:$O$31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'上(交流道)南下'!$R$8:$R$31</c:f>
              <c:numCache>
                <c:formatCode>0.00%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0.3</c:v>
                </c:pt>
                <c:pt idx="12">
                  <c:v>0.1</c:v>
                </c:pt>
                <c:pt idx="13">
                  <c:v>0.1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4C-461D-A849-718C43641DCB}"/>
            </c:ext>
          </c:extLst>
        </c:ser>
        <c:ser>
          <c:idx val="3"/>
          <c:order val="3"/>
          <c:tx>
            <c:strRef>
              <c:f>'上(交流道)南下'!$S$7</c:f>
              <c:strCache>
                <c:ptCount val="1"/>
                <c:pt idx="0">
                  <c:v>42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'上(交流道)南下'!$O$8:$O$31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'上(交流道)南下'!$S$8:$S$31</c:f>
              <c:numCache>
                <c:formatCode>0.00%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2.6315789473684209E-2</c:v>
                </c:pt>
                <c:pt idx="4">
                  <c:v>2.6315789473684209E-2</c:v>
                </c:pt>
                <c:pt idx="5">
                  <c:v>2.6315789473684209E-2</c:v>
                </c:pt>
                <c:pt idx="6">
                  <c:v>0</c:v>
                </c:pt>
                <c:pt idx="7">
                  <c:v>2.6315789473684209E-2</c:v>
                </c:pt>
                <c:pt idx="8">
                  <c:v>0</c:v>
                </c:pt>
                <c:pt idx="9">
                  <c:v>5.2631578947368418E-2</c:v>
                </c:pt>
                <c:pt idx="10">
                  <c:v>5.2631578947368418E-2</c:v>
                </c:pt>
                <c:pt idx="11">
                  <c:v>0.10526315789473684</c:v>
                </c:pt>
                <c:pt idx="12">
                  <c:v>2.6315789473684209E-2</c:v>
                </c:pt>
                <c:pt idx="13">
                  <c:v>0.18421052631578946</c:v>
                </c:pt>
                <c:pt idx="14">
                  <c:v>7.8947368421052627E-2</c:v>
                </c:pt>
                <c:pt idx="15">
                  <c:v>0.15789473684210525</c:v>
                </c:pt>
                <c:pt idx="16">
                  <c:v>5.2631578947368418E-2</c:v>
                </c:pt>
                <c:pt idx="17">
                  <c:v>7.8947368421052627E-2</c:v>
                </c:pt>
                <c:pt idx="18">
                  <c:v>2.6315789473684209E-2</c:v>
                </c:pt>
                <c:pt idx="19">
                  <c:v>5.2631578947368418E-2</c:v>
                </c:pt>
                <c:pt idx="20">
                  <c:v>0</c:v>
                </c:pt>
                <c:pt idx="21">
                  <c:v>0</c:v>
                </c:pt>
                <c:pt idx="22">
                  <c:v>2.6315789473684209E-2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A4C-461D-A849-718C43641DCB}"/>
            </c:ext>
          </c:extLst>
        </c:ser>
        <c:ser>
          <c:idx val="4"/>
          <c:order val="4"/>
          <c:tx>
            <c:strRef>
              <c:f>'上(交流道)南下'!$T$7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'上(交流道)南下'!$O$8:$O$31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'上(交流道)南下'!$T$8:$T$31</c:f>
              <c:numCache>
                <c:formatCode>0.00%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1.9230769230769232E-2</c:v>
                </c:pt>
                <c:pt idx="5">
                  <c:v>0</c:v>
                </c:pt>
                <c:pt idx="6">
                  <c:v>3.8461538461538464E-2</c:v>
                </c:pt>
                <c:pt idx="7">
                  <c:v>1.9230769230769232E-2</c:v>
                </c:pt>
                <c:pt idx="8">
                  <c:v>9.6153846153846159E-2</c:v>
                </c:pt>
                <c:pt idx="9">
                  <c:v>9.6153846153846159E-2</c:v>
                </c:pt>
                <c:pt idx="10">
                  <c:v>0.11538461538461539</c:v>
                </c:pt>
                <c:pt idx="11">
                  <c:v>9.6153846153846159E-2</c:v>
                </c:pt>
                <c:pt idx="12">
                  <c:v>7.6923076923076927E-2</c:v>
                </c:pt>
                <c:pt idx="13">
                  <c:v>0.13461538461538461</c:v>
                </c:pt>
                <c:pt idx="14">
                  <c:v>3.8461538461538464E-2</c:v>
                </c:pt>
                <c:pt idx="15">
                  <c:v>9.6153846153846159E-2</c:v>
                </c:pt>
                <c:pt idx="16">
                  <c:v>0.11538461538461539</c:v>
                </c:pt>
                <c:pt idx="17">
                  <c:v>1.9230769230769232E-2</c:v>
                </c:pt>
                <c:pt idx="18">
                  <c:v>1.9230769230769232E-2</c:v>
                </c:pt>
                <c:pt idx="19">
                  <c:v>1.9230769230769232E-2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A4C-461D-A849-718C43641D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3467648"/>
        <c:axId val="2053464736"/>
      </c:lineChart>
      <c:catAx>
        <c:axId val="2053467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053464736"/>
        <c:crosses val="autoZero"/>
        <c:auto val="1"/>
        <c:lblAlgn val="ctr"/>
        <c:lblOffset val="100"/>
        <c:noMultiLvlLbl val="0"/>
      </c:catAx>
      <c:valAx>
        <c:axId val="2053464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053467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'下(交流道)北上'!$P$7</c:f>
              <c:strCache>
                <c:ptCount val="1"/>
                <c:pt idx="0">
                  <c:v>31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'下(交流道)北上'!$O$8:$O$31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'下(交流道)北上'!$P$8:$P$31</c:f>
              <c:numCache>
                <c:formatCode>0.00%</c:formatCode>
                <c:ptCount val="24"/>
                <c:pt idx="0">
                  <c:v>4.9261083743842365E-3</c:v>
                </c:pt>
                <c:pt idx="1">
                  <c:v>0</c:v>
                </c:pt>
                <c:pt idx="2">
                  <c:v>4.9261083743842365E-3</c:v>
                </c:pt>
                <c:pt idx="3">
                  <c:v>2.4630541871921183E-3</c:v>
                </c:pt>
                <c:pt idx="4">
                  <c:v>2.4630541871921183E-3</c:v>
                </c:pt>
                <c:pt idx="5">
                  <c:v>1.9704433497536946E-2</c:v>
                </c:pt>
                <c:pt idx="6">
                  <c:v>3.9408866995073892E-2</c:v>
                </c:pt>
                <c:pt idx="7">
                  <c:v>9.6059113300492605E-2</c:v>
                </c:pt>
                <c:pt idx="8">
                  <c:v>5.1724137931034482E-2</c:v>
                </c:pt>
                <c:pt idx="9">
                  <c:v>6.6502463054187194E-2</c:v>
                </c:pt>
                <c:pt idx="10">
                  <c:v>5.4187192118226604E-2</c:v>
                </c:pt>
                <c:pt idx="11">
                  <c:v>5.1724137931034482E-2</c:v>
                </c:pt>
                <c:pt idx="12">
                  <c:v>4.9261083743842367E-2</c:v>
                </c:pt>
                <c:pt idx="13">
                  <c:v>3.4482758620689655E-2</c:v>
                </c:pt>
                <c:pt idx="14">
                  <c:v>6.1576354679802957E-2</c:v>
                </c:pt>
                <c:pt idx="15">
                  <c:v>7.8817733990147784E-2</c:v>
                </c:pt>
                <c:pt idx="16">
                  <c:v>8.1280788177339899E-2</c:v>
                </c:pt>
                <c:pt idx="17">
                  <c:v>0.10344827586206896</c:v>
                </c:pt>
                <c:pt idx="18">
                  <c:v>4.6798029556650245E-2</c:v>
                </c:pt>
                <c:pt idx="19">
                  <c:v>4.1871921182266007E-2</c:v>
                </c:pt>
                <c:pt idx="20">
                  <c:v>4.1871921182266007E-2</c:v>
                </c:pt>
                <c:pt idx="21">
                  <c:v>2.7093596059113302E-2</c:v>
                </c:pt>
                <c:pt idx="22">
                  <c:v>1.9704433497536946E-2</c:v>
                </c:pt>
                <c:pt idx="23">
                  <c:v>1.9704433497536946E-2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88-4A04-B592-4E55AF757ADC}"/>
            </c:ext>
          </c:extLst>
        </c:ser>
        <c:ser>
          <c:idx val="1"/>
          <c:order val="1"/>
          <c:tx>
            <c:strRef>
              <c:f>'下(交流道)北上'!$Q$7</c:f>
              <c:strCache>
                <c:ptCount val="1"/>
                <c:pt idx="0">
                  <c:v>32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'下(交流道)北上'!$O$8:$O$31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'下(交流道)北上'!$Q$8:$Q$31</c:f>
              <c:numCache>
                <c:formatCode>0.00%</c:formatCode>
                <c:ptCount val="24"/>
                <c:pt idx="0">
                  <c:v>1.1764705882352941E-2</c:v>
                </c:pt>
                <c:pt idx="1">
                  <c:v>5.8823529411764705E-3</c:v>
                </c:pt>
                <c:pt idx="2">
                  <c:v>5.8823529411764705E-3</c:v>
                </c:pt>
                <c:pt idx="3">
                  <c:v>5.8823529411764705E-3</c:v>
                </c:pt>
                <c:pt idx="4">
                  <c:v>0</c:v>
                </c:pt>
                <c:pt idx="5">
                  <c:v>1.1764705882352941E-2</c:v>
                </c:pt>
                <c:pt idx="6">
                  <c:v>2.9411764705882353E-2</c:v>
                </c:pt>
                <c:pt idx="7">
                  <c:v>6.4705882352941183E-2</c:v>
                </c:pt>
                <c:pt idx="8">
                  <c:v>7.6470588235294124E-2</c:v>
                </c:pt>
                <c:pt idx="9">
                  <c:v>5.2941176470588235E-2</c:v>
                </c:pt>
                <c:pt idx="10">
                  <c:v>5.8823529411764705E-2</c:v>
                </c:pt>
                <c:pt idx="11">
                  <c:v>5.8823529411764705E-2</c:v>
                </c:pt>
                <c:pt idx="12">
                  <c:v>5.2941176470588235E-2</c:v>
                </c:pt>
                <c:pt idx="13">
                  <c:v>6.4705882352941183E-2</c:v>
                </c:pt>
                <c:pt idx="14">
                  <c:v>4.1176470588235294E-2</c:v>
                </c:pt>
                <c:pt idx="15">
                  <c:v>8.8235294117647065E-2</c:v>
                </c:pt>
                <c:pt idx="16">
                  <c:v>8.8235294117647065E-2</c:v>
                </c:pt>
                <c:pt idx="17">
                  <c:v>0.10588235294117647</c:v>
                </c:pt>
                <c:pt idx="18">
                  <c:v>1.7647058823529412E-2</c:v>
                </c:pt>
                <c:pt idx="19">
                  <c:v>4.1176470588235294E-2</c:v>
                </c:pt>
                <c:pt idx="20">
                  <c:v>5.2941176470588235E-2</c:v>
                </c:pt>
                <c:pt idx="21">
                  <c:v>2.9411764705882353E-2</c:v>
                </c:pt>
                <c:pt idx="22">
                  <c:v>2.9411764705882353E-2</c:v>
                </c:pt>
                <c:pt idx="23">
                  <c:v>5.8823529411764705E-3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88-4A04-B592-4E55AF757ADC}"/>
            </c:ext>
          </c:extLst>
        </c:ser>
        <c:ser>
          <c:idx val="2"/>
          <c:order val="2"/>
          <c:tx>
            <c:strRef>
              <c:f>'下(交流道)北上'!$R$7</c:f>
              <c:strCache>
                <c:ptCount val="1"/>
                <c:pt idx="0">
                  <c:v>41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'下(交流道)北上'!$O$8:$O$31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'下(交流道)北上'!$R$8:$R$31</c:f>
              <c:numCache>
                <c:formatCode>0.00%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0.125</c:v>
                </c:pt>
                <c:pt idx="10">
                  <c:v>0.125</c:v>
                </c:pt>
                <c:pt idx="11">
                  <c:v>0.125</c:v>
                </c:pt>
                <c:pt idx="12">
                  <c:v>0</c:v>
                </c:pt>
                <c:pt idx="13">
                  <c:v>0.25</c:v>
                </c:pt>
                <c:pt idx="14">
                  <c:v>0</c:v>
                </c:pt>
                <c:pt idx="15">
                  <c:v>0</c:v>
                </c:pt>
                <c:pt idx="16">
                  <c:v>0.125</c:v>
                </c:pt>
                <c:pt idx="17">
                  <c:v>0</c:v>
                </c:pt>
                <c:pt idx="18">
                  <c:v>0</c:v>
                </c:pt>
                <c:pt idx="19">
                  <c:v>0.125</c:v>
                </c:pt>
                <c:pt idx="20">
                  <c:v>0</c:v>
                </c:pt>
                <c:pt idx="21">
                  <c:v>0.125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88-4A04-B592-4E55AF757ADC}"/>
            </c:ext>
          </c:extLst>
        </c:ser>
        <c:ser>
          <c:idx val="3"/>
          <c:order val="3"/>
          <c:tx>
            <c:strRef>
              <c:f>'下(交流道)北上'!$S$7</c:f>
              <c:strCache>
                <c:ptCount val="1"/>
                <c:pt idx="0">
                  <c:v>42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'下(交流道)北上'!$O$8:$O$31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'下(交流道)北上'!$S$8:$S$31</c:f>
              <c:numCache>
                <c:formatCode>0.00%</c:formatCode>
                <c:ptCount val="24"/>
                <c:pt idx="0">
                  <c:v>0</c:v>
                </c:pt>
                <c:pt idx="1">
                  <c:v>3.8461538461538464E-2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7.6923076923076927E-2</c:v>
                </c:pt>
                <c:pt idx="6">
                  <c:v>3.8461538461538464E-2</c:v>
                </c:pt>
                <c:pt idx="7">
                  <c:v>3.8461538461538464E-2</c:v>
                </c:pt>
                <c:pt idx="8">
                  <c:v>7.6923076923076927E-2</c:v>
                </c:pt>
                <c:pt idx="9">
                  <c:v>7.6923076923076927E-2</c:v>
                </c:pt>
                <c:pt idx="10">
                  <c:v>7.6923076923076927E-2</c:v>
                </c:pt>
                <c:pt idx="11">
                  <c:v>7.6923076923076927E-2</c:v>
                </c:pt>
                <c:pt idx="12">
                  <c:v>3.8461538461538464E-2</c:v>
                </c:pt>
                <c:pt idx="13">
                  <c:v>7.6923076923076927E-2</c:v>
                </c:pt>
                <c:pt idx="14">
                  <c:v>0.15384615384615385</c:v>
                </c:pt>
                <c:pt idx="15">
                  <c:v>0.11538461538461539</c:v>
                </c:pt>
                <c:pt idx="16">
                  <c:v>7.6923076923076927E-2</c:v>
                </c:pt>
                <c:pt idx="17">
                  <c:v>0</c:v>
                </c:pt>
                <c:pt idx="18">
                  <c:v>3.8461538461538464E-2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888-4A04-B592-4E55AF757ADC}"/>
            </c:ext>
          </c:extLst>
        </c:ser>
        <c:ser>
          <c:idx val="4"/>
          <c:order val="4"/>
          <c:tx>
            <c:strRef>
              <c:f>'下(交流道)北上'!$T$7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'下(交流道)北上'!$O$8:$O$31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'下(交流道)北上'!$T$8:$T$31</c:f>
              <c:numCache>
                <c:formatCode>0.00%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6.1538461538461542E-2</c:v>
                </c:pt>
                <c:pt idx="7">
                  <c:v>6.1538461538461542E-2</c:v>
                </c:pt>
                <c:pt idx="8">
                  <c:v>1.5384615384615385E-2</c:v>
                </c:pt>
                <c:pt idx="9">
                  <c:v>9.2307692307692313E-2</c:v>
                </c:pt>
                <c:pt idx="10">
                  <c:v>9.2307692307692313E-2</c:v>
                </c:pt>
                <c:pt idx="11">
                  <c:v>9.2307692307692313E-2</c:v>
                </c:pt>
                <c:pt idx="12">
                  <c:v>9.2307692307692313E-2</c:v>
                </c:pt>
                <c:pt idx="13">
                  <c:v>7.6923076923076927E-2</c:v>
                </c:pt>
                <c:pt idx="14">
                  <c:v>0.15384615384615385</c:v>
                </c:pt>
                <c:pt idx="15">
                  <c:v>6.1538461538461542E-2</c:v>
                </c:pt>
                <c:pt idx="16">
                  <c:v>9.2307692307692313E-2</c:v>
                </c:pt>
                <c:pt idx="17">
                  <c:v>7.6923076923076927E-2</c:v>
                </c:pt>
                <c:pt idx="18">
                  <c:v>1.5384615384615385E-2</c:v>
                </c:pt>
                <c:pt idx="19">
                  <c:v>0</c:v>
                </c:pt>
                <c:pt idx="20">
                  <c:v>1.5384615384615385E-2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888-4A04-B592-4E55AF757A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2881952"/>
        <c:axId val="1962884864"/>
      </c:lineChart>
      <c:catAx>
        <c:axId val="1962881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62884864"/>
        <c:crosses val="autoZero"/>
        <c:auto val="1"/>
        <c:lblAlgn val="ctr"/>
        <c:lblOffset val="100"/>
        <c:noMultiLvlLbl val="0"/>
      </c:catAx>
      <c:valAx>
        <c:axId val="1962884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62881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03F4232S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6.2483751540982874E-2"/>
          <c:y val="9.8561232563227893E-2"/>
          <c:w val="0.92386162946696881"/>
          <c:h val="0.81598939898832734"/>
        </c:manualLayout>
      </c:layout>
      <c:lineChart>
        <c:grouping val="standard"/>
        <c:varyColors val="0"/>
        <c:ser>
          <c:idx val="0"/>
          <c:order val="0"/>
          <c:tx>
            <c:strRef>
              <c:f>'下(交流道)南下'!$P$7</c:f>
              <c:strCache>
                <c:ptCount val="1"/>
                <c:pt idx="0">
                  <c:v>31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'下(交流道)南下'!$O$8:$O$31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'下(交流道)南下'!$P$8:$P$31</c:f>
              <c:numCache>
                <c:formatCode>0.00%</c:formatCode>
                <c:ptCount val="24"/>
                <c:pt idx="0">
                  <c:v>6.6502819141246207E-3</c:v>
                </c:pt>
                <c:pt idx="1">
                  <c:v>4.7708544166546194E-3</c:v>
                </c:pt>
                <c:pt idx="2">
                  <c:v>4.9154257626138498E-3</c:v>
                </c:pt>
                <c:pt idx="3">
                  <c:v>3.903426340899234E-3</c:v>
                </c:pt>
                <c:pt idx="4">
                  <c:v>9.3971374873500074E-3</c:v>
                </c:pt>
                <c:pt idx="5">
                  <c:v>2.1251987856006939E-2</c:v>
                </c:pt>
                <c:pt idx="6">
                  <c:v>5.2045684545323117E-3</c:v>
                </c:pt>
                <c:pt idx="7">
                  <c:v>9.0212519878560063E-2</c:v>
                </c:pt>
                <c:pt idx="8">
                  <c:v>8.6164522191701606E-2</c:v>
                </c:pt>
                <c:pt idx="9">
                  <c:v>9.2091947376030076E-2</c:v>
                </c:pt>
                <c:pt idx="10">
                  <c:v>8.8188521035130835E-2</c:v>
                </c:pt>
                <c:pt idx="11">
                  <c:v>6.939424606043082E-2</c:v>
                </c:pt>
                <c:pt idx="12">
                  <c:v>5.6238253578140815E-2</c:v>
                </c:pt>
                <c:pt idx="13">
                  <c:v>5.7105681653896199E-2</c:v>
                </c:pt>
                <c:pt idx="14">
                  <c:v>6.0141679919040049E-2</c:v>
                </c:pt>
                <c:pt idx="15">
                  <c:v>5.7105681653896199E-2</c:v>
                </c:pt>
                <c:pt idx="16">
                  <c:v>5.421425473471158E-2</c:v>
                </c:pt>
                <c:pt idx="17">
                  <c:v>5.9852537227121583E-2</c:v>
                </c:pt>
                <c:pt idx="18">
                  <c:v>4.8575972242301577E-2</c:v>
                </c:pt>
                <c:pt idx="19">
                  <c:v>3.5130837068093106E-2</c:v>
                </c:pt>
                <c:pt idx="20">
                  <c:v>3.2528552840826945E-2</c:v>
                </c:pt>
                <c:pt idx="21">
                  <c:v>2.775769842417233E-2</c:v>
                </c:pt>
                <c:pt idx="22">
                  <c:v>1.9806274396414629E-2</c:v>
                </c:pt>
                <c:pt idx="23">
                  <c:v>9.3971374873500074E-3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65-4BDD-BB7A-684B77A299F4}"/>
            </c:ext>
          </c:extLst>
        </c:ser>
        <c:ser>
          <c:idx val="1"/>
          <c:order val="1"/>
          <c:tx>
            <c:strRef>
              <c:f>'下(交流道)南下'!$Q$7</c:f>
              <c:strCache>
                <c:ptCount val="1"/>
                <c:pt idx="0">
                  <c:v>32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'下(交流道)南下'!$O$8:$O$31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'下(交流道)南下'!$Q$8:$Q$31</c:f>
              <c:numCache>
                <c:formatCode>0.00%</c:formatCode>
                <c:ptCount val="24"/>
                <c:pt idx="0">
                  <c:v>7.7876106194690268E-3</c:v>
                </c:pt>
                <c:pt idx="1">
                  <c:v>4.2477876106194693E-3</c:v>
                </c:pt>
                <c:pt idx="2">
                  <c:v>3.185840707964602E-3</c:v>
                </c:pt>
                <c:pt idx="3">
                  <c:v>6.371681415929204E-3</c:v>
                </c:pt>
                <c:pt idx="4">
                  <c:v>1.4867256637168142E-2</c:v>
                </c:pt>
                <c:pt idx="5">
                  <c:v>2.6902654867256636E-2</c:v>
                </c:pt>
                <c:pt idx="6">
                  <c:v>5.1327433628318583E-2</c:v>
                </c:pt>
                <c:pt idx="7">
                  <c:v>7.7876106194690264E-2</c:v>
                </c:pt>
                <c:pt idx="8">
                  <c:v>0.1079646017699115</c:v>
                </c:pt>
                <c:pt idx="9">
                  <c:v>9.9115044247787609E-2</c:v>
                </c:pt>
                <c:pt idx="10">
                  <c:v>8.1415929203539822E-2</c:v>
                </c:pt>
                <c:pt idx="11">
                  <c:v>5.5575221238938051E-2</c:v>
                </c:pt>
                <c:pt idx="12">
                  <c:v>4.8141592920353984E-2</c:v>
                </c:pt>
                <c:pt idx="13">
                  <c:v>4.7787610619469026E-2</c:v>
                </c:pt>
                <c:pt idx="14">
                  <c:v>5.4867256637168141E-2</c:v>
                </c:pt>
                <c:pt idx="15">
                  <c:v>5.3451327433628321E-2</c:v>
                </c:pt>
                <c:pt idx="16">
                  <c:v>5.9469026548672567E-2</c:v>
                </c:pt>
                <c:pt idx="17">
                  <c:v>6.3362831858407076E-2</c:v>
                </c:pt>
                <c:pt idx="18">
                  <c:v>4.247787610619469E-2</c:v>
                </c:pt>
                <c:pt idx="19">
                  <c:v>2.9380530973451328E-2</c:v>
                </c:pt>
                <c:pt idx="20">
                  <c:v>2.1946902654867255E-2</c:v>
                </c:pt>
                <c:pt idx="21">
                  <c:v>2.0530973451327435E-2</c:v>
                </c:pt>
                <c:pt idx="22">
                  <c:v>1.3451327433628318E-2</c:v>
                </c:pt>
                <c:pt idx="23">
                  <c:v>8.4955752212389386E-3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65-4BDD-BB7A-684B77A299F4}"/>
            </c:ext>
          </c:extLst>
        </c:ser>
        <c:ser>
          <c:idx val="2"/>
          <c:order val="2"/>
          <c:tx>
            <c:strRef>
              <c:f>'下(交流道)南下'!$R$7</c:f>
              <c:strCache>
                <c:ptCount val="1"/>
                <c:pt idx="0">
                  <c:v>41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'下(交流道)南下'!$O$8:$O$31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'下(交流道)南下'!$R$8:$R$31</c:f>
              <c:numCache>
                <c:formatCode>0.00%</c:formatCode>
                <c:ptCount val="24"/>
                <c:pt idx="0">
                  <c:v>5.8139534883720929E-3</c:v>
                </c:pt>
                <c:pt idx="1">
                  <c:v>5.8139534883720929E-3</c:v>
                </c:pt>
                <c:pt idx="2">
                  <c:v>0</c:v>
                </c:pt>
                <c:pt idx="3">
                  <c:v>0</c:v>
                </c:pt>
                <c:pt idx="4">
                  <c:v>1.1627906976744186E-2</c:v>
                </c:pt>
                <c:pt idx="5">
                  <c:v>4.0697674418604654E-2</c:v>
                </c:pt>
                <c:pt idx="6">
                  <c:v>6.3953488372093026E-2</c:v>
                </c:pt>
                <c:pt idx="7">
                  <c:v>0.12790697674418605</c:v>
                </c:pt>
                <c:pt idx="8">
                  <c:v>8.1395348837209308E-2</c:v>
                </c:pt>
                <c:pt idx="9">
                  <c:v>0.11046511627906977</c:v>
                </c:pt>
                <c:pt idx="10">
                  <c:v>4.0697674418604654E-2</c:v>
                </c:pt>
                <c:pt idx="11">
                  <c:v>0.11627906976744186</c:v>
                </c:pt>
                <c:pt idx="12">
                  <c:v>4.0697674418604654E-2</c:v>
                </c:pt>
                <c:pt idx="13">
                  <c:v>6.3953488372093026E-2</c:v>
                </c:pt>
                <c:pt idx="14">
                  <c:v>7.5581395348837205E-2</c:v>
                </c:pt>
                <c:pt idx="15">
                  <c:v>9.8837209302325577E-2</c:v>
                </c:pt>
                <c:pt idx="16">
                  <c:v>5.8139534883720929E-2</c:v>
                </c:pt>
                <c:pt idx="17">
                  <c:v>5.8139534883720929E-3</c:v>
                </c:pt>
                <c:pt idx="18">
                  <c:v>1.1627906976744186E-2</c:v>
                </c:pt>
                <c:pt idx="19">
                  <c:v>2.9069767441860465E-2</c:v>
                </c:pt>
                <c:pt idx="20">
                  <c:v>0</c:v>
                </c:pt>
                <c:pt idx="21">
                  <c:v>0</c:v>
                </c:pt>
                <c:pt idx="22">
                  <c:v>1.1627906976744186E-2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65-4BDD-BB7A-684B77A299F4}"/>
            </c:ext>
          </c:extLst>
        </c:ser>
        <c:ser>
          <c:idx val="3"/>
          <c:order val="3"/>
          <c:tx>
            <c:strRef>
              <c:f>'下(交流道)南下'!$S$7</c:f>
              <c:strCache>
                <c:ptCount val="1"/>
                <c:pt idx="0">
                  <c:v>42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'下(交流道)南下'!$O$8:$O$31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'下(交流道)南下'!$S$8:$S$31</c:f>
              <c:numCache>
                <c:formatCode>0.00%</c:formatCode>
                <c:ptCount val="24"/>
                <c:pt idx="0">
                  <c:v>9.538950715421303E-3</c:v>
                </c:pt>
                <c:pt idx="1">
                  <c:v>4.7694753577106515E-3</c:v>
                </c:pt>
                <c:pt idx="2">
                  <c:v>2.2257551669316374E-2</c:v>
                </c:pt>
                <c:pt idx="3">
                  <c:v>1.1128775834658187E-2</c:v>
                </c:pt>
                <c:pt idx="4">
                  <c:v>3.9745627980922099E-2</c:v>
                </c:pt>
                <c:pt idx="5">
                  <c:v>4.2925278219395867E-2</c:v>
                </c:pt>
                <c:pt idx="6">
                  <c:v>6.3593004769475353E-2</c:v>
                </c:pt>
                <c:pt idx="7">
                  <c:v>8.5850556438791734E-2</c:v>
                </c:pt>
                <c:pt idx="8">
                  <c:v>7.6311605723370424E-2</c:v>
                </c:pt>
                <c:pt idx="9">
                  <c:v>0.10492845786963434</c:v>
                </c:pt>
                <c:pt idx="10">
                  <c:v>7.9491255961844198E-2</c:v>
                </c:pt>
                <c:pt idx="11">
                  <c:v>6.3593004769475353E-2</c:v>
                </c:pt>
                <c:pt idx="12">
                  <c:v>5.4054054054054057E-2</c:v>
                </c:pt>
                <c:pt idx="13">
                  <c:v>5.7233704292527825E-2</c:v>
                </c:pt>
                <c:pt idx="14">
                  <c:v>5.5643879173290937E-2</c:v>
                </c:pt>
                <c:pt idx="15">
                  <c:v>5.246422893481717E-2</c:v>
                </c:pt>
                <c:pt idx="16">
                  <c:v>4.4515103338632747E-2</c:v>
                </c:pt>
                <c:pt idx="17">
                  <c:v>3.0206677265500796E-2</c:v>
                </c:pt>
                <c:pt idx="18">
                  <c:v>1.4308426073131956E-2</c:v>
                </c:pt>
                <c:pt idx="19">
                  <c:v>2.8616852146263912E-2</c:v>
                </c:pt>
                <c:pt idx="20">
                  <c:v>1.5898251192368838E-2</c:v>
                </c:pt>
                <c:pt idx="21">
                  <c:v>6.3593004769475362E-3</c:v>
                </c:pt>
                <c:pt idx="22">
                  <c:v>1.4308426073131956E-2</c:v>
                </c:pt>
                <c:pt idx="23">
                  <c:v>2.2257551669316374E-2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65-4BDD-BB7A-684B77A299F4}"/>
            </c:ext>
          </c:extLst>
        </c:ser>
        <c:ser>
          <c:idx val="4"/>
          <c:order val="4"/>
          <c:tx>
            <c:strRef>
              <c:f>'下(交流道)南下'!$T$7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'下(交流道)南下'!$O$8:$O$31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'下(交流道)南下'!$T$8:$T$31</c:f>
              <c:numCache>
                <c:formatCode>0.00%</c:formatCode>
                <c:ptCount val="24"/>
                <c:pt idx="0">
                  <c:v>8.3073727933541015E-3</c:v>
                </c:pt>
                <c:pt idx="1">
                  <c:v>8.3073727933541015E-3</c:v>
                </c:pt>
                <c:pt idx="2">
                  <c:v>1.3499480789200415E-2</c:v>
                </c:pt>
                <c:pt idx="3">
                  <c:v>1.5576323987538941E-2</c:v>
                </c:pt>
                <c:pt idx="4">
                  <c:v>2.4922118380062305E-2</c:v>
                </c:pt>
                <c:pt idx="5">
                  <c:v>3.4267912772585667E-2</c:v>
                </c:pt>
                <c:pt idx="6">
                  <c:v>5.0882658359293877E-2</c:v>
                </c:pt>
                <c:pt idx="7">
                  <c:v>6.9574247144340601E-2</c:v>
                </c:pt>
                <c:pt idx="8">
                  <c:v>9.4496365524402909E-2</c:v>
                </c:pt>
                <c:pt idx="9">
                  <c:v>9.4496365524402909E-2</c:v>
                </c:pt>
                <c:pt idx="10">
                  <c:v>9.9688473520249218E-2</c:v>
                </c:pt>
                <c:pt idx="11">
                  <c:v>7.8920041536863966E-2</c:v>
                </c:pt>
                <c:pt idx="12">
                  <c:v>7.9958463136033234E-2</c:v>
                </c:pt>
                <c:pt idx="13">
                  <c:v>8.6188992731048811E-2</c:v>
                </c:pt>
                <c:pt idx="14">
                  <c:v>6.5420560747663545E-2</c:v>
                </c:pt>
                <c:pt idx="15">
                  <c:v>5.2959501557632398E-2</c:v>
                </c:pt>
                <c:pt idx="16">
                  <c:v>3.5306334371754934E-2</c:v>
                </c:pt>
                <c:pt idx="17">
                  <c:v>1.7653167185877467E-2</c:v>
                </c:pt>
                <c:pt idx="18">
                  <c:v>1.2461059190031152E-2</c:v>
                </c:pt>
                <c:pt idx="19">
                  <c:v>1.3499480789200415E-2</c:v>
                </c:pt>
                <c:pt idx="20">
                  <c:v>1.0384215991692628E-2</c:v>
                </c:pt>
                <c:pt idx="21">
                  <c:v>1.4537902388369679E-2</c:v>
                </c:pt>
                <c:pt idx="22">
                  <c:v>1.0384215991692628E-2</c:v>
                </c:pt>
                <c:pt idx="23">
                  <c:v>8.3073727933541015E-3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665-4BDD-BB7A-684B77A299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1154848"/>
        <c:axId val="2081155264"/>
      </c:lineChart>
      <c:catAx>
        <c:axId val="2081154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081155264"/>
        <c:crosses val="autoZero"/>
        <c:auto val="1"/>
        <c:lblAlgn val="ctr"/>
        <c:lblOffset val="100"/>
        <c:noMultiLvlLbl val="0"/>
      </c:catAx>
      <c:valAx>
        <c:axId val="208115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08115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1B6877A-9091-4C5F-8045-5947C91210D2}">
  <sheetPr/>
  <sheetViews>
    <sheetView tabSelected="1" zoomScale="119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C237D86-C34B-49A1-B695-FBFD25137CD4}">
  <sheetPr/>
  <sheetViews>
    <sheetView zoomScale="119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8707F53-F543-4FA7-BBB4-801B78F57C76}">
  <sheetPr/>
  <sheetViews>
    <sheetView zoomScale="119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6A2E22C-B4CC-4D7E-B9B0-2CB4AAFCE5FD}">
  <sheetPr/>
  <sheetViews>
    <sheetView zoomScale="11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0882" cy="6083193"/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E782FD90-5E24-415F-8453-96672482B9C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0882" cy="6083193"/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19BF0097-A9F7-4417-9EF0-66AA4A6554E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00882" cy="6083193"/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DF3960DA-A2A9-4BB0-A01D-79A37F1488D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300882" cy="6083193"/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A08B046B-8A58-499F-9523-910C3D7BB5F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spreadsheets/d/1dPM0SBn3ThBk0HZo7ODD2-46oHw0vWNB/edit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1000"/>
  <sheetViews>
    <sheetView topLeftCell="A7" workbookViewId="0">
      <selection activeCell="E34" sqref="E34"/>
    </sheetView>
  </sheetViews>
  <sheetFormatPr defaultColWidth="12.5703125" defaultRowHeight="15" customHeight="1"/>
  <cols>
    <col min="1" max="1" width="12.5703125" customWidth="1"/>
    <col min="2" max="2" width="10" customWidth="1"/>
    <col min="3" max="3" width="8" customWidth="1"/>
    <col min="4" max="4" width="16.42578125" customWidth="1"/>
    <col min="5" max="6" width="12.5703125" customWidth="1"/>
    <col min="9" max="9" width="14.42578125" customWidth="1"/>
    <col min="10" max="10" width="20.5703125" customWidth="1"/>
    <col min="11" max="11" width="21.7109375" customWidth="1"/>
    <col min="12" max="12" width="24" customWidth="1"/>
  </cols>
  <sheetData>
    <row r="1" spans="1:29" ht="15.75" customHeight="1">
      <c r="A1" s="1" t="s">
        <v>0</v>
      </c>
      <c r="B1" s="2"/>
      <c r="C1" s="3">
        <f>SUM(D1:J1)</f>
        <v>0.05</v>
      </c>
      <c r="D1" s="4"/>
      <c r="E1" s="3">
        <v>0.01</v>
      </c>
      <c r="F1" s="3">
        <v>0.01</v>
      </c>
      <c r="G1" s="3">
        <v>0.01</v>
      </c>
      <c r="H1" s="3">
        <v>0.01</v>
      </c>
      <c r="I1" s="3">
        <v>0.01</v>
      </c>
      <c r="J1" s="61"/>
      <c r="K1" s="62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spans="1:29" ht="15.75" customHeight="1">
      <c r="A2" s="6"/>
      <c r="B2" s="6"/>
      <c r="C2" s="7"/>
      <c r="D2" s="5"/>
      <c r="E2" s="63"/>
      <c r="F2" s="64"/>
      <c r="G2" s="63"/>
      <c r="H2" s="64"/>
      <c r="I2" s="8"/>
      <c r="J2" s="9" t="s">
        <v>1</v>
      </c>
      <c r="K2" s="9" t="s">
        <v>2</v>
      </c>
      <c r="L2" s="10" t="s">
        <v>3</v>
      </c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 spans="1:29" ht="15.75" customHeight="1">
      <c r="A3" s="11" t="s">
        <v>4</v>
      </c>
      <c r="B3" s="12" t="s">
        <v>5</v>
      </c>
      <c r="C3" s="13"/>
      <c r="D3" s="14" t="s">
        <v>6</v>
      </c>
      <c r="E3" s="15" t="s">
        <v>7</v>
      </c>
      <c r="F3" s="16" t="s">
        <v>8</v>
      </c>
      <c r="G3" s="15" t="s">
        <v>7</v>
      </c>
      <c r="H3" s="16" t="s">
        <v>8</v>
      </c>
      <c r="I3" s="17" t="s">
        <v>9</v>
      </c>
      <c r="J3" s="18" t="s">
        <v>10</v>
      </c>
      <c r="K3" s="18" t="s">
        <v>10</v>
      </c>
      <c r="L3" s="19" t="s">
        <v>11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 spans="1:29" ht="15.75" customHeight="1">
      <c r="A4" s="20" t="s">
        <v>12</v>
      </c>
      <c r="B4" s="21" t="s">
        <v>13</v>
      </c>
      <c r="C4" s="22">
        <f t="shared" ref="C4:C62" si="0">SUM(E4:I4)</f>
        <v>1</v>
      </c>
      <c r="D4" s="23"/>
      <c r="E4" s="24">
        <v>1</v>
      </c>
      <c r="F4" s="24">
        <v>0</v>
      </c>
      <c r="G4" s="24">
        <v>0</v>
      </c>
      <c r="H4" s="24">
        <v>0</v>
      </c>
      <c r="I4" s="24">
        <v>0</v>
      </c>
      <c r="J4" s="25"/>
      <c r="K4" s="25"/>
      <c r="L4" s="26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 spans="1:29" ht="15.75" customHeight="1">
      <c r="A5" s="20" t="s">
        <v>14</v>
      </c>
      <c r="B5" s="21" t="s">
        <v>15</v>
      </c>
      <c r="C5" s="22">
        <f t="shared" si="0"/>
        <v>0</v>
      </c>
      <c r="D5" s="25"/>
      <c r="E5" s="24">
        <v>0</v>
      </c>
      <c r="F5" s="24">
        <v>0</v>
      </c>
      <c r="G5" s="24">
        <v>0</v>
      </c>
      <c r="H5" s="24">
        <v>0</v>
      </c>
      <c r="I5" s="24">
        <v>0</v>
      </c>
      <c r="J5" s="25"/>
      <c r="K5" s="25"/>
      <c r="L5" s="26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spans="1:29" ht="15.75" customHeight="1">
      <c r="A6" s="20" t="s">
        <v>16</v>
      </c>
      <c r="B6" s="21" t="s">
        <v>17</v>
      </c>
      <c r="C6" s="22">
        <f t="shared" si="0"/>
        <v>0</v>
      </c>
      <c r="D6" s="25"/>
      <c r="E6" s="24">
        <v>0</v>
      </c>
      <c r="F6" s="24">
        <v>0</v>
      </c>
      <c r="G6" s="24">
        <v>0</v>
      </c>
      <c r="H6" s="24">
        <v>0</v>
      </c>
      <c r="I6" s="24">
        <v>0</v>
      </c>
      <c r="J6" s="25"/>
      <c r="K6" s="25"/>
      <c r="L6" s="26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 spans="1:29" ht="15.75" customHeight="1">
      <c r="A7" s="20" t="s">
        <v>18</v>
      </c>
      <c r="B7" s="21" t="s">
        <v>19</v>
      </c>
      <c r="C7" s="22">
        <f t="shared" si="0"/>
        <v>0</v>
      </c>
      <c r="D7" s="25"/>
      <c r="E7" s="24">
        <v>0</v>
      </c>
      <c r="F7" s="24">
        <v>0</v>
      </c>
      <c r="G7" s="24">
        <v>0</v>
      </c>
      <c r="H7" s="24">
        <v>0</v>
      </c>
      <c r="I7" s="24">
        <v>0</v>
      </c>
      <c r="J7" s="25"/>
      <c r="K7" s="27"/>
      <c r="L7" s="26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 spans="1:29" ht="15.75" customHeight="1">
      <c r="A8" s="20" t="s">
        <v>20</v>
      </c>
      <c r="B8" s="28" t="s">
        <v>21</v>
      </c>
      <c r="C8" s="22">
        <f t="shared" si="0"/>
        <v>0</v>
      </c>
      <c r="D8" s="25"/>
      <c r="E8" s="24">
        <v>0</v>
      </c>
      <c r="F8" s="24">
        <v>0</v>
      </c>
      <c r="G8" s="24">
        <v>0</v>
      </c>
      <c r="H8" s="24">
        <v>0</v>
      </c>
      <c r="I8" s="24">
        <v>0</v>
      </c>
      <c r="J8" s="25"/>
      <c r="K8" s="29"/>
      <c r="L8" s="26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 spans="1:29" ht="15.75" customHeight="1">
      <c r="A9" s="20" t="s">
        <v>22</v>
      </c>
      <c r="B9" s="28" t="s">
        <v>23</v>
      </c>
      <c r="C9" s="22">
        <f t="shared" si="0"/>
        <v>0</v>
      </c>
      <c r="D9" s="30"/>
      <c r="E9" s="24">
        <v>0</v>
      </c>
      <c r="F9" s="24">
        <v>0</v>
      </c>
      <c r="G9" s="24">
        <v>0</v>
      </c>
      <c r="H9" s="24">
        <v>0</v>
      </c>
      <c r="I9" s="24">
        <v>0</v>
      </c>
      <c r="J9" s="25"/>
      <c r="K9" s="25"/>
      <c r="L9" s="26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 spans="1:29" ht="15.75" customHeight="1">
      <c r="A10" s="20" t="s">
        <v>24</v>
      </c>
      <c r="B10" s="21" t="s">
        <v>25</v>
      </c>
      <c r="C10" s="22">
        <f t="shared" si="0"/>
        <v>0</v>
      </c>
      <c r="D10" s="25" t="s">
        <v>26</v>
      </c>
      <c r="E10" s="24">
        <v>0</v>
      </c>
      <c r="F10" s="24">
        <v>0</v>
      </c>
      <c r="G10" s="24">
        <v>0</v>
      </c>
      <c r="H10" s="24">
        <v>0</v>
      </c>
      <c r="I10" s="24">
        <v>0</v>
      </c>
      <c r="J10" s="25"/>
      <c r="K10" s="25"/>
      <c r="L10" s="26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 spans="1:29" ht="15.75" customHeight="1">
      <c r="A11" s="20" t="s">
        <v>27</v>
      </c>
      <c r="B11" s="21" t="s">
        <v>28</v>
      </c>
      <c r="C11" s="22">
        <f t="shared" si="0"/>
        <v>0</v>
      </c>
      <c r="D11" s="25"/>
      <c r="E11" s="24">
        <v>0</v>
      </c>
      <c r="F11" s="24">
        <v>0</v>
      </c>
      <c r="G11" s="24">
        <v>0</v>
      </c>
      <c r="H11" s="24">
        <v>0</v>
      </c>
      <c r="I11" s="24">
        <v>0</v>
      </c>
      <c r="J11" s="25"/>
      <c r="K11" s="25"/>
      <c r="L11" s="26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 spans="1:29" ht="15.75" customHeight="1">
      <c r="A12" s="20" t="s">
        <v>29</v>
      </c>
      <c r="B12" s="21" t="s">
        <v>30</v>
      </c>
      <c r="C12" s="22">
        <f t="shared" si="0"/>
        <v>0</v>
      </c>
      <c r="D12" s="25"/>
      <c r="E12" s="24">
        <v>0</v>
      </c>
      <c r="F12" s="24">
        <v>0</v>
      </c>
      <c r="G12" s="24">
        <v>0</v>
      </c>
      <c r="H12" s="24">
        <v>0</v>
      </c>
      <c r="I12" s="24">
        <v>0</v>
      </c>
      <c r="J12" s="25"/>
      <c r="K12" s="21"/>
      <c r="L12" s="26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 spans="1:29" ht="15.75" customHeight="1">
      <c r="A13" s="20" t="s">
        <v>31</v>
      </c>
      <c r="B13" s="21" t="s">
        <v>32</v>
      </c>
      <c r="C13" s="22">
        <f t="shared" si="0"/>
        <v>0</v>
      </c>
      <c r="D13" s="25"/>
      <c r="E13" s="24">
        <v>0</v>
      </c>
      <c r="F13" s="24">
        <v>0</v>
      </c>
      <c r="G13" s="24">
        <v>0</v>
      </c>
      <c r="H13" s="24">
        <v>0</v>
      </c>
      <c r="I13" s="24">
        <v>0</v>
      </c>
      <c r="J13" s="25"/>
      <c r="K13" s="25"/>
      <c r="L13" s="26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 spans="1:29" ht="15.75" customHeight="1">
      <c r="A14" s="20" t="s">
        <v>33</v>
      </c>
      <c r="B14" s="21" t="s">
        <v>34</v>
      </c>
      <c r="C14" s="22">
        <f t="shared" si="0"/>
        <v>0</v>
      </c>
      <c r="D14" s="25"/>
      <c r="E14" s="24">
        <v>0</v>
      </c>
      <c r="F14" s="24">
        <v>0</v>
      </c>
      <c r="G14" s="24">
        <v>0</v>
      </c>
      <c r="H14" s="24">
        <v>0</v>
      </c>
      <c r="I14" s="24">
        <v>0</v>
      </c>
      <c r="J14" s="25"/>
      <c r="K14" s="25"/>
      <c r="L14" s="26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 spans="1:29" ht="15.75" customHeight="1">
      <c r="A15" s="20" t="s">
        <v>35</v>
      </c>
      <c r="B15" s="21" t="s">
        <v>36</v>
      </c>
      <c r="C15" s="22">
        <f t="shared" si="0"/>
        <v>0</v>
      </c>
      <c r="D15" s="25"/>
      <c r="E15" s="24">
        <v>0</v>
      </c>
      <c r="F15" s="24">
        <v>0</v>
      </c>
      <c r="G15" s="24">
        <v>0</v>
      </c>
      <c r="H15" s="24">
        <v>0</v>
      </c>
      <c r="I15" s="24">
        <v>0</v>
      </c>
      <c r="J15" s="25"/>
      <c r="K15" s="25"/>
      <c r="L15" s="26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 spans="1:29" ht="15.75" customHeight="1">
      <c r="A16" s="20" t="s">
        <v>37</v>
      </c>
      <c r="B16" s="21" t="s">
        <v>38</v>
      </c>
      <c r="C16" s="22">
        <f t="shared" si="0"/>
        <v>0</v>
      </c>
      <c r="D16" s="21"/>
      <c r="E16" s="24">
        <v>0</v>
      </c>
      <c r="F16" s="24">
        <v>0</v>
      </c>
      <c r="G16" s="24">
        <v>0</v>
      </c>
      <c r="H16" s="24">
        <v>0</v>
      </c>
      <c r="I16" s="24">
        <v>0</v>
      </c>
      <c r="J16" s="25"/>
      <c r="K16" s="27"/>
      <c r="L16" s="26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 spans="1:29" ht="15.75" customHeight="1">
      <c r="A17" s="20" t="s">
        <v>39</v>
      </c>
      <c r="B17" s="21" t="s">
        <v>40</v>
      </c>
      <c r="C17" s="22">
        <f t="shared" si="0"/>
        <v>0</v>
      </c>
      <c r="D17" s="25"/>
      <c r="E17" s="24">
        <v>0</v>
      </c>
      <c r="F17" s="24">
        <v>0</v>
      </c>
      <c r="G17" s="24">
        <v>0</v>
      </c>
      <c r="H17" s="24">
        <v>0</v>
      </c>
      <c r="I17" s="24">
        <v>0</v>
      </c>
      <c r="J17" s="25"/>
      <c r="K17" s="29"/>
      <c r="L17" s="26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 spans="1:29" ht="15.75" customHeight="1">
      <c r="A18" s="20" t="s">
        <v>41</v>
      </c>
      <c r="B18" s="21" t="s">
        <v>42</v>
      </c>
      <c r="C18" s="22">
        <f t="shared" si="0"/>
        <v>0</v>
      </c>
      <c r="D18" s="25"/>
      <c r="E18" s="24">
        <v>0</v>
      </c>
      <c r="F18" s="24">
        <v>0</v>
      </c>
      <c r="G18" s="24">
        <v>0</v>
      </c>
      <c r="H18" s="24">
        <v>0</v>
      </c>
      <c r="I18" s="24">
        <v>0</v>
      </c>
      <c r="J18" s="25"/>
      <c r="K18" s="25"/>
      <c r="L18" s="26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 spans="1:29" ht="15.75" customHeight="1">
      <c r="A19" s="20" t="s">
        <v>43</v>
      </c>
      <c r="B19" s="21" t="s">
        <v>44</v>
      </c>
      <c r="C19" s="22">
        <f t="shared" si="0"/>
        <v>0</v>
      </c>
      <c r="D19" s="25"/>
      <c r="E19" s="24">
        <v>0</v>
      </c>
      <c r="F19" s="24">
        <v>0</v>
      </c>
      <c r="G19" s="24">
        <v>0</v>
      </c>
      <c r="H19" s="24">
        <v>0</v>
      </c>
      <c r="I19" s="24">
        <v>0</v>
      </c>
      <c r="J19" s="25"/>
      <c r="K19" s="25"/>
      <c r="L19" s="26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 spans="1:29" ht="15.75" customHeight="1">
      <c r="A20" s="20" t="s">
        <v>45</v>
      </c>
      <c r="B20" s="21" t="s">
        <v>46</v>
      </c>
      <c r="C20" s="22">
        <f t="shared" si="0"/>
        <v>0</v>
      </c>
      <c r="D20" s="25"/>
      <c r="E20" s="24">
        <v>0</v>
      </c>
      <c r="F20" s="24">
        <v>0</v>
      </c>
      <c r="G20" s="24">
        <v>0</v>
      </c>
      <c r="H20" s="24">
        <v>0</v>
      </c>
      <c r="I20" s="24">
        <v>0</v>
      </c>
      <c r="J20" s="25"/>
      <c r="K20" s="25"/>
      <c r="L20" s="26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 spans="1:29" ht="15.75" customHeight="1">
      <c r="A21" s="20" t="s">
        <v>47</v>
      </c>
      <c r="B21" s="21" t="s">
        <v>48</v>
      </c>
      <c r="C21" s="22">
        <f t="shared" si="0"/>
        <v>0</v>
      </c>
      <c r="D21" s="25"/>
      <c r="E21" s="24">
        <v>0</v>
      </c>
      <c r="F21" s="24">
        <v>0</v>
      </c>
      <c r="G21" s="24">
        <v>0</v>
      </c>
      <c r="H21" s="24">
        <v>0</v>
      </c>
      <c r="I21" s="24">
        <v>0</v>
      </c>
      <c r="J21" s="25"/>
      <c r="K21" s="21"/>
      <c r="L21" s="26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 spans="1:29" ht="15.75" customHeight="1">
      <c r="A22" s="20" t="s">
        <v>49</v>
      </c>
      <c r="B22" s="21" t="s">
        <v>50</v>
      </c>
      <c r="C22" s="22">
        <f t="shared" si="0"/>
        <v>0</v>
      </c>
      <c r="D22" s="25"/>
      <c r="E22" s="24">
        <v>0</v>
      </c>
      <c r="F22" s="24">
        <v>0</v>
      </c>
      <c r="G22" s="24">
        <v>0</v>
      </c>
      <c r="H22" s="24">
        <v>0</v>
      </c>
      <c r="I22" s="24">
        <v>0</v>
      </c>
      <c r="J22" s="25"/>
      <c r="K22" s="25"/>
      <c r="L22" s="26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 spans="1:29" ht="15.75" customHeight="1">
      <c r="A23" s="20" t="s">
        <v>51</v>
      </c>
      <c r="B23" s="21" t="s">
        <v>52</v>
      </c>
      <c r="C23" s="22">
        <f t="shared" si="0"/>
        <v>0</v>
      </c>
      <c r="D23" s="25"/>
      <c r="E23" s="24">
        <v>0</v>
      </c>
      <c r="F23" s="24">
        <v>0</v>
      </c>
      <c r="G23" s="24">
        <v>0</v>
      </c>
      <c r="H23" s="24">
        <v>0</v>
      </c>
      <c r="I23" s="24">
        <v>0</v>
      </c>
      <c r="J23" s="25"/>
      <c r="K23" s="25"/>
      <c r="L23" s="26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 spans="1:29" ht="15.75" customHeight="1">
      <c r="A24" s="20" t="s">
        <v>53</v>
      </c>
      <c r="B24" s="21" t="s">
        <v>54</v>
      </c>
      <c r="C24" s="22">
        <f t="shared" si="0"/>
        <v>0</v>
      </c>
      <c r="D24" s="25"/>
      <c r="E24" s="24">
        <v>0</v>
      </c>
      <c r="F24" s="24">
        <v>0</v>
      </c>
      <c r="G24" s="24">
        <v>0</v>
      </c>
      <c r="H24" s="24">
        <v>0</v>
      </c>
      <c r="I24" s="24">
        <v>0</v>
      </c>
      <c r="J24" s="25"/>
      <c r="K24" s="25"/>
      <c r="L24" s="26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 spans="1:29" ht="15.75" customHeight="1">
      <c r="A25" s="20" t="s">
        <v>55</v>
      </c>
      <c r="B25" s="21" t="s">
        <v>56</v>
      </c>
      <c r="C25" s="22">
        <f t="shared" si="0"/>
        <v>0</v>
      </c>
      <c r="D25" s="31"/>
      <c r="E25" s="24">
        <v>0</v>
      </c>
      <c r="F25" s="24">
        <v>0</v>
      </c>
      <c r="G25" s="24">
        <v>0</v>
      </c>
      <c r="H25" s="24">
        <v>0</v>
      </c>
      <c r="I25" s="24">
        <v>0</v>
      </c>
      <c r="J25" s="25"/>
      <c r="K25" s="27"/>
      <c r="L25" s="26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 spans="1:29" ht="15.75" customHeight="1">
      <c r="A26" s="20" t="s">
        <v>57</v>
      </c>
      <c r="B26" s="21" t="s">
        <v>58</v>
      </c>
      <c r="C26" s="22">
        <f t="shared" si="0"/>
        <v>0</v>
      </c>
      <c r="D26" s="25"/>
      <c r="E26" s="24">
        <v>0</v>
      </c>
      <c r="F26" s="24">
        <v>0</v>
      </c>
      <c r="G26" s="24">
        <v>0</v>
      </c>
      <c r="H26" s="24">
        <v>0</v>
      </c>
      <c r="I26" s="24">
        <v>0</v>
      </c>
      <c r="J26" s="25"/>
      <c r="K26" s="29"/>
      <c r="L26" s="26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 spans="1:29" ht="15.75" customHeight="1">
      <c r="A27" s="20" t="s">
        <v>59</v>
      </c>
      <c r="B27" s="21" t="s">
        <v>60</v>
      </c>
      <c r="C27" s="22">
        <f t="shared" si="0"/>
        <v>0</v>
      </c>
      <c r="D27" s="32"/>
      <c r="E27" s="24">
        <v>0</v>
      </c>
      <c r="F27" s="24">
        <v>0</v>
      </c>
      <c r="G27" s="24">
        <v>0</v>
      </c>
      <c r="H27" s="24">
        <v>0</v>
      </c>
      <c r="I27" s="24">
        <v>0</v>
      </c>
      <c r="J27" s="25"/>
      <c r="K27" s="25"/>
      <c r="L27" s="26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 spans="1:29" ht="15.75" customHeight="1">
      <c r="A28" s="20" t="s">
        <v>61</v>
      </c>
      <c r="B28" s="21" t="s">
        <v>62</v>
      </c>
      <c r="C28" s="22">
        <f t="shared" si="0"/>
        <v>0</v>
      </c>
      <c r="D28" s="33"/>
      <c r="E28" s="24">
        <v>0</v>
      </c>
      <c r="F28" s="24">
        <v>0</v>
      </c>
      <c r="G28" s="24">
        <v>0</v>
      </c>
      <c r="H28" s="24">
        <v>0</v>
      </c>
      <c r="I28" s="24">
        <v>0</v>
      </c>
      <c r="J28" s="25"/>
      <c r="K28" s="25"/>
      <c r="L28" s="26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 spans="1:29" ht="15.75" customHeight="1">
      <c r="A29" s="20" t="s">
        <v>63</v>
      </c>
      <c r="B29" s="21" t="s">
        <v>64</v>
      </c>
      <c r="C29" s="22">
        <f t="shared" si="0"/>
        <v>0</v>
      </c>
      <c r="D29" s="25"/>
      <c r="E29" s="24">
        <v>0</v>
      </c>
      <c r="F29" s="24">
        <v>0</v>
      </c>
      <c r="G29" s="24">
        <v>0</v>
      </c>
      <c r="H29" s="24">
        <v>0</v>
      </c>
      <c r="I29" s="24">
        <v>0</v>
      </c>
      <c r="J29" s="25"/>
      <c r="K29" s="25"/>
      <c r="L29" s="26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 spans="1:29" ht="15.75" customHeight="1">
      <c r="A30" s="20" t="s">
        <v>65</v>
      </c>
      <c r="B30" s="21" t="s">
        <v>66</v>
      </c>
      <c r="C30" s="22">
        <f t="shared" si="0"/>
        <v>0</v>
      </c>
      <c r="D30" s="25"/>
      <c r="E30" s="24">
        <v>0</v>
      </c>
      <c r="F30" s="24">
        <v>0</v>
      </c>
      <c r="G30" s="24">
        <v>0</v>
      </c>
      <c r="H30" s="24">
        <v>0</v>
      </c>
      <c r="I30" s="24">
        <v>0</v>
      </c>
      <c r="J30" s="25"/>
      <c r="K30" s="21"/>
      <c r="L30" s="26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 spans="1:29" ht="15.75" customHeight="1">
      <c r="A31" s="20" t="s">
        <v>67</v>
      </c>
      <c r="B31" s="21" t="s">
        <v>68</v>
      </c>
      <c r="C31" s="22">
        <f t="shared" si="0"/>
        <v>0</v>
      </c>
      <c r="D31" s="25"/>
      <c r="E31" s="24">
        <v>0</v>
      </c>
      <c r="F31" s="24">
        <v>0</v>
      </c>
      <c r="G31" s="24">
        <v>0</v>
      </c>
      <c r="H31" s="24">
        <v>0</v>
      </c>
      <c r="I31" s="24">
        <v>0</v>
      </c>
      <c r="J31" s="25"/>
      <c r="K31" s="25"/>
      <c r="L31" s="26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 spans="1:29" ht="15.75" customHeight="1">
      <c r="A32" s="20" t="s">
        <v>69</v>
      </c>
      <c r="B32" s="21" t="s">
        <v>70</v>
      </c>
      <c r="C32" s="22">
        <f t="shared" si="0"/>
        <v>0</v>
      </c>
      <c r="D32" s="25"/>
      <c r="E32" s="24">
        <v>0</v>
      </c>
      <c r="F32" s="24">
        <v>0</v>
      </c>
      <c r="G32" s="24">
        <v>0</v>
      </c>
      <c r="H32" s="24">
        <v>0</v>
      </c>
      <c r="I32" s="24">
        <v>0</v>
      </c>
      <c r="J32" s="25"/>
      <c r="K32" s="25"/>
      <c r="L32" s="26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 spans="1:29" ht="15.75" customHeight="1">
      <c r="A33" s="20" t="s">
        <v>71</v>
      </c>
      <c r="B33" s="21" t="s">
        <v>72</v>
      </c>
      <c r="C33" s="34">
        <f t="shared" si="0"/>
        <v>0</v>
      </c>
      <c r="D33" s="34">
        <f t="shared" ref="D33:I33" si="1">SUM(F33:J33)</f>
        <v>0</v>
      </c>
      <c r="E33" s="34">
        <f t="shared" si="1"/>
        <v>0</v>
      </c>
      <c r="F33" s="34">
        <f t="shared" si="1"/>
        <v>0</v>
      </c>
      <c r="G33" s="34">
        <f t="shared" si="1"/>
        <v>0</v>
      </c>
      <c r="H33" s="34">
        <f t="shared" si="1"/>
        <v>0</v>
      </c>
      <c r="I33" s="34">
        <f t="shared" si="1"/>
        <v>0</v>
      </c>
      <c r="J33" s="25"/>
      <c r="K33" s="25"/>
      <c r="L33" s="26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 spans="1:29" ht="15.75" customHeight="1">
      <c r="A34" s="20" t="s">
        <v>73</v>
      </c>
      <c r="B34" s="21" t="s">
        <v>74</v>
      </c>
      <c r="C34" s="22">
        <f t="shared" si="0"/>
        <v>0</v>
      </c>
      <c r="D34" s="35" t="s">
        <v>75</v>
      </c>
      <c r="E34" s="24">
        <v>0</v>
      </c>
      <c r="F34" s="24">
        <v>0</v>
      </c>
      <c r="G34" s="24">
        <v>0</v>
      </c>
      <c r="H34" s="24">
        <v>0</v>
      </c>
      <c r="I34" s="24">
        <v>0</v>
      </c>
      <c r="J34" s="25"/>
      <c r="K34" s="27"/>
      <c r="L34" s="26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 spans="1:29" ht="15.75" customHeight="1">
      <c r="A35" s="20" t="s">
        <v>76</v>
      </c>
      <c r="B35" s="21" t="s">
        <v>77</v>
      </c>
      <c r="C35" s="22">
        <f t="shared" si="0"/>
        <v>0</v>
      </c>
      <c r="D35" s="36"/>
      <c r="E35" s="24">
        <v>0</v>
      </c>
      <c r="F35" s="24">
        <v>0</v>
      </c>
      <c r="G35" s="24">
        <v>0</v>
      </c>
      <c r="H35" s="24">
        <v>0</v>
      </c>
      <c r="I35" s="24">
        <v>0</v>
      </c>
      <c r="J35" s="25"/>
      <c r="K35" s="29"/>
      <c r="L35" s="26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 spans="1:29" ht="15.75" customHeight="1">
      <c r="A36" s="20" t="s">
        <v>78</v>
      </c>
      <c r="B36" s="21" t="s">
        <v>79</v>
      </c>
      <c r="C36" s="22">
        <f t="shared" si="0"/>
        <v>0</v>
      </c>
      <c r="D36" s="37"/>
      <c r="E36" s="24">
        <v>0</v>
      </c>
      <c r="F36" s="24">
        <v>0</v>
      </c>
      <c r="G36" s="24">
        <v>0</v>
      </c>
      <c r="H36" s="24">
        <v>0</v>
      </c>
      <c r="I36" s="24">
        <v>0</v>
      </c>
      <c r="J36" s="25"/>
      <c r="K36" s="25"/>
      <c r="L36" s="26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 spans="1:29" ht="15.75" customHeight="1">
      <c r="A37" s="20" t="s">
        <v>80</v>
      </c>
      <c r="B37" s="21" t="s">
        <v>81</v>
      </c>
      <c r="C37" s="22">
        <f t="shared" si="0"/>
        <v>0</v>
      </c>
      <c r="D37" s="25"/>
      <c r="E37" s="24">
        <v>0</v>
      </c>
      <c r="F37" s="24">
        <v>0</v>
      </c>
      <c r="G37" s="24">
        <v>0</v>
      </c>
      <c r="H37" s="24">
        <v>0</v>
      </c>
      <c r="I37" s="24">
        <v>0</v>
      </c>
      <c r="J37" s="25"/>
      <c r="K37" s="25"/>
      <c r="L37" s="26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ht="15.75" customHeight="1">
      <c r="A38" s="20" t="s">
        <v>82</v>
      </c>
      <c r="B38" s="21" t="s">
        <v>83</v>
      </c>
      <c r="C38" s="22">
        <f t="shared" si="0"/>
        <v>0</v>
      </c>
      <c r="D38" s="38"/>
      <c r="E38" s="24">
        <v>0</v>
      </c>
      <c r="F38" s="24">
        <v>0</v>
      </c>
      <c r="G38" s="24">
        <v>0</v>
      </c>
      <c r="H38" s="24">
        <v>0</v>
      </c>
      <c r="I38" s="24">
        <v>0</v>
      </c>
      <c r="J38" s="25"/>
      <c r="K38" s="25"/>
      <c r="L38" s="26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 spans="1:29" ht="15.75" customHeight="1">
      <c r="A39" s="20" t="s">
        <v>84</v>
      </c>
      <c r="B39" s="21" t="s">
        <v>85</v>
      </c>
      <c r="C39" s="22">
        <f t="shared" si="0"/>
        <v>0</v>
      </c>
      <c r="D39" s="25"/>
      <c r="E39" s="24">
        <v>0</v>
      </c>
      <c r="F39" s="24">
        <v>0</v>
      </c>
      <c r="G39" s="24">
        <v>0</v>
      </c>
      <c r="H39" s="24">
        <v>0</v>
      </c>
      <c r="I39" s="24">
        <v>0</v>
      </c>
      <c r="J39" s="25"/>
      <c r="K39" s="21"/>
      <c r="L39" s="26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 spans="1:29" ht="15.75" customHeight="1">
      <c r="A40" s="20" t="s">
        <v>86</v>
      </c>
      <c r="B40" s="21" t="s">
        <v>87</v>
      </c>
      <c r="C40" s="22">
        <f t="shared" si="0"/>
        <v>0</v>
      </c>
      <c r="D40" s="38"/>
      <c r="E40" s="24">
        <v>0</v>
      </c>
      <c r="F40" s="24">
        <v>0</v>
      </c>
      <c r="G40" s="24">
        <v>0</v>
      </c>
      <c r="H40" s="24">
        <v>0</v>
      </c>
      <c r="I40" s="24">
        <v>0</v>
      </c>
      <c r="J40" s="25"/>
      <c r="K40" s="25"/>
      <c r="L40" s="26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 spans="1:29" ht="15.75" customHeight="1">
      <c r="A41" s="20" t="s">
        <v>88</v>
      </c>
      <c r="B41" s="21" t="s">
        <v>89</v>
      </c>
      <c r="C41" s="22">
        <f t="shared" si="0"/>
        <v>0</v>
      </c>
      <c r="D41" s="25"/>
      <c r="E41" s="24">
        <v>0</v>
      </c>
      <c r="F41" s="24">
        <v>0</v>
      </c>
      <c r="G41" s="24">
        <v>0</v>
      </c>
      <c r="H41" s="24">
        <v>0</v>
      </c>
      <c r="I41" s="24">
        <v>0</v>
      </c>
      <c r="J41" s="25"/>
      <c r="K41" s="25"/>
      <c r="L41" s="26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 spans="1:29" ht="15.75" customHeight="1">
      <c r="A42" s="20" t="s">
        <v>90</v>
      </c>
      <c r="B42" s="21" t="s">
        <v>91</v>
      </c>
      <c r="C42" s="22">
        <f t="shared" si="0"/>
        <v>0</v>
      </c>
      <c r="D42" s="25"/>
      <c r="E42" s="24">
        <v>0</v>
      </c>
      <c r="F42" s="24">
        <v>0</v>
      </c>
      <c r="G42" s="24">
        <v>0</v>
      </c>
      <c r="H42" s="24">
        <v>0</v>
      </c>
      <c r="I42" s="24">
        <v>0</v>
      </c>
      <c r="J42" s="25"/>
      <c r="K42" s="25"/>
      <c r="L42" s="26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 spans="1:29" ht="15.75" customHeight="1">
      <c r="A43" s="20" t="s">
        <v>92</v>
      </c>
      <c r="B43" s="21" t="s">
        <v>93</v>
      </c>
      <c r="C43" s="22">
        <f t="shared" si="0"/>
        <v>0</v>
      </c>
      <c r="D43" s="39"/>
      <c r="E43" s="24">
        <v>0</v>
      </c>
      <c r="F43" s="24">
        <v>0</v>
      </c>
      <c r="G43" s="24">
        <v>0</v>
      </c>
      <c r="H43" s="24">
        <v>0</v>
      </c>
      <c r="I43" s="24">
        <v>0</v>
      </c>
      <c r="J43" s="25"/>
      <c r="K43" s="27"/>
      <c r="L43" s="26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ht="15.75" customHeight="1">
      <c r="A44" s="20" t="s">
        <v>94</v>
      </c>
      <c r="B44" s="21" t="s">
        <v>95</v>
      </c>
      <c r="C44" s="22">
        <f t="shared" si="0"/>
        <v>0</v>
      </c>
      <c r="D44" s="25"/>
      <c r="E44" s="24">
        <v>0</v>
      </c>
      <c r="F44" s="24">
        <v>0</v>
      </c>
      <c r="G44" s="24">
        <v>0</v>
      </c>
      <c r="H44" s="24">
        <v>0</v>
      </c>
      <c r="I44" s="24">
        <v>0</v>
      </c>
      <c r="J44" s="25"/>
      <c r="K44" s="29"/>
      <c r="L44" s="26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ht="15.75" customHeight="1">
      <c r="A45" s="20" t="s">
        <v>96</v>
      </c>
      <c r="B45" s="21" t="s">
        <v>97</v>
      </c>
      <c r="C45" s="22">
        <f t="shared" si="0"/>
        <v>0</v>
      </c>
      <c r="D45" s="25"/>
      <c r="E45" s="24">
        <v>0</v>
      </c>
      <c r="F45" s="24">
        <v>0</v>
      </c>
      <c r="G45" s="24">
        <v>0</v>
      </c>
      <c r="H45" s="24">
        <v>0</v>
      </c>
      <c r="I45" s="24">
        <v>0</v>
      </c>
      <c r="J45" s="25"/>
      <c r="K45" s="25"/>
      <c r="L45" s="26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 spans="1:29" ht="15.75" customHeight="1">
      <c r="A46" s="20" t="s">
        <v>98</v>
      </c>
      <c r="B46" s="21" t="s">
        <v>99</v>
      </c>
      <c r="C46" s="22">
        <f t="shared" si="0"/>
        <v>0</v>
      </c>
      <c r="D46" s="25" t="s">
        <v>100</v>
      </c>
      <c r="E46" s="24">
        <v>0</v>
      </c>
      <c r="F46" s="24">
        <v>0</v>
      </c>
      <c r="G46" s="24">
        <v>0</v>
      </c>
      <c r="H46" s="24">
        <v>0</v>
      </c>
      <c r="I46" s="24">
        <v>0</v>
      </c>
      <c r="J46" s="25"/>
      <c r="K46" s="25"/>
      <c r="L46" s="26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 spans="1:29" ht="15.75" customHeight="1">
      <c r="A47" s="20" t="s">
        <v>101</v>
      </c>
      <c r="B47" s="21" t="s">
        <v>102</v>
      </c>
      <c r="C47" s="22">
        <f t="shared" si="0"/>
        <v>0</v>
      </c>
      <c r="D47" s="25"/>
      <c r="E47" s="24">
        <v>0</v>
      </c>
      <c r="F47" s="24">
        <v>0</v>
      </c>
      <c r="G47" s="24">
        <v>0</v>
      </c>
      <c r="H47" s="24">
        <v>0</v>
      </c>
      <c r="I47" s="24">
        <v>0</v>
      </c>
      <c r="J47" s="25"/>
      <c r="K47" s="25"/>
      <c r="L47" s="26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 spans="1:29" ht="15.75" customHeight="1">
      <c r="A48" s="20" t="s">
        <v>103</v>
      </c>
      <c r="B48" s="21" t="s">
        <v>104</v>
      </c>
      <c r="C48" s="22">
        <f t="shared" si="0"/>
        <v>0</v>
      </c>
      <c r="D48" s="25"/>
      <c r="E48" s="24">
        <v>0</v>
      </c>
      <c r="F48" s="24">
        <v>0</v>
      </c>
      <c r="G48" s="24">
        <v>0</v>
      </c>
      <c r="H48" s="24">
        <v>0</v>
      </c>
      <c r="I48" s="24">
        <v>0</v>
      </c>
      <c r="J48" s="25"/>
      <c r="K48" s="21"/>
      <c r="L48" s="26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 spans="1:29" ht="15.75" customHeight="1">
      <c r="A49" s="20" t="s">
        <v>105</v>
      </c>
      <c r="B49" s="21" t="s">
        <v>106</v>
      </c>
      <c r="C49" s="22">
        <f t="shared" si="0"/>
        <v>0</v>
      </c>
      <c r="D49" s="25"/>
      <c r="E49" s="24">
        <v>0</v>
      </c>
      <c r="F49" s="24">
        <v>0</v>
      </c>
      <c r="G49" s="24">
        <v>0</v>
      </c>
      <c r="H49" s="24">
        <v>0</v>
      </c>
      <c r="I49" s="24">
        <v>0</v>
      </c>
      <c r="J49" s="25"/>
      <c r="K49" s="25"/>
      <c r="L49" s="26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 spans="1:29" ht="15.75" customHeight="1">
      <c r="A50" s="20" t="s">
        <v>107</v>
      </c>
      <c r="B50" s="21" t="s">
        <v>108</v>
      </c>
      <c r="C50" s="22">
        <f t="shared" si="0"/>
        <v>0</v>
      </c>
      <c r="D50" s="25"/>
      <c r="E50" s="24">
        <v>0</v>
      </c>
      <c r="F50" s="24">
        <v>0</v>
      </c>
      <c r="G50" s="24">
        <v>0</v>
      </c>
      <c r="H50" s="24">
        <v>0</v>
      </c>
      <c r="I50" s="24">
        <v>0</v>
      </c>
      <c r="J50" s="25"/>
      <c r="K50" s="25"/>
      <c r="L50" s="26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 spans="1:29" ht="15.75" customHeight="1">
      <c r="A51" s="20" t="s">
        <v>109</v>
      </c>
      <c r="B51" s="21" t="s">
        <v>110</v>
      </c>
      <c r="C51" s="22">
        <f t="shared" si="0"/>
        <v>0</v>
      </c>
      <c r="D51" s="25"/>
      <c r="E51" s="24">
        <v>0</v>
      </c>
      <c r="F51" s="24">
        <v>0</v>
      </c>
      <c r="G51" s="24">
        <v>0</v>
      </c>
      <c r="H51" s="24">
        <v>0</v>
      </c>
      <c r="I51" s="24">
        <v>0</v>
      </c>
      <c r="J51" s="25"/>
      <c r="K51" s="25"/>
      <c r="L51" s="26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 spans="1:29" ht="15.75" customHeight="1">
      <c r="A52" s="20" t="s">
        <v>111</v>
      </c>
      <c r="B52" s="21" t="s">
        <v>112</v>
      </c>
      <c r="C52" s="22">
        <f t="shared" si="0"/>
        <v>0</v>
      </c>
      <c r="D52" s="25"/>
      <c r="E52" s="24">
        <v>0</v>
      </c>
      <c r="F52" s="24">
        <v>0</v>
      </c>
      <c r="G52" s="24">
        <v>0</v>
      </c>
      <c r="H52" s="24">
        <v>0</v>
      </c>
      <c r="I52" s="24">
        <v>0</v>
      </c>
      <c r="J52" s="25"/>
      <c r="K52" s="27"/>
      <c r="L52" s="26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 spans="1:29" ht="15.75" customHeight="1">
      <c r="A53" s="20" t="s">
        <v>113</v>
      </c>
      <c r="B53" s="21" t="s">
        <v>114</v>
      </c>
      <c r="C53" s="22">
        <f t="shared" si="0"/>
        <v>0</v>
      </c>
      <c r="D53" s="25"/>
      <c r="E53" s="24">
        <v>0</v>
      </c>
      <c r="F53" s="24">
        <v>0</v>
      </c>
      <c r="G53" s="24">
        <v>0</v>
      </c>
      <c r="H53" s="24">
        <v>0</v>
      </c>
      <c r="I53" s="24">
        <v>0</v>
      </c>
      <c r="J53" s="25"/>
      <c r="K53" s="29"/>
      <c r="L53" s="26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 spans="1:29" ht="15.75" customHeight="1">
      <c r="A54" s="20" t="s">
        <v>115</v>
      </c>
      <c r="B54" s="21" t="s">
        <v>116</v>
      </c>
      <c r="C54" s="22">
        <f t="shared" si="0"/>
        <v>0</v>
      </c>
      <c r="D54" s="25"/>
      <c r="E54" s="24">
        <v>0</v>
      </c>
      <c r="F54" s="24">
        <v>0</v>
      </c>
      <c r="G54" s="24">
        <v>0</v>
      </c>
      <c r="H54" s="24">
        <v>0</v>
      </c>
      <c r="I54" s="24">
        <v>0</v>
      </c>
      <c r="J54" s="25"/>
      <c r="K54" s="25"/>
      <c r="L54" s="26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 spans="1:29" ht="15.75" customHeight="1">
      <c r="A55" s="20" t="s">
        <v>117</v>
      </c>
      <c r="B55" s="21" t="s">
        <v>118</v>
      </c>
      <c r="C55" s="22">
        <f t="shared" si="0"/>
        <v>0</v>
      </c>
      <c r="D55" s="25"/>
      <c r="E55" s="24">
        <v>0</v>
      </c>
      <c r="F55" s="24">
        <v>0</v>
      </c>
      <c r="G55" s="24">
        <v>0</v>
      </c>
      <c r="H55" s="24">
        <v>0</v>
      </c>
      <c r="I55" s="24">
        <v>0</v>
      </c>
      <c r="J55" s="25"/>
      <c r="K55" s="25"/>
      <c r="L55" s="26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 spans="1:29" ht="15.75" customHeight="1">
      <c r="A56" s="20" t="s">
        <v>119</v>
      </c>
      <c r="B56" s="21" t="s">
        <v>120</v>
      </c>
      <c r="C56" s="22">
        <f t="shared" si="0"/>
        <v>0</v>
      </c>
      <c r="D56" s="40"/>
      <c r="E56" s="24">
        <v>0</v>
      </c>
      <c r="F56" s="24">
        <v>0</v>
      </c>
      <c r="G56" s="24">
        <v>0</v>
      </c>
      <c r="H56" s="24">
        <v>0</v>
      </c>
      <c r="I56" s="24">
        <v>0</v>
      </c>
      <c r="J56" s="25"/>
      <c r="K56" s="25"/>
      <c r="L56" s="26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 spans="1:29" ht="15.75" customHeight="1">
      <c r="A57" s="20" t="s">
        <v>121</v>
      </c>
      <c r="B57" s="21" t="s">
        <v>122</v>
      </c>
      <c r="C57" s="22">
        <f t="shared" si="0"/>
        <v>0</v>
      </c>
      <c r="D57" s="25"/>
      <c r="E57" s="24">
        <v>0</v>
      </c>
      <c r="F57" s="24">
        <v>0</v>
      </c>
      <c r="G57" s="24">
        <v>0</v>
      </c>
      <c r="H57" s="24">
        <v>0</v>
      </c>
      <c r="I57" s="24">
        <v>0</v>
      </c>
      <c r="J57" s="25"/>
      <c r="K57" s="21"/>
      <c r="L57" s="26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 spans="1:29" ht="15.75" customHeight="1">
      <c r="A58" s="20" t="s">
        <v>123</v>
      </c>
      <c r="B58" s="21" t="s">
        <v>124</v>
      </c>
      <c r="C58" s="22">
        <f t="shared" si="0"/>
        <v>0</v>
      </c>
      <c r="D58" s="25"/>
      <c r="E58" s="24">
        <v>0</v>
      </c>
      <c r="F58" s="24">
        <v>0</v>
      </c>
      <c r="G58" s="24">
        <v>0</v>
      </c>
      <c r="H58" s="24">
        <v>0</v>
      </c>
      <c r="I58" s="24">
        <v>0</v>
      </c>
      <c r="J58" s="25"/>
      <c r="K58" s="25"/>
      <c r="L58" s="26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 spans="1:29" ht="15.75" customHeight="1">
      <c r="A59" s="20" t="s">
        <v>125</v>
      </c>
      <c r="B59" s="21" t="s">
        <v>126</v>
      </c>
      <c r="C59" s="22">
        <f t="shared" si="0"/>
        <v>0</v>
      </c>
      <c r="D59" s="25"/>
      <c r="E59" s="24">
        <v>0</v>
      </c>
      <c r="F59" s="24">
        <v>0</v>
      </c>
      <c r="G59" s="24">
        <v>0</v>
      </c>
      <c r="H59" s="24">
        <v>0</v>
      </c>
      <c r="I59" s="24">
        <v>0</v>
      </c>
      <c r="J59" s="25"/>
      <c r="K59" s="25"/>
      <c r="L59" s="26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 spans="1:29" ht="15.75" customHeight="1">
      <c r="A60" s="20" t="s">
        <v>127</v>
      </c>
      <c r="B60" s="21" t="s">
        <v>128</v>
      </c>
      <c r="C60" s="22">
        <f t="shared" si="0"/>
        <v>0</v>
      </c>
      <c r="D60" s="25"/>
      <c r="E60" s="24">
        <v>0</v>
      </c>
      <c r="F60" s="24">
        <v>0</v>
      </c>
      <c r="G60" s="24">
        <v>0</v>
      </c>
      <c r="H60" s="24">
        <v>0</v>
      </c>
      <c r="I60" s="24">
        <v>0</v>
      </c>
      <c r="J60" s="25"/>
      <c r="K60" s="25"/>
      <c r="L60" s="26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 spans="1:29" ht="15.75" customHeight="1">
      <c r="A61" s="20" t="s">
        <v>129</v>
      </c>
      <c r="B61" s="21" t="s">
        <v>130</v>
      </c>
      <c r="C61" s="22">
        <f t="shared" si="0"/>
        <v>0</v>
      </c>
      <c r="D61" s="25"/>
      <c r="E61" s="24">
        <v>0</v>
      </c>
      <c r="F61" s="24">
        <v>0</v>
      </c>
      <c r="G61" s="24">
        <v>0</v>
      </c>
      <c r="H61" s="24">
        <v>0</v>
      </c>
      <c r="I61" s="24">
        <v>0</v>
      </c>
      <c r="J61" s="25"/>
      <c r="K61" s="27"/>
      <c r="L61" s="26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 spans="1:29" ht="15.75" customHeight="1">
      <c r="A62" s="20" t="s">
        <v>131</v>
      </c>
      <c r="B62" s="21" t="s">
        <v>132</v>
      </c>
      <c r="C62" s="22">
        <f t="shared" si="0"/>
        <v>0</v>
      </c>
      <c r="D62" s="25"/>
      <c r="E62" s="24">
        <v>0</v>
      </c>
      <c r="F62" s="24">
        <v>0</v>
      </c>
      <c r="G62" s="24">
        <v>0</v>
      </c>
      <c r="H62" s="24">
        <v>0</v>
      </c>
      <c r="I62" s="24">
        <v>0</v>
      </c>
      <c r="J62" s="25"/>
      <c r="K62" s="29"/>
      <c r="L62" s="26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 spans="1:29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 spans="1:29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 spans="1:29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 spans="1:29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 spans="1:29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 spans="1:29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 spans="1:2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 spans="1:29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 spans="1:29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 spans="1:29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 spans="1:29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 spans="1:29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 spans="1:29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 spans="1:29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 spans="1:29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 spans="1:29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 spans="1:2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 spans="1:29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 spans="1:29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 spans="1:29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 spans="1:29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 spans="1:29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 spans="1:29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 spans="1:29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 spans="1:29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 spans="1:29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 spans="1:2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 spans="1:29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 spans="1:29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 spans="1:29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 spans="1:29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 spans="1:29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 spans="1:29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 spans="1:29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 spans="1:29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 spans="1:29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 spans="1:2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 spans="1:29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 spans="1:29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 spans="1:29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 spans="1:29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 spans="1:29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 spans="1:29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 spans="1:29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 spans="1:29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 spans="1:29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 spans="1:2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 spans="1:29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 spans="1:29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 spans="1:29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 spans="1:29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 spans="1:29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 spans="1:29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 spans="1:29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 spans="1:29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 spans="1:29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 spans="1:2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 spans="1:29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 spans="1:29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 spans="1:29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 spans="1:29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 spans="1:29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 spans="1:29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 spans="1:29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 spans="1:29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 spans="1:29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 spans="1: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 spans="1:29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 spans="1:29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 spans="1:29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 spans="1:29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 spans="1:29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 spans="1:29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 spans="1:29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 spans="1:29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r="138" spans="1:29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 spans="1:2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 spans="1:29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 spans="1:29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 spans="1:29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 spans="1:29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 spans="1:29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 spans="1:29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 spans="1:29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 spans="1:29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r="148" spans="1:29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 spans="1:2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 spans="1:29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 spans="1:29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 spans="1:29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 spans="1:29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 spans="1:29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 spans="1:29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 spans="1:29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 spans="1:29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 spans="1:29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 spans="1:2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 spans="1:29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 spans="1:29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 spans="1:29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 spans="1:29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 spans="1:29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 spans="1:29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 spans="1:29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 spans="1:29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 spans="1:29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 spans="1:2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 spans="1:29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 spans="1:29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 spans="1:29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 spans="1:29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 spans="1:29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 spans="1:29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 spans="1:29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 spans="1:29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 spans="1:29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 spans="1:2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 spans="1:29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 spans="1:29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 spans="1:29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 spans="1:29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 spans="1:29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 spans="1:29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r="186" spans="1:29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 spans="1:29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 spans="1:29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 spans="1:2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 spans="1:29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 spans="1:29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r="192" spans="1:29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 spans="1:29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r="194" spans="1:29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 spans="1:29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 spans="1:29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 spans="1:29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r="198" spans="1:29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 spans="1:2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r="200" spans="1:29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 spans="1:29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r="202" spans="1:29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r="203" spans="1:29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</row>
    <row r="204" spans="1:29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</row>
    <row r="205" spans="1:29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</row>
    <row r="206" spans="1:29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 spans="1:29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</row>
    <row r="208" spans="1:29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</row>
    <row r="209" spans="1:2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</row>
    <row r="210" spans="1:29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</row>
    <row r="211" spans="1:29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</row>
    <row r="212" spans="1:29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</row>
    <row r="213" spans="1:29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</row>
    <row r="214" spans="1:29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</row>
    <row r="215" spans="1:29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</row>
    <row r="216" spans="1:29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</row>
    <row r="217" spans="1:29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</row>
    <row r="218" spans="1:29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</row>
    <row r="219" spans="1:2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</row>
    <row r="220" spans="1:29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</row>
    <row r="221" spans="1:29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</row>
    <row r="222" spans="1:29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</row>
    <row r="223" spans="1:29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</row>
    <row r="224" spans="1:29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</row>
    <row r="225" spans="1:29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</row>
    <row r="226" spans="1:29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</row>
    <row r="227" spans="1:29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</row>
    <row r="228" spans="1:29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</row>
    <row r="229" spans="1: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</row>
    <row r="230" spans="1:29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</row>
    <row r="231" spans="1:29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</row>
    <row r="232" spans="1:29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</row>
    <row r="233" spans="1:29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</row>
    <row r="234" spans="1:29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</row>
    <row r="235" spans="1:29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</row>
    <row r="236" spans="1:29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</row>
    <row r="237" spans="1:29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</row>
    <row r="238" spans="1:29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</row>
    <row r="239" spans="1:2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</row>
    <row r="240" spans="1:29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</row>
    <row r="241" spans="1:29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</row>
    <row r="242" spans="1:29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</row>
    <row r="243" spans="1:29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</row>
    <row r="244" spans="1:29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</row>
    <row r="245" spans="1:29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</row>
    <row r="246" spans="1:29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</row>
    <row r="247" spans="1:29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</row>
    <row r="248" spans="1:29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</row>
    <row r="249" spans="1:2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</row>
    <row r="250" spans="1:29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</row>
    <row r="251" spans="1:29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</row>
    <row r="252" spans="1:29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</row>
    <row r="253" spans="1:29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</row>
    <row r="254" spans="1:29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</row>
    <row r="255" spans="1:29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</row>
    <row r="256" spans="1:29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</row>
    <row r="257" spans="1:29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</row>
    <row r="258" spans="1:29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</row>
    <row r="259" spans="1:2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</row>
    <row r="260" spans="1:29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</row>
    <row r="261" spans="1:29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</row>
    <row r="262" spans="1:29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</row>
    <row r="263" spans="1:29" ht="15.75" customHeight="1"/>
    <row r="264" spans="1:29" ht="15.75" customHeight="1"/>
    <row r="265" spans="1:29" ht="15.75" customHeight="1"/>
    <row r="266" spans="1:29" ht="15.75" customHeight="1"/>
    <row r="267" spans="1:29" ht="15.75" customHeight="1"/>
    <row r="268" spans="1:29" ht="15.75" customHeight="1"/>
    <row r="269" spans="1:29" ht="15.75" customHeight="1"/>
    <row r="270" spans="1:29" ht="15.75" customHeight="1"/>
    <row r="271" spans="1:29" ht="15.75" customHeight="1"/>
    <row r="272" spans="1:29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J1:K1"/>
    <mergeCell ref="E2:F2"/>
    <mergeCell ref="G2:H2"/>
  </mergeCells>
  <phoneticPr fontId="26" type="noConversion"/>
  <hyperlinks>
    <hyperlink ref="A1" r:id="rId1" location="gid=2020111686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T1000"/>
  <sheetViews>
    <sheetView workbookViewId="0">
      <selection activeCell="O33" sqref="O33"/>
    </sheetView>
  </sheetViews>
  <sheetFormatPr defaultColWidth="12.5703125" defaultRowHeight="15" customHeight="1"/>
  <cols>
    <col min="1" max="6" width="12.5703125" customWidth="1"/>
    <col min="7" max="7" width="6.42578125" customWidth="1"/>
  </cols>
  <sheetData>
    <row r="1" spans="1:20" ht="15.75" customHeight="1">
      <c r="A1" s="41"/>
      <c r="B1" s="41"/>
      <c r="C1" s="41"/>
      <c r="D1" s="41"/>
      <c r="E1" s="41"/>
      <c r="H1" s="42" t="s">
        <v>4</v>
      </c>
      <c r="I1" s="43">
        <v>110021100</v>
      </c>
      <c r="J1" s="42"/>
      <c r="K1" s="42"/>
      <c r="L1" s="42"/>
    </row>
    <row r="2" spans="1:20" ht="15.75" customHeight="1">
      <c r="A2" s="41"/>
      <c r="B2" s="41"/>
      <c r="C2" s="41"/>
      <c r="D2" s="41"/>
      <c r="E2" s="41"/>
      <c r="H2" s="42" t="s">
        <v>5</v>
      </c>
      <c r="I2" s="43" t="s">
        <v>74</v>
      </c>
      <c r="J2" s="42"/>
      <c r="K2" s="42"/>
      <c r="L2" s="42"/>
    </row>
    <row r="3" spans="1:20" ht="15.75" customHeight="1">
      <c r="A3" s="41"/>
      <c r="B3" s="65" t="s">
        <v>133</v>
      </c>
      <c r="C3" s="64"/>
      <c r="D3" s="65" t="s">
        <v>134</v>
      </c>
      <c r="E3" s="64"/>
      <c r="H3" s="66" t="s">
        <v>135</v>
      </c>
      <c r="I3" s="67"/>
      <c r="J3" s="67"/>
      <c r="K3" s="67"/>
      <c r="L3" s="62"/>
    </row>
    <row r="4" spans="1:20" ht="15.75" customHeight="1">
      <c r="A4" s="44" t="s">
        <v>136</v>
      </c>
      <c r="B4" s="45" t="s">
        <v>7</v>
      </c>
      <c r="C4" s="46" t="s">
        <v>8</v>
      </c>
      <c r="D4" s="45" t="s">
        <v>7</v>
      </c>
      <c r="E4" s="46" t="s">
        <v>8</v>
      </c>
      <c r="H4" s="66" t="s">
        <v>137</v>
      </c>
      <c r="I4" s="67"/>
      <c r="J4" s="67"/>
      <c r="K4" s="67"/>
      <c r="L4" s="62"/>
    </row>
    <row r="5" spans="1:20" ht="15.75" customHeight="1">
      <c r="A5" s="47" t="s">
        <v>75</v>
      </c>
      <c r="B5" s="48" t="s">
        <v>138</v>
      </c>
      <c r="D5" s="25"/>
      <c r="E5" s="25"/>
    </row>
    <row r="6" spans="1:20" ht="15.75" customHeight="1">
      <c r="H6" s="68" t="s">
        <v>139</v>
      </c>
      <c r="I6" s="67"/>
      <c r="J6" s="67"/>
      <c r="K6" s="67"/>
      <c r="L6" s="62"/>
      <c r="P6" s="68" t="s">
        <v>139</v>
      </c>
      <c r="Q6" s="67"/>
      <c r="R6" s="67"/>
      <c r="S6" s="67"/>
      <c r="T6" s="62"/>
    </row>
    <row r="7" spans="1:20" ht="15.75" customHeight="1">
      <c r="G7" s="49"/>
      <c r="H7" s="50">
        <v>31</v>
      </c>
      <c r="I7" s="50">
        <v>32</v>
      </c>
      <c r="J7" s="50">
        <v>41</v>
      </c>
      <c r="K7" s="50">
        <v>42</v>
      </c>
      <c r="L7" s="50">
        <v>5</v>
      </c>
      <c r="O7" s="49"/>
      <c r="P7" s="50">
        <v>31</v>
      </c>
      <c r="Q7" s="50">
        <v>32</v>
      </c>
      <c r="R7" s="50">
        <v>41</v>
      </c>
      <c r="S7" s="50">
        <v>42</v>
      </c>
      <c r="T7" s="50">
        <v>5</v>
      </c>
    </row>
    <row r="8" spans="1:20" ht="15.75" customHeight="1">
      <c r="F8" s="69">
        <v>45217</v>
      </c>
      <c r="G8" s="51">
        <v>0</v>
      </c>
      <c r="H8" s="52">
        <v>48</v>
      </c>
      <c r="I8" s="52">
        <v>17</v>
      </c>
      <c r="J8" s="52">
        <v>0</v>
      </c>
      <c r="K8" s="52">
        <v>3</v>
      </c>
      <c r="L8" s="52">
        <v>4</v>
      </c>
      <c r="N8" s="69">
        <v>45217</v>
      </c>
      <c r="O8" s="51">
        <v>0</v>
      </c>
      <c r="P8" s="74">
        <f>H8/H$32</f>
        <v>6.5377281394715337E-3</v>
      </c>
      <c r="Q8" s="74">
        <f t="shared" ref="Q8:T23" si="0">I8/I$32</f>
        <v>5.9774964838255973E-3</v>
      </c>
      <c r="R8" s="74">
        <f t="shared" si="0"/>
        <v>0</v>
      </c>
      <c r="S8" s="74">
        <f t="shared" si="0"/>
        <v>5.5350553505535052E-3</v>
      </c>
      <c r="T8" s="74">
        <f t="shared" si="0"/>
        <v>4.5300113250283129E-3</v>
      </c>
    </row>
    <row r="9" spans="1:20" ht="15.75" customHeight="1">
      <c r="F9" s="70"/>
      <c r="G9" s="51">
        <v>1</v>
      </c>
      <c r="H9" s="52">
        <v>47</v>
      </c>
      <c r="I9" s="52">
        <v>14</v>
      </c>
      <c r="J9" s="52">
        <v>1</v>
      </c>
      <c r="K9" s="52">
        <v>2</v>
      </c>
      <c r="L9" s="52">
        <v>3</v>
      </c>
      <c r="N9" s="70"/>
      <c r="O9" s="51">
        <v>1</v>
      </c>
      <c r="P9" s="74">
        <f t="shared" ref="P9:P31" si="1">H9/H$32</f>
        <v>6.4015254698992097E-3</v>
      </c>
      <c r="Q9" s="74">
        <f t="shared" si="0"/>
        <v>4.9226441631504926E-3</v>
      </c>
      <c r="R9" s="74">
        <f t="shared" si="0"/>
        <v>8.4033613445378148E-3</v>
      </c>
      <c r="S9" s="74">
        <f t="shared" si="0"/>
        <v>3.6900369003690036E-3</v>
      </c>
      <c r="T9" s="74">
        <f t="shared" si="0"/>
        <v>3.3975084937712344E-3</v>
      </c>
    </row>
    <row r="10" spans="1:20" ht="15.75" customHeight="1">
      <c r="F10" s="70"/>
      <c r="G10" s="51">
        <v>2</v>
      </c>
      <c r="H10" s="52">
        <v>30</v>
      </c>
      <c r="I10" s="52">
        <v>15</v>
      </c>
      <c r="J10" s="53"/>
      <c r="K10" s="52">
        <v>5</v>
      </c>
      <c r="L10" s="52">
        <v>2</v>
      </c>
      <c r="N10" s="70"/>
      <c r="O10" s="51">
        <v>2</v>
      </c>
      <c r="P10" s="74">
        <f t="shared" si="1"/>
        <v>4.0860800871697087E-3</v>
      </c>
      <c r="Q10" s="74">
        <f t="shared" si="0"/>
        <v>5.2742616033755272E-3</v>
      </c>
      <c r="R10" s="74">
        <f t="shared" si="0"/>
        <v>0</v>
      </c>
      <c r="S10" s="74">
        <f t="shared" si="0"/>
        <v>9.2250922509225092E-3</v>
      </c>
      <c r="T10" s="74">
        <f t="shared" si="0"/>
        <v>2.2650056625141564E-3</v>
      </c>
    </row>
    <row r="11" spans="1:20" ht="15.75" customHeight="1">
      <c r="F11" s="70"/>
      <c r="G11" s="51">
        <v>3</v>
      </c>
      <c r="H11" s="52">
        <v>27</v>
      </c>
      <c r="I11" s="52">
        <v>10</v>
      </c>
      <c r="J11" s="52"/>
      <c r="K11" s="52">
        <v>3</v>
      </c>
      <c r="L11" s="52">
        <v>11</v>
      </c>
      <c r="N11" s="70"/>
      <c r="O11" s="51">
        <v>3</v>
      </c>
      <c r="P11" s="74">
        <f t="shared" si="1"/>
        <v>3.6774720784527376E-3</v>
      </c>
      <c r="Q11" s="74">
        <f t="shared" si="0"/>
        <v>3.5161744022503515E-3</v>
      </c>
      <c r="R11" s="74">
        <f t="shared" si="0"/>
        <v>0</v>
      </c>
      <c r="S11" s="74">
        <f t="shared" si="0"/>
        <v>5.5350553505535052E-3</v>
      </c>
      <c r="T11" s="74">
        <f t="shared" si="0"/>
        <v>1.245753114382786E-2</v>
      </c>
    </row>
    <row r="12" spans="1:20" ht="15.75" customHeight="1">
      <c r="F12" s="70"/>
      <c r="G12" s="51">
        <v>4</v>
      </c>
      <c r="H12" s="52">
        <v>20</v>
      </c>
      <c r="I12" s="52">
        <v>19</v>
      </c>
      <c r="J12" s="52">
        <v>1</v>
      </c>
      <c r="K12" s="52">
        <v>5</v>
      </c>
      <c r="L12" s="52">
        <v>21</v>
      </c>
      <c r="N12" s="70"/>
      <c r="O12" s="51">
        <v>4</v>
      </c>
      <c r="P12" s="74">
        <f t="shared" si="1"/>
        <v>2.7240533914464722E-3</v>
      </c>
      <c r="Q12" s="74">
        <f t="shared" si="0"/>
        <v>6.6807313642756683E-3</v>
      </c>
      <c r="R12" s="74">
        <f t="shared" si="0"/>
        <v>8.4033613445378148E-3</v>
      </c>
      <c r="S12" s="74">
        <f t="shared" si="0"/>
        <v>9.2250922509225092E-3</v>
      </c>
      <c r="T12" s="74">
        <f t="shared" si="0"/>
        <v>2.3782559456398639E-2</v>
      </c>
    </row>
    <row r="13" spans="1:20" ht="15.75" customHeight="1">
      <c r="F13" s="70"/>
      <c r="G13" s="51">
        <v>5</v>
      </c>
      <c r="H13" s="52">
        <v>70</v>
      </c>
      <c r="I13" s="52">
        <v>32</v>
      </c>
      <c r="J13" s="52">
        <v>2</v>
      </c>
      <c r="K13" s="52">
        <v>8</v>
      </c>
      <c r="L13" s="52">
        <v>24</v>
      </c>
      <c r="N13" s="70"/>
      <c r="O13" s="51">
        <v>5</v>
      </c>
      <c r="P13" s="74">
        <f t="shared" si="1"/>
        <v>9.5341868700626539E-3</v>
      </c>
      <c r="Q13" s="74">
        <f t="shared" si="0"/>
        <v>1.1251758087201125E-2</v>
      </c>
      <c r="R13" s="74">
        <f t="shared" si="0"/>
        <v>1.680672268907563E-2</v>
      </c>
      <c r="S13" s="74">
        <f t="shared" si="0"/>
        <v>1.4760147601476014E-2</v>
      </c>
      <c r="T13" s="74">
        <f t="shared" si="0"/>
        <v>2.7180067950169876E-2</v>
      </c>
    </row>
    <row r="14" spans="1:20" ht="15.75" customHeight="1">
      <c r="F14" s="70"/>
      <c r="G14" s="51">
        <v>6</v>
      </c>
      <c r="H14" s="52">
        <v>244</v>
      </c>
      <c r="I14" s="52">
        <v>135</v>
      </c>
      <c r="J14" s="52">
        <v>2</v>
      </c>
      <c r="K14" s="52">
        <v>23</v>
      </c>
      <c r="L14" s="52">
        <v>48</v>
      </c>
      <c r="N14" s="70"/>
      <c r="O14" s="51">
        <v>6</v>
      </c>
      <c r="P14" s="74">
        <f t="shared" si="1"/>
        <v>3.3233451375646962E-2</v>
      </c>
      <c r="Q14" s="74">
        <f t="shared" si="0"/>
        <v>4.746835443037975E-2</v>
      </c>
      <c r="R14" s="74">
        <f t="shared" si="0"/>
        <v>1.680672268907563E-2</v>
      </c>
      <c r="S14" s="74">
        <f t="shared" si="0"/>
        <v>4.2435424354243544E-2</v>
      </c>
      <c r="T14" s="74">
        <f t="shared" si="0"/>
        <v>5.4360135900339751E-2</v>
      </c>
    </row>
    <row r="15" spans="1:20" ht="15.75" customHeight="1">
      <c r="F15" s="70"/>
      <c r="G15" s="51">
        <v>7</v>
      </c>
      <c r="H15" s="52">
        <v>369</v>
      </c>
      <c r="I15" s="52">
        <v>171</v>
      </c>
      <c r="J15" s="52">
        <v>2</v>
      </c>
      <c r="K15" s="52">
        <v>21</v>
      </c>
      <c r="L15" s="52">
        <v>55</v>
      </c>
      <c r="N15" s="70"/>
      <c r="O15" s="51">
        <v>7</v>
      </c>
      <c r="P15" s="74">
        <f t="shared" si="1"/>
        <v>5.0258785072187416E-2</v>
      </c>
      <c r="Q15" s="74">
        <f t="shared" si="0"/>
        <v>6.0126582278481014E-2</v>
      </c>
      <c r="R15" s="74">
        <f t="shared" si="0"/>
        <v>1.680672268907563E-2</v>
      </c>
      <c r="S15" s="74">
        <f t="shared" si="0"/>
        <v>3.8745387453874541E-2</v>
      </c>
      <c r="T15" s="74">
        <f t="shared" si="0"/>
        <v>6.2287655719139301E-2</v>
      </c>
    </row>
    <row r="16" spans="1:20" ht="15.75" customHeight="1">
      <c r="F16" s="70"/>
      <c r="G16" s="51">
        <v>8</v>
      </c>
      <c r="H16" s="52">
        <v>322</v>
      </c>
      <c r="I16" s="52">
        <v>132</v>
      </c>
      <c r="J16" s="52">
        <v>11</v>
      </c>
      <c r="K16" s="52">
        <v>26</v>
      </c>
      <c r="L16" s="52">
        <v>66</v>
      </c>
      <c r="N16" s="70"/>
      <c r="O16" s="51">
        <v>8</v>
      </c>
      <c r="P16" s="74">
        <f t="shared" si="1"/>
        <v>4.3857259602288208E-2</v>
      </c>
      <c r="Q16" s="74">
        <f t="shared" si="0"/>
        <v>4.6413502109704644E-2</v>
      </c>
      <c r="R16" s="74">
        <f t="shared" si="0"/>
        <v>9.2436974789915971E-2</v>
      </c>
      <c r="S16" s="74">
        <f t="shared" si="0"/>
        <v>4.797047970479705E-2</v>
      </c>
      <c r="T16" s="74">
        <f t="shared" si="0"/>
        <v>7.4745186862967161E-2</v>
      </c>
    </row>
    <row r="17" spans="6:20" ht="15.75" customHeight="1">
      <c r="F17" s="70"/>
      <c r="G17" s="51">
        <v>9</v>
      </c>
      <c r="H17" s="52">
        <v>345</v>
      </c>
      <c r="I17" s="52">
        <v>95</v>
      </c>
      <c r="J17" s="52">
        <v>7</v>
      </c>
      <c r="K17" s="52">
        <v>37</v>
      </c>
      <c r="L17" s="52">
        <v>82</v>
      </c>
      <c r="N17" s="70"/>
      <c r="O17" s="51">
        <v>9</v>
      </c>
      <c r="P17" s="74">
        <f t="shared" si="1"/>
        <v>4.6989921002451647E-2</v>
      </c>
      <c r="Q17" s="74">
        <f t="shared" si="0"/>
        <v>3.3403656821378337E-2</v>
      </c>
      <c r="R17" s="74">
        <f t="shared" si="0"/>
        <v>5.8823529411764705E-2</v>
      </c>
      <c r="S17" s="74">
        <f t="shared" si="0"/>
        <v>6.8265682656826573E-2</v>
      </c>
      <c r="T17" s="74">
        <f t="shared" si="0"/>
        <v>9.2865232163080402E-2</v>
      </c>
    </row>
    <row r="18" spans="6:20" ht="15.75" customHeight="1">
      <c r="F18" s="70"/>
      <c r="G18" s="51">
        <v>10</v>
      </c>
      <c r="H18" s="52">
        <v>321</v>
      </c>
      <c r="I18" s="52">
        <v>150</v>
      </c>
      <c r="J18" s="52">
        <v>7</v>
      </c>
      <c r="K18" s="52">
        <v>42</v>
      </c>
      <c r="L18" s="52">
        <v>80</v>
      </c>
      <c r="N18" s="70"/>
      <c r="O18" s="51">
        <v>10</v>
      </c>
      <c r="P18" s="74">
        <f t="shared" si="1"/>
        <v>4.3721056932715878E-2</v>
      </c>
      <c r="Q18" s="74">
        <f t="shared" si="0"/>
        <v>5.2742616033755275E-2</v>
      </c>
      <c r="R18" s="74">
        <f t="shared" si="0"/>
        <v>5.8823529411764705E-2</v>
      </c>
      <c r="S18" s="74">
        <f t="shared" si="0"/>
        <v>7.7490774907749083E-2</v>
      </c>
      <c r="T18" s="74">
        <f t="shared" si="0"/>
        <v>9.0600226500566247E-2</v>
      </c>
    </row>
    <row r="19" spans="6:20" ht="15.75" customHeight="1">
      <c r="F19" s="70"/>
      <c r="G19" s="51">
        <v>11</v>
      </c>
      <c r="H19" s="52">
        <v>390</v>
      </c>
      <c r="I19" s="52">
        <v>148</v>
      </c>
      <c r="J19" s="52">
        <v>3</v>
      </c>
      <c r="K19" s="52">
        <v>37</v>
      </c>
      <c r="L19" s="52">
        <v>98</v>
      </c>
      <c r="N19" s="70"/>
      <c r="O19" s="51">
        <v>11</v>
      </c>
      <c r="P19" s="74">
        <f t="shared" si="1"/>
        <v>5.3119041133206209E-2</v>
      </c>
      <c r="Q19" s="74">
        <f t="shared" si="0"/>
        <v>5.2039381153305204E-2</v>
      </c>
      <c r="R19" s="74">
        <f t="shared" si="0"/>
        <v>2.5210084033613446E-2</v>
      </c>
      <c r="S19" s="74">
        <f t="shared" si="0"/>
        <v>6.8265682656826573E-2</v>
      </c>
      <c r="T19" s="74">
        <f t="shared" si="0"/>
        <v>0.11098527746319366</v>
      </c>
    </row>
    <row r="20" spans="6:20" ht="15.75" customHeight="1">
      <c r="F20" s="70"/>
      <c r="G20" s="51">
        <v>12</v>
      </c>
      <c r="H20" s="52">
        <v>422</v>
      </c>
      <c r="I20" s="52">
        <v>159</v>
      </c>
      <c r="J20" s="52">
        <v>4</v>
      </c>
      <c r="K20" s="52">
        <v>43</v>
      </c>
      <c r="L20" s="52">
        <v>61</v>
      </c>
      <c r="N20" s="70"/>
      <c r="O20" s="51">
        <v>12</v>
      </c>
      <c r="P20" s="74">
        <f t="shared" si="1"/>
        <v>5.747752655952057E-2</v>
      </c>
      <c r="Q20" s="74">
        <f t="shared" si="0"/>
        <v>5.5907172995780588E-2</v>
      </c>
      <c r="R20" s="74">
        <f t="shared" si="0"/>
        <v>3.3613445378151259E-2</v>
      </c>
      <c r="S20" s="74">
        <f t="shared" si="0"/>
        <v>7.9335793357933573E-2</v>
      </c>
      <c r="T20" s="74">
        <f t="shared" si="0"/>
        <v>6.9082672706681766E-2</v>
      </c>
    </row>
    <row r="21" spans="6:20" ht="15.75" customHeight="1">
      <c r="F21" s="70"/>
      <c r="G21" s="51">
        <v>13</v>
      </c>
      <c r="H21" s="52">
        <v>488</v>
      </c>
      <c r="I21" s="52">
        <v>201</v>
      </c>
      <c r="J21" s="52">
        <v>4</v>
      </c>
      <c r="K21" s="52">
        <v>42</v>
      </c>
      <c r="L21" s="52">
        <v>58</v>
      </c>
      <c r="N21" s="70"/>
      <c r="O21" s="51">
        <v>13</v>
      </c>
      <c r="P21" s="74">
        <f t="shared" si="1"/>
        <v>6.6466902751293924E-2</v>
      </c>
      <c r="Q21" s="74">
        <f t="shared" si="0"/>
        <v>7.0675105485232065E-2</v>
      </c>
      <c r="R21" s="74">
        <f t="shared" si="0"/>
        <v>3.3613445378151259E-2</v>
      </c>
      <c r="S21" s="74">
        <f t="shared" si="0"/>
        <v>7.7490774907749083E-2</v>
      </c>
      <c r="T21" s="74">
        <f t="shared" si="0"/>
        <v>6.5685164212910527E-2</v>
      </c>
    </row>
    <row r="22" spans="6:20" ht="15.75" customHeight="1">
      <c r="F22" s="70"/>
      <c r="G22" s="51">
        <v>14</v>
      </c>
      <c r="H22" s="52">
        <v>506</v>
      </c>
      <c r="I22" s="52">
        <v>228</v>
      </c>
      <c r="J22" s="52">
        <v>12</v>
      </c>
      <c r="K22" s="52">
        <v>44</v>
      </c>
      <c r="L22" s="52">
        <v>64</v>
      </c>
      <c r="N22" s="70"/>
      <c r="O22" s="51">
        <v>14</v>
      </c>
      <c r="P22" s="74">
        <f t="shared" si="1"/>
        <v>6.8918550803595754E-2</v>
      </c>
      <c r="Q22" s="74">
        <f t="shared" si="0"/>
        <v>8.0168776371308023E-2</v>
      </c>
      <c r="R22" s="74">
        <f t="shared" si="0"/>
        <v>0.10084033613445378</v>
      </c>
      <c r="S22" s="74">
        <f t="shared" si="0"/>
        <v>8.1180811808118078E-2</v>
      </c>
      <c r="T22" s="74">
        <f t="shared" si="0"/>
        <v>7.2480181200453006E-2</v>
      </c>
    </row>
    <row r="23" spans="6:20" ht="15.75" customHeight="1">
      <c r="F23" s="70"/>
      <c r="G23" s="51">
        <v>15</v>
      </c>
      <c r="H23" s="52">
        <v>609</v>
      </c>
      <c r="I23" s="52">
        <v>246</v>
      </c>
      <c r="J23" s="52">
        <v>12</v>
      </c>
      <c r="K23" s="52">
        <v>46</v>
      </c>
      <c r="L23" s="52">
        <v>61</v>
      </c>
      <c r="N23" s="70"/>
      <c r="O23" s="51">
        <v>15</v>
      </c>
      <c r="P23" s="74">
        <f t="shared" si="1"/>
        <v>8.2947425769545086E-2</v>
      </c>
      <c r="Q23" s="74">
        <f t="shared" si="0"/>
        <v>8.6497890295358648E-2</v>
      </c>
      <c r="R23" s="74">
        <f t="shared" si="0"/>
        <v>0.10084033613445378</v>
      </c>
      <c r="S23" s="74">
        <f t="shared" si="0"/>
        <v>8.4870848708487087E-2</v>
      </c>
      <c r="T23" s="74">
        <f t="shared" si="0"/>
        <v>6.9082672706681766E-2</v>
      </c>
    </row>
    <row r="24" spans="6:20" ht="15.75" customHeight="1">
      <c r="F24" s="70"/>
      <c r="G24" s="51">
        <v>16</v>
      </c>
      <c r="H24" s="52">
        <v>658</v>
      </c>
      <c r="I24" s="52">
        <v>286</v>
      </c>
      <c r="J24" s="52">
        <v>13</v>
      </c>
      <c r="K24" s="52">
        <v>46</v>
      </c>
      <c r="L24" s="52">
        <v>51</v>
      </c>
      <c r="N24" s="70"/>
      <c r="O24" s="51">
        <v>16</v>
      </c>
      <c r="P24" s="74">
        <f t="shared" si="1"/>
        <v>8.962135657858894E-2</v>
      </c>
      <c r="Q24" s="74">
        <f t="shared" ref="Q24:Q31" si="2">I24/I$32</f>
        <v>0.10056258790436005</v>
      </c>
      <c r="R24" s="74">
        <f t="shared" ref="R24:R31" si="3">J24/J$32</f>
        <v>0.1092436974789916</v>
      </c>
      <c r="S24" s="74">
        <f t="shared" ref="S24:S31" si="4">K24/K$32</f>
        <v>8.4870848708487087E-2</v>
      </c>
      <c r="T24" s="74">
        <f t="shared" ref="T24:T31" si="5">L24/L$32</f>
        <v>5.7757644394110984E-2</v>
      </c>
    </row>
    <row r="25" spans="6:20" ht="15.75" customHeight="1">
      <c r="F25" s="70"/>
      <c r="G25" s="51">
        <v>17</v>
      </c>
      <c r="H25" s="52">
        <v>815</v>
      </c>
      <c r="I25" s="52">
        <v>285</v>
      </c>
      <c r="J25" s="52">
        <v>15</v>
      </c>
      <c r="K25" s="52">
        <v>33</v>
      </c>
      <c r="L25" s="52">
        <v>27</v>
      </c>
      <c r="N25" s="70"/>
      <c r="O25" s="51">
        <v>17</v>
      </c>
      <c r="P25" s="74">
        <f t="shared" si="1"/>
        <v>0.11100517570144375</v>
      </c>
      <c r="Q25" s="74">
        <f t="shared" si="2"/>
        <v>0.10021097046413502</v>
      </c>
      <c r="R25" s="74">
        <f t="shared" si="3"/>
        <v>0.12605042016806722</v>
      </c>
      <c r="S25" s="74">
        <f t="shared" si="4"/>
        <v>6.0885608856088562E-2</v>
      </c>
      <c r="T25" s="74">
        <f t="shared" si="5"/>
        <v>3.0577576443941108E-2</v>
      </c>
    </row>
    <row r="26" spans="6:20" ht="15.75" customHeight="1">
      <c r="F26" s="70"/>
      <c r="G26" s="51">
        <v>18</v>
      </c>
      <c r="H26" s="52">
        <v>571</v>
      </c>
      <c r="I26" s="52">
        <v>185</v>
      </c>
      <c r="J26" s="52">
        <v>10</v>
      </c>
      <c r="K26" s="52">
        <v>19</v>
      </c>
      <c r="L26" s="52">
        <v>16</v>
      </c>
      <c r="N26" s="70"/>
      <c r="O26" s="51">
        <v>18</v>
      </c>
      <c r="P26" s="74">
        <f t="shared" si="1"/>
        <v>7.7771724325796779E-2</v>
      </c>
      <c r="Q26" s="74">
        <f t="shared" si="2"/>
        <v>6.5049226441631511E-2</v>
      </c>
      <c r="R26" s="74">
        <f t="shared" si="3"/>
        <v>8.4033613445378158E-2</v>
      </c>
      <c r="S26" s="74">
        <f t="shared" si="4"/>
        <v>3.5055350553505532E-2</v>
      </c>
      <c r="T26" s="74">
        <f t="shared" si="5"/>
        <v>1.8120045300113252E-2</v>
      </c>
    </row>
    <row r="27" spans="6:20" ht="15.75" customHeight="1">
      <c r="F27" s="70"/>
      <c r="G27" s="51">
        <v>19</v>
      </c>
      <c r="H27" s="52">
        <v>376</v>
      </c>
      <c r="I27" s="52">
        <v>102</v>
      </c>
      <c r="J27" s="52">
        <v>5</v>
      </c>
      <c r="K27" s="52">
        <v>19</v>
      </c>
      <c r="L27" s="52">
        <v>17</v>
      </c>
      <c r="N27" s="70"/>
      <c r="O27" s="51">
        <v>19</v>
      </c>
      <c r="P27" s="74">
        <f t="shared" si="1"/>
        <v>5.1212203759193678E-2</v>
      </c>
      <c r="Q27" s="74">
        <f t="shared" si="2"/>
        <v>3.5864978902953586E-2</v>
      </c>
      <c r="R27" s="74">
        <f t="shared" si="3"/>
        <v>4.2016806722689079E-2</v>
      </c>
      <c r="S27" s="74">
        <f t="shared" si="4"/>
        <v>3.5055350553505532E-2</v>
      </c>
      <c r="T27" s="74">
        <f t="shared" si="5"/>
        <v>1.9252548131370329E-2</v>
      </c>
    </row>
    <row r="28" spans="6:20" ht="15.75" customHeight="1">
      <c r="F28" s="70"/>
      <c r="G28" s="51">
        <v>20</v>
      </c>
      <c r="H28" s="52">
        <v>264</v>
      </c>
      <c r="I28" s="52">
        <v>86</v>
      </c>
      <c r="J28" s="52">
        <v>3</v>
      </c>
      <c r="K28" s="52">
        <v>18</v>
      </c>
      <c r="L28" s="52">
        <v>11</v>
      </c>
      <c r="N28" s="70"/>
      <c r="O28" s="51">
        <v>20</v>
      </c>
      <c r="P28" s="74">
        <f t="shared" si="1"/>
        <v>3.5957504767093432E-2</v>
      </c>
      <c r="Q28" s="74">
        <f t="shared" si="2"/>
        <v>3.0239099859353025E-2</v>
      </c>
      <c r="R28" s="74">
        <f t="shared" si="3"/>
        <v>2.5210084033613446E-2</v>
      </c>
      <c r="S28" s="74">
        <f t="shared" si="4"/>
        <v>3.3210332103321034E-2</v>
      </c>
      <c r="T28" s="74">
        <f t="shared" si="5"/>
        <v>1.245753114382786E-2</v>
      </c>
    </row>
    <row r="29" spans="6:20" ht="15.75" customHeight="1">
      <c r="F29" s="70"/>
      <c r="G29" s="51">
        <v>21</v>
      </c>
      <c r="H29" s="52">
        <v>184</v>
      </c>
      <c r="I29" s="52">
        <v>46</v>
      </c>
      <c r="J29" s="52">
        <v>4</v>
      </c>
      <c r="K29" s="52">
        <v>8</v>
      </c>
      <c r="L29" s="52">
        <v>10</v>
      </c>
      <c r="N29" s="70"/>
      <c r="O29" s="51">
        <v>21</v>
      </c>
      <c r="P29" s="74">
        <f t="shared" si="1"/>
        <v>2.5061291201307546E-2</v>
      </c>
      <c r="Q29" s="74">
        <f t="shared" si="2"/>
        <v>1.6174402250351619E-2</v>
      </c>
      <c r="R29" s="74">
        <f t="shared" si="3"/>
        <v>3.3613445378151259E-2</v>
      </c>
      <c r="S29" s="74">
        <f t="shared" si="4"/>
        <v>1.4760147601476014E-2</v>
      </c>
      <c r="T29" s="74">
        <f t="shared" si="5"/>
        <v>1.1325028312570781E-2</v>
      </c>
    </row>
    <row r="30" spans="6:20" ht="15.75" customHeight="1">
      <c r="F30" s="70"/>
      <c r="G30" s="51">
        <v>22</v>
      </c>
      <c r="H30" s="52">
        <v>139</v>
      </c>
      <c r="I30" s="52">
        <v>43</v>
      </c>
      <c r="J30" s="53"/>
      <c r="K30" s="52">
        <v>7</v>
      </c>
      <c r="L30" s="52">
        <v>7</v>
      </c>
      <c r="N30" s="70"/>
      <c r="O30" s="51">
        <v>22</v>
      </c>
      <c r="P30" s="74">
        <f t="shared" si="1"/>
        <v>1.8932171070552981E-2</v>
      </c>
      <c r="Q30" s="74">
        <f t="shared" si="2"/>
        <v>1.5119549929676512E-2</v>
      </c>
      <c r="R30" s="74">
        <f t="shared" si="3"/>
        <v>0</v>
      </c>
      <c r="S30" s="74">
        <f t="shared" si="4"/>
        <v>1.2915129151291513E-2</v>
      </c>
      <c r="T30" s="74">
        <f t="shared" si="5"/>
        <v>7.9275198187995465E-3</v>
      </c>
    </row>
    <row r="31" spans="6:20" ht="15.75" customHeight="1">
      <c r="F31" s="71"/>
      <c r="G31" s="51">
        <v>23</v>
      </c>
      <c r="H31" s="55">
        <v>77</v>
      </c>
      <c r="I31" s="55">
        <v>39</v>
      </c>
      <c r="J31" s="55">
        <v>1</v>
      </c>
      <c r="K31" s="55">
        <v>5</v>
      </c>
      <c r="L31" s="55">
        <v>6</v>
      </c>
      <c r="N31" s="71"/>
      <c r="O31" s="51">
        <v>23</v>
      </c>
      <c r="P31" s="74">
        <f t="shared" si="1"/>
        <v>1.0487605557068919E-2</v>
      </c>
      <c r="Q31" s="74">
        <f t="shared" si="2"/>
        <v>1.3713080168776372E-2</v>
      </c>
      <c r="R31" s="74">
        <f t="shared" si="3"/>
        <v>8.4033613445378148E-3</v>
      </c>
      <c r="S31" s="74">
        <f t="shared" si="4"/>
        <v>9.2250922509225092E-3</v>
      </c>
      <c r="T31" s="74">
        <f t="shared" si="5"/>
        <v>6.7950169875424689E-3</v>
      </c>
    </row>
    <row r="32" spans="6:20" ht="15.75" customHeight="1">
      <c r="F32" s="72"/>
      <c r="G32" s="73"/>
      <c r="H32" s="56">
        <f t="shared" ref="H32:L32" si="6">SUM(H8:H31)</f>
        <v>7342</v>
      </c>
      <c r="I32" s="56">
        <f t="shared" si="6"/>
        <v>2844</v>
      </c>
      <c r="J32" s="56">
        <f t="shared" si="6"/>
        <v>119</v>
      </c>
      <c r="K32" s="56">
        <f t="shared" si="6"/>
        <v>542</v>
      </c>
      <c r="L32" s="56">
        <f t="shared" si="6"/>
        <v>883</v>
      </c>
      <c r="P32" s="75">
        <f>SUM(P8:P31)</f>
        <v>1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F8:F31"/>
    <mergeCell ref="F32:G32"/>
    <mergeCell ref="P6:T6"/>
    <mergeCell ref="N8:N31"/>
    <mergeCell ref="B3:C3"/>
    <mergeCell ref="D3:E3"/>
    <mergeCell ref="H3:L3"/>
    <mergeCell ref="H4:L4"/>
    <mergeCell ref="H6:L6"/>
  </mergeCells>
  <phoneticPr fontId="2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T1000"/>
  <sheetViews>
    <sheetView workbookViewId="0">
      <selection activeCell="C5" sqref="C5"/>
    </sheetView>
  </sheetViews>
  <sheetFormatPr defaultColWidth="12.5703125" defaultRowHeight="15" customHeight="1"/>
  <cols>
    <col min="1" max="6" width="12.5703125" customWidth="1"/>
    <col min="7" max="7" width="6.42578125" customWidth="1"/>
  </cols>
  <sheetData>
    <row r="1" spans="1:20" ht="15.75" customHeight="1">
      <c r="A1" s="41"/>
      <c r="B1" s="41"/>
      <c r="C1" s="41"/>
      <c r="D1" s="41"/>
      <c r="E1" s="41"/>
      <c r="H1" s="42" t="s">
        <v>4</v>
      </c>
      <c r="I1" s="57"/>
      <c r="J1" s="42"/>
      <c r="K1" s="42"/>
      <c r="L1" s="42"/>
    </row>
    <row r="2" spans="1:20" ht="15.75" customHeight="1">
      <c r="A2" s="41"/>
      <c r="B2" s="41"/>
      <c r="C2" s="41"/>
      <c r="D2" s="41"/>
      <c r="E2" s="41"/>
      <c r="H2" s="42" t="s">
        <v>5</v>
      </c>
      <c r="I2" s="57"/>
      <c r="J2" s="42"/>
      <c r="K2" s="42"/>
      <c r="L2" s="42"/>
    </row>
    <row r="3" spans="1:20" ht="15.75" customHeight="1">
      <c r="A3" s="41"/>
      <c r="B3" s="65" t="s">
        <v>133</v>
      </c>
      <c r="C3" s="64"/>
      <c r="D3" s="65" t="s">
        <v>134</v>
      </c>
      <c r="E3" s="64"/>
      <c r="H3" s="66" t="s">
        <v>140</v>
      </c>
      <c r="I3" s="67"/>
      <c r="J3" s="67"/>
      <c r="K3" s="67"/>
      <c r="L3" s="62"/>
    </row>
    <row r="4" spans="1:20" ht="15.75" customHeight="1">
      <c r="A4" s="44" t="s">
        <v>136</v>
      </c>
      <c r="B4" s="45" t="s">
        <v>7</v>
      </c>
      <c r="C4" s="46" t="s">
        <v>8</v>
      </c>
      <c r="D4" s="45" t="s">
        <v>7</v>
      </c>
      <c r="E4" s="46" t="s">
        <v>8</v>
      </c>
      <c r="H4" s="66" t="s">
        <v>141</v>
      </c>
      <c r="I4" s="67"/>
      <c r="J4" s="67"/>
      <c r="K4" s="67"/>
      <c r="L4" s="62"/>
    </row>
    <row r="5" spans="1:20" ht="15.75" customHeight="1">
      <c r="A5" s="35" t="s">
        <v>75</v>
      </c>
      <c r="B5" s="25"/>
      <c r="C5" s="58" t="s">
        <v>148</v>
      </c>
      <c r="D5" s="25"/>
      <c r="E5" s="25"/>
    </row>
    <row r="6" spans="1:20" ht="15.75" customHeight="1">
      <c r="H6" s="68" t="s">
        <v>139</v>
      </c>
      <c r="I6" s="67"/>
      <c r="J6" s="67"/>
      <c r="K6" s="67"/>
      <c r="L6" s="62"/>
    </row>
    <row r="7" spans="1:20" ht="15.75" customHeight="1">
      <c r="G7" s="49"/>
      <c r="H7" s="50">
        <v>31</v>
      </c>
      <c r="I7" s="50">
        <v>32</v>
      </c>
      <c r="J7" s="50">
        <v>41</v>
      </c>
      <c r="K7" s="50">
        <v>42</v>
      </c>
      <c r="L7" s="50">
        <v>5</v>
      </c>
      <c r="O7" s="49"/>
      <c r="P7" s="50">
        <v>31</v>
      </c>
      <c r="Q7" s="50">
        <v>32</v>
      </c>
      <c r="R7" s="50">
        <v>41</v>
      </c>
      <c r="S7" s="50">
        <v>42</v>
      </c>
      <c r="T7" s="50">
        <v>5</v>
      </c>
    </row>
    <row r="8" spans="1:20" ht="15.75" customHeight="1">
      <c r="F8" s="69">
        <v>45217</v>
      </c>
      <c r="G8" s="51">
        <v>0</v>
      </c>
      <c r="H8" s="52">
        <v>1</v>
      </c>
      <c r="I8" s="53"/>
      <c r="J8" s="53"/>
      <c r="K8" s="53"/>
      <c r="L8" s="53"/>
      <c r="N8" s="69">
        <v>45217</v>
      </c>
      <c r="O8" s="51">
        <v>0</v>
      </c>
      <c r="P8" s="74">
        <f>H8/H$32</f>
        <v>3.1545741324921135E-3</v>
      </c>
      <c r="Q8" s="74">
        <f t="shared" ref="Q8:T23" si="0">I8/I$32</f>
        <v>0</v>
      </c>
      <c r="R8" s="74">
        <f t="shared" si="0"/>
        <v>0</v>
      </c>
      <c r="S8" s="74">
        <f t="shared" si="0"/>
        <v>0</v>
      </c>
      <c r="T8" s="74">
        <f t="shared" si="0"/>
        <v>0</v>
      </c>
    </row>
    <row r="9" spans="1:20" ht="15.75" customHeight="1">
      <c r="F9" s="70"/>
      <c r="G9" s="51">
        <v>1</v>
      </c>
      <c r="H9" s="52">
        <v>1</v>
      </c>
      <c r="I9" s="53"/>
      <c r="J9" s="53"/>
      <c r="K9" s="53"/>
      <c r="L9" s="53"/>
      <c r="N9" s="70"/>
      <c r="O9" s="51">
        <v>1</v>
      </c>
      <c r="P9" s="74">
        <f t="shared" ref="P9:P31" si="1">H9/H$32</f>
        <v>3.1545741324921135E-3</v>
      </c>
      <c r="Q9" s="74">
        <f t="shared" si="0"/>
        <v>0</v>
      </c>
      <c r="R9" s="74">
        <f t="shared" si="0"/>
        <v>0</v>
      </c>
      <c r="S9" s="74">
        <f t="shared" si="0"/>
        <v>0</v>
      </c>
      <c r="T9" s="74">
        <f t="shared" si="0"/>
        <v>0</v>
      </c>
    </row>
    <row r="10" spans="1:20" ht="15.75" customHeight="1">
      <c r="F10" s="70"/>
      <c r="G10" s="51">
        <v>2</v>
      </c>
      <c r="H10" s="52">
        <v>1</v>
      </c>
      <c r="I10" s="53"/>
      <c r="J10" s="53"/>
      <c r="K10" s="53"/>
      <c r="L10" s="53"/>
      <c r="N10" s="70"/>
      <c r="O10" s="51">
        <v>2</v>
      </c>
      <c r="P10" s="74">
        <f t="shared" si="1"/>
        <v>3.1545741324921135E-3</v>
      </c>
      <c r="Q10" s="74">
        <f t="shared" si="0"/>
        <v>0</v>
      </c>
      <c r="R10" s="74">
        <f t="shared" si="0"/>
        <v>0</v>
      </c>
      <c r="S10" s="74">
        <f t="shared" si="0"/>
        <v>0</v>
      </c>
      <c r="T10" s="74">
        <f t="shared" si="0"/>
        <v>0</v>
      </c>
    </row>
    <row r="11" spans="1:20" ht="15.75" customHeight="1">
      <c r="F11" s="70"/>
      <c r="G11" s="51">
        <v>3</v>
      </c>
      <c r="H11" s="52">
        <v>1</v>
      </c>
      <c r="I11" s="52">
        <v>1</v>
      </c>
      <c r="J11" s="53"/>
      <c r="K11" s="52">
        <v>1</v>
      </c>
      <c r="L11" s="53"/>
      <c r="N11" s="70"/>
      <c r="O11" s="51">
        <v>3</v>
      </c>
      <c r="P11" s="74">
        <f t="shared" si="1"/>
        <v>3.1545741324921135E-3</v>
      </c>
      <c r="Q11" s="74">
        <f t="shared" si="0"/>
        <v>7.9365079365079361E-3</v>
      </c>
      <c r="R11" s="74">
        <f t="shared" si="0"/>
        <v>0</v>
      </c>
      <c r="S11" s="74">
        <f t="shared" si="0"/>
        <v>2.6315789473684209E-2</v>
      </c>
      <c r="T11" s="74">
        <f t="shared" si="0"/>
        <v>0</v>
      </c>
    </row>
    <row r="12" spans="1:20" ht="15.75" customHeight="1">
      <c r="F12" s="70"/>
      <c r="G12" s="51">
        <v>4</v>
      </c>
      <c r="H12" s="52">
        <v>3</v>
      </c>
      <c r="I12" s="52">
        <v>2</v>
      </c>
      <c r="J12" s="53"/>
      <c r="K12" s="52">
        <v>1</v>
      </c>
      <c r="L12" s="52">
        <v>1</v>
      </c>
      <c r="N12" s="70"/>
      <c r="O12" s="51">
        <v>4</v>
      </c>
      <c r="P12" s="74">
        <f t="shared" si="1"/>
        <v>9.4637223974763408E-3</v>
      </c>
      <c r="Q12" s="74">
        <f t="shared" si="0"/>
        <v>1.5873015873015872E-2</v>
      </c>
      <c r="R12" s="74">
        <f t="shared" si="0"/>
        <v>0</v>
      </c>
      <c r="S12" s="74">
        <f t="shared" si="0"/>
        <v>2.6315789473684209E-2</v>
      </c>
      <c r="T12" s="74">
        <f t="shared" si="0"/>
        <v>1.9230769230769232E-2</v>
      </c>
    </row>
    <row r="13" spans="1:20" ht="15.75" customHeight="1">
      <c r="F13" s="70"/>
      <c r="G13" s="51">
        <v>5</v>
      </c>
      <c r="H13" s="52">
        <v>3</v>
      </c>
      <c r="I13" s="52">
        <v>2</v>
      </c>
      <c r="J13" s="53"/>
      <c r="K13" s="52">
        <v>1</v>
      </c>
      <c r="L13" s="53"/>
      <c r="N13" s="70"/>
      <c r="O13" s="51">
        <v>5</v>
      </c>
      <c r="P13" s="74">
        <f t="shared" si="1"/>
        <v>9.4637223974763408E-3</v>
      </c>
      <c r="Q13" s="74">
        <f t="shared" si="0"/>
        <v>1.5873015873015872E-2</v>
      </c>
      <c r="R13" s="74">
        <f t="shared" si="0"/>
        <v>0</v>
      </c>
      <c r="S13" s="74">
        <f t="shared" si="0"/>
        <v>2.6315789473684209E-2</v>
      </c>
      <c r="T13" s="74">
        <f t="shared" si="0"/>
        <v>0</v>
      </c>
    </row>
    <row r="14" spans="1:20" ht="15.75" customHeight="1">
      <c r="F14" s="70"/>
      <c r="G14" s="51">
        <v>6</v>
      </c>
      <c r="H14" s="52">
        <v>7</v>
      </c>
      <c r="I14" s="52">
        <v>6</v>
      </c>
      <c r="J14" s="53"/>
      <c r="K14" s="53"/>
      <c r="L14" s="52">
        <v>2</v>
      </c>
      <c r="N14" s="70"/>
      <c r="O14" s="51">
        <v>6</v>
      </c>
      <c r="P14" s="74">
        <f t="shared" si="1"/>
        <v>2.2082018927444796E-2</v>
      </c>
      <c r="Q14" s="74">
        <f t="shared" si="0"/>
        <v>4.7619047619047616E-2</v>
      </c>
      <c r="R14" s="74">
        <f t="shared" si="0"/>
        <v>0</v>
      </c>
      <c r="S14" s="74">
        <f t="shared" si="0"/>
        <v>0</v>
      </c>
      <c r="T14" s="74">
        <f t="shared" si="0"/>
        <v>3.8461538461538464E-2</v>
      </c>
    </row>
    <row r="15" spans="1:20" ht="15.75" customHeight="1">
      <c r="F15" s="70"/>
      <c r="G15" s="51">
        <v>7</v>
      </c>
      <c r="H15" s="52">
        <v>37</v>
      </c>
      <c r="I15" s="52">
        <v>6</v>
      </c>
      <c r="J15" s="53"/>
      <c r="K15" s="52">
        <v>1</v>
      </c>
      <c r="L15" s="52">
        <v>1</v>
      </c>
      <c r="N15" s="70"/>
      <c r="O15" s="51">
        <v>7</v>
      </c>
      <c r="P15" s="74">
        <f t="shared" si="1"/>
        <v>0.1167192429022082</v>
      </c>
      <c r="Q15" s="74">
        <f t="shared" si="0"/>
        <v>4.7619047619047616E-2</v>
      </c>
      <c r="R15" s="74">
        <f t="shared" si="0"/>
        <v>0</v>
      </c>
      <c r="S15" s="74">
        <f t="shared" si="0"/>
        <v>2.6315789473684209E-2</v>
      </c>
      <c r="T15" s="74">
        <f t="shared" si="0"/>
        <v>1.9230769230769232E-2</v>
      </c>
    </row>
    <row r="16" spans="1:20" ht="15.75" customHeight="1">
      <c r="F16" s="70"/>
      <c r="G16" s="51">
        <v>8</v>
      </c>
      <c r="H16" s="52">
        <v>24</v>
      </c>
      <c r="I16" s="52">
        <v>11</v>
      </c>
      <c r="J16" s="52">
        <v>1</v>
      </c>
      <c r="K16" s="53"/>
      <c r="L16" s="52">
        <v>5</v>
      </c>
      <c r="N16" s="70"/>
      <c r="O16" s="51">
        <v>8</v>
      </c>
      <c r="P16" s="74">
        <f t="shared" si="1"/>
        <v>7.5709779179810727E-2</v>
      </c>
      <c r="Q16" s="74">
        <f t="shared" si="0"/>
        <v>8.7301587301587297E-2</v>
      </c>
      <c r="R16" s="74">
        <f t="shared" si="0"/>
        <v>0.1</v>
      </c>
      <c r="S16" s="74">
        <f t="shared" si="0"/>
        <v>0</v>
      </c>
      <c r="T16" s="74">
        <f t="shared" si="0"/>
        <v>9.6153846153846159E-2</v>
      </c>
    </row>
    <row r="17" spans="6:20" ht="15.75" customHeight="1">
      <c r="F17" s="70"/>
      <c r="G17" s="51">
        <v>9</v>
      </c>
      <c r="H17" s="52">
        <v>18</v>
      </c>
      <c r="I17" s="52">
        <v>9</v>
      </c>
      <c r="J17" s="52">
        <v>1</v>
      </c>
      <c r="K17" s="52">
        <v>2</v>
      </c>
      <c r="L17" s="52">
        <v>5</v>
      </c>
      <c r="N17" s="70"/>
      <c r="O17" s="51">
        <v>9</v>
      </c>
      <c r="P17" s="74">
        <f t="shared" si="1"/>
        <v>5.6782334384858045E-2</v>
      </c>
      <c r="Q17" s="74">
        <f t="shared" si="0"/>
        <v>7.1428571428571425E-2</v>
      </c>
      <c r="R17" s="74">
        <f t="shared" si="0"/>
        <v>0.1</v>
      </c>
      <c r="S17" s="74">
        <f t="shared" si="0"/>
        <v>5.2631578947368418E-2</v>
      </c>
      <c r="T17" s="74">
        <f t="shared" si="0"/>
        <v>9.6153846153846159E-2</v>
      </c>
    </row>
    <row r="18" spans="6:20" ht="15.75" customHeight="1">
      <c r="F18" s="70"/>
      <c r="G18" s="51">
        <v>10</v>
      </c>
      <c r="H18" s="52">
        <v>20</v>
      </c>
      <c r="I18" s="52">
        <v>6</v>
      </c>
      <c r="J18" s="52">
        <v>1</v>
      </c>
      <c r="K18" s="52">
        <v>2</v>
      </c>
      <c r="L18" s="52">
        <v>6</v>
      </c>
      <c r="N18" s="70"/>
      <c r="O18" s="51">
        <v>10</v>
      </c>
      <c r="P18" s="74">
        <f t="shared" si="1"/>
        <v>6.3091482649842268E-2</v>
      </c>
      <c r="Q18" s="74">
        <f t="shared" si="0"/>
        <v>4.7619047619047616E-2</v>
      </c>
      <c r="R18" s="74">
        <f t="shared" si="0"/>
        <v>0.1</v>
      </c>
      <c r="S18" s="74">
        <f t="shared" si="0"/>
        <v>5.2631578947368418E-2</v>
      </c>
      <c r="T18" s="74">
        <f t="shared" si="0"/>
        <v>0.11538461538461539</v>
      </c>
    </row>
    <row r="19" spans="6:20" ht="15.75" customHeight="1">
      <c r="F19" s="70"/>
      <c r="G19" s="51">
        <v>11</v>
      </c>
      <c r="H19" s="52">
        <v>20</v>
      </c>
      <c r="I19" s="52">
        <v>9</v>
      </c>
      <c r="J19" s="52">
        <v>3</v>
      </c>
      <c r="K19" s="52">
        <v>4</v>
      </c>
      <c r="L19" s="52">
        <v>5</v>
      </c>
      <c r="N19" s="70"/>
      <c r="O19" s="51">
        <v>11</v>
      </c>
      <c r="P19" s="74">
        <f t="shared" si="1"/>
        <v>6.3091482649842268E-2</v>
      </c>
      <c r="Q19" s="74">
        <f t="shared" si="0"/>
        <v>7.1428571428571425E-2</v>
      </c>
      <c r="R19" s="74">
        <f t="shared" si="0"/>
        <v>0.3</v>
      </c>
      <c r="S19" s="74">
        <f t="shared" si="0"/>
        <v>0.10526315789473684</v>
      </c>
      <c r="T19" s="74">
        <f t="shared" si="0"/>
        <v>9.6153846153846159E-2</v>
      </c>
    </row>
    <row r="20" spans="6:20" ht="15.75" customHeight="1">
      <c r="F20" s="70"/>
      <c r="G20" s="51">
        <v>12</v>
      </c>
      <c r="H20" s="52">
        <v>18</v>
      </c>
      <c r="I20" s="52">
        <v>11</v>
      </c>
      <c r="J20" s="52">
        <v>1</v>
      </c>
      <c r="K20" s="52">
        <v>1</v>
      </c>
      <c r="L20" s="52">
        <v>4</v>
      </c>
      <c r="N20" s="70"/>
      <c r="O20" s="51">
        <v>12</v>
      </c>
      <c r="P20" s="74">
        <f t="shared" si="1"/>
        <v>5.6782334384858045E-2</v>
      </c>
      <c r="Q20" s="74">
        <f t="shared" si="0"/>
        <v>8.7301587301587297E-2</v>
      </c>
      <c r="R20" s="74">
        <f t="shared" si="0"/>
        <v>0.1</v>
      </c>
      <c r="S20" s="74">
        <f t="shared" si="0"/>
        <v>2.6315789473684209E-2</v>
      </c>
      <c r="T20" s="74">
        <f t="shared" si="0"/>
        <v>7.6923076923076927E-2</v>
      </c>
    </row>
    <row r="21" spans="6:20" ht="15.75" customHeight="1">
      <c r="F21" s="70"/>
      <c r="G21" s="51">
        <v>13</v>
      </c>
      <c r="H21" s="52">
        <v>18</v>
      </c>
      <c r="I21" s="52">
        <v>9</v>
      </c>
      <c r="J21" s="52">
        <v>1</v>
      </c>
      <c r="K21" s="52">
        <v>7</v>
      </c>
      <c r="L21" s="52">
        <v>7</v>
      </c>
      <c r="N21" s="70"/>
      <c r="O21" s="51">
        <v>13</v>
      </c>
      <c r="P21" s="74">
        <f t="shared" si="1"/>
        <v>5.6782334384858045E-2</v>
      </c>
      <c r="Q21" s="74">
        <f t="shared" si="0"/>
        <v>7.1428571428571425E-2</v>
      </c>
      <c r="R21" s="74">
        <f t="shared" si="0"/>
        <v>0.1</v>
      </c>
      <c r="S21" s="74">
        <f t="shared" si="0"/>
        <v>0.18421052631578946</v>
      </c>
      <c r="T21" s="74">
        <f t="shared" si="0"/>
        <v>0.13461538461538461</v>
      </c>
    </row>
    <row r="22" spans="6:20" ht="15.75" customHeight="1">
      <c r="F22" s="70"/>
      <c r="G22" s="51">
        <v>14</v>
      </c>
      <c r="H22" s="52">
        <v>21</v>
      </c>
      <c r="I22" s="52">
        <v>8</v>
      </c>
      <c r="J22" s="53"/>
      <c r="K22" s="52">
        <v>3</v>
      </c>
      <c r="L22" s="52">
        <v>2</v>
      </c>
      <c r="N22" s="70"/>
      <c r="O22" s="51">
        <v>14</v>
      </c>
      <c r="P22" s="74">
        <f t="shared" si="1"/>
        <v>6.6246056782334389E-2</v>
      </c>
      <c r="Q22" s="74">
        <f t="shared" si="0"/>
        <v>6.3492063492063489E-2</v>
      </c>
      <c r="R22" s="74">
        <f t="shared" si="0"/>
        <v>0</v>
      </c>
      <c r="S22" s="74">
        <f t="shared" si="0"/>
        <v>7.8947368421052627E-2</v>
      </c>
      <c r="T22" s="74">
        <f t="shared" si="0"/>
        <v>3.8461538461538464E-2</v>
      </c>
    </row>
    <row r="23" spans="6:20" ht="15.75" customHeight="1">
      <c r="F23" s="70"/>
      <c r="G23" s="51">
        <v>15</v>
      </c>
      <c r="H23" s="52">
        <v>18</v>
      </c>
      <c r="I23" s="52">
        <v>8</v>
      </c>
      <c r="J23" s="53"/>
      <c r="K23" s="52">
        <v>6</v>
      </c>
      <c r="L23" s="52">
        <v>5</v>
      </c>
      <c r="N23" s="70"/>
      <c r="O23" s="51">
        <v>15</v>
      </c>
      <c r="P23" s="74">
        <f t="shared" si="1"/>
        <v>5.6782334384858045E-2</v>
      </c>
      <c r="Q23" s="74">
        <f t="shared" si="0"/>
        <v>6.3492063492063489E-2</v>
      </c>
      <c r="R23" s="74">
        <f t="shared" si="0"/>
        <v>0</v>
      </c>
      <c r="S23" s="74">
        <f t="shared" si="0"/>
        <v>0.15789473684210525</v>
      </c>
      <c r="T23" s="74">
        <f t="shared" si="0"/>
        <v>9.6153846153846159E-2</v>
      </c>
    </row>
    <row r="24" spans="6:20" ht="15.75" customHeight="1">
      <c r="F24" s="70"/>
      <c r="G24" s="51">
        <v>16</v>
      </c>
      <c r="H24" s="52">
        <v>20</v>
      </c>
      <c r="I24" s="52">
        <v>10</v>
      </c>
      <c r="J24" s="53"/>
      <c r="K24" s="52">
        <v>2</v>
      </c>
      <c r="L24" s="52">
        <v>6</v>
      </c>
      <c r="N24" s="70"/>
      <c r="O24" s="51">
        <v>16</v>
      </c>
      <c r="P24" s="74">
        <f t="shared" si="1"/>
        <v>6.3091482649842268E-2</v>
      </c>
      <c r="Q24" s="74">
        <f t="shared" ref="Q24:Q31" si="2">I24/I$32</f>
        <v>7.9365079365079361E-2</v>
      </c>
      <c r="R24" s="74">
        <f t="shared" ref="R24:R31" si="3">J24/J$32</f>
        <v>0</v>
      </c>
      <c r="S24" s="74">
        <f t="shared" ref="S24:S31" si="4">K24/K$32</f>
        <v>5.2631578947368418E-2</v>
      </c>
      <c r="T24" s="74">
        <f t="shared" ref="T24:T31" si="5">L24/L$32</f>
        <v>0.11538461538461539</v>
      </c>
    </row>
    <row r="25" spans="6:20" ht="15.75" customHeight="1">
      <c r="F25" s="70"/>
      <c r="G25" s="51">
        <v>17</v>
      </c>
      <c r="H25" s="52">
        <v>23</v>
      </c>
      <c r="I25" s="52">
        <v>9</v>
      </c>
      <c r="J25" s="52">
        <v>2</v>
      </c>
      <c r="K25" s="52">
        <v>3</v>
      </c>
      <c r="L25" s="52">
        <v>1</v>
      </c>
      <c r="N25" s="70"/>
      <c r="O25" s="51">
        <v>17</v>
      </c>
      <c r="P25" s="74">
        <f t="shared" si="1"/>
        <v>7.2555205047318619E-2</v>
      </c>
      <c r="Q25" s="74">
        <f t="shared" si="2"/>
        <v>7.1428571428571425E-2</v>
      </c>
      <c r="R25" s="74">
        <f t="shared" si="3"/>
        <v>0.2</v>
      </c>
      <c r="S25" s="74">
        <f t="shared" si="4"/>
        <v>7.8947368421052627E-2</v>
      </c>
      <c r="T25" s="74">
        <f t="shared" si="5"/>
        <v>1.9230769230769232E-2</v>
      </c>
    </row>
    <row r="26" spans="6:20" ht="15.75" customHeight="1">
      <c r="F26" s="70"/>
      <c r="G26" s="51">
        <v>18</v>
      </c>
      <c r="H26" s="52">
        <v>19</v>
      </c>
      <c r="I26" s="52">
        <v>7</v>
      </c>
      <c r="J26" s="53"/>
      <c r="K26" s="52">
        <v>1</v>
      </c>
      <c r="L26" s="52">
        <v>1</v>
      </c>
      <c r="N26" s="70"/>
      <c r="O26" s="51">
        <v>18</v>
      </c>
      <c r="P26" s="74">
        <f t="shared" si="1"/>
        <v>5.993690851735016E-2</v>
      </c>
      <c r="Q26" s="74">
        <f t="shared" si="2"/>
        <v>5.5555555555555552E-2</v>
      </c>
      <c r="R26" s="74">
        <f t="shared" si="3"/>
        <v>0</v>
      </c>
      <c r="S26" s="74">
        <f t="shared" si="4"/>
        <v>2.6315789473684209E-2</v>
      </c>
      <c r="T26" s="74">
        <f t="shared" si="5"/>
        <v>1.9230769230769232E-2</v>
      </c>
    </row>
    <row r="27" spans="6:20" ht="15.75" customHeight="1">
      <c r="F27" s="70"/>
      <c r="G27" s="51">
        <v>19</v>
      </c>
      <c r="H27" s="52">
        <v>17</v>
      </c>
      <c r="I27" s="52">
        <v>5</v>
      </c>
      <c r="J27" s="53"/>
      <c r="K27" s="52">
        <v>2</v>
      </c>
      <c r="L27" s="52">
        <v>1</v>
      </c>
      <c r="N27" s="70"/>
      <c r="O27" s="51">
        <v>19</v>
      </c>
      <c r="P27" s="74">
        <f t="shared" si="1"/>
        <v>5.362776025236593E-2</v>
      </c>
      <c r="Q27" s="74">
        <f t="shared" si="2"/>
        <v>3.968253968253968E-2</v>
      </c>
      <c r="R27" s="74">
        <f t="shared" si="3"/>
        <v>0</v>
      </c>
      <c r="S27" s="74">
        <f t="shared" si="4"/>
        <v>5.2631578947368418E-2</v>
      </c>
      <c r="T27" s="74">
        <f t="shared" si="5"/>
        <v>1.9230769230769232E-2</v>
      </c>
    </row>
    <row r="28" spans="6:20" ht="15.75" customHeight="1">
      <c r="F28" s="70"/>
      <c r="G28" s="51">
        <v>20</v>
      </c>
      <c r="H28" s="52">
        <v>12</v>
      </c>
      <c r="I28" s="52">
        <v>6</v>
      </c>
      <c r="J28" s="53"/>
      <c r="K28" s="53"/>
      <c r="L28" s="53"/>
      <c r="N28" s="70"/>
      <c r="O28" s="51">
        <v>20</v>
      </c>
      <c r="P28" s="74">
        <f t="shared" si="1"/>
        <v>3.7854889589905363E-2</v>
      </c>
      <c r="Q28" s="74">
        <f t="shared" si="2"/>
        <v>4.7619047619047616E-2</v>
      </c>
      <c r="R28" s="74">
        <f t="shared" si="3"/>
        <v>0</v>
      </c>
      <c r="S28" s="74">
        <f t="shared" si="4"/>
        <v>0</v>
      </c>
      <c r="T28" s="74">
        <f t="shared" si="5"/>
        <v>0</v>
      </c>
    </row>
    <row r="29" spans="6:20" ht="15.75" customHeight="1">
      <c r="F29" s="70"/>
      <c r="G29" s="51">
        <v>21</v>
      </c>
      <c r="H29" s="52">
        <v>6</v>
      </c>
      <c r="I29" s="53"/>
      <c r="J29" s="53"/>
      <c r="K29" s="53"/>
      <c r="L29" s="53"/>
      <c r="N29" s="70"/>
      <c r="O29" s="51">
        <v>21</v>
      </c>
      <c r="P29" s="74">
        <f t="shared" si="1"/>
        <v>1.8927444794952682E-2</v>
      </c>
      <c r="Q29" s="74">
        <f t="shared" si="2"/>
        <v>0</v>
      </c>
      <c r="R29" s="74">
        <f t="shared" si="3"/>
        <v>0</v>
      </c>
      <c r="S29" s="74">
        <f t="shared" si="4"/>
        <v>0</v>
      </c>
      <c r="T29" s="74">
        <f t="shared" si="5"/>
        <v>0</v>
      </c>
    </row>
    <row r="30" spans="6:20" ht="15.75" customHeight="1">
      <c r="F30" s="70"/>
      <c r="G30" s="51">
        <v>22</v>
      </c>
      <c r="H30" s="52">
        <v>3</v>
      </c>
      <c r="I30" s="52">
        <v>1</v>
      </c>
      <c r="J30" s="53"/>
      <c r="K30" s="52">
        <v>1</v>
      </c>
      <c r="L30" s="53"/>
      <c r="N30" s="70"/>
      <c r="O30" s="51">
        <v>22</v>
      </c>
      <c r="P30" s="74">
        <f t="shared" si="1"/>
        <v>9.4637223974763408E-3</v>
      </c>
      <c r="Q30" s="74">
        <f t="shared" si="2"/>
        <v>7.9365079365079361E-3</v>
      </c>
      <c r="R30" s="74">
        <f t="shared" si="3"/>
        <v>0</v>
      </c>
      <c r="S30" s="74">
        <f t="shared" si="4"/>
        <v>2.6315789473684209E-2</v>
      </c>
      <c r="T30" s="74">
        <f t="shared" si="5"/>
        <v>0</v>
      </c>
    </row>
    <row r="31" spans="6:20" ht="15.75" customHeight="1">
      <c r="F31" s="71"/>
      <c r="G31" s="51">
        <v>23</v>
      </c>
      <c r="H31" s="55">
        <v>6</v>
      </c>
      <c r="I31" s="59"/>
      <c r="J31" s="59"/>
      <c r="K31" s="59"/>
      <c r="L31" s="59"/>
      <c r="N31" s="71"/>
      <c r="O31" s="51">
        <v>23</v>
      </c>
      <c r="P31" s="74">
        <f t="shared" si="1"/>
        <v>1.8927444794952682E-2</v>
      </c>
      <c r="Q31" s="74">
        <f t="shared" si="2"/>
        <v>0</v>
      </c>
      <c r="R31" s="74">
        <f t="shared" si="3"/>
        <v>0</v>
      </c>
      <c r="S31" s="74">
        <f t="shared" si="4"/>
        <v>0</v>
      </c>
      <c r="T31" s="74">
        <f t="shared" si="5"/>
        <v>0</v>
      </c>
    </row>
    <row r="32" spans="6:20" ht="15.75" customHeight="1">
      <c r="F32" s="72"/>
      <c r="G32" s="73"/>
      <c r="H32" s="56">
        <f t="shared" ref="H32:L32" si="6">SUM(H8:H31)</f>
        <v>317</v>
      </c>
      <c r="I32" s="56">
        <f t="shared" si="6"/>
        <v>126</v>
      </c>
      <c r="J32" s="56">
        <f t="shared" si="6"/>
        <v>10</v>
      </c>
      <c r="K32" s="56">
        <f t="shared" si="6"/>
        <v>38</v>
      </c>
      <c r="L32" s="56">
        <f t="shared" si="6"/>
        <v>52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F8:F31"/>
    <mergeCell ref="F32:G32"/>
    <mergeCell ref="N8:N31"/>
    <mergeCell ref="B3:C3"/>
    <mergeCell ref="D3:E3"/>
    <mergeCell ref="H3:L3"/>
    <mergeCell ref="H4:L4"/>
    <mergeCell ref="H6:L6"/>
  </mergeCells>
  <phoneticPr fontId="2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T1000"/>
  <sheetViews>
    <sheetView workbookViewId="0">
      <selection activeCell="O7" sqref="O7:T31"/>
    </sheetView>
  </sheetViews>
  <sheetFormatPr defaultColWidth="12.5703125" defaultRowHeight="15" customHeight="1"/>
  <cols>
    <col min="1" max="6" width="12.5703125" customWidth="1"/>
    <col min="7" max="7" width="6.42578125" customWidth="1"/>
  </cols>
  <sheetData>
    <row r="1" spans="1:20" ht="15.75" customHeight="1">
      <c r="A1" s="41"/>
      <c r="B1" s="41"/>
      <c r="C1" s="41"/>
      <c r="D1" s="41"/>
      <c r="E1" s="41"/>
      <c r="H1" s="42" t="s">
        <v>4</v>
      </c>
      <c r="I1" s="57"/>
      <c r="J1" s="42"/>
      <c r="K1" s="42"/>
      <c r="L1" s="42"/>
    </row>
    <row r="2" spans="1:20" ht="15.75" customHeight="1">
      <c r="A2" s="41"/>
      <c r="B2" s="41"/>
      <c r="C2" s="41"/>
      <c r="D2" s="41"/>
      <c r="E2" s="41"/>
      <c r="H2" s="42" t="s">
        <v>5</v>
      </c>
      <c r="I2" s="57"/>
      <c r="J2" s="42"/>
      <c r="K2" s="42"/>
      <c r="L2" s="42"/>
    </row>
    <row r="3" spans="1:20" ht="15.75" customHeight="1">
      <c r="A3" s="41"/>
      <c r="B3" s="65" t="s">
        <v>133</v>
      </c>
      <c r="C3" s="64"/>
      <c r="D3" s="65" t="s">
        <v>134</v>
      </c>
      <c r="E3" s="64"/>
      <c r="H3" s="66" t="s">
        <v>142</v>
      </c>
      <c r="I3" s="67"/>
      <c r="J3" s="67"/>
      <c r="K3" s="67"/>
      <c r="L3" s="62"/>
    </row>
    <row r="4" spans="1:20" ht="15.75" customHeight="1">
      <c r="A4" s="44" t="s">
        <v>136</v>
      </c>
      <c r="B4" s="45" t="s">
        <v>7</v>
      </c>
      <c r="C4" s="46" t="s">
        <v>8</v>
      </c>
      <c r="D4" s="45" t="s">
        <v>7</v>
      </c>
      <c r="E4" s="46" t="s">
        <v>8</v>
      </c>
      <c r="H4" s="66" t="s">
        <v>143</v>
      </c>
      <c r="I4" s="67"/>
      <c r="J4" s="67"/>
      <c r="K4" s="67"/>
      <c r="L4" s="62"/>
    </row>
    <row r="5" spans="1:20" ht="15.75" customHeight="1">
      <c r="A5" s="35" t="s">
        <v>75</v>
      </c>
      <c r="B5" s="25"/>
      <c r="D5" s="58" t="s">
        <v>144</v>
      </c>
      <c r="E5" s="25"/>
    </row>
    <row r="6" spans="1:20" ht="15.75" customHeight="1">
      <c r="H6" s="68" t="s">
        <v>139</v>
      </c>
      <c r="I6" s="67"/>
      <c r="J6" s="67"/>
      <c r="K6" s="67"/>
      <c r="L6" s="62"/>
      <c r="P6" s="68" t="s">
        <v>139</v>
      </c>
      <c r="Q6" s="67"/>
      <c r="R6" s="67"/>
      <c r="S6" s="67"/>
      <c r="T6" s="62"/>
    </row>
    <row r="7" spans="1:20" ht="15.75" customHeight="1">
      <c r="G7" s="49"/>
      <c r="H7" s="50">
        <v>31</v>
      </c>
      <c r="I7" s="50">
        <v>32</v>
      </c>
      <c r="J7" s="50">
        <v>41</v>
      </c>
      <c r="K7" s="50">
        <v>42</v>
      </c>
      <c r="L7" s="50">
        <v>5</v>
      </c>
      <c r="O7" s="49"/>
      <c r="P7" s="50">
        <v>31</v>
      </c>
      <c r="Q7" s="50">
        <v>32</v>
      </c>
      <c r="R7" s="50">
        <v>41</v>
      </c>
      <c r="S7" s="50">
        <v>42</v>
      </c>
      <c r="T7" s="50">
        <v>5</v>
      </c>
    </row>
    <row r="8" spans="1:20" ht="15.75" customHeight="1">
      <c r="F8" s="69">
        <v>45217</v>
      </c>
      <c r="G8" s="51">
        <v>0</v>
      </c>
      <c r="H8" s="52">
        <v>2</v>
      </c>
      <c r="I8" s="52">
        <v>2</v>
      </c>
      <c r="J8" s="53"/>
      <c r="K8" s="53"/>
      <c r="L8" s="53"/>
      <c r="N8" s="69">
        <v>45217</v>
      </c>
      <c r="O8" s="51">
        <v>0</v>
      </c>
      <c r="P8" s="74">
        <f>H8/H$32</f>
        <v>4.9261083743842365E-3</v>
      </c>
      <c r="Q8" s="74">
        <f t="shared" ref="Q8:T23" si="0">I8/I$32</f>
        <v>1.1764705882352941E-2</v>
      </c>
      <c r="R8" s="74">
        <f t="shared" si="0"/>
        <v>0</v>
      </c>
      <c r="S8" s="74">
        <f t="shared" si="0"/>
        <v>0</v>
      </c>
      <c r="T8" s="74">
        <f t="shared" si="0"/>
        <v>0</v>
      </c>
    </row>
    <row r="9" spans="1:20" ht="15.75" customHeight="1">
      <c r="F9" s="70"/>
      <c r="G9" s="51">
        <v>1</v>
      </c>
      <c r="H9" s="53"/>
      <c r="I9" s="52">
        <v>1</v>
      </c>
      <c r="J9" s="53"/>
      <c r="K9" s="52">
        <v>1</v>
      </c>
      <c r="L9" s="53"/>
      <c r="N9" s="70"/>
      <c r="O9" s="51">
        <v>1</v>
      </c>
      <c r="P9" s="74">
        <f t="shared" ref="P9:P31" si="1">H9/H$32</f>
        <v>0</v>
      </c>
      <c r="Q9" s="74">
        <f t="shared" si="0"/>
        <v>5.8823529411764705E-3</v>
      </c>
      <c r="R9" s="74">
        <f t="shared" si="0"/>
        <v>0</v>
      </c>
      <c r="S9" s="74">
        <f t="shared" si="0"/>
        <v>3.8461538461538464E-2</v>
      </c>
      <c r="T9" s="74">
        <f t="shared" si="0"/>
        <v>0</v>
      </c>
    </row>
    <row r="10" spans="1:20" ht="15.75" customHeight="1">
      <c r="F10" s="70"/>
      <c r="G10" s="51">
        <v>2</v>
      </c>
      <c r="H10" s="52">
        <v>2</v>
      </c>
      <c r="I10" s="52">
        <v>1</v>
      </c>
      <c r="J10" s="53"/>
      <c r="K10" s="53"/>
      <c r="L10" s="53"/>
      <c r="N10" s="70"/>
      <c r="O10" s="51">
        <v>2</v>
      </c>
      <c r="P10" s="74">
        <f t="shared" si="1"/>
        <v>4.9261083743842365E-3</v>
      </c>
      <c r="Q10" s="74">
        <f t="shared" si="0"/>
        <v>5.8823529411764705E-3</v>
      </c>
      <c r="R10" s="74">
        <f t="shared" si="0"/>
        <v>0</v>
      </c>
      <c r="S10" s="74">
        <f t="shared" si="0"/>
        <v>0</v>
      </c>
      <c r="T10" s="74">
        <f t="shared" si="0"/>
        <v>0</v>
      </c>
    </row>
    <row r="11" spans="1:20" ht="15.75" customHeight="1">
      <c r="F11" s="70"/>
      <c r="G11" s="51">
        <v>3</v>
      </c>
      <c r="H11" s="52">
        <v>1</v>
      </c>
      <c r="I11" s="52">
        <v>1</v>
      </c>
      <c r="J11" s="53"/>
      <c r="K11" s="53"/>
      <c r="L11" s="53"/>
      <c r="N11" s="70"/>
      <c r="O11" s="51">
        <v>3</v>
      </c>
      <c r="P11" s="74">
        <f t="shared" si="1"/>
        <v>2.4630541871921183E-3</v>
      </c>
      <c r="Q11" s="74">
        <f t="shared" si="0"/>
        <v>5.8823529411764705E-3</v>
      </c>
      <c r="R11" s="74">
        <f t="shared" si="0"/>
        <v>0</v>
      </c>
      <c r="S11" s="74">
        <f t="shared" si="0"/>
        <v>0</v>
      </c>
      <c r="T11" s="74">
        <f t="shared" si="0"/>
        <v>0</v>
      </c>
    </row>
    <row r="12" spans="1:20" ht="15.75" customHeight="1">
      <c r="F12" s="70"/>
      <c r="G12" s="51">
        <v>4</v>
      </c>
      <c r="H12" s="52">
        <v>1</v>
      </c>
      <c r="I12" s="53"/>
      <c r="J12" s="53"/>
      <c r="K12" s="53"/>
      <c r="L12" s="53"/>
      <c r="N12" s="70"/>
      <c r="O12" s="51">
        <v>4</v>
      </c>
      <c r="P12" s="74">
        <f t="shared" si="1"/>
        <v>2.4630541871921183E-3</v>
      </c>
      <c r="Q12" s="74">
        <f t="shared" si="0"/>
        <v>0</v>
      </c>
      <c r="R12" s="74">
        <f t="shared" si="0"/>
        <v>0</v>
      </c>
      <c r="S12" s="74">
        <f t="shared" si="0"/>
        <v>0</v>
      </c>
      <c r="T12" s="74">
        <f t="shared" si="0"/>
        <v>0</v>
      </c>
    </row>
    <row r="13" spans="1:20" ht="15.75" customHeight="1">
      <c r="F13" s="70"/>
      <c r="G13" s="51">
        <v>5</v>
      </c>
      <c r="H13" s="52">
        <v>8</v>
      </c>
      <c r="I13" s="52">
        <v>2</v>
      </c>
      <c r="J13" s="53"/>
      <c r="K13" s="52">
        <v>2</v>
      </c>
      <c r="L13" s="53"/>
      <c r="N13" s="70"/>
      <c r="O13" s="51">
        <v>5</v>
      </c>
      <c r="P13" s="74">
        <f t="shared" si="1"/>
        <v>1.9704433497536946E-2</v>
      </c>
      <c r="Q13" s="74">
        <f t="shared" si="0"/>
        <v>1.1764705882352941E-2</v>
      </c>
      <c r="R13" s="74">
        <f t="shared" si="0"/>
        <v>0</v>
      </c>
      <c r="S13" s="74">
        <f t="shared" si="0"/>
        <v>7.6923076923076927E-2</v>
      </c>
      <c r="T13" s="74">
        <f t="shared" si="0"/>
        <v>0</v>
      </c>
    </row>
    <row r="14" spans="1:20" ht="15.75" customHeight="1">
      <c r="F14" s="70"/>
      <c r="G14" s="51">
        <v>6</v>
      </c>
      <c r="H14" s="52">
        <v>16</v>
      </c>
      <c r="I14" s="52">
        <v>5</v>
      </c>
      <c r="J14" s="53"/>
      <c r="K14" s="52">
        <v>1</v>
      </c>
      <c r="L14" s="52">
        <v>4</v>
      </c>
      <c r="N14" s="70"/>
      <c r="O14" s="51">
        <v>6</v>
      </c>
      <c r="P14" s="74">
        <f t="shared" si="1"/>
        <v>3.9408866995073892E-2</v>
      </c>
      <c r="Q14" s="74">
        <f t="shared" si="0"/>
        <v>2.9411764705882353E-2</v>
      </c>
      <c r="R14" s="74">
        <f t="shared" si="0"/>
        <v>0</v>
      </c>
      <c r="S14" s="74">
        <f t="shared" si="0"/>
        <v>3.8461538461538464E-2</v>
      </c>
      <c r="T14" s="74">
        <f t="shared" si="0"/>
        <v>6.1538461538461542E-2</v>
      </c>
    </row>
    <row r="15" spans="1:20" ht="15.75" customHeight="1">
      <c r="F15" s="70"/>
      <c r="G15" s="51">
        <v>7</v>
      </c>
      <c r="H15" s="52">
        <v>39</v>
      </c>
      <c r="I15" s="52">
        <v>11</v>
      </c>
      <c r="J15" s="53"/>
      <c r="K15" s="52">
        <v>1</v>
      </c>
      <c r="L15" s="52">
        <v>4</v>
      </c>
      <c r="N15" s="70"/>
      <c r="O15" s="51">
        <v>7</v>
      </c>
      <c r="P15" s="74">
        <f t="shared" si="1"/>
        <v>9.6059113300492605E-2</v>
      </c>
      <c r="Q15" s="74">
        <f t="shared" si="0"/>
        <v>6.4705882352941183E-2</v>
      </c>
      <c r="R15" s="74">
        <f t="shared" si="0"/>
        <v>0</v>
      </c>
      <c r="S15" s="74">
        <f t="shared" si="0"/>
        <v>3.8461538461538464E-2</v>
      </c>
      <c r="T15" s="74">
        <f t="shared" si="0"/>
        <v>6.1538461538461542E-2</v>
      </c>
    </row>
    <row r="16" spans="1:20" ht="15.75" customHeight="1">
      <c r="F16" s="70"/>
      <c r="G16" s="51">
        <v>8</v>
      </c>
      <c r="H16" s="52">
        <v>21</v>
      </c>
      <c r="I16" s="52">
        <v>13</v>
      </c>
      <c r="J16" s="53"/>
      <c r="K16" s="52">
        <v>2</v>
      </c>
      <c r="L16" s="52">
        <v>1</v>
      </c>
      <c r="N16" s="70"/>
      <c r="O16" s="51">
        <v>8</v>
      </c>
      <c r="P16" s="74">
        <f t="shared" si="1"/>
        <v>5.1724137931034482E-2</v>
      </c>
      <c r="Q16" s="74">
        <f t="shared" si="0"/>
        <v>7.6470588235294124E-2</v>
      </c>
      <c r="R16" s="74">
        <f t="shared" si="0"/>
        <v>0</v>
      </c>
      <c r="S16" s="74">
        <f t="shared" si="0"/>
        <v>7.6923076923076927E-2</v>
      </c>
      <c r="T16" s="74">
        <f t="shared" si="0"/>
        <v>1.5384615384615385E-2</v>
      </c>
    </row>
    <row r="17" spans="6:20" ht="15.75" customHeight="1">
      <c r="F17" s="70"/>
      <c r="G17" s="51">
        <v>9</v>
      </c>
      <c r="H17" s="52">
        <v>27</v>
      </c>
      <c r="I17" s="52">
        <v>9</v>
      </c>
      <c r="J17" s="52">
        <v>1</v>
      </c>
      <c r="K17" s="52">
        <v>2</v>
      </c>
      <c r="L17" s="52">
        <v>6</v>
      </c>
      <c r="N17" s="70"/>
      <c r="O17" s="51">
        <v>9</v>
      </c>
      <c r="P17" s="74">
        <f t="shared" si="1"/>
        <v>6.6502463054187194E-2</v>
      </c>
      <c r="Q17" s="74">
        <f t="shared" si="0"/>
        <v>5.2941176470588235E-2</v>
      </c>
      <c r="R17" s="74">
        <f t="shared" si="0"/>
        <v>0.125</v>
      </c>
      <c r="S17" s="74">
        <f t="shared" si="0"/>
        <v>7.6923076923076927E-2</v>
      </c>
      <c r="T17" s="74">
        <f t="shared" si="0"/>
        <v>9.2307692307692313E-2</v>
      </c>
    </row>
    <row r="18" spans="6:20" ht="15.75" customHeight="1">
      <c r="F18" s="70"/>
      <c r="G18" s="51">
        <v>10</v>
      </c>
      <c r="H18" s="52">
        <v>22</v>
      </c>
      <c r="I18" s="52">
        <v>10</v>
      </c>
      <c r="J18" s="52">
        <v>1</v>
      </c>
      <c r="K18" s="52">
        <v>2</v>
      </c>
      <c r="L18" s="52">
        <v>6</v>
      </c>
      <c r="N18" s="70"/>
      <c r="O18" s="51">
        <v>10</v>
      </c>
      <c r="P18" s="74">
        <f t="shared" si="1"/>
        <v>5.4187192118226604E-2</v>
      </c>
      <c r="Q18" s="74">
        <f t="shared" si="0"/>
        <v>5.8823529411764705E-2</v>
      </c>
      <c r="R18" s="74">
        <f t="shared" si="0"/>
        <v>0.125</v>
      </c>
      <c r="S18" s="74">
        <f t="shared" si="0"/>
        <v>7.6923076923076927E-2</v>
      </c>
      <c r="T18" s="74">
        <f t="shared" si="0"/>
        <v>9.2307692307692313E-2</v>
      </c>
    </row>
    <row r="19" spans="6:20" ht="15.75" customHeight="1">
      <c r="F19" s="70"/>
      <c r="G19" s="51">
        <v>11</v>
      </c>
      <c r="H19" s="52">
        <v>21</v>
      </c>
      <c r="I19" s="52">
        <v>10</v>
      </c>
      <c r="J19" s="52">
        <v>1</v>
      </c>
      <c r="K19" s="52">
        <v>2</v>
      </c>
      <c r="L19" s="52">
        <v>6</v>
      </c>
      <c r="N19" s="70"/>
      <c r="O19" s="51">
        <v>11</v>
      </c>
      <c r="P19" s="74">
        <f t="shared" si="1"/>
        <v>5.1724137931034482E-2</v>
      </c>
      <c r="Q19" s="74">
        <f t="shared" si="0"/>
        <v>5.8823529411764705E-2</v>
      </c>
      <c r="R19" s="74">
        <f t="shared" si="0"/>
        <v>0.125</v>
      </c>
      <c r="S19" s="74">
        <f t="shared" si="0"/>
        <v>7.6923076923076927E-2</v>
      </c>
      <c r="T19" s="74">
        <f t="shared" si="0"/>
        <v>9.2307692307692313E-2</v>
      </c>
    </row>
    <row r="20" spans="6:20" ht="15.75" customHeight="1">
      <c r="F20" s="70"/>
      <c r="G20" s="51">
        <v>12</v>
      </c>
      <c r="H20" s="52">
        <v>20</v>
      </c>
      <c r="I20" s="52">
        <v>9</v>
      </c>
      <c r="J20" s="53"/>
      <c r="K20" s="52">
        <v>1</v>
      </c>
      <c r="L20" s="52">
        <v>6</v>
      </c>
      <c r="N20" s="70"/>
      <c r="O20" s="51">
        <v>12</v>
      </c>
      <c r="P20" s="74">
        <f t="shared" si="1"/>
        <v>4.9261083743842367E-2</v>
      </c>
      <c r="Q20" s="74">
        <f t="shared" si="0"/>
        <v>5.2941176470588235E-2</v>
      </c>
      <c r="R20" s="74">
        <f t="shared" si="0"/>
        <v>0</v>
      </c>
      <c r="S20" s="74">
        <f t="shared" si="0"/>
        <v>3.8461538461538464E-2</v>
      </c>
      <c r="T20" s="74">
        <f t="shared" si="0"/>
        <v>9.2307692307692313E-2</v>
      </c>
    </row>
    <row r="21" spans="6:20" ht="15.75" customHeight="1">
      <c r="F21" s="70"/>
      <c r="G21" s="51">
        <v>13</v>
      </c>
      <c r="H21" s="52">
        <v>14</v>
      </c>
      <c r="I21" s="52">
        <v>11</v>
      </c>
      <c r="J21" s="52">
        <v>2</v>
      </c>
      <c r="K21" s="52">
        <v>2</v>
      </c>
      <c r="L21" s="52">
        <v>5</v>
      </c>
      <c r="N21" s="70"/>
      <c r="O21" s="51">
        <v>13</v>
      </c>
      <c r="P21" s="74">
        <f t="shared" si="1"/>
        <v>3.4482758620689655E-2</v>
      </c>
      <c r="Q21" s="74">
        <f t="shared" si="0"/>
        <v>6.4705882352941183E-2</v>
      </c>
      <c r="R21" s="74">
        <f t="shared" si="0"/>
        <v>0.25</v>
      </c>
      <c r="S21" s="74">
        <f t="shared" si="0"/>
        <v>7.6923076923076927E-2</v>
      </c>
      <c r="T21" s="74">
        <f t="shared" si="0"/>
        <v>7.6923076923076927E-2</v>
      </c>
    </row>
    <row r="22" spans="6:20" ht="15.75" customHeight="1">
      <c r="F22" s="70"/>
      <c r="G22" s="51">
        <v>14</v>
      </c>
      <c r="H22" s="52">
        <v>25</v>
      </c>
      <c r="I22" s="52">
        <v>7</v>
      </c>
      <c r="J22" s="53"/>
      <c r="K22" s="52">
        <v>4</v>
      </c>
      <c r="L22" s="52">
        <v>10</v>
      </c>
      <c r="N22" s="70"/>
      <c r="O22" s="51">
        <v>14</v>
      </c>
      <c r="P22" s="74">
        <f t="shared" si="1"/>
        <v>6.1576354679802957E-2</v>
      </c>
      <c r="Q22" s="74">
        <f t="shared" si="0"/>
        <v>4.1176470588235294E-2</v>
      </c>
      <c r="R22" s="74">
        <f t="shared" si="0"/>
        <v>0</v>
      </c>
      <c r="S22" s="74">
        <f t="shared" si="0"/>
        <v>0.15384615384615385</v>
      </c>
      <c r="T22" s="74">
        <f t="shared" si="0"/>
        <v>0.15384615384615385</v>
      </c>
    </row>
    <row r="23" spans="6:20" ht="15.75" customHeight="1">
      <c r="F23" s="70"/>
      <c r="G23" s="51">
        <v>15</v>
      </c>
      <c r="H23" s="52">
        <v>32</v>
      </c>
      <c r="I23" s="52">
        <v>15</v>
      </c>
      <c r="J23" s="53"/>
      <c r="K23" s="52">
        <v>3</v>
      </c>
      <c r="L23" s="52">
        <v>4</v>
      </c>
      <c r="N23" s="70"/>
      <c r="O23" s="51">
        <v>15</v>
      </c>
      <c r="P23" s="74">
        <f t="shared" si="1"/>
        <v>7.8817733990147784E-2</v>
      </c>
      <c r="Q23" s="74">
        <f t="shared" si="0"/>
        <v>8.8235294117647065E-2</v>
      </c>
      <c r="R23" s="74">
        <f t="shared" si="0"/>
        <v>0</v>
      </c>
      <c r="S23" s="74">
        <f t="shared" si="0"/>
        <v>0.11538461538461539</v>
      </c>
      <c r="T23" s="74">
        <f t="shared" si="0"/>
        <v>6.1538461538461542E-2</v>
      </c>
    </row>
    <row r="24" spans="6:20" ht="15.75" customHeight="1">
      <c r="F24" s="70"/>
      <c r="G24" s="51">
        <v>16</v>
      </c>
      <c r="H24" s="52">
        <v>33</v>
      </c>
      <c r="I24" s="52">
        <v>15</v>
      </c>
      <c r="J24" s="52">
        <v>1</v>
      </c>
      <c r="K24" s="52">
        <v>2</v>
      </c>
      <c r="L24" s="52">
        <v>6</v>
      </c>
      <c r="N24" s="70"/>
      <c r="O24" s="51">
        <v>16</v>
      </c>
      <c r="P24" s="74">
        <f t="shared" si="1"/>
        <v>8.1280788177339899E-2</v>
      </c>
      <c r="Q24" s="74">
        <f t="shared" ref="Q24:Q31" si="2">I24/I$32</f>
        <v>8.8235294117647065E-2</v>
      </c>
      <c r="R24" s="74">
        <f t="shared" ref="R24:R31" si="3">J24/J$32</f>
        <v>0.125</v>
      </c>
      <c r="S24" s="74">
        <f t="shared" ref="S24:S31" si="4">K24/K$32</f>
        <v>7.6923076923076927E-2</v>
      </c>
      <c r="T24" s="74">
        <f t="shared" ref="T24:T31" si="5">L24/L$32</f>
        <v>9.2307692307692313E-2</v>
      </c>
    </row>
    <row r="25" spans="6:20" ht="15.75" customHeight="1">
      <c r="F25" s="70"/>
      <c r="G25" s="51">
        <v>17</v>
      </c>
      <c r="H25" s="52">
        <v>42</v>
      </c>
      <c r="I25" s="52">
        <v>18</v>
      </c>
      <c r="J25" s="53"/>
      <c r="K25" s="53"/>
      <c r="L25" s="52">
        <v>5</v>
      </c>
      <c r="N25" s="70"/>
      <c r="O25" s="51">
        <v>17</v>
      </c>
      <c r="P25" s="74">
        <f t="shared" si="1"/>
        <v>0.10344827586206896</v>
      </c>
      <c r="Q25" s="74">
        <f t="shared" si="2"/>
        <v>0.10588235294117647</v>
      </c>
      <c r="R25" s="74">
        <f t="shared" si="3"/>
        <v>0</v>
      </c>
      <c r="S25" s="74">
        <f t="shared" si="4"/>
        <v>0</v>
      </c>
      <c r="T25" s="74">
        <f t="shared" si="5"/>
        <v>7.6923076923076927E-2</v>
      </c>
    </row>
    <row r="26" spans="6:20" ht="15.75" customHeight="1">
      <c r="F26" s="70"/>
      <c r="G26" s="51">
        <v>18</v>
      </c>
      <c r="H26" s="52">
        <v>19</v>
      </c>
      <c r="I26" s="52">
        <v>3</v>
      </c>
      <c r="J26" s="53"/>
      <c r="K26" s="52">
        <v>1</v>
      </c>
      <c r="L26" s="52">
        <v>1</v>
      </c>
      <c r="N26" s="70"/>
      <c r="O26" s="51">
        <v>18</v>
      </c>
      <c r="P26" s="74">
        <f t="shared" si="1"/>
        <v>4.6798029556650245E-2</v>
      </c>
      <c r="Q26" s="74">
        <f t="shared" si="2"/>
        <v>1.7647058823529412E-2</v>
      </c>
      <c r="R26" s="74">
        <f t="shared" si="3"/>
        <v>0</v>
      </c>
      <c r="S26" s="74">
        <f t="shared" si="4"/>
        <v>3.8461538461538464E-2</v>
      </c>
      <c r="T26" s="74">
        <f t="shared" si="5"/>
        <v>1.5384615384615385E-2</v>
      </c>
    </row>
    <row r="27" spans="6:20" ht="15.75" customHeight="1">
      <c r="F27" s="70"/>
      <c r="G27" s="51">
        <v>19</v>
      </c>
      <c r="H27" s="52">
        <v>17</v>
      </c>
      <c r="I27" s="52">
        <v>7</v>
      </c>
      <c r="J27" s="52">
        <v>1</v>
      </c>
      <c r="K27" s="52"/>
      <c r="L27" s="52"/>
      <c r="N27" s="70"/>
      <c r="O27" s="51">
        <v>19</v>
      </c>
      <c r="P27" s="74">
        <f t="shared" si="1"/>
        <v>4.1871921182266007E-2</v>
      </c>
      <c r="Q27" s="74">
        <f t="shared" si="2"/>
        <v>4.1176470588235294E-2</v>
      </c>
      <c r="R27" s="74">
        <f t="shared" si="3"/>
        <v>0.125</v>
      </c>
      <c r="S27" s="74">
        <f t="shared" si="4"/>
        <v>0</v>
      </c>
      <c r="T27" s="74">
        <f t="shared" si="5"/>
        <v>0</v>
      </c>
    </row>
    <row r="28" spans="6:20" ht="15.75" customHeight="1">
      <c r="F28" s="70"/>
      <c r="G28" s="51">
        <v>20</v>
      </c>
      <c r="H28" s="52">
        <v>17</v>
      </c>
      <c r="I28" s="52">
        <v>9</v>
      </c>
      <c r="J28" s="53"/>
      <c r="K28" s="53"/>
      <c r="L28" s="52">
        <v>1</v>
      </c>
      <c r="N28" s="70"/>
      <c r="O28" s="51">
        <v>20</v>
      </c>
      <c r="P28" s="74">
        <f t="shared" si="1"/>
        <v>4.1871921182266007E-2</v>
      </c>
      <c r="Q28" s="74">
        <f t="shared" si="2"/>
        <v>5.2941176470588235E-2</v>
      </c>
      <c r="R28" s="74">
        <f t="shared" si="3"/>
        <v>0</v>
      </c>
      <c r="S28" s="74">
        <f t="shared" si="4"/>
        <v>0</v>
      </c>
      <c r="T28" s="74">
        <f t="shared" si="5"/>
        <v>1.5384615384615385E-2</v>
      </c>
    </row>
    <row r="29" spans="6:20" ht="15.75" customHeight="1">
      <c r="F29" s="70"/>
      <c r="G29" s="51">
        <v>21</v>
      </c>
      <c r="H29" s="52">
        <v>11</v>
      </c>
      <c r="I29" s="52">
        <v>5</v>
      </c>
      <c r="J29" s="52">
        <v>1</v>
      </c>
      <c r="K29" s="53"/>
      <c r="L29" s="53"/>
      <c r="N29" s="70"/>
      <c r="O29" s="51">
        <v>21</v>
      </c>
      <c r="P29" s="74">
        <f t="shared" si="1"/>
        <v>2.7093596059113302E-2</v>
      </c>
      <c r="Q29" s="74">
        <f t="shared" si="2"/>
        <v>2.9411764705882353E-2</v>
      </c>
      <c r="R29" s="74">
        <f t="shared" si="3"/>
        <v>0.125</v>
      </c>
      <c r="S29" s="74">
        <f t="shared" si="4"/>
        <v>0</v>
      </c>
      <c r="T29" s="74">
        <f t="shared" si="5"/>
        <v>0</v>
      </c>
    </row>
    <row r="30" spans="6:20" ht="15.75" customHeight="1">
      <c r="F30" s="70"/>
      <c r="G30" s="51">
        <v>22</v>
      </c>
      <c r="H30" s="60">
        <v>8</v>
      </c>
      <c r="I30" s="60">
        <v>5</v>
      </c>
      <c r="J30" s="54"/>
      <c r="K30" s="54"/>
      <c r="L30" s="54"/>
      <c r="N30" s="70"/>
      <c r="O30" s="51">
        <v>22</v>
      </c>
      <c r="P30" s="74">
        <f t="shared" si="1"/>
        <v>1.9704433497536946E-2</v>
      </c>
      <c r="Q30" s="74">
        <f t="shared" si="2"/>
        <v>2.9411764705882353E-2</v>
      </c>
      <c r="R30" s="74">
        <f t="shared" si="3"/>
        <v>0</v>
      </c>
      <c r="S30" s="74">
        <f t="shared" si="4"/>
        <v>0</v>
      </c>
      <c r="T30" s="74">
        <f t="shared" si="5"/>
        <v>0</v>
      </c>
    </row>
    <row r="31" spans="6:20" ht="15.75" customHeight="1">
      <c r="F31" s="71"/>
      <c r="G31" s="51">
        <v>23</v>
      </c>
      <c r="H31" s="55">
        <v>8</v>
      </c>
      <c r="I31" s="55">
        <v>1</v>
      </c>
      <c r="J31" s="59"/>
      <c r="K31" s="59"/>
      <c r="L31" s="59"/>
      <c r="N31" s="71"/>
      <c r="O31" s="51">
        <v>23</v>
      </c>
      <c r="P31" s="74">
        <f t="shared" si="1"/>
        <v>1.9704433497536946E-2</v>
      </c>
      <c r="Q31" s="74">
        <f t="shared" si="2"/>
        <v>5.8823529411764705E-3</v>
      </c>
      <c r="R31" s="74">
        <f t="shared" si="3"/>
        <v>0</v>
      </c>
      <c r="S31" s="74">
        <f t="shared" si="4"/>
        <v>0</v>
      </c>
      <c r="T31" s="74">
        <f t="shared" si="5"/>
        <v>0</v>
      </c>
    </row>
    <row r="32" spans="6:20" ht="15.75" customHeight="1">
      <c r="F32" s="72"/>
      <c r="G32" s="73"/>
      <c r="H32" s="56">
        <f t="shared" ref="H32:L32" si="6">SUM(H8:H31)</f>
        <v>406</v>
      </c>
      <c r="I32" s="56">
        <f t="shared" si="6"/>
        <v>170</v>
      </c>
      <c r="J32" s="56">
        <f t="shared" si="6"/>
        <v>8</v>
      </c>
      <c r="K32" s="56">
        <f t="shared" si="6"/>
        <v>26</v>
      </c>
      <c r="L32" s="56">
        <f t="shared" si="6"/>
        <v>65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F8:F31"/>
    <mergeCell ref="F32:G32"/>
    <mergeCell ref="P6:T6"/>
    <mergeCell ref="N8:N31"/>
    <mergeCell ref="B3:C3"/>
    <mergeCell ref="D3:E3"/>
    <mergeCell ref="H3:L3"/>
    <mergeCell ref="H4:L4"/>
    <mergeCell ref="H6:L6"/>
  </mergeCells>
  <phoneticPr fontId="2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T1000"/>
  <sheetViews>
    <sheetView workbookViewId="0">
      <selection activeCell="O7" sqref="O7:T31"/>
    </sheetView>
  </sheetViews>
  <sheetFormatPr defaultColWidth="12.5703125" defaultRowHeight="15" customHeight="1"/>
  <cols>
    <col min="1" max="6" width="12.5703125" customWidth="1"/>
    <col min="7" max="7" width="6.42578125" customWidth="1"/>
  </cols>
  <sheetData>
    <row r="1" spans="1:20" ht="15.75" customHeight="1">
      <c r="A1" s="41"/>
      <c r="B1" s="41"/>
      <c r="C1" s="41"/>
      <c r="D1" s="41"/>
      <c r="E1" s="41"/>
      <c r="H1" s="42" t="s">
        <v>4</v>
      </c>
      <c r="I1" s="57"/>
      <c r="J1" s="42"/>
      <c r="K1" s="42"/>
      <c r="L1" s="42"/>
    </row>
    <row r="2" spans="1:20" ht="15.75" customHeight="1">
      <c r="A2" s="41"/>
      <c r="B2" s="41"/>
      <c r="C2" s="41"/>
      <c r="D2" s="41"/>
      <c r="E2" s="41"/>
      <c r="H2" s="42" t="s">
        <v>5</v>
      </c>
      <c r="I2" s="57"/>
      <c r="J2" s="42"/>
      <c r="K2" s="42"/>
      <c r="L2" s="42"/>
    </row>
    <row r="3" spans="1:20" ht="15.75" customHeight="1">
      <c r="A3" s="41"/>
      <c r="B3" s="65" t="s">
        <v>133</v>
      </c>
      <c r="C3" s="64"/>
      <c r="D3" s="65" t="s">
        <v>134</v>
      </c>
      <c r="E3" s="64"/>
      <c r="H3" s="66" t="s">
        <v>145</v>
      </c>
      <c r="I3" s="67"/>
      <c r="J3" s="67"/>
      <c r="K3" s="67"/>
      <c r="L3" s="62"/>
    </row>
    <row r="4" spans="1:20" ht="15.75" customHeight="1">
      <c r="A4" s="44" t="s">
        <v>136</v>
      </c>
      <c r="B4" s="45" t="s">
        <v>7</v>
      </c>
      <c r="C4" s="46" t="s">
        <v>8</v>
      </c>
      <c r="D4" s="45" t="s">
        <v>7</v>
      </c>
      <c r="E4" s="46" t="s">
        <v>8</v>
      </c>
      <c r="H4" s="66" t="s">
        <v>146</v>
      </c>
      <c r="I4" s="67"/>
      <c r="J4" s="67"/>
      <c r="K4" s="67"/>
      <c r="L4" s="62"/>
    </row>
    <row r="5" spans="1:20" ht="15.75" customHeight="1">
      <c r="A5" s="35" t="s">
        <v>75</v>
      </c>
      <c r="B5" s="25"/>
      <c r="E5" s="58" t="s">
        <v>147</v>
      </c>
    </row>
    <row r="6" spans="1:20" ht="15.75" customHeight="1">
      <c r="H6" s="68" t="s">
        <v>139</v>
      </c>
      <c r="I6" s="67"/>
      <c r="J6" s="67"/>
      <c r="K6" s="67"/>
      <c r="L6" s="62"/>
      <c r="P6" s="68" t="s">
        <v>139</v>
      </c>
      <c r="Q6" s="67"/>
      <c r="R6" s="67"/>
      <c r="S6" s="67"/>
      <c r="T6" s="62"/>
    </row>
    <row r="7" spans="1:20" ht="15.75" customHeight="1">
      <c r="G7" s="49"/>
      <c r="H7" s="50">
        <v>31</v>
      </c>
      <c r="I7" s="50">
        <v>32</v>
      </c>
      <c r="J7" s="50">
        <v>41</v>
      </c>
      <c r="K7" s="50">
        <v>42</v>
      </c>
      <c r="L7" s="50">
        <v>5</v>
      </c>
      <c r="O7" s="49"/>
      <c r="P7" s="50">
        <v>31</v>
      </c>
      <c r="Q7" s="50">
        <v>32</v>
      </c>
      <c r="R7" s="50">
        <v>41</v>
      </c>
      <c r="S7" s="50">
        <v>42</v>
      </c>
      <c r="T7" s="50">
        <v>5</v>
      </c>
    </row>
    <row r="8" spans="1:20" ht="15.75" customHeight="1">
      <c r="F8" s="69">
        <v>45217</v>
      </c>
      <c r="G8" s="51">
        <v>0</v>
      </c>
      <c r="H8" s="52">
        <v>46</v>
      </c>
      <c r="I8" s="52">
        <v>22</v>
      </c>
      <c r="J8" s="52">
        <v>1</v>
      </c>
      <c r="K8" s="52">
        <v>6</v>
      </c>
      <c r="L8" s="52">
        <v>8</v>
      </c>
      <c r="N8" s="69">
        <v>45217</v>
      </c>
      <c r="O8" s="51">
        <v>0</v>
      </c>
      <c r="P8" s="74">
        <f>H8/H$32</f>
        <v>6.6502819141246207E-3</v>
      </c>
      <c r="Q8" s="74">
        <f t="shared" ref="Q8:T23" si="0">I8/I$32</f>
        <v>7.7876106194690268E-3</v>
      </c>
      <c r="R8" s="74">
        <f t="shared" si="0"/>
        <v>5.8139534883720929E-3</v>
      </c>
      <c r="S8" s="74">
        <f t="shared" si="0"/>
        <v>9.538950715421303E-3</v>
      </c>
      <c r="T8" s="74">
        <f t="shared" si="0"/>
        <v>8.3073727933541015E-3</v>
      </c>
    </row>
    <row r="9" spans="1:20" ht="15.75" customHeight="1">
      <c r="F9" s="70"/>
      <c r="G9" s="51">
        <v>1</v>
      </c>
      <c r="H9" s="52">
        <v>33</v>
      </c>
      <c r="I9" s="52">
        <v>12</v>
      </c>
      <c r="J9" s="52">
        <v>1</v>
      </c>
      <c r="K9" s="52">
        <v>3</v>
      </c>
      <c r="L9" s="52">
        <v>8</v>
      </c>
      <c r="N9" s="70"/>
      <c r="O9" s="51">
        <v>1</v>
      </c>
      <c r="P9" s="74">
        <f t="shared" ref="P9:P31" si="1">H9/H$32</f>
        <v>4.7708544166546194E-3</v>
      </c>
      <c r="Q9" s="74">
        <f t="shared" si="0"/>
        <v>4.2477876106194693E-3</v>
      </c>
      <c r="R9" s="74">
        <f t="shared" si="0"/>
        <v>5.8139534883720929E-3</v>
      </c>
      <c r="S9" s="74">
        <f t="shared" si="0"/>
        <v>4.7694753577106515E-3</v>
      </c>
      <c r="T9" s="74">
        <f t="shared" si="0"/>
        <v>8.3073727933541015E-3</v>
      </c>
    </row>
    <row r="10" spans="1:20" ht="15.75" customHeight="1">
      <c r="F10" s="70"/>
      <c r="G10" s="51">
        <v>2</v>
      </c>
      <c r="H10" s="52">
        <v>34</v>
      </c>
      <c r="I10" s="52">
        <v>9</v>
      </c>
      <c r="J10" s="53"/>
      <c r="K10" s="52">
        <v>14</v>
      </c>
      <c r="L10" s="52">
        <v>13</v>
      </c>
      <c r="N10" s="70"/>
      <c r="O10" s="51">
        <v>2</v>
      </c>
      <c r="P10" s="74">
        <f t="shared" si="1"/>
        <v>4.9154257626138498E-3</v>
      </c>
      <c r="Q10" s="74">
        <f t="shared" si="0"/>
        <v>3.185840707964602E-3</v>
      </c>
      <c r="R10" s="74">
        <f t="shared" si="0"/>
        <v>0</v>
      </c>
      <c r="S10" s="74">
        <f t="shared" si="0"/>
        <v>2.2257551669316374E-2</v>
      </c>
      <c r="T10" s="74">
        <f t="shared" si="0"/>
        <v>1.3499480789200415E-2</v>
      </c>
    </row>
    <row r="11" spans="1:20" ht="15.75" customHeight="1">
      <c r="F11" s="70"/>
      <c r="G11" s="51">
        <v>3</v>
      </c>
      <c r="H11" s="52">
        <v>27</v>
      </c>
      <c r="I11" s="52">
        <v>18</v>
      </c>
      <c r="J11" s="53"/>
      <c r="K11" s="52">
        <v>7</v>
      </c>
      <c r="L11" s="52">
        <v>15</v>
      </c>
      <c r="N11" s="70"/>
      <c r="O11" s="51">
        <v>3</v>
      </c>
      <c r="P11" s="74">
        <f t="shared" si="1"/>
        <v>3.903426340899234E-3</v>
      </c>
      <c r="Q11" s="74">
        <f t="shared" si="0"/>
        <v>6.371681415929204E-3</v>
      </c>
      <c r="R11" s="74">
        <f t="shared" si="0"/>
        <v>0</v>
      </c>
      <c r="S11" s="74">
        <f t="shared" si="0"/>
        <v>1.1128775834658187E-2</v>
      </c>
      <c r="T11" s="74">
        <f t="shared" si="0"/>
        <v>1.5576323987538941E-2</v>
      </c>
    </row>
    <row r="12" spans="1:20" ht="15.75" customHeight="1">
      <c r="F12" s="70"/>
      <c r="G12" s="51">
        <v>4</v>
      </c>
      <c r="H12" s="52">
        <v>65</v>
      </c>
      <c r="I12" s="52">
        <v>42</v>
      </c>
      <c r="J12" s="52">
        <v>2</v>
      </c>
      <c r="K12" s="52">
        <v>25</v>
      </c>
      <c r="L12" s="52">
        <v>24</v>
      </c>
      <c r="N12" s="70"/>
      <c r="O12" s="51">
        <v>4</v>
      </c>
      <c r="P12" s="74">
        <f t="shared" si="1"/>
        <v>9.3971374873500074E-3</v>
      </c>
      <c r="Q12" s="74">
        <f t="shared" si="0"/>
        <v>1.4867256637168142E-2</v>
      </c>
      <c r="R12" s="74">
        <f t="shared" si="0"/>
        <v>1.1627906976744186E-2</v>
      </c>
      <c r="S12" s="74">
        <f t="shared" si="0"/>
        <v>3.9745627980922099E-2</v>
      </c>
      <c r="T12" s="74">
        <f t="shared" si="0"/>
        <v>2.4922118380062305E-2</v>
      </c>
    </row>
    <row r="13" spans="1:20" ht="15.75" customHeight="1">
      <c r="F13" s="70"/>
      <c r="G13" s="51">
        <v>5</v>
      </c>
      <c r="H13" s="52">
        <v>147</v>
      </c>
      <c r="I13" s="52">
        <v>76</v>
      </c>
      <c r="J13" s="52">
        <v>7</v>
      </c>
      <c r="K13" s="52">
        <v>27</v>
      </c>
      <c r="L13" s="52">
        <v>33</v>
      </c>
      <c r="N13" s="70"/>
      <c r="O13" s="51">
        <v>5</v>
      </c>
      <c r="P13" s="74">
        <f t="shared" si="1"/>
        <v>2.1251987856006939E-2</v>
      </c>
      <c r="Q13" s="74">
        <f t="shared" si="0"/>
        <v>2.6902654867256636E-2</v>
      </c>
      <c r="R13" s="74">
        <f t="shared" si="0"/>
        <v>4.0697674418604654E-2</v>
      </c>
      <c r="S13" s="74">
        <f t="shared" si="0"/>
        <v>4.2925278219395867E-2</v>
      </c>
      <c r="T13" s="74">
        <f t="shared" si="0"/>
        <v>3.4267912772585667E-2</v>
      </c>
    </row>
    <row r="14" spans="1:20" ht="15.75" customHeight="1">
      <c r="F14" s="70"/>
      <c r="G14" s="51">
        <v>6</v>
      </c>
      <c r="H14" s="52">
        <v>36</v>
      </c>
      <c r="I14" s="52">
        <v>145</v>
      </c>
      <c r="J14" s="52">
        <v>11</v>
      </c>
      <c r="K14" s="52">
        <v>40</v>
      </c>
      <c r="L14" s="52">
        <v>49</v>
      </c>
      <c r="N14" s="70"/>
      <c r="O14" s="51">
        <v>6</v>
      </c>
      <c r="P14" s="74">
        <f t="shared" si="1"/>
        <v>5.2045684545323117E-3</v>
      </c>
      <c r="Q14" s="74">
        <f t="shared" si="0"/>
        <v>5.1327433628318583E-2</v>
      </c>
      <c r="R14" s="74">
        <f t="shared" si="0"/>
        <v>6.3953488372093026E-2</v>
      </c>
      <c r="S14" s="74">
        <f t="shared" si="0"/>
        <v>6.3593004769475353E-2</v>
      </c>
      <c r="T14" s="74">
        <f t="shared" si="0"/>
        <v>5.0882658359293877E-2</v>
      </c>
    </row>
    <row r="15" spans="1:20" ht="15.75" customHeight="1">
      <c r="F15" s="70"/>
      <c r="G15" s="51">
        <v>7</v>
      </c>
      <c r="H15" s="52">
        <v>624</v>
      </c>
      <c r="I15" s="52">
        <v>220</v>
      </c>
      <c r="J15" s="52">
        <v>22</v>
      </c>
      <c r="K15" s="52">
        <v>54</v>
      </c>
      <c r="L15" s="52">
        <v>67</v>
      </c>
      <c r="N15" s="70"/>
      <c r="O15" s="51">
        <v>7</v>
      </c>
      <c r="P15" s="74">
        <f t="shared" si="1"/>
        <v>9.0212519878560063E-2</v>
      </c>
      <c r="Q15" s="74">
        <f t="shared" si="0"/>
        <v>7.7876106194690264E-2</v>
      </c>
      <c r="R15" s="74">
        <f t="shared" si="0"/>
        <v>0.12790697674418605</v>
      </c>
      <c r="S15" s="74">
        <f t="shared" si="0"/>
        <v>8.5850556438791734E-2</v>
      </c>
      <c r="T15" s="74">
        <f t="shared" si="0"/>
        <v>6.9574247144340601E-2</v>
      </c>
    </row>
    <row r="16" spans="1:20" ht="15.75" customHeight="1">
      <c r="F16" s="70"/>
      <c r="G16" s="51">
        <v>8</v>
      </c>
      <c r="H16" s="52">
        <v>596</v>
      </c>
      <c r="I16" s="52">
        <v>305</v>
      </c>
      <c r="J16" s="52">
        <v>14</v>
      </c>
      <c r="K16" s="52">
        <v>48</v>
      </c>
      <c r="L16" s="52">
        <v>91</v>
      </c>
      <c r="N16" s="70"/>
      <c r="O16" s="51">
        <v>8</v>
      </c>
      <c r="P16" s="74">
        <f t="shared" si="1"/>
        <v>8.6164522191701606E-2</v>
      </c>
      <c r="Q16" s="74">
        <f t="shared" si="0"/>
        <v>0.1079646017699115</v>
      </c>
      <c r="R16" s="74">
        <f t="shared" si="0"/>
        <v>8.1395348837209308E-2</v>
      </c>
      <c r="S16" s="74">
        <f t="shared" si="0"/>
        <v>7.6311605723370424E-2</v>
      </c>
      <c r="T16" s="74">
        <f t="shared" si="0"/>
        <v>9.4496365524402909E-2</v>
      </c>
    </row>
    <row r="17" spans="6:20" ht="15.75" customHeight="1">
      <c r="F17" s="70"/>
      <c r="G17" s="51">
        <v>9</v>
      </c>
      <c r="H17" s="52">
        <v>637</v>
      </c>
      <c r="I17" s="52">
        <v>280</v>
      </c>
      <c r="J17" s="52">
        <v>19</v>
      </c>
      <c r="K17" s="52">
        <v>66</v>
      </c>
      <c r="L17" s="52">
        <v>91</v>
      </c>
      <c r="N17" s="70"/>
      <c r="O17" s="51">
        <v>9</v>
      </c>
      <c r="P17" s="74">
        <f t="shared" si="1"/>
        <v>9.2091947376030076E-2</v>
      </c>
      <c r="Q17" s="74">
        <f t="shared" si="0"/>
        <v>9.9115044247787609E-2</v>
      </c>
      <c r="R17" s="74">
        <f t="shared" si="0"/>
        <v>0.11046511627906977</v>
      </c>
      <c r="S17" s="74">
        <f t="shared" si="0"/>
        <v>0.10492845786963434</v>
      </c>
      <c r="T17" s="74">
        <f t="shared" si="0"/>
        <v>9.4496365524402909E-2</v>
      </c>
    </row>
    <row r="18" spans="6:20" ht="15.75" customHeight="1">
      <c r="F18" s="70"/>
      <c r="G18" s="51">
        <v>10</v>
      </c>
      <c r="H18" s="52">
        <v>610</v>
      </c>
      <c r="I18" s="52">
        <v>230</v>
      </c>
      <c r="J18" s="52">
        <v>7</v>
      </c>
      <c r="K18" s="52">
        <v>50</v>
      </c>
      <c r="L18" s="52">
        <v>96</v>
      </c>
      <c r="N18" s="70"/>
      <c r="O18" s="51">
        <v>10</v>
      </c>
      <c r="P18" s="74">
        <f t="shared" si="1"/>
        <v>8.8188521035130835E-2</v>
      </c>
      <c r="Q18" s="74">
        <f t="shared" si="0"/>
        <v>8.1415929203539822E-2</v>
      </c>
      <c r="R18" s="74">
        <f t="shared" si="0"/>
        <v>4.0697674418604654E-2</v>
      </c>
      <c r="S18" s="74">
        <f t="shared" si="0"/>
        <v>7.9491255961844198E-2</v>
      </c>
      <c r="T18" s="74">
        <f t="shared" si="0"/>
        <v>9.9688473520249218E-2</v>
      </c>
    </row>
    <row r="19" spans="6:20" ht="15.75" customHeight="1">
      <c r="F19" s="70"/>
      <c r="G19" s="51">
        <v>11</v>
      </c>
      <c r="H19" s="52">
        <v>480</v>
      </c>
      <c r="I19" s="52">
        <v>157</v>
      </c>
      <c r="J19" s="52">
        <v>20</v>
      </c>
      <c r="K19" s="52">
        <v>40</v>
      </c>
      <c r="L19" s="52">
        <v>76</v>
      </c>
      <c r="N19" s="70"/>
      <c r="O19" s="51">
        <v>11</v>
      </c>
      <c r="P19" s="74">
        <f t="shared" si="1"/>
        <v>6.939424606043082E-2</v>
      </c>
      <c r="Q19" s="74">
        <f t="shared" si="0"/>
        <v>5.5575221238938051E-2</v>
      </c>
      <c r="R19" s="74">
        <f t="shared" si="0"/>
        <v>0.11627906976744186</v>
      </c>
      <c r="S19" s="74">
        <f t="shared" si="0"/>
        <v>6.3593004769475353E-2</v>
      </c>
      <c r="T19" s="74">
        <f t="shared" si="0"/>
        <v>7.8920041536863966E-2</v>
      </c>
    </row>
    <row r="20" spans="6:20" ht="15.75" customHeight="1">
      <c r="F20" s="70"/>
      <c r="G20" s="51">
        <v>12</v>
      </c>
      <c r="H20" s="52">
        <v>389</v>
      </c>
      <c r="I20" s="52">
        <v>136</v>
      </c>
      <c r="J20" s="52">
        <v>7</v>
      </c>
      <c r="K20" s="52">
        <v>34</v>
      </c>
      <c r="L20" s="52">
        <v>77</v>
      </c>
      <c r="N20" s="70"/>
      <c r="O20" s="51">
        <v>12</v>
      </c>
      <c r="P20" s="74">
        <f t="shared" si="1"/>
        <v>5.6238253578140815E-2</v>
      </c>
      <c r="Q20" s="74">
        <f t="shared" si="0"/>
        <v>4.8141592920353984E-2</v>
      </c>
      <c r="R20" s="74">
        <f t="shared" si="0"/>
        <v>4.0697674418604654E-2</v>
      </c>
      <c r="S20" s="74">
        <f t="shared" si="0"/>
        <v>5.4054054054054057E-2</v>
      </c>
      <c r="T20" s="74">
        <f t="shared" si="0"/>
        <v>7.9958463136033234E-2</v>
      </c>
    </row>
    <row r="21" spans="6:20" ht="15.75" customHeight="1">
      <c r="F21" s="70"/>
      <c r="G21" s="51">
        <v>13</v>
      </c>
      <c r="H21" s="52">
        <v>395</v>
      </c>
      <c r="I21" s="52">
        <v>135</v>
      </c>
      <c r="J21" s="52">
        <v>11</v>
      </c>
      <c r="K21" s="52">
        <v>36</v>
      </c>
      <c r="L21" s="52">
        <v>83</v>
      </c>
      <c r="N21" s="70"/>
      <c r="O21" s="51">
        <v>13</v>
      </c>
      <c r="P21" s="74">
        <f t="shared" si="1"/>
        <v>5.7105681653896199E-2</v>
      </c>
      <c r="Q21" s="74">
        <f t="shared" si="0"/>
        <v>4.7787610619469026E-2</v>
      </c>
      <c r="R21" s="74">
        <f t="shared" si="0"/>
        <v>6.3953488372093026E-2</v>
      </c>
      <c r="S21" s="74">
        <f t="shared" si="0"/>
        <v>5.7233704292527825E-2</v>
      </c>
      <c r="T21" s="74">
        <f t="shared" si="0"/>
        <v>8.6188992731048811E-2</v>
      </c>
    </row>
    <row r="22" spans="6:20" ht="15.75" customHeight="1">
      <c r="F22" s="70"/>
      <c r="G22" s="51">
        <v>14</v>
      </c>
      <c r="H22" s="52">
        <v>416</v>
      </c>
      <c r="I22" s="52">
        <v>155</v>
      </c>
      <c r="J22" s="52">
        <v>13</v>
      </c>
      <c r="K22" s="52">
        <v>35</v>
      </c>
      <c r="L22" s="52">
        <v>63</v>
      </c>
      <c r="N22" s="70"/>
      <c r="O22" s="51">
        <v>14</v>
      </c>
      <c r="P22" s="74">
        <f t="shared" si="1"/>
        <v>6.0141679919040049E-2</v>
      </c>
      <c r="Q22" s="74">
        <f t="shared" si="0"/>
        <v>5.4867256637168141E-2</v>
      </c>
      <c r="R22" s="74">
        <f t="shared" si="0"/>
        <v>7.5581395348837205E-2</v>
      </c>
      <c r="S22" s="74">
        <f t="shared" si="0"/>
        <v>5.5643879173290937E-2</v>
      </c>
      <c r="T22" s="74">
        <f t="shared" si="0"/>
        <v>6.5420560747663545E-2</v>
      </c>
    </row>
    <row r="23" spans="6:20" ht="15.75" customHeight="1">
      <c r="F23" s="70"/>
      <c r="G23" s="51">
        <v>15</v>
      </c>
      <c r="H23" s="52">
        <v>395</v>
      </c>
      <c r="I23" s="52">
        <v>151</v>
      </c>
      <c r="J23" s="52">
        <v>17</v>
      </c>
      <c r="K23" s="52">
        <v>33</v>
      </c>
      <c r="L23" s="52">
        <v>51</v>
      </c>
      <c r="N23" s="70"/>
      <c r="O23" s="51">
        <v>15</v>
      </c>
      <c r="P23" s="74">
        <f t="shared" si="1"/>
        <v>5.7105681653896199E-2</v>
      </c>
      <c r="Q23" s="74">
        <f t="shared" si="0"/>
        <v>5.3451327433628321E-2</v>
      </c>
      <c r="R23" s="74">
        <f t="shared" si="0"/>
        <v>9.8837209302325577E-2</v>
      </c>
      <c r="S23" s="74">
        <f t="shared" si="0"/>
        <v>5.246422893481717E-2</v>
      </c>
      <c r="T23" s="74">
        <f t="shared" si="0"/>
        <v>5.2959501557632398E-2</v>
      </c>
    </row>
    <row r="24" spans="6:20" ht="15.75" customHeight="1">
      <c r="F24" s="70"/>
      <c r="G24" s="51">
        <v>16</v>
      </c>
      <c r="H24" s="52">
        <v>375</v>
      </c>
      <c r="I24" s="52">
        <v>168</v>
      </c>
      <c r="J24" s="52">
        <v>10</v>
      </c>
      <c r="K24" s="52">
        <v>28</v>
      </c>
      <c r="L24" s="52">
        <v>34</v>
      </c>
      <c r="N24" s="70"/>
      <c r="O24" s="51">
        <v>16</v>
      </c>
      <c r="P24" s="74">
        <f t="shared" si="1"/>
        <v>5.421425473471158E-2</v>
      </c>
      <c r="Q24" s="74">
        <f t="shared" ref="Q24:Q31" si="2">I24/I$32</f>
        <v>5.9469026548672567E-2</v>
      </c>
      <c r="R24" s="74">
        <f t="shared" ref="R24:R31" si="3">J24/J$32</f>
        <v>5.8139534883720929E-2</v>
      </c>
      <c r="S24" s="74">
        <f t="shared" ref="S24:S31" si="4">K24/K$32</f>
        <v>4.4515103338632747E-2</v>
      </c>
      <c r="T24" s="74">
        <f t="shared" ref="T24:T31" si="5">L24/L$32</f>
        <v>3.5306334371754934E-2</v>
      </c>
    </row>
    <row r="25" spans="6:20" ht="15.75" customHeight="1">
      <c r="F25" s="70"/>
      <c r="G25" s="51">
        <v>17</v>
      </c>
      <c r="H25" s="52">
        <v>414</v>
      </c>
      <c r="I25" s="52">
        <v>179</v>
      </c>
      <c r="J25" s="52">
        <v>1</v>
      </c>
      <c r="K25" s="52">
        <v>19</v>
      </c>
      <c r="L25" s="52">
        <v>17</v>
      </c>
      <c r="N25" s="70"/>
      <c r="O25" s="51">
        <v>17</v>
      </c>
      <c r="P25" s="74">
        <f t="shared" si="1"/>
        <v>5.9852537227121583E-2</v>
      </c>
      <c r="Q25" s="74">
        <f t="shared" si="2"/>
        <v>6.3362831858407076E-2</v>
      </c>
      <c r="R25" s="74">
        <f t="shared" si="3"/>
        <v>5.8139534883720929E-3</v>
      </c>
      <c r="S25" s="74">
        <f t="shared" si="4"/>
        <v>3.0206677265500796E-2</v>
      </c>
      <c r="T25" s="74">
        <f t="shared" si="5"/>
        <v>1.7653167185877467E-2</v>
      </c>
    </row>
    <row r="26" spans="6:20" ht="15.75" customHeight="1">
      <c r="F26" s="70"/>
      <c r="G26" s="51">
        <v>18</v>
      </c>
      <c r="H26" s="52">
        <v>336</v>
      </c>
      <c r="I26" s="52">
        <v>120</v>
      </c>
      <c r="J26" s="52">
        <v>2</v>
      </c>
      <c r="K26" s="52">
        <v>9</v>
      </c>
      <c r="L26" s="52">
        <v>12</v>
      </c>
      <c r="N26" s="70"/>
      <c r="O26" s="51">
        <v>18</v>
      </c>
      <c r="P26" s="74">
        <f t="shared" si="1"/>
        <v>4.8575972242301577E-2</v>
      </c>
      <c r="Q26" s="74">
        <f t="shared" si="2"/>
        <v>4.247787610619469E-2</v>
      </c>
      <c r="R26" s="74">
        <f t="shared" si="3"/>
        <v>1.1627906976744186E-2</v>
      </c>
      <c r="S26" s="74">
        <f t="shared" si="4"/>
        <v>1.4308426073131956E-2</v>
      </c>
      <c r="T26" s="74">
        <f t="shared" si="5"/>
        <v>1.2461059190031152E-2</v>
      </c>
    </row>
    <row r="27" spans="6:20" ht="15.75" customHeight="1">
      <c r="F27" s="70"/>
      <c r="G27" s="51">
        <v>19</v>
      </c>
      <c r="H27" s="52">
        <v>243</v>
      </c>
      <c r="I27" s="52">
        <v>83</v>
      </c>
      <c r="J27" s="52">
        <v>5</v>
      </c>
      <c r="K27" s="52">
        <v>18</v>
      </c>
      <c r="L27" s="52">
        <v>13</v>
      </c>
      <c r="N27" s="70"/>
      <c r="O27" s="51">
        <v>19</v>
      </c>
      <c r="P27" s="74">
        <f t="shared" si="1"/>
        <v>3.5130837068093106E-2</v>
      </c>
      <c r="Q27" s="74">
        <f t="shared" si="2"/>
        <v>2.9380530973451328E-2</v>
      </c>
      <c r="R27" s="74">
        <f t="shared" si="3"/>
        <v>2.9069767441860465E-2</v>
      </c>
      <c r="S27" s="74">
        <f t="shared" si="4"/>
        <v>2.8616852146263912E-2</v>
      </c>
      <c r="T27" s="74">
        <f t="shared" si="5"/>
        <v>1.3499480789200415E-2</v>
      </c>
    </row>
    <row r="28" spans="6:20" ht="15.75" customHeight="1">
      <c r="F28" s="70"/>
      <c r="G28" s="51">
        <v>20</v>
      </c>
      <c r="H28" s="52">
        <v>225</v>
      </c>
      <c r="I28" s="52">
        <v>62</v>
      </c>
      <c r="J28" s="53"/>
      <c r="K28" s="52">
        <v>10</v>
      </c>
      <c r="L28" s="52">
        <v>10</v>
      </c>
      <c r="N28" s="70"/>
      <c r="O28" s="51">
        <v>20</v>
      </c>
      <c r="P28" s="74">
        <f t="shared" si="1"/>
        <v>3.2528552840826945E-2</v>
      </c>
      <c r="Q28" s="74">
        <f t="shared" si="2"/>
        <v>2.1946902654867255E-2</v>
      </c>
      <c r="R28" s="74">
        <f t="shared" si="3"/>
        <v>0</v>
      </c>
      <c r="S28" s="74">
        <f t="shared" si="4"/>
        <v>1.5898251192368838E-2</v>
      </c>
      <c r="T28" s="74">
        <f t="shared" si="5"/>
        <v>1.0384215991692628E-2</v>
      </c>
    </row>
    <row r="29" spans="6:20" ht="15.75" customHeight="1">
      <c r="F29" s="70"/>
      <c r="G29" s="51">
        <v>21</v>
      </c>
      <c r="H29" s="52">
        <v>192</v>
      </c>
      <c r="I29" s="52">
        <v>58</v>
      </c>
      <c r="J29" s="53"/>
      <c r="K29" s="52">
        <v>4</v>
      </c>
      <c r="L29" s="52">
        <v>14</v>
      </c>
      <c r="N29" s="70"/>
      <c r="O29" s="51">
        <v>21</v>
      </c>
      <c r="P29" s="74">
        <f t="shared" si="1"/>
        <v>2.775769842417233E-2</v>
      </c>
      <c r="Q29" s="74">
        <f t="shared" si="2"/>
        <v>2.0530973451327435E-2</v>
      </c>
      <c r="R29" s="74">
        <f t="shared" si="3"/>
        <v>0</v>
      </c>
      <c r="S29" s="74">
        <f t="shared" si="4"/>
        <v>6.3593004769475362E-3</v>
      </c>
      <c r="T29" s="74">
        <f t="shared" si="5"/>
        <v>1.4537902388369679E-2</v>
      </c>
    </row>
    <row r="30" spans="6:20" ht="15.75" customHeight="1">
      <c r="F30" s="70"/>
      <c r="G30" s="51">
        <v>22</v>
      </c>
      <c r="H30" s="52">
        <v>137</v>
      </c>
      <c r="I30" s="52">
        <v>38</v>
      </c>
      <c r="J30" s="52">
        <v>2</v>
      </c>
      <c r="K30" s="52">
        <v>9</v>
      </c>
      <c r="L30" s="52">
        <v>10</v>
      </c>
      <c r="N30" s="70"/>
      <c r="O30" s="51">
        <v>22</v>
      </c>
      <c r="P30" s="74">
        <f t="shared" si="1"/>
        <v>1.9806274396414629E-2</v>
      </c>
      <c r="Q30" s="74">
        <f t="shared" si="2"/>
        <v>1.3451327433628318E-2</v>
      </c>
      <c r="R30" s="74">
        <f t="shared" si="3"/>
        <v>1.1627906976744186E-2</v>
      </c>
      <c r="S30" s="74">
        <f t="shared" si="4"/>
        <v>1.4308426073131956E-2</v>
      </c>
      <c r="T30" s="74">
        <f t="shared" si="5"/>
        <v>1.0384215991692628E-2</v>
      </c>
    </row>
    <row r="31" spans="6:20" ht="15.75" customHeight="1">
      <c r="F31" s="71"/>
      <c r="G31" s="51">
        <v>23</v>
      </c>
      <c r="H31" s="55">
        <v>65</v>
      </c>
      <c r="I31" s="55">
        <v>24</v>
      </c>
      <c r="J31" s="59"/>
      <c r="K31" s="55">
        <v>14</v>
      </c>
      <c r="L31" s="55">
        <v>8</v>
      </c>
      <c r="N31" s="71"/>
      <c r="O31" s="51">
        <v>23</v>
      </c>
      <c r="P31" s="74">
        <f t="shared" si="1"/>
        <v>9.3971374873500074E-3</v>
      </c>
      <c r="Q31" s="74">
        <f t="shared" si="2"/>
        <v>8.4955752212389386E-3</v>
      </c>
      <c r="R31" s="74">
        <f t="shared" si="3"/>
        <v>0</v>
      </c>
      <c r="S31" s="74">
        <f t="shared" si="4"/>
        <v>2.2257551669316374E-2</v>
      </c>
      <c r="T31" s="74">
        <f t="shared" si="5"/>
        <v>8.3073727933541015E-3</v>
      </c>
    </row>
    <row r="32" spans="6:20" ht="15.75" customHeight="1">
      <c r="F32" s="72"/>
      <c r="G32" s="73"/>
      <c r="H32" s="56">
        <f t="shared" ref="H32:L32" si="6">SUM(H8:H31)</f>
        <v>6917</v>
      </c>
      <c r="I32" s="56">
        <f t="shared" si="6"/>
        <v>2825</v>
      </c>
      <c r="J32" s="56">
        <f t="shared" si="6"/>
        <v>172</v>
      </c>
      <c r="K32" s="56">
        <f t="shared" si="6"/>
        <v>629</v>
      </c>
      <c r="L32" s="56">
        <f t="shared" si="6"/>
        <v>963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F8:F31"/>
    <mergeCell ref="F32:G32"/>
    <mergeCell ref="P6:T6"/>
    <mergeCell ref="N8:N31"/>
    <mergeCell ref="B3:C3"/>
    <mergeCell ref="D3:E3"/>
    <mergeCell ref="H3:L3"/>
    <mergeCell ref="H4:L4"/>
    <mergeCell ref="H6:L6"/>
  </mergeCells>
  <phoneticPr fontId="2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圖表</vt:lpstr>
      </vt:variant>
      <vt:variant>
        <vt:i4>4</vt:i4>
      </vt:variant>
    </vt:vector>
  </HeadingPairs>
  <TitlesOfParts>
    <vt:vector size="9" baseType="lpstr">
      <vt:lpstr>S3_Athena</vt:lpstr>
      <vt:lpstr>上(交流道)北上</vt:lpstr>
      <vt:lpstr>上(交流道)南下</vt:lpstr>
      <vt:lpstr>下(交流道)北上</vt:lpstr>
      <vt:lpstr>下(交流道)南下</vt:lpstr>
      <vt:lpstr>1019 03F4232N</vt:lpstr>
      <vt:lpstr>03F4263S 1019</vt:lpstr>
      <vt:lpstr>03F42591019</vt:lpstr>
      <vt:lpstr>03F4232S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2023-10-27T06:51:47Z</dcterms:modified>
</cp:coreProperties>
</file>