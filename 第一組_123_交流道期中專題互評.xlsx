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dleProject個人資訊" sheetId="1" r:id="rId4"/>
    <sheet state="visible" name="MiddleProject小組成績" sheetId="2" r:id="rId5"/>
  </sheets>
  <definedNames/>
  <calcPr/>
  <extLst>
    <ext uri="GoogleSheetsCustomDataVersion1">
      <go:sheetsCustomData xmlns:go="http://customooxmlschemas.google.com/" r:id="rId6" roundtripDataSignature="AMtx7mjH0VU/nKbf7dEJ3kQNOjXHgPs2ag=="/>
    </ext>
  </extLst>
</workbook>
</file>

<file path=xl/sharedStrings.xml><?xml version="1.0" encoding="utf-8"?>
<sst xmlns="http://schemas.openxmlformats.org/spreadsheetml/2006/main" count="531" uniqueCount="278">
  <si>
    <t>學生系所</t>
  </si>
  <si>
    <t>年級</t>
  </si>
  <si>
    <t>班級</t>
  </si>
  <si>
    <t>學號</t>
  </si>
  <si>
    <t>姓名</t>
  </si>
  <si>
    <r>
      <rPr>
        <rFont val="DFKai-SB"/>
        <b/>
        <color rgb="FF008080"/>
        <sz val="13.0"/>
      </rPr>
      <t xml:space="preserve">小組名稱 </t>
    </r>
    <r>
      <rPr>
        <rFont val="DFKai-SB"/>
        <b/>
        <color rgb="FFFF0000"/>
        <sz val="23.0"/>
      </rPr>
      <t>( 2~4人一組)</t>
    </r>
  </si>
  <si>
    <t>小組成績</t>
  </si>
  <si>
    <t>貢獻度 (Max+5%~-Miin5%)</t>
  </si>
  <si>
    <t>個人成績</t>
  </si>
  <si>
    <t>資工系</t>
  </si>
  <si>
    <t>3</t>
  </si>
  <si>
    <t>A</t>
  </si>
  <si>
    <t>110021100</t>
  </si>
  <si>
    <t>賴雨安</t>
  </si>
  <si>
    <t>1_123</t>
  </si>
  <si>
    <t>110021106</t>
  </si>
  <si>
    <t>趙建核</t>
  </si>
  <si>
    <t>B</t>
  </si>
  <si>
    <t>110021034</t>
  </si>
  <si>
    <t>李志輝</t>
  </si>
  <si>
    <t>10_唐寶寶</t>
  </si>
  <si>
    <t>110021176</t>
  </si>
  <si>
    <t>卓冠瑭</t>
  </si>
  <si>
    <t>110021105</t>
  </si>
  <si>
    <t>謝東霖</t>
  </si>
  <si>
    <t>4</t>
  </si>
  <si>
    <t>111021144</t>
  </si>
  <si>
    <t>周耕弘</t>
  </si>
  <si>
    <t>110021038</t>
  </si>
  <si>
    <t>黃偉倫</t>
  </si>
  <si>
    <t>11_烙餅好好味</t>
  </si>
  <si>
    <t>110021165</t>
  </si>
  <si>
    <t>林瑋哲</t>
  </si>
  <si>
    <t>110021168</t>
  </si>
  <si>
    <t>謝博丞</t>
  </si>
  <si>
    <t>110021190</t>
  </si>
  <si>
    <t>郭承勳</t>
  </si>
  <si>
    <t>110021006</t>
  </si>
  <si>
    <t>施柔謙</t>
  </si>
  <si>
    <t>12_這樣對不隊</t>
  </si>
  <si>
    <t>110021008</t>
  </si>
  <si>
    <t>馮文郁</t>
  </si>
  <si>
    <t>110021047</t>
  </si>
  <si>
    <t>歐冠新</t>
  </si>
  <si>
    <t>110021066</t>
  </si>
  <si>
    <t>李侑誠</t>
  </si>
  <si>
    <t>110021015</t>
  </si>
  <si>
    <t>吳政育</t>
  </si>
  <si>
    <t>13_無塵王</t>
  </si>
  <si>
    <t>110021075</t>
  </si>
  <si>
    <t>陳政翔</t>
  </si>
  <si>
    <t>110021095</t>
  </si>
  <si>
    <t>黃志峰</t>
  </si>
  <si>
    <t>110021088</t>
  </si>
  <si>
    <t>王昱宸</t>
  </si>
  <si>
    <t>110021036</t>
  </si>
  <si>
    <t>陳奕辰</t>
  </si>
  <si>
    <t>14_謝劉陳</t>
  </si>
  <si>
    <t>110021128</t>
  </si>
  <si>
    <t>謝欣恩</t>
  </si>
  <si>
    <t>8</t>
  </si>
  <si>
    <t>110021184</t>
  </si>
  <si>
    <t>劉妍群</t>
  </si>
  <si>
    <t>110021002</t>
  </si>
  <si>
    <t>林哲宇</t>
  </si>
  <si>
    <t xml:space="preserve">15_鏡流小保克拉拉 </t>
  </si>
  <si>
    <t>110021052</t>
  </si>
  <si>
    <t>許聿萱</t>
  </si>
  <si>
    <t>110021063</t>
  </si>
  <si>
    <t>林承翰</t>
  </si>
  <si>
    <t>110021162</t>
  </si>
  <si>
    <t>蔡詠鈞</t>
  </si>
  <si>
    <t>110021178</t>
  </si>
  <si>
    <t>蔡松翰</t>
  </si>
  <si>
    <t>16_蘇維埃社會主義共和國聯盟</t>
  </si>
  <si>
    <t>110021185</t>
  </si>
  <si>
    <t>江侑霖</t>
  </si>
  <si>
    <t>110021187</t>
  </si>
  <si>
    <t>張浩千</t>
  </si>
  <si>
    <t>110021053</t>
  </si>
  <si>
    <t>吳豐宇</t>
  </si>
  <si>
    <t>17_WJD讚透了讓2追3</t>
  </si>
  <si>
    <t>9</t>
  </si>
  <si>
    <t>110021064</t>
  </si>
  <si>
    <t>李洸劤</t>
  </si>
  <si>
    <t>110021109</t>
  </si>
  <si>
    <t>洪紹棋</t>
  </si>
  <si>
    <t>110021113</t>
  </si>
  <si>
    <t>周晨峯</t>
  </si>
  <si>
    <t>18_賭神從未輸</t>
  </si>
  <si>
    <t>110021160</t>
  </si>
  <si>
    <t>林忠億</t>
  </si>
  <si>
    <t>110021011</t>
  </si>
  <si>
    <t>謝名泙</t>
  </si>
  <si>
    <t>2_羅正旻是史上最強男人</t>
  </si>
  <si>
    <t>110021172</t>
  </si>
  <si>
    <t>陳柏穎</t>
  </si>
  <si>
    <t>110021208</t>
  </si>
  <si>
    <t>羅正旻</t>
  </si>
  <si>
    <t>110021001</t>
  </si>
  <si>
    <t>賴建燁</t>
  </si>
  <si>
    <t>3_台中第一深情</t>
  </si>
  <si>
    <t>110021007</t>
  </si>
  <si>
    <t>陳楷中</t>
  </si>
  <si>
    <t>110021156</t>
  </si>
  <si>
    <t>王捷奕</t>
  </si>
  <si>
    <t>111021148</t>
  </si>
  <si>
    <t>許茗竣</t>
  </si>
  <si>
    <t>109021336</t>
  </si>
  <si>
    <t>林 威</t>
  </si>
  <si>
    <t>4_史上最強男人見色忘友之出門打獵中</t>
  </si>
  <si>
    <t>109021040</t>
  </si>
  <si>
    <t>李奇勳</t>
  </si>
  <si>
    <t>109021480</t>
  </si>
  <si>
    <t>李明翰</t>
  </si>
  <si>
    <t>109021370</t>
  </si>
  <si>
    <t>黃裕睿</t>
  </si>
  <si>
    <t>5_作業下次一定準時交</t>
  </si>
  <si>
    <t>110021039</t>
  </si>
  <si>
    <t>黃柏翔</t>
  </si>
  <si>
    <t>110021115</t>
  </si>
  <si>
    <t>林家鋒</t>
  </si>
  <si>
    <t>109021402</t>
  </si>
  <si>
    <t>林亮宇</t>
  </si>
  <si>
    <t>6_灼遁光輪疾風漆黑矢零式</t>
  </si>
  <si>
    <t>110021032</t>
  </si>
  <si>
    <t>陳宏遠</t>
  </si>
  <si>
    <t>110021101</t>
  </si>
  <si>
    <t>董亮杰</t>
  </si>
  <si>
    <t>110021171</t>
  </si>
  <si>
    <t>傅澤雨</t>
  </si>
  <si>
    <t>110021167</t>
  </si>
  <si>
    <t>連冠宇</t>
  </si>
  <si>
    <t>7_JD念慈Wang</t>
  </si>
  <si>
    <t>110021065</t>
  </si>
  <si>
    <t>曾宇成</t>
  </si>
  <si>
    <t>110021083</t>
  </si>
  <si>
    <t>張秉暉</t>
  </si>
  <si>
    <t>110021070</t>
  </si>
  <si>
    <t>王翊驊</t>
  </si>
  <si>
    <t>8_阿對對對對</t>
  </si>
  <si>
    <t>110021110</t>
  </si>
  <si>
    <t>蔡宗侑</t>
  </si>
  <si>
    <t>110021111</t>
  </si>
  <si>
    <t>鄭博文</t>
  </si>
  <si>
    <t>110021098</t>
  </si>
  <si>
    <t>劉卜愷</t>
  </si>
  <si>
    <t>9_陌生人</t>
  </si>
  <si>
    <t>110021164</t>
  </si>
  <si>
    <t>葉禮盛</t>
  </si>
  <si>
    <t>110021173</t>
  </si>
  <si>
    <t>黃毓庭</t>
  </si>
  <si>
    <t>學期總成績</t>
  </si>
  <si>
    <r>
      <rPr>
        <rFont val="Calibri"/>
        <color rgb="FFFF0000"/>
        <sz val="12.0"/>
      </rPr>
      <t>明天(2023/11/3) 上課將由各組分享目前的期中專題成果展示與問題討論。
如果你的小組有要上台</t>
    </r>
    <r>
      <rPr>
        <rFont val="Calibri"/>
        <b/>
        <color rgb="FFFF0000"/>
        <sz val="15.0"/>
      </rPr>
      <t>(自願：預訂9組)，</t>
    </r>
    <r>
      <rPr>
        <rFont val="Calibri"/>
        <color rgb="FFFF0000"/>
        <sz val="12.0"/>
      </rPr>
      <t>請將小組的資料(PPT,  圖檔  影片）準備好，
放入自己的雲端儲存，然後，將雲端超連結嵌入小組的名稱中(下圖藍色部分)</t>
    </r>
  </si>
  <si>
    <t>交流道名稱（Google Map  地圖URL分享）（TDCS_jdwang）</t>
  </si>
  <si>
    <t>上(交流道)(電子匝道代碼）</t>
  </si>
  <si>
    <t>下(交流道)(電子匝道代碼）</t>
  </si>
  <si>
    <t>(Max:MIn=&gt; 10:1)幫各組輸入成績請由左至右(至少三種分數)</t>
  </si>
  <si>
    <t>交流道名稱</t>
  </si>
  <si>
    <t>北上</t>
  </si>
  <si>
    <t>南下</t>
  </si>
  <si>
    <t>報告影片(YouTube URL)</t>
  </si>
  <si>
    <t>組員姓名 (學號_姓名)</t>
  </si>
  <si>
    <t>南州交流道</t>
  </si>
  <si>
    <t>03F4232N</t>
  </si>
  <si>
    <t>03F4263S</t>
  </si>
  <si>
    <t>03F4259N</t>
  </si>
  <si>
    <t>03F4232S</t>
  </si>
  <si>
    <t>110021106趙建核 110021100賴雨安</t>
  </si>
  <si>
    <t>西螺交流道</t>
  </si>
  <si>
    <t>01F2249N</t>
  </si>
  <si>
    <t>01F2322S</t>
  </si>
  <si>
    <t>01F2322N</t>
  </si>
  <si>
    <t>01F2249S</t>
  </si>
  <si>
    <t>110021208羅正旻 110021172陳柏穎 110021011 謝名泙</t>
  </si>
  <si>
    <t>名間交流道</t>
  </si>
  <si>
    <t>03F2336N</t>
  </si>
  <si>
    <t xml:space="preserve"> 03F2129S</t>
  </si>
  <si>
    <t>03F2125N</t>
  </si>
  <si>
    <t>03F2415S</t>
  </si>
  <si>
    <t>110021007陳楷中110021001賴建燁110021156王捷奕111021148許茗竣</t>
  </si>
  <si>
    <t>快官交流道</t>
  </si>
  <si>
    <t>03F2100S</t>
  </si>
  <si>
    <t>03F2100N</t>
  </si>
  <si>
    <t>03F2129S</t>
  </si>
  <si>
    <t>109021336林 威109021040李奇勳109021480李明翰</t>
  </si>
  <si>
    <t>霧峰交流道</t>
  </si>
  <si>
    <t>110021039黃柏翔109021370黃裕睿110021115林家鋒</t>
  </si>
  <si>
    <t xml:space="preserve"> 快官交流道</t>
  </si>
  <si>
    <t>03F0201S</t>
  </si>
  <si>
    <t>03F0201N</t>
  </si>
  <si>
    <t xml:space="preserve">110021171傅澤雨109021402林亮宇110021032陳宏遠110021101董亮杰
</t>
  </si>
  <si>
    <t>110021167連冠宇 110021065曾宇成 110021083張秉暉</t>
  </si>
  <si>
    <t>和美交流道</t>
  </si>
  <si>
    <t xml:space="preserve">03F1860N
</t>
  </si>
  <si>
    <t>03F1944S</t>
  </si>
  <si>
    <t>03F1941N</t>
  </si>
  <si>
    <t>03F1860S</t>
  </si>
  <si>
    <t>110021070王翊驊 110021110蔡宗侑 110021111鄭博文</t>
  </si>
  <si>
    <t>龍潭交流道</t>
  </si>
  <si>
    <t>03F0648N</t>
  </si>
  <si>
    <t>03F0698S</t>
  </si>
  <si>
    <t>03F0698N</t>
  </si>
  <si>
    <t>03F0648S</t>
  </si>
  <si>
    <t>110021098劉卜愷110021164葉禮盛110021173黃毓庭</t>
  </si>
  <si>
    <t>03F2260N</t>
  </si>
  <si>
    <t>03F2261S</t>
  </si>
  <si>
    <t>110021034李志輝110021176卓冠瑭110021105謝東霖111021144周耕弘</t>
  </si>
  <si>
    <t>南屯交流道</t>
  </si>
  <si>
    <t>01F1839N</t>
  </si>
  <si>
    <t>01F1839S</t>
  </si>
  <si>
    <t>01F2603N</t>
  </si>
  <si>
    <t>01F2603S</t>
  </si>
  <si>
    <t>110021168謝博丞110021038黃偉倫110021165林瑋哲110021190郭承勳</t>
  </si>
  <si>
    <t>新店交流道</t>
  </si>
  <si>
    <t>03F0217N</t>
  </si>
  <si>
    <t>03F0301S</t>
  </si>
  <si>
    <t>03F0301N</t>
  </si>
  <si>
    <t>03F0217S</t>
  </si>
  <si>
    <t>110021006施柔謙110021008馮文郁110021047歐冠新110021066李侑誠</t>
  </si>
  <si>
    <t>豐原交流道</t>
  </si>
  <si>
    <t>01F1664N</t>
  </si>
  <si>
    <t>01F1664S</t>
  </si>
  <si>
    <t>01F1699N</t>
  </si>
  <si>
    <t>01F1699S</t>
  </si>
  <si>
    <t>110021015 吳政育 110021088 王昱宸 110021075 陳政翔 110021095 黃志峰</t>
  </si>
  <si>
    <t>頭城交流道</t>
  </si>
  <si>
    <t>05F0287N</t>
  </si>
  <si>
    <t>05F0309S</t>
  </si>
  <si>
    <t>05F0309N</t>
  </si>
  <si>
    <t>05F0439S</t>
  </si>
  <si>
    <t>110021036陳奕辰 110021128謝欣恩 110021184劉妍群</t>
  </si>
  <si>
    <t>宜蘭交流道</t>
  </si>
  <si>
    <t>05F0438N</t>
  </si>
  <si>
    <t>05F0000S</t>
  </si>
  <si>
    <t>05F0001N</t>
  </si>
  <si>
    <t>110021002林哲宇110021052許聿萱110021063林承翰110021162蔡詠鈞</t>
  </si>
  <si>
    <t>基隆端交流道</t>
  </si>
  <si>
    <t>01F0029N</t>
  </si>
  <si>
    <t>01F0029S</t>
  </si>
  <si>
    <t>01F0005N</t>
  </si>
  <si>
    <t>01F0005S</t>
  </si>
  <si>
    <t>110021178蔡松翰110021185江侑霖110021187張浩千</t>
  </si>
  <si>
    <t>龍井交流道</t>
  </si>
  <si>
    <t>03F1739N</t>
  </si>
  <si>
    <t>03F1779S</t>
  </si>
  <si>
    <t>03F1779N</t>
  </si>
  <si>
    <t>03F1739S</t>
  </si>
  <si>
    <t>110021053吳豐宇 110021064李洸劤 110021109洪紹棋</t>
  </si>
  <si>
    <t>110021113周晨峯 110021160林忠義</t>
  </si>
  <si>
    <t>各組互評總分</t>
  </si>
  <si>
    <t>Rank</t>
  </si>
  <si>
    <r>
      <rPr>
        <rFont val="Arial"/>
        <color theme="1"/>
        <sz val="12.0"/>
      </rPr>
      <t>(小組互評</t>
    </r>
    <r>
      <rPr>
        <rFont val="Arial"/>
        <color rgb="FFFF0000"/>
        <sz val="12.0"/>
      </rPr>
      <t xml:space="preserve"> (2023/11/8-10)</t>
    </r>
    <r>
      <rPr>
        <rFont val="Arial"/>
        <color theme="1"/>
        <sz val="12.0"/>
      </rPr>
      <t>)  小組完成互評，上傳戶評成績)  (第？組_小組名稱_交流道期中專題互評.xlsx)(每位組員需要簽名掃描）</t>
    </r>
  </si>
  <si>
    <t>(2023/10/27) 小組成員+交流道資料</t>
  </si>
  <si>
    <t>(2023/11/3) 上台分享 (配合 YouTube URL)</t>
  </si>
  <si>
    <r>
      <rPr>
        <rFont val="Arial"/>
        <color rgb="FFFF0000"/>
        <sz val="12.0"/>
      </rPr>
      <t>(2023/11/7)</t>
    </r>
    <r>
      <rPr>
        <rFont val="Arial"/>
        <color theme="1"/>
        <sz val="12.0"/>
      </rPr>
      <t xml:space="preserve"> 確認 YouTube URL 遷入完成(如逾期未完成導致其他組沒看到，小組互評成績以最低分計算)</t>
    </r>
  </si>
  <si>
    <r>
      <rPr>
        <rFont val="Calibri"/>
        <b/>
        <color rgb="FFFF0000"/>
        <sz val="12.0"/>
      </rPr>
      <t>(2023/11/10)</t>
    </r>
    <r>
      <rPr>
        <rFont val="Calibri"/>
        <color theme="1"/>
        <sz val="12.0"/>
      </rPr>
      <t xml:space="preserve"> ZIP 書面報告 (pdf) 每組繳交一份（報告格式如右）+ 上傳成績檔  "第？組期中專題成績.xlsx"案 Tronclass 期中專題互評成績) （＋每位組員需要簽名掃描）</t>
    </r>
  </si>
  <si>
    <t>小組成員(學號＋姓名+貢獻度百分比(5%--5%)＋負責內容(說明)</t>
  </si>
  <si>
    <t>動機與目的</t>
  </si>
  <si>
    <t>TDCS 資料上傳 AWS S3  ( 1 hour(5), 1 天(6) 1 週(8) ,2 週(9)  1個月 (10) }</t>
  </si>
  <si>
    <t>TDCS 資料 S3 + Athena( 1 hour (6), 1 天(8) 1 週(10) ,2 週(12)  , 1個月 (15) } ,</t>
  </si>
  <si>
    <r>
      <rPr>
        <rFont val="Arial"/>
        <color theme="1"/>
        <sz val="12.0"/>
      </rPr>
      <t xml:space="preserve">TDCS 資料 Excel  分析   ( 1 hour(5), 1 天(6) 1 週(8) ,  1個月 (10) } : </t>
    </r>
    <r>
      <rPr>
        <rFont val="Arial"/>
        <color rgb="FFFF0000"/>
        <sz val="12.0"/>
      </rPr>
      <t>Ttile 需要標示資料時間範圍？觀察(上下)(北上,南下)匝道？</t>
    </r>
  </si>
  <si>
    <t>車輛流量統計圖-分析</t>
  </si>
  <si>
    <t>方法改進? (資料下載? 處理方式?程式自動化?)</t>
  </si>
  <si>
    <t>資料正確性稽核(如:S3 資料下載, RDS)</t>
  </si>
  <si>
    <t>小組會議討論紀錄(時間＋地點＋討論事項＋檢討）（照片)  ( 至少兩次)</t>
  </si>
  <si>
    <t>學習心得（每個組員都要）</t>
  </si>
  <si>
    <t>-</t>
  </si>
  <si>
    <t>1小時</t>
  </si>
  <si>
    <t>2023/10/19 0 時</t>
  </si>
  <si>
    <t>1 天</t>
  </si>
  <si>
    <t>2023/10/19 0~23 時</t>
  </si>
  <si>
    <t>1 週</t>
  </si>
  <si>
    <t>2023/10/16-22, 0~23 時</t>
  </si>
  <si>
    <t>2 週</t>
  </si>
  <si>
    <t>2023/10/9-22, 0~23 時</t>
  </si>
  <si>
    <t>1 個月</t>
  </si>
  <si>
    <t>2023/9/25-2023/10/22,  0~23 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</si>
</sst>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%"/>
    <numFmt numFmtId="166" formatCode="yyyy/m/d"/>
  </numFmts>
  <fonts count="39">
    <font>
      <sz val="10.0"/>
      <color rgb="FF000000"/>
      <name val="Arial"/>
      <scheme val="minor"/>
    </font>
    <font>
      <b/>
      <sz val="13.0"/>
      <color rgb="FF008080"/>
      <name val="DFKai-SB"/>
    </font>
    <font>
      <sz val="12.0"/>
      <color theme="1"/>
      <name val="Microsoft JhengHei"/>
    </font>
    <font>
      <sz val="12.0"/>
      <color theme="1"/>
      <name val="Calibri"/>
    </font>
    <font>
      <color theme="1"/>
      <name val="Calibri"/>
    </font>
    <font>
      <sz val="12.0"/>
      <color rgb="FF000000"/>
      <name val="Calibri"/>
    </font>
    <font>
      <color rgb="FF000000"/>
      <name val="Calibri"/>
    </font>
    <font>
      <sz val="10.0"/>
      <color theme="1"/>
      <name val="Calibri"/>
    </font>
    <font>
      <color rgb="FFFF0000"/>
      <name val="Calibri"/>
    </font>
    <font>
      <u/>
      <sz val="15.0"/>
      <color rgb="FF0000FF"/>
      <name val="Calibri"/>
    </font>
    <font/>
    <font>
      <sz val="12.0"/>
      <color rgb="FFFF0000"/>
      <name val="Calibri"/>
    </font>
    <font>
      <u/>
      <sz val="12.0"/>
      <color rgb="FF0563C1"/>
      <name val="Calibri"/>
    </font>
    <font>
      <sz val="14.0"/>
      <color theme="1"/>
      <name val="Calibri"/>
    </font>
    <font>
      <sz val="12.0"/>
      <color theme="1"/>
      <name val="Roboto"/>
    </font>
    <font>
      <sz val="12.0"/>
      <color theme="1"/>
      <name val="Arial"/>
    </font>
    <font>
      <sz val="9.0"/>
      <color rgb="FF1F1F1F"/>
      <name val="Arial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000000"/>
      <name val="Roboto"/>
    </font>
    <font>
      <u/>
      <sz val="12.0"/>
      <color rgb="FF0000FF"/>
      <name val="Calibri"/>
    </font>
    <font>
      <sz val="10.0"/>
      <color theme="1"/>
      <name val="Arial"/>
    </font>
    <font>
      <u/>
      <sz val="10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000000"/>
      <name val="Arial"/>
    </font>
    <font>
      <u/>
      <sz val="12.0"/>
      <color rgb="FF0000FF"/>
      <name val="Calibri"/>
    </font>
    <font>
      <u/>
      <sz val="12.0"/>
      <color rgb="FF0000FF"/>
      <name val="Calibri"/>
    </font>
    <font>
      <sz val="14.0"/>
      <color rgb="FF202124"/>
      <name val="Roboto"/>
    </font>
    <font>
      <color theme="1"/>
      <name val="Arial"/>
    </font>
    <font>
      <b/>
      <sz val="12.0"/>
      <color rgb="FF000000"/>
      <name val="Roboto"/>
    </font>
    <font>
      <u/>
      <color rgb="FF0000FF"/>
      <name val="Calibri"/>
    </font>
    <font>
      <sz val="12.0"/>
      <color rgb="FF1F1F1F"/>
      <name val="Calibri"/>
    </font>
    <font>
      <sz val="12.0"/>
      <color theme="1"/>
      <name val="PMingLiU"/>
    </font>
    <font>
      <sz val="12.0"/>
      <color rgb="FFFF0000"/>
      <name val="PMingLiU"/>
    </font>
    <font>
      <sz val="12.0"/>
      <color rgb="FF000000"/>
      <name val="PMingLiU"/>
    </font>
  </fonts>
  <fills count="9">
    <fill>
      <patternFill patternType="none"/>
    </fill>
    <fill>
      <patternFill patternType="lightGray"/>
    </fill>
    <fill>
      <patternFill patternType="solid">
        <fgColor rgb="FFC8DDF2"/>
        <bgColor rgb="FFC8DD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shrinkToFit="0" vertical="bottom" wrapText="1"/>
    </xf>
    <xf borderId="0" fillId="3" fontId="1" numFmtId="49" xfId="0" applyAlignment="1" applyFill="1" applyFont="1" applyNumberFormat="1">
      <alignment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164" xfId="0" applyAlignment="1" applyFont="1" applyNumberForma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1" fillId="4" fontId="4" numFmtId="49" xfId="0" applyAlignment="1" applyBorder="1" applyFill="1" applyFont="1" applyNumberFormat="1">
      <alignment shrinkToFit="0" vertical="bottom" wrapText="1"/>
    </xf>
    <xf borderId="1" fillId="0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165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2" fillId="4" fontId="4" numFmtId="49" xfId="0" applyAlignment="1" applyBorder="1" applyFont="1" applyNumberFormat="1">
      <alignment shrinkToFit="0" vertical="bottom" wrapText="1"/>
    </xf>
    <xf borderId="3" fillId="4" fontId="4" numFmtId="49" xfId="0" applyAlignment="1" applyBorder="1" applyFont="1" applyNumberFormat="1">
      <alignment shrinkToFit="0" vertical="bottom" wrapText="1"/>
    </xf>
    <xf borderId="3" fillId="0" fontId="3" numFmtId="0" xfId="0" applyAlignment="1" applyBorder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4" fontId="5" numFmtId="49" xfId="0" applyAlignment="1" applyBorder="1" applyFont="1" applyNumberFormat="1">
      <alignment horizontal="left"/>
    </xf>
    <xf borderId="3" fillId="0" fontId="3" numFmtId="165" xfId="0" applyAlignment="1" applyBorder="1" applyFont="1" applyNumberFormat="1">
      <alignment vertical="bottom"/>
    </xf>
    <xf borderId="3" fillId="0" fontId="3" numFmtId="49" xfId="0" applyAlignment="1" applyBorder="1" applyFont="1" applyNumberFormat="1">
      <alignment vertical="bottom"/>
    </xf>
    <xf borderId="3" fillId="0" fontId="3" numFmtId="9" xfId="0" applyAlignment="1" applyBorder="1" applyFont="1" applyNumberFormat="1">
      <alignment vertical="bottom"/>
    </xf>
    <xf borderId="3" fillId="0" fontId="3" numFmtId="0" xfId="0" applyAlignment="1" applyBorder="1" applyFont="1">
      <alignment readingOrder="0" vertical="bottom"/>
    </xf>
    <xf borderId="4" fillId="0" fontId="3" numFmtId="49" xfId="0" applyAlignment="1" applyBorder="1" applyFont="1" applyNumberFormat="1">
      <alignment vertical="bottom"/>
    </xf>
    <xf borderId="3" fillId="0" fontId="3" numFmtId="49" xfId="0" applyAlignment="1" applyBorder="1" applyFont="1" applyNumberFormat="1">
      <alignment readingOrder="0" vertical="bottom"/>
    </xf>
    <xf borderId="3" fillId="4" fontId="6" numFmtId="49" xfId="0" applyAlignment="1" applyBorder="1" applyFont="1" applyNumberFormat="1">
      <alignment shrinkToFit="0" vertical="bottom" wrapText="1"/>
    </xf>
    <xf borderId="4" fillId="4" fontId="6" numFmtId="49" xfId="0" applyAlignment="1" applyBorder="1" applyFont="1" applyNumberFormat="1">
      <alignment shrinkToFit="0" vertical="bottom" wrapText="1"/>
    </xf>
    <xf borderId="0" fillId="0" fontId="3" numFmtId="49" xfId="0" applyAlignment="1" applyFont="1" applyNumberFormat="1">
      <alignment vertical="bottom"/>
    </xf>
    <xf borderId="0" fillId="4" fontId="5" numFmtId="49" xfId="0" applyAlignment="1" applyFont="1" applyNumberFormat="1">
      <alignment horizontal="left"/>
    </xf>
    <xf borderId="0" fillId="4" fontId="6" numFmtId="0" xfId="0" applyAlignment="1" applyFont="1">
      <alignment horizontal="left"/>
    </xf>
    <xf borderId="4" fillId="4" fontId="5" numFmtId="49" xfId="0" applyAlignment="1" applyBorder="1" applyFont="1" applyNumberFormat="1">
      <alignment horizontal="left"/>
    </xf>
    <xf borderId="4" fillId="0" fontId="7" numFmtId="49" xfId="0" applyAlignment="1" applyBorder="1" applyFont="1" applyNumberFormat="1">
      <alignment vertical="bottom"/>
    </xf>
    <xf borderId="0" fillId="4" fontId="8" numFmtId="0" xfId="0" applyAlignment="1" applyFont="1">
      <alignment horizontal="left"/>
    </xf>
    <xf borderId="4" fillId="4" fontId="3" numFmtId="49" xfId="0" applyAlignment="1" applyBorder="1" applyFont="1" applyNumberFormat="1">
      <alignment horizontal="left"/>
    </xf>
    <xf borderId="0" fillId="4" fontId="3" numFmtId="49" xfId="0" applyAlignment="1" applyFont="1" applyNumberFormat="1">
      <alignment horizontal="left"/>
    </xf>
    <xf borderId="4" fillId="0" fontId="3" numFmtId="0" xfId="0" applyAlignment="1" applyBorder="1" applyFont="1">
      <alignment vertical="bottom"/>
    </xf>
    <xf borderId="1" fillId="3" fontId="9" numFmtId="0" xfId="0" applyAlignment="1" applyBorder="1" applyFont="1">
      <alignment horizontal="center" vertical="center"/>
    </xf>
    <xf borderId="1" fillId="0" fontId="10" numFmtId="0" xfId="0" applyBorder="1" applyFont="1"/>
    <xf borderId="1" fillId="0" fontId="11" numFmtId="0" xfId="0" applyAlignment="1" applyBorder="1" applyFont="1">
      <alignment shrinkToFit="0" vertical="bottom" wrapText="1"/>
    </xf>
    <xf borderId="5" fillId="0" fontId="12" numFmtId="0" xfId="0" applyAlignment="1" applyBorder="1" applyFont="1">
      <alignment horizontal="center" shrinkToFit="0" vertical="bottom" wrapText="1"/>
    </xf>
    <xf borderId="1" fillId="3" fontId="2" numFmtId="9" xfId="0" applyAlignment="1" applyBorder="1" applyFont="1" applyNumberFormat="1">
      <alignment horizontal="center" shrinkToFit="0" vertical="bottom" wrapText="1"/>
    </xf>
    <xf borderId="3" fillId="0" fontId="10" numFmtId="0" xfId="0" applyBorder="1" applyFont="1"/>
    <xf borderId="1" fillId="0" fontId="13" numFmtId="0" xfId="0" applyAlignment="1" applyBorder="1" applyFont="1">
      <alignment horizontal="center" vertical="bottom"/>
    </xf>
    <xf borderId="3" fillId="3" fontId="14" numFmtId="0" xfId="0" applyAlignment="1" applyBorder="1" applyFont="1">
      <alignment horizontal="center" vertical="bottom"/>
    </xf>
    <xf borderId="3" fillId="3" fontId="2" numFmtId="9" xfId="0" applyAlignment="1" applyBorder="1" applyFont="1" applyNumberFormat="1">
      <alignment horizontal="center" shrinkToFit="0" vertical="bottom" wrapText="1"/>
    </xf>
    <xf borderId="3" fillId="3" fontId="15" numFmtId="9" xfId="0" applyAlignment="1" applyBorder="1" applyFont="1" applyNumberFormat="1">
      <alignment horizontal="center" vertical="bottom"/>
    </xf>
    <xf borderId="6" fillId="4" fontId="16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horizontal="center" vertical="bottom"/>
    </xf>
    <xf borderId="2" fillId="0" fontId="17" numFmtId="0" xfId="0" applyAlignment="1" applyBorder="1" applyFont="1">
      <alignment vertical="bottom"/>
    </xf>
    <xf borderId="7" fillId="0" fontId="15" numFmtId="0" xfId="0" applyAlignment="1" applyBorder="1" applyFont="1">
      <alignment horizontal="center" vertical="bottom"/>
    </xf>
    <xf borderId="1" fillId="5" fontId="3" numFmtId="49" xfId="0" applyAlignment="1" applyBorder="1" applyFill="1" applyFont="1" applyNumberFormat="1">
      <alignment horizontal="left" vertical="bottom"/>
    </xf>
    <xf borderId="1" fillId="5" fontId="18" numFmtId="49" xfId="0" applyAlignment="1" applyBorder="1" applyFont="1" applyNumberFormat="1">
      <alignment horizontal="left" vertical="bottom"/>
    </xf>
    <xf borderId="4" fillId="4" fontId="4" numFmtId="49" xfId="0" applyAlignment="1" applyBorder="1" applyFont="1" applyNumberFormat="1">
      <alignment shrinkToFit="0" vertical="bottom" wrapText="1"/>
    </xf>
    <xf borderId="3" fillId="6" fontId="3" numFmtId="0" xfId="0" applyAlignment="1" applyBorder="1" applyFill="1" applyFont="1">
      <alignment vertical="bottom"/>
    </xf>
    <xf borderId="4" fillId="0" fontId="19" numFmtId="0" xfId="0" applyAlignment="1" applyBorder="1" applyFont="1">
      <alignment shrinkToFit="0" wrapText="0"/>
    </xf>
    <xf borderId="4" fillId="0" fontId="15" numFmtId="49" xfId="0" applyAlignment="1" applyBorder="1" applyFont="1" applyNumberFormat="1">
      <alignment vertical="bottom"/>
    </xf>
    <xf borderId="7" fillId="0" fontId="15" numFmtId="49" xfId="0" applyAlignment="1" applyBorder="1" applyFont="1" applyNumberFormat="1">
      <alignment vertical="bottom"/>
    </xf>
    <xf borderId="0" fillId="5" fontId="3" numFmtId="49" xfId="0" applyAlignment="1" applyFont="1" applyNumberFormat="1">
      <alignment horizontal="left" vertical="bottom"/>
    </xf>
    <xf borderId="0" fillId="5" fontId="20" numFmtId="49" xfId="0" applyAlignment="1" applyFont="1" applyNumberFormat="1">
      <alignment horizontal="left" vertical="bottom"/>
    </xf>
    <xf borderId="2" fillId="0" fontId="21" numFmtId="49" xfId="0" applyAlignment="1" applyBorder="1" applyFont="1" applyNumberFormat="1">
      <alignment vertical="bottom"/>
    </xf>
    <xf borderId="4" fillId="4" fontId="22" numFmtId="0" xfId="0" applyBorder="1" applyFont="1"/>
    <xf borderId="0" fillId="0" fontId="15" numFmtId="0" xfId="0" applyFont="1"/>
    <xf borderId="0" fillId="4" fontId="22" numFmtId="0" xfId="0" applyAlignment="1" applyFont="1">
      <alignment horizontal="left"/>
    </xf>
    <xf borderId="4" fillId="5" fontId="23" numFmtId="49" xfId="0" applyAlignment="1" applyBorder="1" applyFont="1" applyNumberFormat="1">
      <alignment horizontal="left" vertical="bottom"/>
    </xf>
    <xf borderId="2" fillId="0" fontId="3" numFmtId="49" xfId="0" applyAlignment="1" applyBorder="1" applyFont="1" applyNumberFormat="1">
      <alignment vertical="bottom"/>
    </xf>
    <xf borderId="4" fillId="0" fontId="5" numFmtId="0" xfId="0" applyAlignment="1" applyBorder="1" applyFont="1">
      <alignment shrinkToFit="0" wrapText="0"/>
    </xf>
    <xf borderId="3" fillId="5" fontId="3" numFmtId="0" xfId="0" applyAlignment="1" applyBorder="1" applyFont="1">
      <alignment horizontal="left" vertical="bottom"/>
    </xf>
    <xf borderId="4" fillId="0" fontId="3" numFmtId="0" xfId="0" applyAlignment="1" applyBorder="1" applyFont="1">
      <alignment shrinkToFit="0" vertical="bottom" wrapText="1"/>
    </xf>
    <xf borderId="0" fillId="0" fontId="24" numFmtId="0" xfId="0" applyFont="1"/>
    <xf borderId="3" fillId="0" fontId="3" numFmtId="0" xfId="0" applyBorder="1" applyFont="1"/>
    <xf borderId="3" fillId="5" fontId="7" numFmtId="49" xfId="0" applyAlignment="1" applyBorder="1" applyFont="1" applyNumberFormat="1">
      <alignment horizontal="left" vertical="bottom"/>
    </xf>
    <xf borderId="4" fillId="5" fontId="25" numFmtId="49" xfId="0" applyAlignment="1" applyBorder="1" applyFont="1" applyNumberFormat="1">
      <alignment horizontal="left" vertical="bottom"/>
    </xf>
    <xf borderId="2" fillId="3" fontId="3" numFmtId="0" xfId="0" applyAlignment="1" applyBorder="1" applyFont="1">
      <alignment vertical="bottom"/>
    </xf>
    <xf borderId="4" fillId="3" fontId="5" numFmtId="0" xfId="0" applyAlignment="1" applyBorder="1" applyFont="1">
      <alignment shrinkToFit="0" wrapText="0"/>
    </xf>
    <xf borderId="4" fillId="4" fontId="6" numFmtId="0" xfId="0" applyAlignment="1" applyBorder="1" applyFont="1">
      <alignment horizontal="left"/>
    </xf>
    <xf borderId="2" fillId="3" fontId="26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3" fillId="5" fontId="27" numFmtId="0" xfId="0" applyAlignment="1" applyBorder="1" applyFont="1">
      <alignment horizontal="left" vertical="bottom"/>
    </xf>
    <xf borderId="0" fillId="0" fontId="28" numFmtId="49" xfId="0" applyAlignment="1" applyFont="1" applyNumberFormat="1">
      <alignment horizontal="left"/>
    </xf>
    <xf borderId="4" fillId="0" fontId="5" numFmtId="49" xfId="0" applyAlignment="1" applyBorder="1" applyFont="1" applyNumberFormat="1">
      <alignment horizontal="left" shrinkToFit="0" vertical="top" wrapText="1"/>
    </xf>
    <xf borderId="4" fillId="0" fontId="3" numFmtId="49" xfId="0" applyAlignment="1" applyBorder="1" applyFont="1" applyNumberFormat="1">
      <alignment vertical="top"/>
    </xf>
    <xf borderId="4" fillId="5" fontId="3" numFmtId="49" xfId="0" applyAlignment="1" applyBorder="1" applyFont="1" applyNumberFormat="1">
      <alignment horizontal="left" vertical="bottom"/>
    </xf>
    <xf borderId="4" fillId="4" fontId="5" numFmtId="0" xfId="0" applyAlignment="1" applyBorder="1" applyFont="1">
      <alignment shrinkToFit="0" wrapText="1"/>
    </xf>
    <xf borderId="3" fillId="5" fontId="5" numFmtId="49" xfId="0" applyAlignment="1" applyBorder="1" applyFont="1" applyNumberFormat="1">
      <alignment horizontal="left"/>
    </xf>
    <xf borderId="3" fillId="5" fontId="29" numFmtId="49" xfId="0" applyAlignment="1" applyBorder="1" applyFont="1" applyNumberFormat="1">
      <alignment horizontal="left"/>
    </xf>
    <xf borderId="4" fillId="0" fontId="3" numFmtId="0" xfId="0" applyAlignment="1" applyBorder="1" applyFont="1">
      <alignment shrinkToFit="0" wrapText="0"/>
    </xf>
    <xf borderId="4" fillId="4" fontId="5" numFmtId="0" xfId="0" applyAlignment="1" applyBorder="1" applyFont="1">
      <alignment horizontal="left"/>
    </xf>
    <xf borderId="3" fillId="5" fontId="3" numFmtId="49" xfId="0" applyAlignment="1" applyBorder="1" applyFont="1" applyNumberFormat="1">
      <alignment vertical="bottom"/>
    </xf>
    <xf borderId="3" fillId="5" fontId="30" numFmtId="49" xfId="0" applyAlignment="1" applyBorder="1" applyFont="1" applyNumberFormat="1">
      <alignment vertical="bottom"/>
    </xf>
    <xf borderId="0" fillId="4" fontId="31" numFmtId="49" xfId="0" applyAlignment="1" applyFont="1" applyNumberFormat="1">
      <alignment horizontal="left"/>
    </xf>
    <xf borderId="0" fillId="5" fontId="3" numFmtId="49" xfId="0" applyAlignment="1" applyFont="1" applyNumberFormat="1">
      <alignment vertical="bottom"/>
    </xf>
    <xf borderId="4" fillId="5" fontId="3" numFmtId="49" xfId="0" applyAlignment="1" applyBorder="1" applyFont="1" applyNumberFormat="1">
      <alignment vertical="bottom"/>
    </xf>
    <xf borderId="4" fillId="0" fontId="32" numFmtId="0" xfId="0" applyBorder="1" applyFont="1"/>
    <xf borderId="4" fillId="4" fontId="33" numFmtId="0" xfId="0" applyAlignment="1" applyBorder="1" applyFont="1">
      <alignment horizontal="left"/>
    </xf>
    <xf borderId="4" fillId="5" fontId="6" numFmtId="49" xfId="0" applyAlignment="1" applyBorder="1" applyFont="1" applyNumberFormat="1">
      <alignment shrinkToFit="0" vertical="bottom" wrapText="1"/>
    </xf>
    <xf borderId="4" fillId="5" fontId="34" numFmtId="49" xfId="0" applyAlignment="1" applyBorder="1" applyFont="1" applyNumberFormat="1">
      <alignment shrinkToFit="0" vertical="bottom" wrapText="1"/>
    </xf>
    <xf borderId="4" fillId="4" fontId="35" numFmtId="0" xfId="0" applyBorder="1" applyFont="1"/>
    <xf borderId="3" fillId="3" fontId="3" numFmtId="0" xfId="0" applyAlignment="1" applyBorder="1" applyFont="1">
      <alignment vertical="bottom"/>
    </xf>
    <xf borderId="3" fillId="0" fontId="3" numFmtId="0" xfId="0" applyAlignment="1" applyBorder="1" applyFont="1">
      <alignment horizontal="left"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5" numFmtId="9" xfId="0" applyAlignment="1" applyFont="1" applyNumberFormat="1">
      <alignment horizontal="right" vertical="bottom"/>
    </xf>
    <xf borderId="3" fillId="0" fontId="15" numFmtId="9" xfId="0" applyAlignment="1" applyBorder="1" applyFont="1" applyNumberFormat="1">
      <alignment horizontal="right" vertical="bottom"/>
    </xf>
    <xf borderId="3" fillId="0" fontId="15" numFmtId="0" xfId="0" applyAlignment="1" applyBorder="1" applyFont="1">
      <alignment shrinkToFit="0" vertical="bottom" wrapText="1"/>
    </xf>
    <xf borderId="0" fillId="3" fontId="15" numFmtId="9" xfId="0" applyAlignment="1" applyFont="1" applyNumberFormat="1">
      <alignment horizontal="right" vertical="bottom"/>
    </xf>
    <xf borderId="3" fillId="3" fontId="15" numFmtId="9" xfId="0" applyAlignment="1" applyBorder="1" applyFont="1" applyNumberFormat="1">
      <alignment horizontal="right" vertical="bottom"/>
    </xf>
    <xf borderId="3" fillId="3" fontId="15" numFmtId="0" xfId="0" applyAlignment="1" applyBorder="1" applyFont="1">
      <alignment vertical="bottom"/>
    </xf>
    <xf borderId="3" fillId="5" fontId="3" numFmtId="0" xfId="0" applyAlignment="1" applyBorder="1" applyFont="1">
      <alignment vertical="bottom"/>
    </xf>
    <xf borderId="3" fillId="3" fontId="15" numFmtId="0" xfId="0" applyAlignment="1" applyBorder="1" applyFont="1">
      <alignment shrinkToFit="0" vertical="bottom" wrapText="1"/>
    </xf>
    <xf borderId="8" fillId="7" fontId="3" numFmtId="0" xfId="0" applyAlignment="1" applyBorder="1" applyFill="1" applyFont="1">
      <alignment horizontal="center" shrinkToFit="0" vertical="center" wrapText="1"/>
    </xf>
    <xf borderId="9" fillId="0" fontId="10" numFmtId="0" xfId="0" applyBorder="1" applyFont="1"/>
    <xf borderId="10" fillId="0" fontId="10" numFmtId="0" xfId="0" applyBorder="1" applyFont="1"/>
    <xf borderId="3" fillId="7" fontId="15" numFmtId="9" xfId="0" applyAlignment="1" applyBorder="1" applyFont="1" applyNumberFormat="1">
      <alignment horizontal="right" vertical="bottom"/>
    </xf>
    <xf borderId="3" fillId="7" fontId="15" numFmtId="0" xfId="0" applyAlignment="1" applyBorder="1" applyFont="1">
      <alignment shrinkToFit="0" wrapText="1"/>
    </xf>
    <xf borderId="11" fillId="0" fontId="10" numFmtId="0" xfId="0" applyBorder="1" applyFont="1"/>
    <xf borderId="6" fillId="0" fontId="10" numFmtId="0" xfId="0" applyBorder="1" applyFont="1"/>
    <xf borderId="3" fillId="7" fontId="15" numFmtId="0" xfId="0" applyAlignment="1" applyBorder="1" applyFont="1">
      <alignment vertical="bottom"/>
    </xf>
    <xf borderId="3" fillId="7" fontId="15" numFmtId="0" xfId="0" applyAlignment="1" applyBorder="1" applyFont="1">
      <alignment shrinkToFit="0" vertical="bottom" wrapText="1"/>
    </xf>
    <xf borderId="3" fillId="8" fontId="15" numFmtId="9" xfId="0" applyAlignment="1" applyBorder="1" applyFill="1" applyFont="1" applyNumberFormat="1">
      <alignment horizontal="right" vertical="bottom"/>
    </xf>
    <xf borderId="3" fillId="8" fontId="15" numFmtId="0" xfId="0" applyAlignment="1" applyBorder="1" applyFont="1">
      <alignment shrinkToFit="0" vertical="bottom" wrapText="1"/>
    </xf>
    <xf borderId="4" fillId="7" fontId="15" numFmtId="9" xfId="0" applyAlignment="1" applyBorder="1" applyFont="1" applyNumberFormat="1">
      <alignment horizontal="right" vertical="bottom"/>
    </xf>
    <xf borderId="7" fillId="7" fontId="15" numFmtId="0" xfId="0" applyAlignment="1" applyBorder="1" applyFont="1">
      <alignment shrinkToFit="0" vertical="bottom" wrapText="1"/>
    </xf>
    <xf borderId="2" fillId="7" fontId="15" numFmtId="9" xfId="0" applyAlignment="1" applyBorder="1" applyFont="1" applyNumberFormat="1">
      <alignment horizontal="right" vertical="bottom"/>
    </xf>
    <xf borderId="5" fillId="0" fontId="10" numFmtId="0" xfId="0" applyBorder="1" applyFont="1"/>
    <xf borderId="0" fillId="0" fontId="36" numFmtId="9" xfId="0" applyAlignment="1" applyFont="1" applyNumberFormat="1">
      <alignment horizontal="right" vertical="bottom"/>
    </xf>
    <xf borderId="0" fillId="0" fontId="36" numFmtId="0" xfId="0" applyAlignment="1" applyFont="1">
      <alignment horizontal="right" vertical="bottom"/>
    </xf>
    <xf borderId="0" fillId="0" fontId="37" numFmtId="0" xfId="0" applyAlignment="1" applyFont="1">
      <alignment horizontal="right" vertical="bottom"/>
    </xf>
    <xf borderId="6" fillId="0" fontId="38" numFmtId="0" xfId="0" applyAlignment="1" applyBorder="1" applyFont="1">
      <alignment horizontal="center" vertical="bottom"/>
    </xf>
    <xf borderId="0" fillId="0" fontId="36" numFmtId="0" xfId="0" applyAlignment="1" applyFont="1">
      <alignment vertical="bottom"/>
    </xf>
    <xf borderId="3" fillId="0" fontId="36" numFmtId="0" xfId="0" applyAlignment="1" applyBorder="1" applyFont="1">
      <alignment vertical="bottom"/>
    </xf>
    <xf borderId="3" fillId="0" fontId="15" numFmtId="0" xfId="0" applyAlignment="1" applyBorder="1" applyFont="1">
      <alignment vertical="bottom"/>
    </xf>
    <xf borderId="0" fillId="0" fontId="37" numFmtId="0" xfId="0" applyAlignment="1" applyFont="1">
      <alignment vertical="bottom"/>
    </xf>
    <xf borderId="3" fillId="0" fontId="3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542925</xdr:colOff>
      <xdr:row>2</xdr:row>
      <xdr:rowOff>114300</xdr:rowOff>
    </xdr:from>
    <xdr:ext cx="1685925" cy="1047750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314325</xdr:colOff>
      <xdr:row>6</xdr:row>
      <xdr:rowOff>76200</xdr:rowOff>
    </xdr:from>
    <xdr:ext cx="2400300" cy="1152525"/>
    <xdr:pic>
      <xdr:nvPicPr>
        <xdr:cNvPr id="0" name="image1.jp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d/u/0/edit?hl=zh-TW&amp;mid=1iX6ggsKljKfpNNCzvxlCXFOzvwKK_H4&amp;ll=23.78889326220068%2C121.01704000000002&amp;z=7" TargetMode="External"/><Relationship Id="rId22" Type="http://schemas.openxmlformats.org/officeDocument/2006/relationships/hyperlink" Target="https://www.google.com/maps/d/edit?mid=1D26VC69t-Vmxjgk8kEvtLuCdjW964SY&amp;usp=sharing" TargetMode="External"/><Relationship Id="rId21" Type="http://schemas.openxmlformats.org/officeDocument/2006/relationships/hyperlink" Target="https://youtu.be/FhOlwgkuiTM" TargetMode="External"/><Relationship Id="rId24" Type="http://schemas.openxmlformats.org/officeDocument/2006/relationships/hyperlink" Target="https://www.google.com/maps/d/u/0/edit?mid=1rXQoNZ9hbFO-lolQKE5MALtZP1D5NC8&amp;usp=sharing" TargetMode="External"/><Relationship Id="rId23" Type="http://schemas.openxmlformats.org/officeDocument/2006/relationships/hyperlink" Target="https://youtu.be/I3_gd_UlZhU" TargetMode="External"/><Relationship Id="rId1" Type="http://schemas.openxmlformats.org/officeDocument/2006/relationships/hyperlink" Target="https://docs.google.com/spreadsheets/d/1dPM0SBn3ThBk0HZo7ODD2-46oHw0vWNB/edit" TargetMode="External"/><Relationship Id="rId2" Type="http://schemas.openxmlformats.org/officeDocument/2006/relationships/hyperlink" Target="https://www.google.com/maps/d/edit?hl=en&amp;mid=17cUope9BBe1Tmvk-4aj6_njagh4dloHD&amp;ll=23.797074694121804%2C121.01767499999997&amp;z=8" TargetMode="External"/><Relationship Id="rId3" Type="http://schemas.openxmlformats.org/officeDocument/2006/relationships/hyperlink" Target="https://www.google.com/maps/d/edit?mid=1fY4CkRiWW7g9amKuJVT8RcZBC-U2368&amp;ll=22.485419348620205%2C120.53380364953762&amp;z=13" TargetMode="External"/><Relationship Id="rId4" Type="http://schemas.openxmlformats.org/officeDocument/2006/relationships/hyperlink" Target="https://youtu.be/dLTgTpIYg_Y" TargetMode="External"/><Relationship Id="rId9" Type="http://schemas.openxmlformats.org/officeDocument/2006/relationships/hyperlink" Target="https://www.google.com/maps/d/edit?mid=1MAL9X1bN9yMTTTHi2sxcWp54nlr6dMs&amp;usp=sharing" TargetMode="External"/><Relationship Id="rId26" Type="http://schemas.openxmlformats.org/officeDocument/2006/relationships/hyperlink" Target="https://www.google.com/maps/d/edit?mid=11zAZIVoy1Ch2i3fIcKjiYRJk1G1UBuA&amp;usp=drive_link" TargetMode="External"/><Relationship Id="rId25" Type="http://schemas.openxmlformats.org/officeDocument/2006/relationships/hyperlink" Target="https://www.youtube.com/watch?v=kvU3qjDSixs&amp;ab_channel=%E5%8A%89%E5%A6%8D%E7%BE%A4" TargetMode="External"/><Relationship Id="rId28" Type="http://schemas.openxmlformats.org/officeDocument/2006/relationships/hyperlink" Target="https://maps.app.goo.gl/TmcpNPP9L7BFhndq6" TargetMode="External"/><Relationship Id="rId27" Type="http://schemas.openxmlformats.org/officeDocument/2006/relationships/hyperlink" Target="https://youtu.be/Y60A37YKp-s" TargetMode="External"/><Relationship Id="rId5" Type="http://schemas.openxmlformats.org/officeDocument/2006/relationships/hyperlink" Target="https://www.google.com/maps/d/edit?mid=1YNM3aac-QoZOvZUtAEDLYeo2HEaWcOE&amp;usp=sharing" TargetMode="External"/><Relationship Id="rId6" Type="http://schemas.openxmlformats.org/officeDocument/2006/relationships/hyperlink" Target="https://youtu.be/HgLX5_3xK8Y" TargetMode="External"/><Relationship Id="rId29" Type="http://schemas.openxmlformats.org/officeDocument/2006/relationships/hyperlink" Target="https://youtu.be/iSqleP_Go_c" TargetMode="External"/><Relationship Id="rId7" Type="http://schemas.openxmlformats.org/officeDocument/2006/relationships/hyperlink" Target="https://www.google.com/maps/d/u/0/edit?mid=1Ng_cbn-GxtR9pmzBZsCpvq_9trWXRog&amp;usp=sharing" TargetMode="External"/><Relationship Id="rId8" Type="http://schemas.openxmlformats.org/officeDocument/2006/relationships/hyperlink" Target="https://drive.google.com/drive/folders/17WYt_UBDHDKuItfXj7PZxEW7_perXZpq?usp=drive_link" TargetMode="External"/><Relationship Id="rId31" Type="http://schemas.openxmlformats.org/officeDocument/2006/relationships/hyperlink" Target="https://youtu.be/6t8V5LTxq_g" TargetMode="External"/><Relationship Id="rId30" Type="http://schemas.openxmlformats.org/officeDocument/2006/relationships/hyperlink" Target="https://www.google.com/maps/d/u/0/edit?mid=1aNfMmpje3f9Yd2gXnCJwAqrtTXRMsvU&amp;usp=sharing" TargetMode="External"/><Relationship Id="rId11" Type="http://schemas.openxmlformats.org/officeDocument/2006/relationships/hyperlink" Target="https://www.google.com/maps/d/edit?mid=1dmgs33L8d65eGzuMQtAjgaQMiiUx0FA&amp;ll=24.015073948709492%2C120.71375332989419&amp;z=12" TargetMode="External"/><Relationship Id="rId10" Type="http://schemas.openxmlformats.org/officeDocument/2006/relationships/hyperlink" Target="https://youtu.be/qfxQuc100cU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www.google.com/maps/d/edit?hl=zh-TW&amp;mid=1TcJR8kllp5Li8jWZBHJAm08sDYtXoM0&amp;ll=24.15200892715543%2C120.52312355186234&amp;z=13" TargetMode="External"/><Relationship Id="rId12" Type="http://schemas.openxmlformats.org/officeDocument/2006/relationships/hyperlink" Target="https://youtu.be/8b9me7LAY2c" TargetMode="External"/><Relationship Id="rId15" Type="http://schemas.openxmlformats.org/officeDocument/2006/relationships/hyperlink" Target="https://www.google.com/maps/d/edit?mid=1uWNYuXn9eHLzjYbW2u20w0CabJQVNeI&amp;ll=23.79200554970727%2C121.01704000000002&amp;z=8" TargetMode="External"/><Relationship Id="rId14" Type="http://schemas.openxmlformats.org/officeDocument/2006/relationships/hyperlink" Target="https://youtu.be/C7shqL2oOUw" TargetMode="External"/><Relationship Id="rId17" Type="http://schemas.openxmlformats.org/officeDocument/2006/relationships/hyperlink" Target="https://youtu.be/jhzISI5yvgo" TargetMode="External"/><Relationship Id="rId16" Type="http://schemas.openxmlformats.org/officeDocument/2006/relationships/hyperlink" Target="https://www.google.com/maps/d/edit?mid=1Q5zFLcRMT-bZE9xJlsgTn9hYCxxBwOM&amp;usp=sharing" TargetMode="External"/><Relationship Id="rId19" Type="http://schemas.openxmlformats.org/officeDocument/2006/relationships/hyperlink" Target="https://youtu.be/MN-Gbl7ud8s" TargetMode="External"/><Relationship Id="rId18" Type="http://schemas.openxmlformats.org/officeDocument/2006/relationships/hyperlink" Target="https://www.google.com/maps/d/edit?mid=1UxBTxniO7uWxRNY5NfmmEA3DEZV0KJw&amp;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7.75"/>
    <col customWidth="1" min="4" max="4" width="10.75"/>
    <col customWidth="1" min="5" max="5" width="7.38"/>
    <col customWidth="1" min="6" max="6" width="35.88"/>
    <col customWidth="1" min="8" max="8" width="19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8" t="s">
        <v>14</v>
      </c>
      <c r="G2" s="9"/>
      <c r="H2" s="10"/>
      <c r="I2" s="11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5.75" customHeight="1">
      <c r="A3" s="12" t="s">
        <v>9</v>
      </c>
      <c r="B3" s="13" t="s">
        <v>10</v>
      </c>
      <c r="C3" s="13" t="s">
        <v>11</v>
      </c>
      <c r="D3" s="13" t="s">
        <v>15</v>
      </c>
      <c r="E3" s="13" t="s">
        <v>16</v>
      </c>
      <c r="F3" s="8" t="s">
        <v>14</v>
      </c>
      <c r="G3" s="14"/>
      <c r="H3" s="14"/>
      <c r="I3" s="1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12" t="s">
        <v>9</v>
      </c>
      <c r="B4" s="13" t="s">
        <v>10</v>
      </c>
      <c r="C4" s="13" t="s">
        <v>17</v>
      </c>
      <c r="D4" s="13" t="s">
        <v>18</v>
      </c>
      <c r="E4" s="13" t="s">
        <v>19</v>
      </c>
      <c r="F4" s="16" t="s">
        <v>20</v>
      </c>
      <c r="G4" s="14"/>
      <c r="H4" s="17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12" t="s">
        <v>9</v>
      </c>
      <c r="B5" s="13" t="s">
        <v>10</v>
      </c>
      <c r="C5" s="13" t="s">
        <v>17</v>
      </c>
      <c r="D5" s="13" t="s">
        <v>21</v>
      </c>
      <c r="E5" s="13" t="s">
        <v>22</v>
      </c>
      <c r="F5" s="16" t="s">
        <v>20</v>
      </c>
      <c r="G5" s="14"/>
      <c r="H5" s="17"/>
      <c r="I5" s="1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12" t="s">
        <v>9</v>
      </c>
      <c r="B6" s="13" t="s">
        <v>10</v>
      </c>
      <c r="C6" s="13" t="s">
        <v>11</v>
      </c>
      <c r="D6" s="13" t="s">
        <v>23</v>
      </c>
      <c r="E6" s="13" t="s">
        <v>24</v>
      </c>
      <c r="F6" s="16" t="s">
        <v>20</v>
      </c>
      <c r="G6" s="18"/>
      <c r="H6" s="17"/>
      <c r="I6" s="1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12" t="s">
        <v>9</v>
      </c>
      <c r="B7" s="13" t="s">
        <v>25</v>
      </c>
      <c r="C7" s="13" t="s">
        <v>17</v>
      </c>
      <c r="D7" s="13" t="s">
        <v>26</v>
      </c>
      <c r="E7" s="13" t="s">
        <v>27</v>
      </c>
      <c r="F7" s="16" t="s">
        <v>20</v>
      </c>
      <c r="G7" s="14"/>
      <c r="H7" s="14"/>
      <c r="I7" s="1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12" t="s">
        <v>9</v>
      </c>
      <c r="B8" s="13" t="s">
        <v>10</v>
      </c>
      <c r="C8" s="13" t="s">
        <v>11</v>
      </c>
      <c r="D8" s="13" t="s">
        <v>28</v>
      </c>
      <c r="E8" s="13" t="s">
        <v>29</v>
      </c>
      <c r="F8" s="18" t="s">
        <v>30</v>
      </c>
      <c r="G8" s="18"/>
      <c r="H8" s="19"/>
      <c r="I8" s="1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12" t="s">
        <v>9</v>
      </c>
      <c r="B9" s="13" t="s">
        <v>10</v>
      </c>
      <c r="C9" s="13" t="s">
        <v>11</v>
      </c>
      <c r="D9" s="13" t="s">
        <v>31</v>
      </c>
      <c r="E9" s="13" t="s">
        <v>32</v>
      </c>
      <c r="F9" s="18" t="s">
        <v>30</v>
      </c>
      <c r="G9" s="18"/>
      <c r="H9" s="17"/>
      <c r="I9" s="1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12" t="s">
        <v>9</v>
      </c>
      <c r="B10" s="13" t="s">
        <v>10</v>
      </c>
      <c r="C10" s="13" t="s">
        <v>11</v>
      </c>
      <c r="D10" s="13" t="s">
        <v>33</v>
      </c>
      <c r="E10" s="13" t="s">
        <v>34</v>
      </c>
      <c r="F10" s="18" t="s">
        <v>30</v>
      </c>
      <c r="G10" s="18"/>
      <c r="H10" s="17"/>
      <c r="I10" s="1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12" t="s">
        <v>9</v>
      </c>
      <c r="B11" s="13" t="s">
        <v>10</v>
      </c>
      <c r="C11" s="13" t="s">
        <v>11</v>
      </c>
      <c r="D11" s="13" t="s">
        <v>35</v>
      </c>
      <c r="E11" s="13" t="s">
        <v>36</v>
      </c>
      <c r="F11" s="18" t="s">
        <v>30</v>
      </c>
      <c r="G11" s="18"/>
      <c r="H11" s="17"/>
      <c r="I11" s="1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12" t="s">
        <v>9</v>
      </c>
      <c r="B12" s="13" t="s">
        <v>10</v>
      </c>
      <c r="C12" s="13" t="s">
        <v>11</v>
      </c>
      <c r="D12" s="13" t="s">
        <v>37</v>
      </c>
      <c r="E12" s="13" t="s">
        <v>38</v>
      </c>
      <c r="F12" s="18" t="s">
        <v>39</v>
      </c>
      <c r="G12" s="14"/>
      <c r="H12" s="17"/>
      <c r="I12" s="1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12" t="s">
        <v>9</v>
      </c>
      <c r="B13" s="13" t="s">
        <v>10</v>
      </c>
      <c r="C13" s="13" t="s">
        <v>11</v>
      </c>
      <c r="D13" s="13" t="s">
        <v>40</v>
      </c>
      <c r="E13" s="13" t="s">
        <v>41</v>
      </c>
      <c r="F13" s="18" t="s">
        <v>39</v>
      </c>
      <c r="G13" s="18"/>
      <c r="H13" s="17"/>
      <c r="I13" s="1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5.75" customHeight="1">
      <c r="A14" s="12" t="s">
        <v>9</v>
      </c>
      <c r="B14" s="13" t="s">
        <v>10</v>
      </c>
      <c r="C14" s="13" t="s">
        <v>11</v>
      </c>
      <c r="D14" s="13" t="s">
        <v>42</v>
      </c>
      <c r="E14" s="13" t="s">
        <v>43</v>
      </c>
      <c r="F14" s="18" t="s">
        <v>39</v>
      </c>
      <c r="G14" s="14"/>
      <c r="H14" s="17"/>
      <c r="I14" s="1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15.75" customHeight="1">
      <c r="A15" s="12" t="s">
        <v>9</v>
      </c>
      <c r="B15" s="13" t="s">
        <v>10</v>
      </c>
      <c r="C15" s="13" t="s">
        <v>11</v>
      </c>
      <c r="D15" s="13" t="s">
        <v>44</v>
      </c>
      <c r="E15" s="13" t="s">
        <v>45</v>
      </c>
      <c r="F15" s="18" t="s">
        <v>39</v>
      </c>
      <c r="G15" s="18"/>
      <c r="H15" s="14"/>
      <c r="I15" s="1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15.75" customHeight="1">
      <c r="A16" s="12" t="s">
        <v>9</v>
      </c>
      <c r="B16" s="13" t="s">
        <v>10</v>
      </c>
      <c r="C16" s="13" t="s">
        <v>17</v>
      </c>
      <c r="D16" s="13" t="s">
        <v>46</v>
      </c>
      <c r="E16" s="13" t="s">
        <v>47</v>
      </c>
      <c r="F16" s="18" t="s">
        <v>48</v>
      </c>
      <c r="G16" s="14"/>
      <c r="H16" s="14"/>
      <c r="I16" s="1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15.75" customHeight="1">
      <c r="A17" s="12" t="s">
        <v>9</v>
      </c>
      <c r="B17" s="13" t="s">
        <v>10</v>
      </c>
      <c r="C17" s="13" t="s">
        <v>17</v>
      </c>
      <c r="D17" s="13" t="s">
        <v>49</v>
      </c>
      <c r="E17" s="13" t="s">
        <v>50</v>
      </c>
      <c r="F17" s="18" t="s">
        <v>48</v>
      </c>
      <c r="G17" s="14"/>
      <c r="H17" s="17"/>
      <c r="I17" s="1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15.75" customHeight="1">
      <c r="A18" s="12" t="s">
        <v>9</v>
      </c>
      <c r="B18" s="13" t="s">
        <v>10</v>
      </c>
      <c r="C18" s="13" t="s">
        <v>17</v>
      </c>
      <c r="D18" s="13" t="s">
        <v>51</v>
      </c>
      <c r="E18" s="13" t="s">
        <v>52</v>
      </c>
      <c r="F18" s="18" t="s">
        <v>48</v>
      </c>
      <c r="G18" s="14"/>
      <c r="H18" s="17"/>
      <c r="I18" s="1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15.75" customHeight="1">
      <c r="A19" s="12" t="s">
        <v>9</v>
      </c>
      <c r="B19" s="13" t="s">
        <v>10</v>
      </c>
      <c r="C19" s="13" t="s">
        <v>11</v>
      </c>
      <c r="D19" s="13" t="s">
        <v>53</v>
      </c>
      <c r="E19" s="13" t="s">
        <v>54</v>
      </c>
      <c r="F19" s="18" t="s">
        <v>48</v>
      </c>
      <c r="G19" s="18"/>
      <c r="H19" s="17"/>
      <c r="I19" s="1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15.75" customHeight="1">
      <c r="A20" s="12" t="s">
        <v>9</v>
      </c>
      <c r="B20" s="13" t="s">
        <v>10</v>
      </c>
      <c r="C20" s="13" t="s">
        <v>11</v>
      </c>
      <c r="D20" s="13" t="s">
        <v>55</v>
      </c>
      <c r="E20" s="13" t="s">
        <v>56</v>
      </c>
      <c r="F20" s="18" t="s">
        <v>57</v>
      </c>
      <c r="G20" s="20">
        <v>8.0</v>
      </c>
      <c r="H20" s="19"/>
      <c r="I20" s="1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A21" s="12" t="s">
        <v>9</v>
      </c>
      <c r="B21" s="13" t="s">
        <v>10</v>
      </c>
      <c r="C21" s="13" t="s">
        <v>17</v>
      </c>
      <c r="D21" s="13" t="s">
        <v>58</v>
      </c>
      <c r="E21" s="13" t="s">
        <v>59</v>
      </c>
      <c r="F21" s="21" t="s">
        <v>57</v>
      </c>
      <c r="G21" s="22" t="s">
        <v>60</v>
      </c>
      <c r="H21" s="17"/>
      <c r="I21" s="1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5.75" customHeight="1">
      <c r="A22" s="12" t="s">
        <v>9</v>
      </c>
      <c r="B22" s="13" t="s">
        <v>10</v>
      </c>
      <c r="C22" s="13" t="s">
        <v>17</v>
      </c>
      <c r="D22" s="13" t="s">
        <v>61</v>
      </c>
      <c r="E22" s="13" t="s">
        <v>62</v>
      </c>
      <c r="F22" s="21" t="s">
        <v>57</v>
      </c>
      <c r="G22" s="22" t="s">
        <v>60</v>
      </c>
      <c r="H22" s="17"/>
      <c r="I22" s="1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5.75" customHeight="1">
      <c r="A23" s="12" t="s">
        <v>9</v>
      </c>
      <c r="B23" s="13" t="s">
        <v>10</v>
      </c>
      <c r="C23" s="13" t="s">
        <v>11</v>
      </c>
      <c r="D23" s="13" t="s">
        <v>63</v>
      </c>
      <c r="E23" s="23" t="s">
        <v>64</v>
      </c>
      <c r="F23" s="24" t="s">
        <v>65</v>
      </c>
      <c r="G23" s="20">
        <v>10.0</v>
      </c>
      <c r="H23" s="19"/>
      <c r="I23" s="1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12" t="s">
        <v>9</v>
      </c>
      <c r="B24" s="13" t="s">
        <v>10</v>
      </c>
      <c r="C24" s="13" t="s">
        <v>11</v>
      </c>
      <c r="D24" s="13" t="s">
        <v>66</v>
      </c>
      <c r="E24" s="23" t="s">
        <v>67</v>
      </c>
      <c r="F24" s="23" t="s">
        <v>65</v>
      </c>
      <c r="G24" s="20">
        <v>10.0</v>
      </c>
      <c r="H24" s="17"/>
      <c r="I24" s="1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5.75" customHeight="1">
      <c r="A25" s="12" t="s">
        <v>9</v>
      </c>
      <c r="B25" s="13" t="s">
        <v>10</v>
      </c>
      <c r="C25" s="13" t="s">
        <v>11</v>
      </c>
      <c r="D25" s="13" t="s">
        <v>68</v>
      </c>
      <c r="E25" s="23" t="s">
        <v>69</v>
      </c>
      <c r="F25" s="23" t="s">
        <v>65</v>
      </c>
      <c r="G25" s="20">
        <v>10.0</v>
      </c>
      <c r="H25" s="17"/>
      <c r="I25" s="1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5.75" customHeight="1">
      <c r="A26" s="12" t="s">
        <v>9</v>
      </c>
      <c r="B26" s="13" t="s">
        <v>10</v>
      </c>
      <c r="C26" s="13" t="s">
        <v>11</v>
      </c>
      <c r="D26" s="13" t="s">
        <v>70</v>
      </c>
      <c r="E26" s="23" t="s">
        <v>71</v>
      </c>
      <c r="F26" s="23" t="s">
        <v>65</v>
      </c>
      <c r="G26" s="20">
        <v>10.0</v>
      </c>
      <c r="H26" s="14"/>
      <c r="I26" s="1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5.75" customHeight="1">
      <c r="A27" s="12" t="s">
        <v>9</v>
      </c>
      <c r="B27" s="13" t="s">
        <v>10</v>
      </c>
      <c r="C27" s="13" t="s">
        <v>17</v>
      </c>
      <c r="D27" s="13" t="s">
        <v>72</v>
      </c>
      <c r="E27" s="13" t="s">
        <v>73</v>
      </c>
      <c r="F27" s="21" t="s">
        <v>74</v>
      </c>
      <c r="G27" s="20">
        <v>10.0</v>
      </c>
      <c r="H27" s="19"/>
      <c r="I27" s="1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5.75" customHeight="1">
      <c r="A28" s="12" t="s">
        <v>9</v>
      </c>
      <c r="B28" s="13" t="s">
        <v>10</v>
      </c>
      <c r="C28" s="13" t="s">
        <v>17</v>
      </c>
      <c r="D28" s="13" t="s">
        <v>75</v>
      </c>
      <c r="E28" s="13" t="s">
        <v>76</v>
      </c>
      <c r="F28" s="25" t="s">
        <v>74</v>
      </c>
      <c r="G28" s="20">
        <v>10.0</v>
      </c>
      <c r="H28" s="17"/>
      <c r="I28" s="1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5.75" customHeight="1">
      <c r="A29" s="12" t="s">
        <v>9</v>
      </c>
      <c r="B29" s="13" t="s">
        <v>10</v>
      </c>
      <c r="C29" s="13" t="s">
        <v>17</v>
      </c>
      <c r="D29" s="13" t="s">
        <v>77</v>
      </c>
      <c r="E29" s="13" t="s">
        <v>78</v>
      </c>
      <c r="F29" s="25" t="s">
        <v>74</v>
      </c>
      <c r="G29" s="20">
        <v>10.0</v>
      </c>
      <c r="H29" s="17"/>
      <c r="I29" s="1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5.75" customHeight="1">
      <c r="A30" s="12" t="s">
        <v>9</v>
      </c>
      <c r="B30" s="13" t="s">
        <v>10</v>
      </c>
      <c r="C30" s="13" t="s">
        <v>11</v>
      </c>
      <c r="D30" s="13" t="s">
        <v>79</v>
      </c>
      <c r="E30" s="13" t="s">
        <v>80</v>
      </c>
      <c r="F30" s="26" t="s">
        <v>81</v>
      </c>
      <c r="G30" s="22" t="s">
        <v>82</v>
      </c>
      <c r="H30" s="20"/>
      <c r="I30" s="1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5.75" customHeight="1">
      <c r="A31" s="12" t="s">
        <v>9</v>
      </c>
      <c r="B31" s="13" t="s">
        <v>10</v>
      </c>
      <c r="C31" s="13" t="s">
        <v>11</v>
      </c>
      <c r="D31" s="13" t="s">
        <v>83</v>
      </c>
      <c r="E31" s="13" t="s">
        <v>84</v>
      </c>
      <c r="F31" s="26" t="s">
        <v>81</v>
      </c>
      <c r="G31" s="22" t="s">
        <v>82</v>
      </c>
      <c r="H31" s="14"/>
      <c r="I31" s="1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5.75" customHeight="1">
      <c r="A32" s="12" t="s">
        <v>9</v>
      </c>
      <c r="B32" s="13" t="s">
        <v>10</v>
      </c>
      <c r="C32" s="13" t="s">
        <v>11</v>
      </c>
      <c r="D32" s="13" t="s">
        <v>85</v>
      </c>
      <c r="E32" s="13" t="s">
        <v>86</v>
      </c>
      <c r="F32" s="26" t="s">
        <v>81</v>
      </c>
      <c r="G32" s="20">
        <v>9.0</v>
      </c>
      <c r="H32" s="17"/>
      <c r="I32" s="1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5.75" customHeight="1">
      <c r="A33" s="12" t="s">
        <v>9</v>
      </c>
      <c r="B33" s="13" t="s">
        <v>10</v>
      </c>
      <c r="C33" s="13" t="s">
        <v>11</v>
      </c>
      <c r="D33" s="13" t="s">
        <v>87</v>
      </c>
      <c r="E33" s="13" t="s">
        <v>88</v>
      </c>
      <c r="F33" s="21" t="s">
        <v>89</v>
      </c>
      <c r="G33" s="18"/>
      <c r="H33" s="14"/>
      <c r="I33" s="15"/>
      <c r="J33" s="6"/>
      <c r="K33" s="2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5.75" customHeight="1">
      <c r="A34" s="12" t="s">
        <v>9</v>
      </c>
      <c r="B34" s="13" t="s">
        <v>10</v>
      </c>
      <c r="C34" s="13" t="s">
        <v>11</v>
      </c>
      <c r="D34" s="13" t="s">
        <v>90</v>
      </c>
      <c r="E34" s="13" t="s">
        <v>91</v>
      </c>
      <c r="F34" s="21" t="s">
        <v>89</v>
      </c>
      <c r="G34" s="14"/>
      <c r="H34" s="19"/>
      <c r="I34" s="1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5.75" customHeight="1">
      <c r="A35" s="12" t="s">
        <v>9</v>
      </c>
      <c r="B35" s="13" t="s">
        <v>10</v>
      </c>
      <c r="C35" s="13" t="s">
        <v>17</v>
      </c>
      <c r="D35" s="13" t="s">
        <v>92</v>
      </c>
      <c r="E35" s="13" t="s">
        <v>93</v>
      </c>
      <c r="F35" s="21" t="s">
        <v>94</v>
      </c>
      <c r="G35" s="20">
        <v>10.0</v>
      </c>
      <c r="H35" s="19"/>
      <c r="I35" s="1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5.75" customHeight="1">
      <c r="A36" s="12" t="s">
        <v>9</v>
      </c>
      <c r="B36" s="13" t="s">
        <v>10</v>
      </c>
      <c r="C36" s="13" t="s">
        <v>17</v>
      </c>
      <c r="D36" s="13" t="s">
        <v>95</v>
      </c>
      <c r="E36" s="13" t="s">
        <v>96</v>
      </c>
      <c r="F36" s="21" t="s">
        <v>94</v>
      </c>
      <c r="G36" s="20">
        <v>10.0</v>
      </c>
      <c r="H36" s="17"/>
      <c r="I36" s="1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A37" s="12" t="s">
        <v>9</v>
      </c>
      <c r="B37" s="13" t="s">
        <v>25</v>
      </c>
      <c r="C37" s="13" t="s">
        <v>17</v>
      </c>
      <c r="D37" s="13" t="s">
        <v>97</v>
      </c>
      <c r="E37" s="13" t="s">
        <v>98</v>
      </c>
      <c r="F37" s="21" t="s">
        <v>94</v>
      </c>
      <c r="G37" s="20">
        <v>10.0</v>
      </c>
      <c r="H37" s="15"/>
      <c r="I37" s="14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5.75" customHeight="1">
      <c r="A38" s="12" t="s">
        <v>9</v>
      </c>
      <c r="B38" s="13" t="s">
        <v>10</v>
      </c>
      <c r="C38" s="13" t="s">
        <v>11</v>
      </c>
      <c r="D38" s="13" t="s">
        <v>99</v>
      </c>
      <c r="E38" s="13" t="s">
        <v>100</v>
      </c>
      <c r="F38" s="21" t="s">
        <v>101</v>
      </c>
      <c r="G38" s="18"/>
      <c r="H38" s="15"/>
      <c r="I38" s="14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5.75" customHeight="1">
      <c r="A39" s="12" t="s">
        <v>9</v>
      </c>
      <c r="B39" s="13" t="s">
        <v>10</v>
      </c>
      <c r="C39" s="13" t="s">
        <v>11</v>
      </c>
      <c r="D39" s="13" t="s">
        <v>102</v>
      </c>
      <c r="E39" s="13" t="s">
        <v>103</v>
      </c>
      <c r="F39" s="21" t="s">
        <v>101</v>
      </c>
      <c r="G39" s="14"/>
      <c r="H39" s="19"/>
      <c r="I39" s="1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5.75" customHeight="1">
      <c r="A40" s="12" t="s">
        <v>9</v>
      </c>
      <c r="B40" s="13" t="s">
        <v>10</v>
      </c>
      <c r="C40" s="13" t="s">
        <v>11</v>
      </c>
      <c r="D40" s="13" t="s">
        <v>104</v>
      </c>
      <c r="E40" s="13" t="s">
        <v>105</v>
      </c>
      <c r="F40" s="21" t="s">
        <v>101</v>
      </c>
      <c r="G40" s="18"/>
      <c r="H40" s="19"/>
      <c r="I40" s="1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5.75" customHeight="1">
      <c r="A41" s="12" t="s">
        <v>9</v>
      </c>
      <c r="B41" s="13" t="s">
        <v>10</v>
      </c>
      <c r="C41" s="13" t="s">
        <v>17</v>
      </c>
      <c r="D41" s="13" t="s">
        <v>106</v>
      </c>
      <c r="E41" s="13" t="s">
        <v>107</v>
      </c>
      <c r="F41" s="21" t="s">
        <v>101</v>
      </c>
      <c r="G41" s="18"/>
      <c r="H41" s="19"/>
      <c r="I41" s="1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5.75" customHeight="1">
      <c r="A42" s="12" t="s">
        <v>9</v>
      </c>
      <c r="B42" s="13" t="s">
        <v>25</v>
      </c>
      <c r="C42" s="13" t="s">
        <v>11</v>
      </c>
      <c r="D42" s="13" t="s">
        <v>108</v>
      </c>
      <c r="E42" s="13" t="s">
        <v>109</v>
      </c>
      <c r="F42" s="28" t="s">
        <v>110</v>
      </c>
      <c r="G42" s="18"/>
      <c r="H42" s="17"/>
      <c r="I42" s="1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5.75" customHeight="1">
      <c r="A43" s="12" t="s">
        <v>9</v>
      </c>
      <c r="B43" s="13" t="s">
        <v>25</v>
      </c>
      <c r="C43" s="13" t="s">
        <v>11</v>
      </c>
      <c r="D43" s="13" t="s">
        <v>111</v>
      </c>
      <c r="E43" s="13" t="s">
        <v>112</v>
      </c>
      <c r="F43" s="28" t="s">
        <v>110</v>
      </c>
      <c r="G43" s="14"/>
      <c r="H43" s="17"/>
      <c r="I43" s="1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5.75" customHeight="1">
      <c r="A44" s="12" t="s">
        <v>9</v>
      </c>
      <c r="B44" s="13" t="s">
        <v>25</v>
      </c>
      <c r="C44" s="13" t="s">
        <v>11</v>
      </c>
      <c r="D44" s="13" t="s">
        <v>113</v>
      </c>
      <c r="E44" s="13" t="s">
        <v>114</v>
      </c>
      <c r="F44" s="28" t="s">
        <v>110</v>
      </c>
      <c r="G44" s="14"/>
      <c r="H44" s="17"/>
      <c r="I44" s="1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5.75" customHeight="1">
      <c r="A45" s="12" t="s">
        <v>9</v>
      </c>
      <c r="B45" s="13" t="s">
        <v>10</v>
      </c>
      <c r="C45" s="13" t="s">
        <v>17</v>
      </c>
      <c r="D45" s="13" t="s">
        <v>115</v>
      </c>
      <c r="E45" s="13" t="s">
        <v>116</v>
      </c>
      <c r="F45" s="29" t="s">
        <v>117</v>
      </c>
      <c r="G45" s="14"/>
      <c r="H45" s="17"/>
      <c r="I45" s="1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5.75" customHeight="1">
      <c r="A46" s="12" t="s">
        <v>9</v>
      </c>
      <c r="B46" s="13" t="s">
        <v>10</v>
      </c>
      <c r="C46" s="13" t="s">
        <v>11</v>
      </c>
      <c r="D46" s="13" t="s">
        <v>118</v>
      </c>
      <c r="E46" s="13" t="s">
        <v>119</v>
      </c>
      <c r="F46" s="29" t="s">
        <v>117</v>
      </c>
      <c r="G46" s="18"/>
      <c r="H46" s="19"/>
      <c r="I46" s="1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5.75" customHeight="1">
      <c r="A47" s="12" t="s">
        <v>9</v>
      </c>
      <c r="B47" s="13" t="s">
        <v>10</v>
      </c>
      <c r="C47" s="13" t="s">
        <v>17</v>
      </c>
      <c r="D47" s="13" t="s">
        <v>120</v>
      </c>
      <c r="E47" s="13" t="s">
        <v>121</v>
      </c>
      <c r="F47" s="29" t="s">
        <v>117</v>
      </c>
      <c r="G47" s="18"/>
      <c r="H47" s="19"/>
      <c r="I47" s="15"/>
      <c r="J47" s="30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A48" s="12" t="s">
        <v>9</v>
      </c>
      <c r="B48" s="13" t="s">
        <v>25</v>
      </c>
      <c r="C48" s="13" t="s">
        <v>11</v>
      </c>
      <c r="D48" s="13" t="s">
        <v>122</v>
      </c>
      <c r="E48" s="13" t="s">
        <v>123</v>
      </c>
      <c r="F48" s="21" t="s">
        <v>124</v>
      </c>
      <c r="G48" s="14"/>
      <c r="H48" s="17"/>
      <c r="I48" s="1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5.75" customHeight="1">
      <c r="A49" s="12" t="s">
        <v>9</v>
      </c>
      <c r="B49" s="13" t="s">
        <v>10</v>
      </c>
      <c r="C49" s="13" t="s">
        <v>17</v>
      </c>
      <c r="D49" s="13" t="s">
        <v>125</v>
      </c>
      <c r="E49" s="13" t="s">
        <v>126</v>
      </c>
      <c r="F49" s="21" t="s">
        <v>124</v>
      </c>
      <c r="G49" s="14"/>
      <c r="H49" s="17"/>
      <c r="I49" s="1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5.75" customHeight="1">
      <c r="A50" s="12" t="s">
        <v>9</v>
      </c>
      <c r="B50" s="13" t="s">
        <v>10</v>
      </c>
      <c r="C50" s="13" t="s">
        <v>11</v>
      </c>
      <c r="D50" s="13" t="s">
        <v>127</v>
      </c>
      <c r="E50" s="13" t="s">
        <v>128</v>
      </c>
      <c r="F50" s="21" t="s">
        <v>124</v>
      </c>
      <c r="G50" s="14"/>
      <c r="H50" s="17"/>
      <c r="I50" s="1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5.75" customHeight="1">
      <c r="A51" s="12" t="s">
        <v>9</v>
      </c>
      <c r="B51" s="13" t="s">
        <v>10</v>
      </c>
      <c r="C51" s="13" t="s">
        <v>17</v>
      </c>
      <c r="D51" s="13" t="s">
        <v>129</v>
      </c>
      <c r="E51" s="13" t="s">
        <v>130</v>
      </c>
      <c r="F51" s="21" t="s">
        <v>124</v>
      </c>
      <c r="G51" s="14"/>
      <c r="H51" s="17"/>
      <c r="I51" s="1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5.75" customHeight="1">
      <c r="A52" s="12" t="s">
        <v>9</v>
      </c>
      <c r="B52" s="13" t="s">
        <v>10</v>
      </c>
      <c r="C52" s="13" t="s">
        <v>11</v>
      </c>
      <c r="D52" s="13" t="s">
        <v>131</v>
      </c>
      <c r="E52" s="13" t="s">
        <v>132</v>
      </c>
      <c r="F52" s="31" t="s">
        <v>133</v>
      </c>
      <c r="G52" s="18"/>
      <c r="H52" s="17"/>
      <c r="I52" s="1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5.75" customHeight="1">
      <c r="A53" s="12" t="s">
        <v>9</v>
      </c>
      <c r="B53" s="13" t="s">
        <v>10</v>
      </c>
      <c r="C53" s="13" t="s">
        <v>11</v>
      </c>
      <c r="D53" s="13" t="s">
        <v>134</v>
      </c>
      <c r="E53" s="13" t="s">
        <v>135</v>
      </c>
      <c r="F53" s="32" t="s">
        <v>133</v>
      </c>
      <c r="G53" s="14"/>
      <c r="H53" s="17"/>
      <c r="I53" s="1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A54" s="12" t="s">
        <v>9</v>
      </c>
      <c r="B54" s="13" t="s">
        <v>10</v>
      </c>
      <c r="C54" s="13" t="s">
        <v>11</v>
      </c>
      <c r="D54" s="13" t="s">
        <v>136</v>
      </c>
      <c r="E54" s="13" t="s">
        <v>137</v>
      </c>
      <c r="F54" s="32" t="s">
        <v>133</v>
      </c>
      <c r="G54" s="14"/>
      <c r="H54" s="17"/>
      <c r="I54" s="1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A55" s="12" t="s">
        <v>9</v>
      </c>
      <c r="B55" s="13" t="s">
        <v>10</v>
      </c>
      <c r="C55" s="13" t="s">
        <v>11</v>
      </c>
      <c r="D55" s="13" t="s">
        <v>138</v>
      </c>
      <c r="E55" s="13" t="s">
        <v>139</v>
      </c>
      <c r="F55" s="25" t="s">
        <v>140</v>
      </c>
      <c r="G55" s="22" t="s">
        <v>60</v>
      </c>
      <c r="H55" s="17"/>
      <c r="I55" s="1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5.75" customHeight="1">
      <c r="A56" s="12" t="s">
        <v>9</v>
      </c>
      <c r="B56" s="13" t="s">
        <v>10</v>
      </c>
      <c r="C56" s="13" t="s">
        <v>11</v>
      </c>
      <c r="D56" s="13" t="s">
        <v>141</v>
      </c>
      <c r="E56" s="13" t="s">
        <v>142</v>
      </c>
      <c r="F56" s="25" t="s">
        <v>140</v>
      </c>
      <c r="G56" s="22" t="s">
        <v>60</v>
      </c>
      <c r="H56" s="14"/>
      <c r="I56" s="1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A57" s="12" t="s">
        <v>9</v>
      </c>
      <c r="B57" s="13" t="s">
        <v>10</v>
      </c>
      <c r="C57" s="13" t="s">
        <v>11</v>
      </c>
      <c r="D57" s="13" t="s">
        <v>143</v>
      </c>
      <c r="E57" s="13" t="s">
        <v>144</v>
      </c>
      <c r="F57" s="18" t="s">
        <v>140</v>
      </c>
      <c r="G57" s="22" t="s">
        <v>60</v>
      </c>
      <c r="H57" s="17"/>
      <c r="I57" s="1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A58" s="12" t="s">
        <v>9</v>
      </c>
      <c r="B58" s="13" t="s">
        <v>10</v>
      </c>
      <c r="C58" s="13" t="s">
        <v>11</v>
      </c>
      <c r="D58" s="13" t="s">
        <v>145</v>
      </c>
      <c r="E58" s="13" t="s">
        <v>146</v>
      </c>
      <c r="F58" s="21" t="s">
        <v>147</v>
      </c>
      <c r="G58" s="14"/>
      <c r="H58" s="17"/>
      <c r="I58" s="1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A59" s="12" t="s">
        <v>9</v>
      </c>
      <c r="B59" s="13" t="s">
        <v>10</v>
      </c>
      <c r="C59" s="13" t="s">
        <v>11</v>
      </c>
      <c r="D59" s="13" t="s">
        <v>148</v>
      </c>
      <c r="E59" s="13" t="s">
        <v>149</v>
      </c>
      <c r="F59" s="25" t="s">
        <v>147</v>
      </c>
      <c r="G59" s="14"/>
      <c r="H59" s="19"/>
      <c r="I59" s="1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5.75" customHeight="1">
      <c r="A60" s="12" t="s">
        <v>9</v>
      </c>
      <c r="B60" s="13" t="s">
        <v>10</v>
      </c>
      <c r="C60" s="13" t="s">
        <v>17</v>
      </c>
      <c r="D60" s="13" t="s">
        <v>150</v>
      </c>
      <c r="E60" s="13" t="s">
        <v>151</v>
      </c>
      <c r="F60" s="18" t="s">
        <v>147</v>
      </c>
      <c r="G60" s="14"/>
      <c r="H60" s="14"/>
      <c r="I60" s="1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A61" s="6"/>
      <c r="B61" s="6"/>
      <c r="C61" s="6"/>
      <c r="D61" s="6"/>
      <c r="E61" s="6"/>
      <c r="F61" s="33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4" width="12.63"/>
    <col customWidth="1" min="5" max="5" width="13.88"/>
    <col customWidth="1" min="6" max="6" width="9.63"/>
    <col customWidth="1" min="7" max="7" width="8.25"/>
    <col customWidth="1" min="8" max="8" width="8.38"/>
    <col customWidth="1" min="9" max="9" width="35.63"/>
    <col customWidth="1" min="10" max="10" width="65.88"/>
    <col customWidth="1" min="11" max="11" width="6.75"/>
    <col customWidth="1" min="12" max="12" width="7.38"/>
    <col customWidth="1" min="13" max="13" width="7.0"/>
    <col customWidth="1" min="14" max="14" width="5.75"/>
    <col customWidth="1" min="15" max="15" width="5.88"/>
    <col customWidth="1" min="16" max="16" width="5.13"/>
    <col customWidth="1" min="17" max="17" width="6.38"/>
    <col customWidth="1" min="18" max="18" width="5.75"/>
    <col customWidth="1" min="19" max="19" width="6.25"/>
    <col customWidth="1" min="20" max="20" width="6.13"/>
    <col customWidth="1" min="21" max="21" width="5.63"/>
    <col customWidth="1" min="22" max="22" width="6.0"/>
    <col customWidth="1" min="23" max="24" width="5.75"/>
    <col customWidth="1" min="25" max="25" width="5.0"/>
    <col customWidth="1" min="26" max="26" width="6.63"/>
    <col customWidth="1" min="27" max="27" width="5.63"/>
    <col customWidth="1" min="28" max="28" width="5.38"/>
  </cols>
  <sheetData>
    <row r="1" ht="53.25" customHeight="1">
      <c r="A1" s="34" t="s">
        <v>152</v>
      </c>
      <c r="B1" s="35"/>
      <c r="C1" s="35"/>
      <c r="D1" s="35"/>
      <c r="E1" s="35"/>
      <c r="F1" s="36"/>
      <c r="G1" s="36"/>
      <c r="H1" s="36"/>
      <c r="I1" s="36" t="s">
        <v>153</v>
      </c>
      <c r="J1" s="3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ht="15.75" customHeight="1">
      <c r="A2" s="37" t="s">
        <v>154</v>
      </c>
      <c r="B2" s="38" t="s">
        <v>155</v>
      </c>
      <c r="C2" s="39"/>
      <c r="D2" s="38" t="s">
        <v>156</v>
      </c>
      <c r="E2" s="39"/>
      <c r="F2" s="9"/>
      <c r="G2" s="9"/>
      <c r="H2" s="9"/>
      <c r="I2" s="9"/>
      <c r="J2" s="14"/>
      <c r="K2" s="40" t="s">
        <v>157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9"/>
      <c r="Z2" s="9"/>
      <c r="AA2" s="9"/>
      <c r="AB2" s="9"/>
      <c r="AC2" s="9"/>
      <c r="AD2" s="9"/>
      <c r="AE2" s="6"/>
      <c r="AF2" s="6"/>
    </row>
    <row r="3" ht="15.75" customHeight="1">
      <c r="A3" s="41" t="s">
        <v>158</v>
      </c>
      <c r="B3" s="42" t="s">
        <v>159</v>
      </c>
      <c r="C3" s="43" t="s">
        <v>160</v>
      </c>
      <c r="D3" s="42" t="s">
        <v>159</v>
      </c>
      <c r="E3" s="43" t="s">
        <v>160</v>
      </c>
      <c r="F3" s="44"/>
      <c r="G3" s="44"/>
      <c r="H3" s="44"/>
      <c r="I3" s="44" t="s">
        <v>161</v>
      </c>
      <c r="J3" s="45" t="s">
        <v>162</v>
      </c>
      <c r="K3" s="46">
        <v>1.0</v>
      </c>
      <c r="L3" s="46">
        <v>2.0</v>
      </c>
      <c r="M3" s="46">
        <v>3.0</v>
      </c>
      <c r="N3" s="46">
        <v>4.0</v>
      </c>
      <c r="O3" s="46">
        <v>5.0</v>
      </c>
      <c r="P3" s="46">
        <v>6.0</v>
      </c>
      <c r="Q3" s="46">
        <v>7.0</v>
      </c>
      <c r="R3" s="46">
        <v>8.0</v>
      </c>
      <c r="S3" s="46">
        <v>9.0</v>
      </c>
      <c r="T3" s="46">
        <v>10.0</v>
      </c>
      <c r="U3" s="46">
        <v>11.0</v>
      </c>
      <c r="V3" s="46">
        <v>12.0</v>
      </c>
      <c r="W3" s="46">
        <v>13.0</v>
      </c>
      <c r="X3" s="46">
        <v>14.0</v>
      </c>
      <c r="Y3" s="46">
        <v>15.0</v>
      </c>
      <c r="Z3" s="46">
        <v>16.0</v>
      </c>
      <c r="AA3" s="46">
        <v>17.0</v>
      </c>
      <c r="AB3" s="46">
        <v>18.0</v>
      </c>
      <c r="AC3" s="46">
        <v>19.0</v>
      </c>
      <c r="AD3" s="46">
        <v>20.0</v>
      </c>
      <c r="AE3" s="6"/>
      <c r="AF3" s="6"/>
    </row>
    <row r="4" ht="15.75" customHeight="1">
      <c r="A4" s="47" t="s">
        <v>163</v>
      </c>
      <c r="B4" s="33" t="s">
        <v>164</v>
      </c>
      <c r="C4" s="48" t="s">
        <v>165</v>
      </c>
      <c r="D4" s="48" t="s">
        <v>166</v>
      </c>
      <c r="E4" s="48" t="s">
        <v>167</v>
      </c>
      <c r="F4" s="49"/>
      <c r="G4" s="49"/>
      <c r="H4" s="49"/>
      <c r="I4" s="50" t="s">
        <v>14</v>
      </c>
      <c r="J4" s="51" t="s">
        <v>168</v>
      </c>
      <c r="K4" s="52"/>
      <c r="L4" s="20">
        <v>9.0</v>
      </c>
      <c r="M4" s="20">
        <v>9.0</v>
      </c>
      <c r="N4" s="14"/>
      <c r="O4" s="20">
        <v>10.0</v>
      </c>
      <c r="P4" s="14"/>
      <c r="Q4" s="20">
        <v>9.0</v>
      </c>
      <c r="R4" s="20">
        <v>10.0</v>
      </c>
      <c r="S4" s="14"/>
      <c r="T4" s="20">
        <v>9.0</v>
      </c>
      <c r="U4" s="20">
        <v>8.0</v>
      </c>
      <c r="V4" s="20">
        <v>8.0</v>
      </c>
      <c r="W4" s="20">
        <v>8.0</v>
      </c>
      <c r="X4" s="20">
        <v>8.0</v>
      </c>
      <c r="Y4" s="20">
        <v>10.0</v>
      </c>
      <c r="Z4" s="20">
        <v>10.0</v>
      </c>
      <c r="AA4" s="20">
        <v>9.0</v>
      </c>
      <c r="AB4" s="14"/>
      <c r="AC4" s="14"/>
      <c r="AD4" s="14"/>
      <c r="AE4" s="6"/>
      <c r="AF4" s="6"/>
    </row>
    <row r="5" ht="15.75" customHeight="1">
      <c r="A5" s="53" t="s">
        <v>169</v>
      </c>
      <c r="B5" s="54" t="s">
        <v>170</v>
      </c>
      <c r="C5" s="55" t="s">
        <v>171</v>
      </c>
      <c r="D5" s="55" t="s">
        <v>172</v>
      </c>
      <c r="E5" s="55" t="s">
        <v>173</v>
      </c>
      <c r="F5" s="56"/>
      <c r="G5" s="56"/>
      <c r="H5" s="56"/>
      <c r="I5" s="57" t="s">
        <v>94</v>
      </c>
      <c r="J5" s="45" t="s">
        <v>174</v>
      </c>
      <c r="K5" s="14"/>
      <c r="L5" s="52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6"/>
      <c r="AF5" s="6"/>
    </row>
    <row r="6" ht="15.75" customHeight="1">
      <c r="A6" s="58" t="s">
        <v>175</v>
      </c>
      <c r="B6" s="59" t="s">
        <v>176</v>
      </c>
      <c r="C6" s="60" t="s">
        <v>177</v>
      </c>
      <c r="D6" s="59" t="s">
        <v>178</v>
      </c>
      <c r="E6" s="61" t="s">
        <v>179</v>
      </c>
      <c r="F6" s="56"/>
      <c r="G6" s="56"/>
      <c r="H6" s="56"/>
      <c r="I6" s="62" t="s">
        <v>101</v>
      </c>
      <c r="J6" s="45" t="s">
        <v>180</v>
      </c>
      <c r="K6" s="14"/>
      <c r="L6" s="14"/>
      <c r="M6" s="52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6"/>
      <c r="AF6" s="6"/>
    </row>
    <row r="7" ht="15.75" customHeight="1">
      <c r="A7" s="63" t="s">
        <v>181</v>
      </c>
      <c r="B7" s="64" t="s">
        <v>178</v>
      </c>
      <c r="C7" s="64" t="s">
        <v>182</v>
      </c>
      <c r="D7" s="64" t="s">
        <v>183</v>
      </c>
      <c r="E7" s="64" t="s">
        <v>184</v>
      </c>
      <c r="F7" s="65"/>
      <c r="G7" s="65"/>
      <c r="H7" s="65"/>
      <c r="I7" s="65" t="s">
        <v>110</v>
      </c>
      <c r="J7" s="66" t="s">
        <v>185</v>
      </c>
      <c r="K7" s="14"/>
      <c r="L7" s="14"/>
      <c r="M7" s="14"/>
      <c r="N7" s="52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6"/>
      <c r="AF7" s="6"/>
    </row>
    <row r="8" ht="15.75" customHeight="1">
      <c r="A8" s="47" t="s">
        <v>186</v>
      </c>
      <c r="B8" s="14" t="s">
        <v>183</v>
      </c>
      <c r="C8" s="67" t="s">
        <v>177</v>
      </c>
      <c r="D8" s="68" t="s">
        <v>178</v>
      </c>
      <c r="E8" s="68" t="s">
        <v>182</v>
      </c>
      <c r="F8" s="69"/>
      <c r="G8" s="69"/>
      <c r="H8" s="69"/>
      <c r="I8" s="70" t="s">
        <v>117</v>
      </c>
      <c r="J8" s="66" t="s">
        <v>187</v>
      </c>
      <c r="K8" s="14"/>
      <c r="L8" s="14"/>
      <c r="M8" s="14"/>
      <c r="N8" s="14"/>
      <c r="O8" s="52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6"/>
      <c r="AF8" s="6"/>
    </row>
    <row r="9" ht="15.75" customHeight="1">
      <c r="A9" s="71" t="s">
        <v>188</v>
      </c>
      <c r="B9" s="72" t="s">
        <v>178</v>
      </c>
      <c r="C9" s="72" t="s">
        <v>189</v>
      </c>
      <c r="D9" s="72" t="s">
        <v>190</v>
      </c>
      <c r="E9" s="72" t="s">
        <v>184</v>
      </c>
      <c r="F9" s="65"/>
      <c r="G9" s="65"/>
      <c r="H9" s="65"/>
      <c r="I9" s="65" t="s">
        <v>124</v>
      </c>
      <c r="J9" s="73" t="s">
        <v>191</v>
      </c>
      <c r="K9" s="14"/>
      <c r="L9" s="14"/>
      <c r="M9" s="14"/>
      <c r="N9" s="14"/>
      <c r="O9" s="14"/>
      <c r="P9" s="52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6"/>
      <c r="AF9" s="6"/>
    </row>
    <row r="10" ht="15.75" customHeight="1">
      <c r="A10" s="74" t="s">
        <v>186</v>
      </c>
      <c r="B10" s="75" t="s">
        <v>183</v>
      </c>
      <c r="C10" s="75" t="s">
        <v>184</v>
      </c>
      <c r="D10" s="75" t="s">
        <v>178</v>
      </c>
      <c r="E10" s="75" t="s">
        <v>182</v>
      </c>
      <c r="F10" s="65"/>
      <c r="G10" s="65"/>
      <c r="H10" s="65"/>
      <c r="I10" s="76" t="s">
        <v>133</v>
      </c>
      <c r="J10" s="66" t="s">
        <v>192</v>
      </c>
      <c r="K10" s="14"/>
      <c r="L10" s="14"/>
      <c r="M10" s="14"/>
      <c r="N10" s="14"/>
      <c r="O10" s="14"/>
      <c r="P10" s="14"/>
      <c r="Q10" s="52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6"/>
      <c r="AF10" s="6"/>
    </row>
    <row r="11" ht="22.5" customHeight="1">
      <c r="A11" s="58" t="s">
        <v>193</v>
      </c>
      <c r="B11" s="21" t="s">
        <v>194</v>
      </c>
      <c r="C11" s="77" t="s">
        <v>195</v>
      </c>
      <c r="D11" s="78" t="s">
        <v>196</v>
      </c>
      <c r="E11" s="79" t="s">
        <v>197</v>
      </c>
      <c r="F11" s="80"/>
      <c r="G11" s="80"/>
      <c r="H11" s="80"/>
      <c r="I11" s="62" t="s">
        <v>140</v>
      </c>
      <c r="J11" s="66" t="s">
        <v>198</v>
      </c>
      <c r="K11" s="14"/>
      <c r="L11" s="14"/>
      <c r="M11" s="14"/>
      <c r="N11" s="14"/>
      <c r="O11" s="14"/>
      <c r="P11" s="14"/>
      <c r="Q11" s="14"/>
      <c r="R11" s="52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6"/>
      <c r="AF11" s="6"/>
    </row>
    <row r="12" ht="15.75" customHeight="1">
      <c r="A12" s="47" t="s">
        <v>199</v>
      </c>
      <c r="B12" s="33" t="s">
        <v>200</v>
      </c>
      <c r="C12" s="33" t="s">
        <v>201</v>
      </c>
      <c r="D12" s="81" t="s">
        <v>202</v>
      </c>
      <c r="E12" s="33" t="s">
        <v>203</v>
      </c>
      <c r="F12" s="65"/>
      <c r="G12" s="65"/>
      <c r="H12" s="65"/>
      <c r="I12" s="65" t="s">
        <v>147</v>
      </c>
      <c r="J12" s="66" t="s">
        <v>204</v>
      </c>
      <c r="K12" s="14"/>
      <c r="L12" s="14"/>
      <c r="M12" s="14"/>
      <c r="N12" s="14"/>
      <c r="O12" s="14"/>
      <c r="P12" s="14"/>
      <c r="Q12" s="14"/>
      <c r="R12" s="14"/>
      <c r="S12" s="52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6"/>
      <c r="AF12" s="6"/>
    </row>
    <row r="13" ht="15.75" customHeight="1">
      <c r="A13" s="47" t="s">
        <v>186</v>
      </c>
      <c r="B13" s="33" t="s">
        <v>178</v>
      </c>
      <c r="C13" s="33" t="s">
        <v>184</v>
      </c>
      <c r="D13" s="33" t="s">
        <v>205</v>
      </c>
      <c r="E13" s="33" t="s">
        <v>206</v>
      </c>
      <c r="F13" s="82"/>
      <c r="G13" s="82"/>
      <c r="H13" s="82"/>
      <c r="I13" s="83" t="s">
        <v>20</v>
      </c>
      <c r="J13" s="66" t="s">
        <v>207</v>
      </c>
      <c r="K13" s="14"/>
      <c r="L13" s="14"/>
      <c r="M13" s="14"/>
      <c r="N13" s="14"/>
      <c r="O13" s="14"/>
      <c r="P13" s="14"/>
      <c r="Q13" s="14"/>
      <c r="R13" s="14"/>
      <c r="S13" s="14"/>
      <c r="T13" s="52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6"/>
      <c r="AF13" s="6"/>
    </row>
    <row r="14" ht="15.75" customHeight="1">
      <c r="A14" s="47" t="s">
        <v>208</v>
      </c>
      <c r="B14" s="84" t="s">
        <v>209</v>
      </c>
      <c r="C14" s="84" t="s">
        <v>210</v>
      </c>
      <c r="D14" s="85" t="s">
        <v>211</v>
      </c>
      <c r="E14" s="85" t="s">
        <v>212</v>
      </c>
      <c r="F14" s="86"/>
      <c r="G14" s="86"/>
      <c r="H14" s="86"/>
      <c r="I14" s="87" t="s">
        <v>30</v>
      </c>
      <c r="J14" s="66" t="s">
        <v>213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52"/>
      <c r="V14" s="14"/>
      <c r="W14" s="14"/>
      <c r="X14" s="14"/>
      <c r="Y14" s="14"/>
      <c r="Z14" s="14"/>
      <c r="AA14" s="14"/>
      <c r="AB14" s="14"/>
      <c r="AC14" s="14"/>
      <c r="AD14" s="14"/>
      <c r="AE14" s="6"/>
      <c r="AF14" s="6"/>
    </row>
    <row r="15" ht="15.75" customHeight="1">
      <c r="A15" s="58" t="s">
        <v>214</v>
      </c>
      <c r="B15" s="21" t="s">
        <v>215</v>
      </c>
      <c r="C15" s="21" t="s">
        <v>216</v>
      </c>
      <c r="D15" s="21" t="s">
        <v>217</v>
      </c>
      <c r="E15" s="21" t="s">
        <v>218</v>
      </c>
      <c r="F15" s="65"/>
      <c r="G15" s="65"/>
      <c r="H15" s="65"/>
      <c r="I15" s="76" t="s">
        <v>39</v>
      </c>
      <c r="J15" s="66" t="s">
        <v>219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52"/>
      <c r="W15" s="14"/>
      <c r="X15" s="14"/>
      <c r="Y15" s="14"/>
      <c r="Z15" s="14"/>
      <c r="AA15" s="14"/>
      <c r="AB15" s="14"/>
      <c r="AC15" s="14"/>
      <c r="AD15" s="14"/>
      <c r="AE15" s="6"/>
      <c r="AF15" s="6"/>
    </row>
    <row r="16" ht="15.75" customHeight="1">
      <c r="A16" s="58" t="s">
        <v>220</v>
      </c>
      <c r="B16" s="88" t="s">
        <v>221</v>
      </c>
      <c r="C16" s="88" t="s">
        <v>222</v>
      </c>
      <c r="D16" s="88" t="s">
        <v>223</v>
      </c>
      <c r="E16" s="88" t="s">
        <v>224</v>
      </c>
      <c r="F16" s="89"/>
      <c r="G16" s="90"/>
      <c r="H16" s="90"/>
      <c r="I16" s="87" t="s">
        <v>48</v>
      </c>
      <c r="J16" s="85" t="s">
        <v>225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52"/>
      <c r="X16" s="14"/>
      <c r="Y16" s="14"/>
      <c r="Z16" s="14"/>
      <c r="AA16" s="14"/>
      <c r="AB16" s="14"/>
      <c r="AC16" s="14"/>
      <c r="AD16" s="14"/>
      <c r="AE16" s="6"/>
      <c r="AF16" s="6"/>
    </row>
    <row r="17" ht="15.75" customHeight="1">
      <c r="A17" s="47" t="s">
        <v>226</v>
      </c>
      <c r="B17" s="91" t="s">
        <v>227</v>
      </c>
      <c r="C17" s="91" t="s">
        <v>228</v>
      </c>
      <c r="D17" s="91" t="s">
        <v>229</v>
      </c>
      <c r="E17" s="92" t="s">
        <v>230</v>
      </c>
      <c r="F17" s="86"/>
      <c r="G17" s="86"/>
      <c r="H17" s="86"/>
      <c r="I17" s="87" t="s">
        <v>57</v>
      </c>
      <c r="J17" s="66" t="s">
        <v>231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52"/>
      <c r="Y17" s="14"/>
      <c r="Z17" s="14"/>
      <c r="AA17" s="14"/>
      <c r="AB17" s="14"/>
      <c r="AC17" s="14"/>
      <c r="AD17" s="14"/>
      <c r="AE17" s="6"/>
      <c r="AF17" s="6"/>
    </row>
    <row r="18" ht="15.75" customHeight="1">
      <c r="A18" s="47" t="s">
        <v>232</v>
      </c>
      <c r="B18" s="92" t="s">
        <v>233</v>
      </c>
      <c r="C18" s="92" t="s">
        <v>234</v>
      </c>
      <c r="D18" s="92" t="s">
        <v>235</v>
      </c>
      <c r="F18" s="93"/>
      <c r="G18" s="93"/>
      <c r="H18" s="93"/>
      <c r="I18" s="94" t="s">
        <v>65</v>
      </c>
      <c r="J18" s="45" t="s">
        <v>236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52"/>
      <c r="Z18" s="14"/>
      <c r="AA18" s="14"/>
      <c r="AB18" s="14"/>
      <c r="AC18" s="14"/>
      <c r="AD18" s="14"/>
      <c r="AE18" s="6"/>
      <c r="AF18" s="6"/>
    </row>
    <row r="19" ht="15.75" customHeight="1">
      <c r="A19" s="47" t="s">
        <v>237</v>
      </c>
      <c r="B19" s="14" t="s">
        <v>238</v>
      </c>
      <c r="C19" s="14" t="s">
        <v>239</v>
      </c>
      <c r="D19" s="14" t="s">
        <v>240</v>
      </c>
      <c r="E19" s="14" t="s">
        <v>241</v>
      </c>
      <c r="F19" s="86"/>
      <c r="G19" s="86"/>
      <c r="H19" s="86"/>
      <c r="I19" s="87" t="s">
        <v>74</v>
      </c>
      <c r="J19" s="45" t="s">
        <v>242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52"/>
      <c r="AA19" s="14"/>
      <c r="AB19" s="14"/>
      <c r="AC19" s="14"/>
      <c r="AD19" s="14"/>
      <c r="AE19" s="6"/>
      <c r="AF19" s="6"/>
    </row>
    <row r="20" ht="15.75" customHeight="1">
      <c r="A20" s="47" t="s">
        <v>243</v>
      </c>
      <c r="B20" s="14" t="s">
        <v>244</v>
      </c>
      <c r="C20" s="14" t="s">
        <v>245</v>
      </c>
      <c r="D20" s="14" t="s">
        <v>246</v>
      </c>
      <c r="E20" s="14" t="s">
        <v>247</v>
      </c>
      <c r="F20" s="65"/>
      <c r="G20" s="65"/>
      <c r="H20" s="65"/>
      <c r="I20" s="76" t="s">
        <v>81</v>
      </c>
      <c r="J20" s="95" t="s">
        <v>248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52"/>
      <c r="AB20" s="14"/>
      <c r="AC20" s="14"/>
      <c r="AD20" s="14"/>
      <c r="AE20" s="6"/>
      <c r="AF20" s="6"/>
    </row>
    <row r="21" ht="15.75" customHeight="1">
      <c r="A21" s="71"/>
      <c r="B21" s="96"/>
      <c r="C21" s="96"/>
      <c r="D21" s="96"/>
      <c r="E21" s="96"/>
      <c r="F21" s="65"/>
      <c r="G21" s="65"/>
      <c r="H21" s="65"/>
      <c r="I21" s="65" t="s">
        <v>89</v>
      </c>
      <c r="J21" s="45" t="s">
        <v>249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52"/>
      <c r="AC21" s="14"/>
      <c r="AD21" s="14"/>
      <c r="AE21" s="6"/>
      <c r="AF21" s="6"/>
    </row>
    <row r="22" ht="15.75" customHeight="1">
      <c r="A22" s="63"/>
      <c r="B22" s="18"/>
      <c r="C22" s="18"/>
      <c r="D22" s="18"/>
      <c r="E22" s="18"/>
      <c r="F22" s="97"/>
      <c r="G22" s="97"/>
      <c r="H22" s="97"/>
      <c r="I22" s="97">
        <v>19.0</v>
      </c>
      <c r="J22" s="45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6"/>
      <c r="AF22" s="6"/>
    </row>
    <row r="23" ht="15.75" customHeight="1">
      <c r="A23" s="98"/>
      <c r="B23" s="14"/>
      <c r="C23" s="14"/>
      <c r="D23" s="14"/>
      <c r="E23" s="14"/>
      <c r="F23" s="97"/>
      <c r="G23" s="97"/>
      <c r="H23" s="97"/>
      <c r="I23" s="97">
        <v>20.0</v>
      </c>
      <c r="J23" s="45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6"/>
      <c r="AF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14"/>
      <c r="J24" s="99" t="s">
        <v>250</v>
      </c>
      <c r="K24" s="100">
        <f t="shared" ref="K24:AD24" si="1">SUM(K4:K17)</f>
        <v>0</v>
      </c>
      <c r="L24" s="100">
        <f t="shared" si="1"/>
        <v>9</v>
      </c>
      <c r="M24" s="100">
        <f t="shared" si="1"/>
        <v>9</v>
      </c>
      <c r="N24" s="100">
        <f t="shared" si="1"/>
        <v>0</v>
      </c>
      <c r="O24" s="100">
        <f t="shared" si="1"/>
        <v>10</v>
      </c>
      <c r="P24" s="100">
        <f t="shared" si="1"/>
        <v>0</v>
      </c>
      <c r="Q24" s="100">
        <f t="shared" si="1"/>
        <v>9</v>
      </c>
      <c r="R24" s="100">
        <f t="shared" si="1"/>
        <v>10</v>
      </c>
      <c r="S24" s="100">
        <f t="shared" si="1"/>
        <v>0</v>
      </c>
      <c r="T24" s="100">
        <f t="shared" si="1"/>
        <v>9</v>
      </c>
      <c r="U24" s="100">
        <f t="shared" si="1"/>
        <v>8</v>
      </c>
      <c r="V24" s="100">
        <f t="shared" si="1"/>
        <v>8</v>
      </c>
      <c r="W24" s="100">
        <f t="shared" si="1"/>
        <v>8</v>
      </c>
      <c r="X24" s="100">
        <f t="shared" si="1"/>
        <v>8</v>
      </c>
      <c r="Y24" s="100">
        <f t="shared" si="1"/>
        <v>10</v>
      </c>
      <c r="Z24" s="100">
        <f t="shared" si="1"/>
        <v>10</v>
      </c>
      <c r="AA24" s="100">
        <f t="shared" si="1"/>
        <v>9</v>
      </c>
      <c r="AB24" s="100">
        <f t="shared" si="1"/>
        <v>0</v>
      </c>
      <c r="AC24" s="101">
        <f t="shared" si="1"/>
        <v>0</v>
      </c>
      <c r="AD24" s="101">
        <f t="shared" si="1"/>
        <v>0</v>
      </c>
      <c r="AE24" s="6"/>
      <c r="AF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14"/>
      <c r="J25" s="99" t="s">
        <v>251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14"/>
      <c r="AD25" s="14"/>
      <c r="AE25" s="6"/>
      <c r="AF25" s="6"/>
    </row>
    <row r="26" ht="15.75" customHeight="1">
      <c r="A26" s="102"/>
      <c r="B26" s="102"/>
      <c r="C26" s="102"/>
      <c r="D26" s="102"/>
      <c r="E26" s="102"/>
      <c r="F26" s="103"/>
      <c r="G26" s="103"/>
      <c r="H26" s="103"/>
      <c r="I26" s="104">
        <v>0.2</v>
      </c>
      <c r="J26" s="105" t="s">
        <v>252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6"/>
      <c r="AF26" s="6"/>
    </row>
    <row r="27" ht="15.75" customHeight="1">
      <c r="A27" s="6"/>
      <c r="B27" s="6"/>
      <c r="C27" s="6"/>
      <c r="D27" s="6"/>
      <c r="E27" s="6"/>
      <c r="F27" s="106"/>
      <c r="G27" s="106"/>
      <c r="H27" s="106"/>
      <c r="I27" s="107">
        <v>0.01</v>
      </c>
      <c r="J27" s="108" t="s">
        <v>253</v>
      </c>
      <c r="K27" s="14">
        <v>1.0</v>
      </c>
      <c r="L27" s="14">
        <v>1.0</v>
      </c>
      <c r="M27" s="14">
        <v>1.0</v>
      </c>
      <c r="N27" s="14">
        <v>1.0</v>
      </c>
      <c r="O27" s="14">
        <v>1.0</v>
      </c>
      <c r="P27" s="14">
        <v>0.5</v>
      </c>
      <c r="Q27" s="14">
        <v>0.5</v>
      </c>
      <c r="R27" s="14">
        <v>0.25</v>
      </c>
      <c r="S27" s="14">
        <v>1.0</v>
      </c>
      <c r="T27" s="14">
        <v>1.0</v>
      </c>
      <c r="U27" s="14">
        <v>1.0</v>
      </c>
      <c r="V27" s="14">
        <v>0.5</v>
      </c>
      <c r="W27" s="14">
        <v>1.0</v>
      </c>
      <c r="X27" s="14">
        <v>1.0</v>
      </c>
      <c r="Y27" s="14">
        <v>1.0</v>
      </c>
      <c r="Z27" s="14">
        <v>1.0</v>
      </c>
      <c r="AA27" s="14">
        <v>0.5</v>
      </c>
      <c r="AB27" s="14">
        <v>0.5</v>
      </c>
      <c r="AC27" s="14"/>
      <c r="AD27" s="14"/>
      <c r="AE27" s="6"/>
      <c r="AF27" s="6"/>
    </row>
    <row r="28" ht="15.75" customHeight="1">
      <c r="A28" s="6"/>
      <c r="B28" s="6"/>
      <c r="C28" s="6"/>
      <c r="D28" s="6"/>
      <c r="E28" s="6"/>
      <c r="F28" s="106"/>
      <c r="G28" s="106"/>
      <c r="H28" s="106"/>
      <c r="I28" s="107">
        <v>0.02</v>
      </c>
      <c r="J28" s="108" t="s">
        <v>254</v>
      </c>
      <c r="K28" s="109"/>
      <c r="L28" s="96">
        <v>2.0</v>
      </c>
      <c r="M28" s="109"/>
      <c r="N28" s="109"/>
      <c r="O28" s="109"/>
      <c r="P28" s="109"/>
      <c r="Q28" s="109"/>
      <c r="R28" s="96">
        <v>2.0</v>
      </c>
      <c r="S28" s="109"/>
      <c r="T28" s="109"/>
      <c r="U28" s="109"/>
      <c r="V28" s="96">
        <v>2.0</v>
      </c>
      <c r="W28" s="109"/>
      <c r="X28" s="109"/>
      <c r="Y28" s="96">
        <v>2.0</v>
      </c>
      <c r="Z28" s="109"/>
      <c r="AA28" s="109"/>
      <c r="AB28" s="109"/>
      <c r="AC28" s="14"/>
      <c r="AD28" s="14"/>
      <c r="AE28" s="6"/>
      <c r="AF28" s="6"/>
    </row>
    <row r="29" ht="15.75" customHeight="1">
      <c r="A29" s="6"/>
      <c r="B29" s="6"/>
      <c r="C29" s="6"/>
      <c r="D29" s="6"/>
      <c r="E29" s="6"/>
      <c r="F29" s="106"/>
      <c r="G29" s="106"/>
      <c r="H29" s="106"/>
      <c r="I29" s="107">
        <v>0.02</v>
      </c>
      <c r="J29" s="110" t="s">
        <v>255</v>
      </c>
      <c r="K29" s="33"/>
      <c r="L29" s="33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6"/>
      <c r="AF29" s="6"/>
    </row>
    <row r="30" ht="15.75" customHeight="1">
      <c r="A30" s="111" t="s">
        <v>256</v>
      </c>
      <c r="B30" s="112"/>
      <c r="C30" s="112"/>
      <c r="D30" s="112"/>
      <c r="E30" s="113"/>
      <c r="F30" s="114"/>
      <c r="G30" s="114"/>
      <c r="H30" s="114"/>
      <c r="I30" s="114">
        <v>0.02</v>
      </c>
      <c r="J30" s="115" t="s">
        <v>257</v>
      </c>
      <c r="K30" s="33"/>
      <c r="L30" s="33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6"/>
      <c r="AF30" s="6"/>
    </row>
    <row r="31" ht="15.75" customHeight="1">
      <c r="A31" s="116"/>
      <c r="E31" s="117"/>
      <c r="F31" s="114"/>
      <c r="G31" s="114"/>
      <c r="H31" s="114"/>
      <c r="I31" s="114">
        <v>0.03</v>
      </c>
      <c r="J31" s="118" t="s">
        <v>258</v>
      </c>
      <c r="K31" s="33"/>
      <c r="L31" s="33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6"/>
      <c r="AF31" s="6"/>
    </row>
    <row r="32" ht="15.75" customHeight="1">
      <c r="A32" s="116"/>
      <c r="E32" s="117"/>
      <c r="F32" s="114"/>
      <c r="G32" s="114"/>
      <c r="H32" s="114"/>
      <c r="I32" s="114">
        <v>0.1</v>
      </c>
      <c r="J32" s="119" t="s">
        <v>259</v>
      </c>
      <c r="K32" s="33"/>
      <c r="L32" s="33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6"/>
      <c r="AF32" s="6"/>
    </row>
    <row r="33" ht="15.75" customHeight="1">
      <c r="A33" s="116"/>
      <c r="E33" s="117"/>
      <c r="F33" s="114"/>
      <c r="G33" s="114"/>
      <c r="H33" s="114"/>
      <c r="I33" s="114">
        <v>0.15</v>
      </c>
      <c r="J33" s="119" t="s">
        <v>260</v>
      </c>
      <c r="K33" s="33"/>
      <c r="L33" s="33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6"/>
      <c r="AF33" s="6"/>
    </row>
    <row r="34" ht="15.75" customHeight="1">
      <c r="A34" s="116"/>
      <c r="E34" s="117"/>
      <c r="F34" s="114"/>
      <c r="G34" s="114"/>
      <c r="H34" s="114"/>
      <c r="I34" s="114">
        <v>0.1</v>
      </c>
      <c r="J34" s="119" t="s">
        <v>261</v>
      </c>
      <c r="K34" s="33"/>
      <c r="L34" s="33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6"/>
      <c r="AF34" s="6"/>
    </row>
    <row r="35" ht="15.75" customHeight="1">
      <c r="A35" s="116"/>
      <c r="E35" s="117"/>
      <c r="F35" s="120"/>
      <c r="G35" s="120"/>
      <c r="H35" s="120"/>
      <c r="I35" s="120">
        <v>0.1</v>
      </c>
      <c r="J35" s="121" t="s">
        <v>262</v>
      </c>
      <c r="K35" s="91"/>
      <c r="L35" s="33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6"/>
      <c r="AF35" s="6"/>
    </row>
    <row r="36" ht="15.75" customHeight="1">
      <c r="A36" s="116"/>
      <c r="E36" s="117"/>
      <c r="F36" s="120"/>
      <c r="G36" s="120"/>
      <c r="H36" s="120"/>
      <c r="I36" s="120">
        <v>0.1</v>
      </c>
      <c r="J36" s="121" t="s">
        <v>263</v>
      </c>
      <c r="K36" s="33"/>
      <c r="L36" s="33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6"/>
      <c r="AF36" s="6"/>
    </row>
    <row r="37" ht="15.75" customHeight="1">
      <c r="A37" s="116"/>
      <c r="E37" s="117"/>
      <c r="F37" s="122"/>
      <c r="G37" s="122"/>
      <c r="H37" s="122"/>
      <c r="I37" s="122">
        <v>0.05</v>
      </c>
      <c r="J37" s="123" t="s">
        <v>264</v>
      </c>
      <c r="K37" s="33"/>
      <c r="L37" s="33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6"/>
      <c r="AF37" s="6"/>
    </row>
    <row r="38" ht="15.75" customHeight="1">
      <c r="A38" s="116"/>
      <c r="E38" s="117"/>
      <c r="F38" s="124"/>
      <c r="G38" s="124"/>
      <c r="H38" s="124"/>
      <c r="I38" s="124">
        <v>0.05</v>
      </c>
      <c r="J38" s="119" t="s">
        <v>265</v>
      </c>
      <c r="K38" s="33"/>
      <c r="L38" s="33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6"/>
      <c r="AF38" s="6"/>
    </row>
    <row r="39" ht="15.75" customHeight="1">
      <c r="A39" s="125"/>
      <c r="B39" s="35"/>
      <c r="C39" s="35"/>
      <c r="D39" s="35"/>
      <c r="E39" s="39"/>
      <c r="F39" s="124"/>
      <c r="G39" s="124"/>
      <c r="H39" s="124"/>
      <c r="I39" s="124">
        <v>0.05</v>
      </c>
      <c r="J39" s="119" t="s">
        <v>266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6"/>
      <c r="AF39" s="6"/>
    </row>
    <row r="40" ht="15.75" customHeight="1">
      <c r="A40" s="6"/>
      <c r="B40" s="6"/>
      <c r="C40" s="6"/>
      <c r="D40" s="6"/>
      <c r="E40" s="6"/>
      <c r="F40" s="126"/>
      <c r="G40" s="126"/>
      <c r="H40" s="126"/>
      <c r="I40" s="126">
        <f>SUM(I26:I39)</f>
        <v>1</v>
      </c>
      <c r="J40" s="6"/>
      <c r="K40" s="127">
        <f t="shared" ref="K40:AD40" si="2">SUM(K26:K39)</f>
        <v>1</v>
      </c>
      <c r="L40" s="127">
        <f t="shared" si="2"/>
        <v>3</v>
      </c>
      <c r="M40" s="127">
        <f t="shared" si="2"/>
        <v>1</v>
      </c>
      <c r="N40" s="127">
        <f t="shared" si="2"/>
        <v>1</v>
      </c>
      <c r="O40" s="127">
        <f t="shared" si="2"/>
        <v>1</v>
      </c>
      <c r="P40" s="127">
        <f t="shared" si="2"/>
        <v>0.5</v>
      </c>
      <c r="Q40" s="127">
        <f t="shared" si="2"/>
        <v>0.5</v>
      </c>
      <c r="R40" s="127">
        <f t="shared" si="2"/>
        <v>2.25</v>
      </c>
      <c r="S40" s="127">
        <f t="shared" si="2"/>
        <v>1</v>
      </c>
      <c r="T40" s="127">
        <f t="shared" si="2"/>
        <v>1</v>
      </c>
      <c r="U40" s="127">
        <f t="shared" si="2"/>
        <v>1</v>
      </c>
      <c r="V40" s="127">
        <f t="shared" si="2"/>
        <v>2.5</v>
      </c>
      <c r="W40" s="127">
        <f t="shared" si="2"/>
        <v>1</v>
      </c>
      <c r="X40" s="127">
        <f t="shared" si="2"/>
        <v>1</v>
      </c>
      <c r="Y40" s="127">
        <f t="shared" si="2"/>
        <v>3</v>
      </c>
      <c r="Z40" s="127">
        <f t="shared" si="2"/>
        <v>1</v>
      </c>
      <c r="AA40" s="128">
        <f t="shared" si="2"/>
        <v>0.5</v>
      </c>
      <c r="AB40" s="127">
        <f t="shared" si="2"/>
        <v>0.5</v>
      </c>
      <c r="AC40" s="128">
        <f t="shared" si="2"/>
        <v>0</v>
      </c>
      <c r="AD40" s="127">
        <f t="shared" si="2"/>
        <v>0</v>
      </c>
      <c r="AE40" s="6"/>
      <c r="AF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9"/>
      <c r="J41" s="129" t="s">
        <v>267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ht="15.75" customHeight="1">
      <c r="A42" s="6"/>
      <c r="B42" s="6"/>
      <c r="C42" s="6"/>
      <c r="D42" s="6"/>
      <c r="E42" s="6"/>
      <c r="F42" s="130"/>
      <c r="G42" s="130"/>
      <c r="H42" s="130"/>
      <c r="I42" s="131" t="s">
        <v>268</v>
      </c>
      <c r="J42" s="132" t="s">
        <v>269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ht="15.75" customHeight="1">
      <c r="A43" s="6"/>
      <c r="B43" s="6"/>
      <c r="C43" s="6"/>
      <c r="D43" s="6"/>
      <c r="E43" s="6"/>
      <c r="F43" s="130"/>
      <c r="G43" s="130"/>
      <c r="H43" s="130"/>
      <c r="I43" s="131" t="s">
        <v>270</v>
      </c>
      <c r="J43" s="132" t="s">
        <v>271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ht="15.75" customHeight="1">
      <c r="A44" s="6"/>
      <c r="B44" s="6"/>
      <c r="C44" s="6"/>
      <c r="D44" s="6"/>
      <c r="E44" s="6"/>
      <c r="F44" s="130"/>
      <c r="G44" s="130"/>
      <c r="H44" s="130"/>
      <c r="I44" s="131" t="s">
        <v>272</v>
      </c>
      <c r="J44" s="132" t="s">
        <v>273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ht="15.75" customHeight="1">
      <c r="A45" s="6"/>
      <c r="B45" s="6"/>
      <c r="C45" s="6"/>
      <c r="D45" s="6"/>
      <c r="E45" s="6"/>
      <c r="F45" s="130"/>
      <c r="G45" s="130"/>
      <c r="H45" s="130"/>
      <c r="I45" s="131" t="s">
        <v>274</v>
      </c>
      <c r="J45" s="132" t="s">
        <v>275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ht="15.75" customHeight="1">
      <c r="A46" s="6"/>
      <c r="B46" s="6"/>
      <c r="C46" s="6"/>
      <c r="D46" s="6"/>
      <c r="E46" s="6"/>
      <c r="F46" s="133"/>
      <c r="G46" s="133"/>
      <c r="H46" s="133"/>
      <c r="I46" s="134" t="s">
        <v>276</v>
      </c>
      <c r="J46" s="134" t="s">
        <v>277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I1:J1"/>
    <mergeCell ref="B2:C2"/>
    <mergeCell ref="D2:E2"/>
    <mergeCell ref="K2:X2"/>
    <mergeCell ref="A30:E39"/>
  </mergeCells>
  <hyperlinks>
    <hyperlink r:id="rId1" location="gid=1719221959" ref="A1"/>
    <hyperlink r:id="rId2" ref="A2"/>
    <hyperlink r:id="rId3" ref="A4"/>
    <hyperlink r:id="rId4" ref="I4"/>
    <hyperlink r:id="rId5" ref="A5"/>
    <hyperlink r:id="rId6" ref="I5"/>
    <hyperlink r:id="rId7" ref="A6"/>
    <hyperlink r:id="rId8" ref="I6"/>
    <hyperlink r:id="rId9" ref="A8"/>
    <hyperlink r:id="rId10" ref="I8"/>
    <hyperlink r:id="rId11" ref="A10"/>
    <hyperlink r:id="rId12" ref="I10"/>
    <hyperlink r:id="rId13" ref="A11"/>
    <hyperlink r:id="rId14" ref="I11"/>
    <hyperlink r:id="rId15" ref="A12"/>
    <hyperlink r:id="rId16" ref="A13"/>
    <hyperlink r:id="rId17" ref="I13"/>
    <hyperlink r:id="rId18" ref="A14"/>
    <hyperlink r:id="rId19" ref="I14"/>
    <hyperlink r:id="rId20" ref="A15"/>
    <hyperlink r:id="rId21" ref="I15"/>
    <hyperlink r:id="rId22" ref="A16"/>
    <hyperlink r:id="rId23" ref="I16"/>
    <hyperlink r:id="rId24" ref="A17"/>
    <hyperlink r:id="rId25" ref="I17"/>
    <hyperlink r:id="rId26" ref="A18"/>
    <hyperlink r:id="rId27" ref="I18"/>
    <hyperlink r:id="rId28" ref="A19"/>
    <hyperlink r:id="rId29" ref="I19"/>
    <hyperlink r:id="rId30" ref="A20"/>
    <hyperlink r:id="rId31" ref="I20"/>
  </hyperlinks>
  <drawing r:id="rId32"/>
</worksheet>
</file>