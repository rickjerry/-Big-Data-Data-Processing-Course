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「上(交流道)北上」的副本" sheetId="1" r:id="rId4"/>
  </sheets>
  <definedNames/>
  <calcPr/>
</workbook>
</file>

<file path=xl/sharedStrings.xml><?xml version="1.0" encoding="utf-8"?>
<sst xmlns="http://schemas.openxmlformats.org/spreadsheetml/2006/main" count="66" uniqueCount="64">
  <si>
    <t>學號</t>
  </si>
  <si>
    <t>姓名</t>
  </si>
  <si>
    <t>趙建核</t>
  </si>
  <si>
    <t>上(交流道)(電子匝道代碼）
gantryid_o</t>
  </si>
  <si>
    <t>下(交流道)(電子匝道代碼）
gantryid_D</t>
  </si>
  <si>
    <r>
      <rPr>
        <rFont val="Arial"/>
        <color theme="1"/>
        <sz val="10.0"/>
      </rPr>
      <t xml:space="preserve">Datatime = </t>
    </r>
    <r>
      <rPr>
        <rFont val="Arial"/>
        <color rgb="FFFF0000"/>
        <sz val="10.0"/>
      </rPr>
      <t>2023/10/19</t>
    </r>
  </si>
  <si>
    <t>交流道名稱</t>
  </si>
  <si>
    <t>北上</t>
  </si>
  <si>
    <t>南下</t>
  </si>
  <si>
    <t>gantryid_o = '03F4232N'</t>
  </si>
  <si>
    <t>南州交流道</t>
  </si>
  <si>
    <t>03F4232N</t>
  </si>
  <si>
    <t>03F4263S</t>
  </si>
  <si>
    <t>03F4259N</t>
  </si>
  <si>
    <t>03F4232S</t>
  </si>
  <si>
    <t>VehicleType (VT)</t>
  </si>
  <si>
    <t>292,54,7,5,4</t>
  </si>
  <si>
    <t>168,43,0,4,4</t>
  </si>
  <si>
    <t>122,18,2,2,4</t>
  </si>
  <si>
    <t>81,20,1,3,3</t>
  </si>
  <si>
    <t>93,24,5,3,4</t>
  </si>
  <si>
    <t>125,42,0,4,6</t>
  </si>
  <si>
    <t>244,134,0,9,11</t>
  </si>
  <si>
    <t>280,120,1,17,3</t>
  </si>
  <si>
    <t>324,106,2,20,9</t>
  </si>
  <si>
    <t>461,168,8,18,32</t>
  </si>
  <si>
    <t>667,208,8,19,14</t>
  </si>
  <si>
    <t>764,208,0,13,17</t>
  </si>
  <si>
    <t>1018,238,11,21,12</t>
  </si>
  <si>
    <t>1122,272,11,13,13</t>
  </si>
  <si>
    <t>1173,286,4,18,12</t>
  </si>
  <si>
    <t>1264,337,6,11,10</t>
  </si>
  <si>
    <t>1234,291,6,16,5</t>
  </si>
  <si>
    <t>1175,333,8,11,2</t>
  </si>
  <si>
    <t>996,264,11,7,2</t>
  </si>
  <si>
    <t>876,229,4,13,5</t>
  </si>
  <si>
    <t>695,153,6,9,7</t>
  </si>
  <si>
    <t>494,110,32,11,7</t>
  </si>
  <si>
    <t>327,95,8,4,8</t>
  </si>
  <si>
    <t>187,64,3,2,6</t>
  </si>
  <si>
    <t>100,27,2,1,10</t>
  </si>
  <si>
    <t>69,19,1,7,4</t>
  </si>
  <si>
    <t>36,11,0,3,5</t>
  </si>
  <si>
    <t>26,14,0,1,10</t>
  </si>
  <si>
    <t>39,18,1,7,13</t>
  </si>
  <si>
    <t>93,56,2,12,29</t>
  </si>
  <si>
    <t>300,168,4,13,14</t>
  </si>
  <si>
    <t>428,175,1,16,35</t>
  </si>
  <si>
    <t>330,142,8,34,46</t>
  </si>
  <si>
    <t>375,154,3,36,53</t>
  </si>
  <si>
    <t>389,171,1,37,53</t>
  </si>
  <si>
    <t>375,176,0,41,62</t>
  </si>
  <si>
    <t>433,188,4,40,68</t>
  </si>
  <si>
    <t>504,220,10,48,62</t>
  </si>
  <si>
    <t>520,226,8,38,51</t>
  </si>
  <si>
    <t>532,250,3,52,49</t>
  </si>
  <si>
    <t>615,268,5,47,46</t>
  </si>
  <si>
    <t>619,235,13,29,20</t>
  </si>
  <si>
    <t>513,159,4,29,20</t>
  </si>
  <si>
    <t>337,107,4,22,17</t>
  </si>
  <si>
    <t>255,93,1,18,12</t>
  </si>
  <si>
    <t>183,60,0,12,16</t>
  </si>
  <si>
    <t>127,40,0,5,7</t>
  </si>
  <si>
    <t>97,36,0,8,11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</si>
</sst>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17">
    <font>
      <sz val="10.0"/>
      <color rgb="FF000000"/>
      <name val="Arial"/>
      <scheme val="minor"/>
    </font>
    <font>
      <sz val="12.0"/>
      <color theme="1"/>
      <name val="Microsoft JhengHei"/>
    </font>
    <font>
      <sz val="10.0"/>
      <color theme="1"/>
      <name val="Arial"/>
    </font>
    <font/>
    <font>
      <sz val="12.0"/>
      <color rgb="FF1F1F1F"/>
      <name val="Arial"/>
    </font>
    <font>
      <sz val="12.0"/>
      <color theme="1"/>
      <name val="Arial"/>
    </font>
    <font>
      <sz val="12.0"/>
      <color rgb="FF000000"/>
      <name val="Calibri"/>
    </font>
    <font>
      <sz val="12.0"/>
      <color theme="1"/>
      <name val="Calibri"/>
    </font>
    <font>
      <sz val="10.0"/>
      <color rgb="FF000000"/>
      <name val="Arial"/>
    </font>
    <font>
      <b/>
      <sz val="14.0"/>
      <color theme="1"/>
      <name val="Arial"/>
    </font>
    <font>
      <sz val="11.0"/>
      <color theme="1"/>
      <name val="Arial"/>
    </font>
    <font>
      <sz val="12.0"/>
      <color rgb="FF000000"/>
      <name val="PMingLiu"/>
    </font>
    <font>
      <sz val="9.0"/>
      <color rgb="FF1F1F1F"/>
      <name val="Arial"/>
    </font>
    <font>
      <sz val="11.0"/>
      <color rgb="FF000000"/>
      <name val="Monospace"/>
    </font>
    <font>
      <sz val="12.0"/>
      <color theme="1"/>
      <name val="PMingLiu"/>
    </font>
    <font>
      <b/>
      <sz val="12.0"/>
      <color theme="1"/>
      <name val="Arial"/>
    </font>
    <font>
      <b/>
      <i/>
      <sz val="14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</border>
    <border>
      <left/>
      <right/>
    </border>
    <border>
      <left/>
      <right/>
      <bottom style="thin">
        <color rgb="FF000000"/>
      </bottom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" fillId="0" fontId="2" numFmtId="0" xfId="0" applyAlignment="1" applyBorder="1" applyFont="1">
      <alignment horizontal="left"/>
    </xf>
    <xf borderId="1" fillId="2" fontId="2" numFmtId="0" xfId="0" applyAlignment="1" applyBorder="1" applyFill="1" applyFont="1">
      <alignment horizontal="left"/>
    </xf>
    <xf borderId="2" fillId="0" fontId="1" numFmtId="0" xfId="0" applyAlignment="1" applyBorder="1" applyFont="1">
      <alignment horizontal="center" shrinkToFit="0" wrapText="1"/>
    </xf>
    <xf borderId="3" fillId="0" fontId="3" numFmtId="0" xfId="0" applyBorder="1" applyFont="1"/>
    <xf borderId="4" fillId="0" fontId="2" numFmtId="0" xfId="0" applyAlignment="1" applyBorder="1" applyFont="1">
      <alignment horizontal="left"/>
    </xf>
    <xf borderId="5" fillId="0" fontId="3" numFmtId="0" xfId="0" applyBorder="1" applyFont="1"/>
    <xf borderId="6" fillId="0" fontId="3" numFmtId="0" xfId="0" applyBorder="1" applyFont="1"/>
    <xf borderId="1" fillId="0" fontId="4" numFmtId="0" xfId="0" applyBorder="1" applyFont="1"/>
    <xf borderId="1" fillId="0" fontId="1" numFmtId="9" xfId="0" applyAlignment="1" applyBorder="1" applyFont="1" applyNumberFormat="1">
      <alignment horizontal="center" shrinkToFit="0" wrapText="1"/>
    </xf>
    <xf borderId="1" fillId="0" fontId="5" numFmtId="9" xfId="0" applyAlignment="1" applyBorder="1" applyFont="1" applyNumberFormat="1">
      <alignment horizontal="center" shrinkToFit="0" wrapText="1"/>
    </xf>
    <xf borderId="1" fillId="0" fontId="6" numFmtId="0" xfId="0" applyBorder="1" applyFont="1"/>
    <xf borderId="1" fillId="2" fontId="7" numFmtId="0" xfId="0" applyBorder="1" applyFont="1"/>
    <xf borderId="1" fillId="0" fontId="8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0" fillId="0" fontId="2" numFmtId="0" xfId="0" applyFont="1"/>
    <xf borderId="1" fillId="0" fontId="5" numFmtId="0" xfId="0" applyAlignment="1" applyBorder="1" applyFont="1">
      <alignment horizontal="right"/>
    </xf>
    <xf borderId="7" fillId="3" fontId="2" numFmtId="164" xfId="0" applyAlignment="1" applyBorder="1" applyFill="1" applyFont="1" applyNumberFormat="1">
      <alignment vertical="center"/>
    </xf>
    <xf borderId="1" fillId="0" fontId="2" numFmtId="0" xfId="0" applyAlignment="1" applyBorder="1" applyFont="1">
      <alignment horizontal="right"/>
    </xf>
    <xf borderId="3" fillId="0" fontId="2" numFmtId="0" xfId="0" applyBorder="1" applyFont="1"/>
    <xf borderId="8" fillId="3" fontId="2" numFmtId="164" xfId="0" applyAlignment="1" applyBorder="1" applyFont="1" applyNumberFormat="1">
      <alignment vertical="center"/>
    </xf>
    <xf borderId="0" fillId="0" fontId="8" numFmtId="10" xfId="0" applyFont="1" applyNumberFormat="1"/>
    <xf borderId="9" fillId="0" fontId="2" numFmtId="0" xfId="0" applyBorder="1" applyFont="1"/>
    <xf borderId="9" fillId="0" fontId="3" numFmtId="0" xfId="0" applyBorder="1" applyFont="1"/>
    <xf borderId="6" fillId="0" fontId="5" numFmtId="0" xfId="0" applyAlignment="1" applyBorder="1" applyFont="1">
      <alignment horizontal="right"/>
    </xf>
    <xf borderId="0" fillId="0" fontId="9" numFmtId="0" xfId="0" applyFont="1"/>
    <xf borderId="10" fillId="0" fontId="2" numFmtId="0" xfId="0" applyBorder="1" applyFont="1"/>
    <xf borderId="10" fillId="0" fontId="3" numFmtId="0" xfId="0" applyBorder="1" applyFont="1"/>
    <xf borderId="7" fillId="3" fontId="10" numFmtId="164" xfId="0" applyAlignment="1" applyBorder="1" applyFont="1" applyNumberFormat="1">
      <alignment vertical="center"/>
    </xf>
    <xf borderId="11" fillId="3" fontId="10" numFmtId="164" xfId="0" applyAlignment="1" applyBorder="1" applyFont="1" applyNumberFormat="1">
      <alignment vertical="center"/>
    </xf>
    <xf borderId="3" fillId="0" fontId="2" numFmtId="0" xfId="0" applyAlignment="1" applyBorder="1" applyFont="1">
      <alignment horizontal="right"/>
    </xf>
    <xf borderId="3" fillId="0" fontId="2" numFmtId="10" xfId="0" applyAlignment="1" applyBorder="1" applyFont="1" applyNumberFormat="1">
      <alignment horizontal="right"/>
    </xf>
    <xf borderId="12" fillId="0" fontId="3" numFmtId="0" xfId="0" applyBorder="1" applyFont="1"/>
    <xf borderId="1" fillId="0" fontId="2" numFmtId="0" xfId="0" applyBorder="1" applyFont="1"/>
    <xf borderId="13" fillId="0" fontId="3" numFmtId="0" xfId="0" applyBorder="1" applyFont="1"/>
    <xf borderId="11" fillId="3" fontId="2" numFmtId="164" xfId="0" applyAlignment="1" applyBorder="1" applyFont="1" applyNumberFormat="1">
      <alignment vertical="center"/>
    </xf>
    <xf borderId="14" fillId="0" fontId="3" numFmtId="0" xfId="0" applyBorder="1" applyFont="1"/>
    <xf borderId="0" fillId="0" fontId="11" numFmtId="0" xfId="0" applyAlignment="1" applyFont="1">
      <alignment horizontal="right"/>
    </xf>
    <xf borderId="8" fillId="0" fontId="10" numFmtId="164" xfId="0" applyAlignment="1" applyBorder="1" applyFont="1" applyNumberFormat="1">
      <alignment vertical="center"/>
    </xf>
    <xf borderId="3" fillId="0" fontId="2" numFmtId="10" xfId="0" applyBorder="1" applyFont="1" applyNumberFormat="1"/>
    <xf borderId="15" fillId="4" fontId="12" numFmtId="0" xfId="0" applyBorder="1" applyFill="1" applyFont="1"/>
    <xf borderId="0" fillId="0" fontId="13" numFmtId="0" xfId="0" applyFont="1"/>
    <xf borderId="0" fillId="0" fontId="5" numFmtId="0" xfId="0" applyFont="1"/>
    <xf borderId="1" fillId="0" fontId="2" numFmtId="10" xfId="0" applyAlignment="1" applyBorder="1" applyFont="1" applyNumberFormat="1">
      <alignment horizontal="right"/>
    </xf>
    <xf borderId="10" fillId="0" fontId="2" numFmtId="0" xfId="0" applyAlignment="1" applyBorder="1" applyFont="1">
      <alignment horizontal="right"/>
    </xf>
    <xf borderId="10" fillId="0" fontId="14" numFmtId="0" xfId="0" applyAlignment="1" applyBorder="1" applyFont="1">
      <alignment horizontal="right"/>
    </xf>
    <xf borderId="1" fillId="0" fontId="15" numFmtId="0" xfId="0" applyAlignment="1" applyBorder="1" applyFont="1">
      <alignment horizontal="right"/>
    </xf>
    <xf borderId="0" fillId="0" fontId="16" numFmtId="0" xfId="0" applyFont="1"/>
    <xf borderId="0" fillId="0" fontId="15" numFmtId="0" xfId="0" applyAlignment="1" applyFont="1">
      <alignment horizontal="right"/>
    </xf>
    <xf borderId="0" fillId="0" fontId="10" numFmtId="164" xfId="0" applyAlignment="1" applyFont="1" applyNumberFormat="1">
      <alignment vertical="center"/>
    </xf>
    <xf borderId="0" fillId="0" fontId="2" numFmtId="0" xfId="0" applyAlignment="1" applyFont="1">
      <alignment horizontal="right"/>
    </xf>
    <xf borderId="0" fillId="0" fontId="2" numFmtId="10" xfId="0" applyFont="1" applyNumberFormat="1"/>
    <xf borderId="0" fillId="0" fontId="12" numFmtId="0" xfId="0" applyFont="1"/>
    <xf borderId="0" fillId="0" fontId="5" numFmtId="0" xfId="0" applyAlignment="1" applyFont="1">
      <alignment horizontal="right"/>
    </xf>
    <xf borderId="0" fillId="0" fontId="2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「上(交流道)北上」9/25-1001 正規化</a:t>
            </a:r>
          </a:p>
        </c:rich>
      </c:tx>
      <c:overlay val="0"/>
    </c:title>
    <c:plotArea>
      <c:layout/>
      <c:lineChart>
        <c:ser>
          <c:idx val="0"/>
          <c:order val="0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'「上(交流道)北上」的副本'!$N$8:$N$175</c:f>
            </c:strRef>
          </c:cat>
          <c:val>
            <c:numRef>
              <c:f>'「上(交流道)北上」的副本'!$O$8:$O$175</c:f>
              <c:numCache/>
            </c:numRef>
          </c:val>
          <c:smooth val="0"/>
        </c:ser>
        <c:ser>
          <c:idx val="1"/>
          <c:order val="1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'「上(交流道)北上」的副本'!$N$8:$N$175</c:f>
            </c:strRef>
          </c:cat>
          <c:val>
            <c:numRef>
              <c:f>'「上(交流道)北上」的副本'!$S$8:$S$175</c:f>
              <c:numCache/>
            </c:numRef>
          </c:val>
          <c:smooth val="0"/>
        </c:ser>
        <c:ser>
          <c:idx val="2"/>
          <c:order val="2"/>
          <c:tx>
            <c:strRef>
              <c:f>'「上(交流道)北上」的副本'!$T$7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'「上(交流道)北上」的副本'!$N$8:$N$175</c:f>
            </c:strRef>
          </c:cat>
          <c:val>
            <c:numRef>
              <c:f>'「上(交流道)北上」的副本'!$T$8:$T$175</c:f>
              <c:numCache/>
            </c:numRef>
          </c:val>
          <c:smooth val="0"/>
        </c:ser>
        <c:axId val="1291439201"/>
        <c:axId val="34142215"/>
      </c:lineChart>
      <c:catAx>
        <c:axId val="12914392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4142215"/>
      </c:catAx>
      <c:valAx>
        <c:axId val="34142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9143920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+mn-lt"/>
              </a:defRPr>
            </a:pPr>
            <a:r>
              <a:rPr b="0" i="0" sz="1400">
                <a:solidFill>
                  <a:srgbClr val="595959"/>
                </a:solidFill>
                <a:latin typeface="+mn-lt"/>
              </a:rPr>
              <a:t>「上(交流道)北上」10/02-1008 正規化
</a:t>
            </a:r>
          </a:p>
        </c:rich>
      </c:tx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'「上(交流道)北上」的副本'!$N$178:$N$345</c:f>
            </c:strRef>
          </c:cat>
          <c:val>
            <c:numRef>
              <c:f>'「上(交流道)北上」的副本'!$O$178:$O$345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'「上(交流道)北上」的副本'!$N$178:$N$345</c:f>
            </c:strRef>
          </c:cat>
          <c:val>
            <c:numRef>
              <c:f>'「上(交流道)北上」的副本'!$P$178:$P$345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'「上(交流道)北上」的副本'!$N$178:$N$345</c:f>
            </c:strRef>
          </c:cat>
          <c:val>
            <c:numRef>
              <c:f>'「上(交流道)北上」的副本'!$Q$178:$Q$345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'「上(交流道)北上」的副本'!$N$178:$N$345</c:f>
            </c:strRef>
          </c:cat>
          <c:val>
            <c:numRef>
              <c:f>'「上(交流道)北上」的副本'!$R$178:$R$345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'「上(交流道)北上」的副本'!$N$178:$N$345</c:f>
            </c:strRef>
          </c:cat>
          <c:val>
            <c:numRef>
              <c:f>'「上(交流道)北上」的副本'!$S$178:$S$345</c:f>
              <c:numCache/>
            </c:numRef>
          </c:val>
          <c:smooth val="0"/>
        </c:ser>
        <c:ser>
          <c:idx val="5"/>
          <c:order val="5"/>
          <c:tx>
            <c:strRef>
              <c:f>'「上(交流道)北上」的副本'!$T$177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'「上(交流道)北上」的副本'!$N$178:$N$345</c:f>
            </c:strRef>
          </c:cat>
          <c:val>
            <c:numRef>
              <c:f>'「上(交流道)北上」的副本'!$T$178:$T$345</c:f>
              <c:numCache/>
            </c:numRef>
          </c:val>
          <c:smooth val="0"/>
        </c:ser>
        <c:axId val="958940692"/>
        <c:axId val="1973883976"/>
      </c:lineChart>
      <c:catAx>
        <c:axId val="9589406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73883976"/>
      </c:catAx>
      <c:valAx>
        <c:axId val="19738839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5894069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+mn-lt"/>
              </a:defRPr>
            </a:pPr>
            <a:r>
              <a:rPr b="0" i="0" sz="1400">
                <a:solidFill>
                  <a:srgbClr val="595959"/>
                </a:solidFill>
                <a:latin typeface="+mn-lt"/>
              </a:rPr>
              <a:t>「上(交流道)北上」10/02-1008
</a:t>
            </a:r>
          </a:p>
        </c:rich>
      </c:tx>
      <c:layout>
        <c:manualLayout>
          <c:xMode val="edge"/>
          <c:yMode val="edge"/>
          <c:x val="0.222038180814695"/>
          <c:y val="0.044834250072149605"/>
        </c:manualLayout>
      </c:layout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'「上(交流道)北上」的副本'!$F$190:$F$357</c:f>
            </c:strRef>
          </c:cat>
          <c:val>
            <c:numRef>
              <c:f>'「上(交流道)北上」的副本'!$G$190:$G$357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'「上(交流道)北上」的副本'!$F$190:$F$357</c:f>
            </c:strRef>
          </c:cat>
          <c:val>
            <c:numRef>
              <c:f>'「上(交流道)北上」的副本'!$H$190:$H$357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'「上(交流道)北上」的副本'!$F$190:$F$357</c:f>
            </c:strRef>
          </c:cat>
          <c:val>
            <c:numRef>
              <c:f>'「上(交流道)北上」的副本'!$I$190:$I$357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'「上(交流道)北上」的副本'!$F$190:$F$357</c:f>
            </c:strRef>
          </c:cat>
          <c:val>
            <c:numRef>
              <c:f>'「上(交流道)北上」的副本'!$J$190:$J$357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'「上(交流道)北上」的副本'!$F$190:$F$357</c:f>
            </c:strRef>
          </c:cat>
          <c:val>
            <c:numRef>
              <c:f>'「上(交流道)北上」的副本'!$K$190:$K$357</c:f>
              <c:numCache/>
            </c:numRef>
          </c:val>
          <c:smooth val="0"/>
        </c:ser>
        <c:ser>
          <c:idx val="5"/>
          <c:order val="5"/>
          <c:tx>
            <c:strRef>
              <c:f>'「上(交流道)北上」的副本'!$L$189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'「上(交流道)北上」的副本'!$F$190:$F$357</c:f>
            </c:strRef>
          </c:cat>
          <c:val>
            <c:numRef>
              <c:f>'「上(交流道)北上」的副本'!$L$190:$L$357</c:f>
              <c:numCache/>
            </c:numRef>
          </c:val>
          <c:smooth val="0"/>
        </c:ser>
        <c:axId val="996508930"/>
        <c:axId val="564090776"/>
      </c:lineChart>
      <c:catAx>
        <c:axId val="9965089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64090776"/>
      </c:catAx>
      <c:valAx>
        <c:axId val="5640907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9650893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「上(交流道)北上」9/25-1001</a:t>
            </a:r>
          </a:p>
        </c:rich>
      </c:tx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'「上(交流道)北上」的副本'!$F$8:$F$175</c:f>
            </c:strRef>
          </c:cat>
          <c:val>
            <c:numRef>
              <c:f>'「上(交流道)北上」的副本'!$G$8:$G$175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'「上(交流道)北上」的副本'!$F$8:$F$175</c:f>
            </c:strRef>
          </c:cat>
          <c:val>
            <c:numRef>
              <c:f>'「上(交流道)北上」的副本'!$H$8:$H$175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'「上(交流道)北上」的副本'!$F$8:$F$175</c:f>
            </c:strRef>
          </c:cat>
          <c:val>
            <c:numRef>
              <c:f>'「上(交流道)北上」的副本'!$I$8:$I$175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'「上(交流道)北上」的副本'!$F$8:$F$175</c:f>
            </c:strRef>
          </c:cat>
          <c:val>
            <c:numRef>
              <c:f>'「上(交流道)北上」的副本'!$J$8:$J$175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'「上(交流道)北上」的副本'!$F$8:$F$175</c:f>
            </c:strRef>
          </c:cat>
          <c:val>
            <c:numRef>
              <c:f>'「上(交流道)北上」的副本'!$K$8:$K$175</c:f>
              <c:numCache/>
            </c:numRef>
          </c:val>
          <c:smooth val="0"/>
        </c:ser>
        <c:ser>
          <c:idx val="5"/>
          <c:order val="5"/>
          <c:tx>
            <c:strRef>
              <c:f>'「上(交流道)北上」的副本'!$L$7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'「上(交流道)北上」的副本'!$F$8:$F$175</c:f>
            </c:strRef>
          </c:cat>
          <c:val>
            <c:numRef>
              <c:f>'「上(交流道)北上」的副本'!$L$8:$L$175</c:f>
              <c:numCache/>
            </c:numRef>
          </c:val>
          <c:smooth val="0"/>
        </c:ser>
        <c:axId val="1274162347"/>
        <c:axId val="1308732770"/>
      </c:lineChart>
      <c:catAx>
        <c:axId val="12741623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08732770"/>
      </c:catAx>
      <c:valAx>
        <c:axId val="13087327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7416234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514350</xdr:colOff>
      <xdr:row>85</xdr:row>
      <xdr:rowOff>28575</xdr:rowOff>
    </xdr:from>
    <xdr:ext cx="5495925" cy="38862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28</xdr:col>
      <xdr:colOff>390525</xdr:colOff>
      <xdr:row>106</xdr:row>
      <xdr:rowOff>104775</xdr:rowOff>
    </xdr:from>
    <xdr:ext cx="6143625" cy="35052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20</xdr:col>
      <xdr:colOff>352425</xdr:colOff>
      <xdr:row>106</xdr:row>
      <xdr:rowOff>85725</xdr:rowOff>
    </xdr:from>
    <xdr:ext cx="4629150" cy="344805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20</xdr:col>
      <xdr:colOff>238125</xdr:colOff>
      <xdr:row>85</xdr:row>
      <xdr:rowOff>190500</xdr:rowOff>
    </xdr:from>
    <xdr:ext cx="5057775" cy="35909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38" width="8.75"/>
  </cols>
  <sheetData>
    <row r="1" ht="15.75" customHeight="1">
      <c r="A1" s="1"/>
      <c r="B1" s="1"/>
      <c r="C1" s="1"/>
      <c r="D1" s="1"/>
      <c r="E1" s="1"/>
      <c r="H1" s="2" t="s">
        <v>0</v>
      </c>
      <c r="I1" s="3">
        <v>1.10021106E8</v>
      </c>
      <c r="J1" s="2"/>
      <c r="K1" s="2"/>
      <c r="L1" s="2"/>
    </row>
    <row r="2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ht="15.75" customHeight="1">
      <c r="A3" s="1"/>
      <c r="B3" s="4" t="s">
        <v>3</v>
      </c>
      <c r="C3" s="5"/>
      <c r="D3" s="4" t="s">
        <v>4</v>
      </c>
      <c r="E3" s="5"/>
      <c r="H3" s="6" t="s">
        <v>5</v>
      </c>
      <c r="I3" s="7"/>
      <c r="J3" s="7"/>
      <c r="K3" s="7"/>
      <c r="L3" s="8"/>
    </row>
    <row r="4" ht="15.75" customHeight="1">
      <c r="A4" s="9" t="s">
        <v>6</v>
      </c>
      <c r="B4" s="10" t="s">
        <v>7</v>
      </c>
      <c r="C4" s="11" t="s">
        <v>8</v>
      </c>
      <c r="D4" s="10" t="s">
        <v>7</v>
      </c>
      <c r="E4" s="11" t="s">
        <v>8</v>
      </c>
      <c r="H4" s="6" t="s">
        <v>9</v>
      </c>
      <c r="I4" s="7"/>
      <c r="J4" s="7"/>
      <c r="K4" s="7"/>
      <c r="L4" s="8"/>
    </row>
    <row r="5" ht="15.75" customHeight="1">
      <c r="A5" s="12" t="s">
        <v>10</v>
      </c>
      <c r="B5" s="13" t="s">
        <v>11</v>
      </c>
      <c r="C5" s="14" t="s">
        <v>12</v>
      </c>
      <c r="D5" s="14" t="s">
        <v>13</v>
      </c>
      <c r="E5" s="14" t="s">
        <v>14</v>
      </c>
    </row>
    <row r="6" ht="15.75" customHeight="1">
      <c r="H6" s="15" t="s">
        <v>15</v>
      </c>
      <c r="I6" s="7"/>
      <c r="J6" s="7"/>
      <c r="K6" s="7"/>
      <c r="L6" s="8"/>
    </row>
    <row r="7" ht="15.75" customHeight="1">
      <c r="G7" s="16"/>
      <c r="H7" s="17">
        <v>31.0</v>
      </c>
      <c r="I7" s="17">
        <v>32.0</v>
      </c>
      <c r="J7" s="17">
        <v>41.0</v>
      </c>
      <c r="K7" s="17">
        <v>42.0</v>
      </c>
      <c r="L7" s="17">
        <v>5.0</v>
      </c>
      <c r="P7" s="17">
        <v>31.0</v>
      </c>
      <c r="Q7" s="17">
        <v>32.0</v>
      </c>
      <c r="R7" s="17">
        <v>41.0</v>
      </c>
      <c r="S7" s="17">
        <v>42.0</v>
      </c>
      <c r="T7" s="17">
        <v>5.0</v>
      </c>
    </row>
    <row r="8" ht="15.75" customHeight="1">
      <c r="F8" s="18">
        <v>45194.0</v>
      </c>
      <c r="G8" s="19">
        <v>0.0</v>
      </c>
      <c r="H8" s="20">
        <v>100.0</v>
      </c>
      <c r="I8" s="20">
        <v>46.0</v>
      </c>
      <c r="J8" s="20">
        <v>1.0</v>
      </c>
      <c r="K8" s="20">
        <v>8.0</v>
      </c>
      <c r="L8" s="20">
        <v>9.0</v>
      </c>
      <c r="N8" s="21">
        <v>45194.0</v>
      </c>
      <c r="O8" s="19">
        <v>0.0</v>
      </c>
      <c r="P8" s="22">
        <f t="shared" ref="P8:T8" si="1">H8/A$31</f>
        <v>0.01280901755</v>
      </c>
      <c r="Q8" s="22">
        <f t="shared" si="1"/>
        <v>0.01559850797</v>
      </c>
      <c r="R8" s="22">
        <f t="shared" si="1"/>
        <v>0.006802721088</v>
      </c>
      <c r="S8" s="22">
        <f t="shared" si="1"/>
        <v>0.01731601732</v>
      </c>
      <c r="T8" s="22">
        <f t="shared" si="1"/>
        <v>0.01578947368</v>
      </c>
    </row>
    <row r="9" ht="15.75" customHeight="1">
      <c r="F9" s="23"/>
      <c r="G9" s="19">
        <v>1.0</v>
      </c>
      <c r="H9" s="20">
        <v>52.0</v>
      </c>
      <c r="I9" s="20">
        <v>16.0</v>
      </c>
      <c r="J9" s="20">
        <v>1.0</v>
      </c>
      <c r="K9" s="20">
        <v>3.0</v>
      </c>
      <c r="L9" s="20">
        <v>5.0</v>
      </c>
      <c r="N9" s="24"/>
      <c r="O9" s="19">
        <v>1.0</v>
      </c>
      <c r="P9" s="22">
        <f t="shared" ref="P9:T9" si="2">H9/A$31</f>
        <v>0.006660689125</v>
      </c>
      <c r="Q9" s="22">
        <f t="shared" si="2"/>
        <v>0.005425567989</v>
      </c>
      <c r="R9" s="22">
        <f t="shared" si="2"/>
        <v>0.006802721088</v>
      </c>
      <c r="S9" s="22">
        <f t="shared" si="2"/>
        <v>0.006493506494</v>
      </c>
      <c r="T9" s="22">
        <f t="shared" si="2"/>
        <v>0.008771929825</v>
      </c>
    </row>
    <row r="10" ht="15.75" customHeight="1">
      <c r="F10" s="23"/>
      <c r="G10" s="19">
        <v>2.0</v>
      </c>
      <c r="H10" s="16">
        <v>43.0</v>
      </c>
      <c r="I10" s="16">
        <v>20.0</v>
      </c>
      <c r="J10" s="16">
        <v>0.0</v>
      </c>
      <c r="K10" s="16">
        <v>2.0</v>
      </c>
      <c r="L10" s="16">
        <v>9.0</v>
      </c>
      <c r="N10" s="24"/>
      <c r="O10" s="19">
        <v>2.0</v>
      </c>
      <c r="P10" s="22">
        <f t="shared" ref="P10:T10" si="3">H10/A$31</f>
        <v>0.005507877546</v>
      </c>
      <c r="Q10" s="22">
        <f t="shared" si="3"/>
        <v>0.006781959986</v>
      </c>
      <c r="R10" s="22">
        <f t="shared" si="3"/>
        <v>0</v>
      </c>
      <c r="S10" s="22">
        <f t="shared" si="3"/>
        <v>0.004329004329</v>
      </c>
      <c r="T10" s="22">
        <f t="shared" si="3"/>
        <v>0.01578947368</v>
      </c>
    </row>
    <row r="11" ht="15.75" customHeight="1">
      <c r="F11" s="23"/>
      <c r="G11" s="19">
        <v>3.0</v>
      </c>
      <c r="H11" s="20">
        <v>24.0</v>
      </c>
      <c r="I11" s="20">
        <v>8.0</v>
      </c>
      <c r="J11" s="20">
        <v>0.0</v>
      </c>
      <c r="K11" s="20">
        <v>5.0</v>
      </c>
      <c r="L11" s="20">
        <v>8.0</v>
      </c>
      <c r="N11" s="24"/>
      <c r="O11" s="19">
        <v>3.0</v>
      </c>
      <c r="P11" s="22">
        <f t="shared" ref="P11:T11" si="4">H11/A$31</f>
        <v>0.003074164212</v>
      </c>
      <c r="Q11" s="22">
        <f t="shared" si="4"/>
        <v>0.002712783995</v>
      </c>
      <c r="R11" s="22">
        <f t="shared" si="4"/>
        <v>0</v>
      </c>
      <c r="S11" s="22">
        <f t="shared" si="4"/>
        <v>0.01082251082</v>
      </c>
      <c r="T11" s="22">
        <f t="shared" si="4"/>
        <v>0.01403508772</v>
      </c>
    </row>
    <row r="12" ht="15.75" customHeight="1">
      <c r="F12" s="23"/>
      <c r="G12" s="19">
        <v>4.0</v>
      </c>
      <c r="H12" s="20">
        <v>31.0</v>
      </c>
      <c r="I12" s="20">
        <v>13.0</v>
      </c>
      <c r="J12" s="20">
        <v>1.0</v>
      </c>
      <c r="K12" s="20">
        <v>7.0</v>
      </c>
      <c r="L12" s="20">
        <v>15.0</v>
      </c>
      <c r="N12" s="24"/>
      <c r="O12" s="19">
        <v>4.0</v>
      </c>
      <c r="P12" s="22">
        <f t="shared" ref="P12:T12" si="5">H12/A$31</f>
        <v>0.00397079544</v>
      </c>
      <c r="Q12" s="22">
        <f t="shared" si="5"/>
        <v>0.004408273991</v>
      </c>
      <c r="R12" s="22">
        <f t="shared" si="5"/>
        <v>0.006802721088</v>
      </c>
      <c r="S12" s="22">
        <f t="shared" si="5"/>
        <v>0.01515151515</v>
      </c>
      <c r="T12" s="22">
        <f t="shared" si="5"/>
        <v>0.02631578947</v>
      </c>
    </row>
    <row r="13" ht="15.75" customHeight="1">
      <c r="F13" s="23"/>
      <c r="G13" s="19">
        <v>5.0</v>
      </c>
      <c r="H13" s="20">
        <v>84.0</v>
      </c>
      <c r="I13" s="20">
        <v>33.0</v>
      </c>
      <c r="J13" s="20">
        <v>0.0</v>
      </c>
      <c r="K13" s="20">
        <v>5.0</v>
      </c>
      <c r="L13" s="20">
        <v>22.0</v>
      </c>
      <c r="N13" s="24"/>
      <c r="O13" s="19">
        <v>5.0</v>
      </c>
      <c r="P13" s="22">
        <f t="shared" ref="P13:T13" si="6">H13/A$31</f>
        <v>0.01075957474</v>
      </c>
      <c r="Q13" s="22">
        <f t="shared" si="6"/>
        <v>0.01119023398</v>
      </c>
      <c r="R13" s="22">
        <f t="shared" si="6"/>
        <v>0</v>
      </c>
      <c r="S13" s="22">
        <f t="shared" si="6"/>
        <v>0.01082251082</v>
      </c>
      <c r="T13" s="22">
        <f t="shared" si="6"/>
        <v>0.03859649123</v>
      </c>
    </row>
    <row r="14" ht="15.75" customHeight="1">
      <c r="F14" s="23"/>
      <c r="G14" s="19">
        <v>6.0</v>
      </c>
      <c r="H14" s="20">
        <v>276.0</v>
      </c>
      <c r="I14" s="20">
        <v>153.0</v>
      </c>
      <c r="J14" s="20">
        <v>1.0</v>
      </c>
      <c r="K14" s="20">
        <v>11.0</v>
      </c>
      <c r="L14" s="20">
        <v>20.0</v>
      </c>
      <c r="N14" s="24"/>
      <c r="O14" s="19">
        <v>6.0</v>
      </c>
      <c r="P14" s="22">
        <f t="shared" ref="P14:T14" si="7">H14/A$31</f>
        <v>0.03535288843</v>
      </c>
      <c r="Q14" s="22">
        <f t="shared" si="7"/>
        <v>0.0518819939</v>
      </c>
      <c r="R14" s="22">
        <f t="shared" si="7"/>
        <v>0.006802721088</v>
      </c>
      <c r="S14" s="22">
        <f t="shared" si="7"/>
        <v>0.02380952381</v>
      </c>
      <c r="T14" s="22">
        <f t="shared" si="7"/>
        <v>0.0350877193</v>
      </c>
    </row>
    <row r="15" ht="15.75" customHeight="1">
      <c r="F15" s="23"/>
      <c r="G15" s="19">
        <v>7.0</v>
      </c>
      <c r="H15" s="20">
        <v>378.0</v>
      </c>
      <c r="I15" s="20">
        <v>169.0</v>
      </c>
      <c r="J15" s="20">
        <v>7.0</v>
      </c>
      <c r="K15" s="20">
        <v>20.0</v>
      </c>
      <c r="L15" s="20">
        <v>31.0</v>
      </c>
      <c r="N15" s="24"/>
      <c r="O15" s="19">
        <v>7.0</v>
      </c>
      <c r="P15" s="22">
        <f t="shared" ref="P15:T15" si="8">H15/A$31</f>
        <v>0.04841808633</v>
      </c>
      <c r="Q15" s="22">
        <f t="shared" si="8"/>
        <v>0.05730756189</v>
      </c>
      <c r="R15" s="22">
        <f t="shared" si="8"/>
        <v>0.04761904762</v>
      </c>
      <c r="S15" s="22">
        <f t="shared" si="8"/>
        <v>0.04329004329</v>
      </c>
      <c r="T15" s="22">
        <f t="shared" si="8"/>
        <v>0.05438596491</v>
      </c>
    </row>
    <row r="16" ht="15.75" customHeight="1">
      <c r="F16" s="23"/>
      <c r="G16" s="19">
        <v>8.0</v>
      </c>
      <c r="H16" s="20">
        <v>355.0</v>
      </c>
      <c r="I16" s="20">
        <v>144.0</v>
      </c>
      <c r="J16" s="20">
        <v>7.0</v>
      </c>
      <c r="K16" s="20">
        <v>26.0</v>
      </c>
      <c r="L16" s="20">
        <v>34.0</v>
      </c>
      <c r="N16" s="24"/>
      <c r="O16" s="19">
        <v>8.0</v>
      </c>
      <c r="P16" s="22">
        <f t="shared" ref="P16:T16" si="9">H16/A$31</f>
        <v>0.0454720123</v>
      </c>
      <c r="Q16" s="22">
        <f t="shared" si="9"/>
        <v>0.0488301119</v>
      </c>
      <c r="R16" s="22">
        <f t="shared" si="9"/>
        <v>0.04761904762</v>
      </c>
      <c r="S16" s="22">
        <f t="shared" si="9"/>
        <v>0.05627705628</v>
      </c>
      <c r="T16" s="22">
        <f t="shared" si="9"/>
        <v>0.05964912281</v>
      </c>
    </row>
    <row r="17" ht="15.75" customHeight="1">
      <c r="F17" s="23"/>
      <c r="G17" s="19">
        <v>9.0</v>
      </c>
      <c r="H17" s="20">
        <v>302.0</v>
      </c>
      <c r="I17" s="20">
        <v>133.0</v>
      </c>
      <c r="J17" s="20">
        <v>4.0</v>
      </c>
      <c r="K17" s="20">
        <v>33.0</v>
      </c>
      <c r="L17" s="20">
        <v>44.0</v>
      </c>
      <c r="N17" s="24"/>
      <c r="O17" s="19">
        <v>9.0</v>
      </c>
      <c r="P17" s="22">
        <f t="shared" ref="P17:T17" si="10">H17/A$31</f>
        <v>0.038683233</v>
      </c>
      <c r="Q17" s="22">
        <f t="shared" si="10"/>
        <v>0.04510003391</v>
      </c>
      <c r="R17" s="22">
        <f t="shared" si="10"/>
        <v>0.02721088435</v>
      </c>
      <c r="S17" s="22">
        <f t="shared" si="10"/>
        <v>0.07142857143</v>
      </c>
      <c r="T17" s="22">
        <f t="shared" si="10"/>
        <v>0.07719298246</v>
      </c>
    </row>
    <row r="18" ht="15.75" customHeight="1">
      <c r="F18" s="23"/>
      <c r="G18" s="19">
        <v>10.0</v>
      </c>
      <c r="H18" s="20">
        <v>346.0</v>
      </c>
      <c r="I18" s="20">
        <v>143.0</v>
      </c>
      <c r="J18" s="20">
        <v>9.0</v>
      </c>
      <c r="K18" s="20">
        <v>42.0</v>
      </c>
      <c r="L18" s="20">
        <v>46.0</v>
      </c>
      <c r="N18" s="24"/>
      <c r="O18" s="19">
        <v>10.0</v>
      </c>
      <c r="P18" s="22">
        <f t="shared" ref="P18:T18" si="11">H18/A$31</f>
        <v>0.04431920072</v>
      </c>
      <c r="Q18" s="22">
        <f t="shared" si="11"/>
        <v>0.0484910139</v>
      </c>
      <c r="R18" s="22">
        <f t="shared" si="11"/>
        <v>0.0612244898</v>
      </c>
      <c r="S18" s="22">
        <f t="shared" si="11"/>
        <v>0.09090909091</v>
      </c>
      <c r="T18" s="22">
        <f t="shared" si="11"/>
        <v>0.08070175439</v>
      </c>
    </row>
    <row r="19" ht="15.75" customHeight="1">
      <c r="F19" s="23"/>
      <c r="G19" s="19">
        <v>11.0</v>
      </c>
      <c r="H19" s="20">
        <v>392.0</v>
      </c>
      <c r="I19" s="20">
        <v>182.0</v>
      </c>
      <c r="J19" s="20">
        <v>6.0</v>
      </c>
      <c r="K19" s="20">
        <v>31.0</v>
      </c>
      <c r="L19" s="20">
        <v>31.0</v>
      </c>
      <c r="N19" s="24"/>
      <c r="O19" s="19">
        <v>11.0</v>
      </c>
      <c r="P19" s="22">
        <f t="shared" ref="P19:T19" si="12">H19/A$31</f>
        <v>0.05021134879</v>
      </c>
      <c r="Q19" s="22">
        <f t="shared" si="12"/>
        <v>0.06171583588</v>
      </c>
      <c r="R19" s="22">
        <f t="shared" si="12"/>
        <v>0.04081632653</v>
      </c>
      <c r="S19" s="22">
        <f t="shared" si="12"/>
        <v>0.0670995671</v>
      </c>
      <c r="T19" s="22">
        <f t="shared" si="12"/>
        <v>0.05438596491</v>
      </c>
    </row>
    <row r="20" ht="15.75" customHeight="1">
      <c r="F20" s="23"/>
      <c r="G20" s="19">
        <v>12.0</v>
      </c>
      <c r="H20" s="20">
        <v>493.0</v>
      </c>
      <c r="I20" s="20">
        <v>169.0</v>
      </c>
      <c r="J20" s="20">
        <v>7.0</v>
      </c>
      <c r="K20" s="20">
        <v>37.0</v>
      </c>
      <c r="L20" s="20">
        <v>33.0</v>
      </c>
      <c r="N20" s="24"/>
      <c r="O20" s="19">
        <v>12.0</v>
      </c>
      <c r="P20" s="22">
        <f t="shared" ref="P20:T20" si="13">H20/A$31</f>
        <v>0.06314845651</v>
      </c>
      <c r="Q20" s="22">
        <f t="shared" si="13"/>
        <v>0.05730756189</v>
      </c>
      <c r="R20" s="22">
        <f t="shared" si="13"/>
        <v>0.04761904762</v>
      </c>
      <c r="S20" s="22">
        <f t="shared" si="13"/>
        <v>0.08008658009</v>
      </c>
      <c r="T20" s="22">
        <f t="shared" si="13"/>
        <v>0.05789473684</v>
      </c>
    </row>
    <row r="21" ht="15.75" customHeight="1">
      <c r="F21" s="23"/>
      <c r="G21" s="19">
        <v>13.0</v>
      </c>
      <c r="H21" s="20">
        <v>503.0</v>
      </c>
      <c r="I21" s="20">
        <v>187.0</v>
      </c>
      <c r="J21" s="20">
        <v>15.0</v>
      </c>
      <c r="K21" s="20">
        <v>33.0</v>
      </c>
      <c r="L21" s="20">
        <v>38.0</v>
      </c>
      <c r="N21" s="24"/>
      <c r="O21" s="19">
        <v>13.0</v>
      </c>
      <c r="P21" s="22">
        <f t="shared" ref="P21:T21" si="14">H21/A$31</f>
        <v>0.06442935827</v>
      </c>
      <c r="Q21" s="22">
        <f t="shared" si="14"/>
        <v>0.06341132587</v>
      </c>
      <c r="R21" s="22">
        <f t="shared" si="14"/>
        <v>0.1020408163</v>
      </c>
      <c r="S21" s="22">
        <f t="shared" si="14"/>
        <v>0.07142857143</v>
      </c>
      <c r="T21" s="22">
        <f t="shared" si="14"/>
        <v>0.06666666667</v>
      </c>
    </row>
    <row r="22" ht="15.75" customHeight="1">
      <c r="F22" s="23"/>
      <c r="G22" s="19">
        <v>14.0</v>
      </c>
      <c r="H22" s="20">
        <v>603.0</v>
      </c>
      <c r="I22" s="20">
        <v>227.0</v>
      </c>
      <c r="J22" s="20">
        <v>12.0</v>
      </c>
      <c r="K22" s="20">
        <v>24.0</v>
      </c>
      <c r="L22" s="20">
        <v>45.0</v>
      </c>
      <c r="N22" s="24"/>
      <c r="O22" s="19">
        <v>14.0</v>
      </c>
      <c r="P22" s="22">
        <f t="shared" ref="P22:T22" si="15">H22/A$31</f>
        <v>0.07723837582</v>
      </c>
      <c r="Q22" s="22">
        <f t="shared" si="15"/>
        <v>0.07697524585</v>
      </c>
      <c r="R22" s="22">
        <f t="shared" si="15"/>
        <v>0.08163265306</v>
      </c>
      <c r="S22" s="22">
        <f t="shared" si="15"/>
        <v>0.05194805195</v>
      </c>
      <c r="T22" s="22">
        <f t="shared" si="15"/>
        <v>0.07894736842</v>
      </c>
    </row>
    <row r="23" ht="15.75" customHeight="1">
      <c r="F23" s="23"/>
      <c r="G23" s="19">
        <v>15.0</v>
      </c>
      <c r="H23" s="20">
        <v>653.0</v>
      </c>
      <c r="I23" s="20">
        <v>243.0</v>
      </c>
      <c r="J23" s="20">
        <v>4.0</v>
      </c>
      <c r="K23" s="20">
        <v>28.0</v>
      </c>
      <c r="L23" s="20">
        <v>45.0</v>
      </c>
      <c r="N23" s="24"/>
      <c r="O23" s="19">
        <v>15.0</v>
      </c>
      <c r="P23" s="22">
        <f t="shared" ref="P23:T23" si="16">H23/A$31</f>
        <v>0.08364288459</v>
      </c>
      <c r="Q23" s="22">
        <f t="shared" si="16"/>
        <v>0.08240081384</v>
      </c>
      <c r="R23" s="22">
        <f t="shared" si="16"/>
        <v>0.02721088435</v>
      </c>
      <c r="S23" s="22">
        <f t="shared" si="16"/>
        <v>0.06060606061</v>
      </c>
      <c r="T23" s="22">
        <f t="shared" si="16"/>
        <v>0.07894736842</v>
      </c>
    </row>
    <row r="24" ht="15.75" customHeight="1">
      <c r="F24" s="23"/>
      <c r="G24" s="19">
        <v>16.0</v>
      </c>
      <c r="H24" s="20">
        <v>737.0</v>
      </c>
      <c r="I24" s="20">
        <v>279.0</v>
      </c>
      <c r="J24" s="20">
        <v>14.0</v>
      </c>
      <c r="K24" s="20">
        <v>44.0</v>
      </c>
      <c r="L24" s="20">
        <v>34.0</v>
      </c>
      <c r="N24" s="24"/>
      <c r="O24" s="19">
        <v>16.0</v>
      </c>
      <c r="P24" s="22">
        <f t="shared" ref="P24:T24" si="17">H24/A$31</f>
        <v>0.09440245933</v>
      </c>
      <c r="Q24" s="22">
        <f t="shared" si="17"/>
        <v>0.09460834181</v>
      </c>
      <c r="R24" s="22">
        <f t="shared" si="17"/>
        <v>0.09523809524</v>
      </c>
      <c r="S24" s="22">
        <f t="shared" si="17"/>
        <v>0.09523809524</v>
      </c>
      <c r="T24" s="22">
        <f t="shared" si="17"/>
        <v>0.05964912281</v>
      </c>
    </row>
    <row r="25" ht="15.75" customHeight="1">
      <c r="F25" s="23"/>
      <c r="G25" s="19">
        <v>17.0</v>
      </c>
      <c r="H25" s="20">
        <v>735.0</v>
      </c>
      <c r="I25" s="20">
        <v>269.0</v>
      </c>
      <c r="J25" s="20">
        <v>18.0</v>
      </c>
      <c r="K25" s="20">
        <v>31.0</v>
      </c>
      <c r="L25" s="20">
        <v>18.0</v>
      </c>
      <c r="N25" s="24"/>
      <c r="O25" s="19">
        <v>17.0</v>
      </c>
      <c r="P25" s="22">
        <f t="shared" ref="P25:T25" si="18">H25/A$31</f>
        <v>0.09414627898</v>
      </c>
      <c r="Q25" s="22">
        <f t="shared" si="18"/>
        <v>0.09121736182</v>
      </c>
      <c r="R25" s="22">
        <f t="shared" si="18"/>
        <v>0.1224489796</v>
      </c>
      <c r="S25" s="22">
        <f t="shared" si="18"/>
        <v>0.0670995671</v>
      </c>
      <c r="T25" s="22">
        <f t="shared" si="18"/>
        <v>0.03157894737</v>
      </c>
    </row>
    <row r="26" ht="15.75" customHeight="1">
      <c r="F26" s="23"/>
      <c r="G26" s="19">
        <v>18.0</v>
      </c>
      <c r="H26" s="20">
        <v>500.0</v>
      </c>
      <c r="I26" s="20">
        <v>170.0</v>
      </c>
      <c r="J26" s="20">
        <v>8.0</v>
      </c>
      <c r="K26" s="20">
        <v>13.0</v>
      </c>
      <c r="L26" s="20">
        <v>8.0</v>
      </c>
      <c r="N26" s="24"/>
      <c r="O26" s="19">
        <v>18.0</v>
      </c>
      <c r="P26" s="22">
        <f t="shared" ref="P26:T26" si="19">H26/A$31</f>
        <v>0.06404508774</v>
      </c>
      <c r="Q26" s="22">
        <f t="shared" si="19"/>
        <v>0.05764665988</v>
      </c>
      <c r="R26" s="22">
        <f t="shared" si="19"/>
        <v>0.05442176871</v>
      </c>
      <c r="S26" s="22">
        <f t="shared" si="19"/>
        <v>0.02813852814</v>
      </c>
      <c r="T26" s="22">
        <f t="shared" si="19"/>
        <v>0.01403508772</v>
      </c>
    </row>
    <row r="27" ht="15.75" customHeight="1">
      <c r="F27" s="23"/>
      <c r="G27" s="19">
        <v>19.0</v>
      </c>
      <c r="H27" s="20">
        <v>421.0</v>
      </c>
      <c r="I27" s="20">
        <v>127.0</v>
      </c>
      <c r="J27" s="20">
        <v>8.0</v>
      </c>
      <c r="K27" s="20">
        <v>12.0</v>
      </c>
      <c r="L27" s="20">
        <v>11.0</v>
      </c>
      <c r="N27" s="24"/>
      <c r="O27" s="19">
        <v>19.0</v>
      </c>
      <c r="P27" s="22">
        <f t="shared" ref="P27:T27" si="20">H27/A$31</f>
        <v>0.05392596388</v>
      </c>
      <c r="Q27" s="22">
        <f t="shared" si="20"/>
        <v>0.04306544591</v>
      </c>
      <c r="R27" s="22">
        <f t="shared" si="20"/>
        <v>0.05442176871</v>
      </c>
      <c r="S27" s="22">
        <f t="shared" si="20"/>
        <v>0.02597402597</v>
      </c>
      <c r="T27" s="22">
        <f t="shared" si="20"/>
        <v>0.01929824561</v>
      </c>
    </row>
    <row r="28" ht="15.75" customHeight="1">
      <c r="F28" s="23"/>
      <c r="G28" s="19">
        <v>20.0</v>
      </c>
      <c r="H28" s="20">
        <v>345.0</v>
      </c>
      <c r="I28" s="20">
        <v>91.0</v>
      </c>
      <c r="J28" s="20">
        <v>7.0</v>
      </c>
      <c r="K28" s="20">
        <v>16.0</v>
      </c>
      <c r="L28" s="20">
        <v>19.0</v>
      </c>
      <c r="N28" s="24"/>
      <c r="O28" s="19">
        <v>20.0</v>
      </c>
      <c r="P28" s="22">
        <f t="shared" ref="P28:T28" si="21">H28/A$31</f>
        <v>0.04419111054</v>
      </c>
      <c r="Q28" s="22">
        <f t="shared" si="21"/>
        <v>0.03085791794</v>
      </c>
      <c r="R28" s="22">
        <f t="shared" si="21"/>
        <v>0.04761904762</v>
      </c>
      <c r="S28" s="22">
        <f t="shared" si="21"/>
        <v>0.03463203463</v>
      </c>
      <c r="T28" s="22">
        <f t="shared" si="21"/>
        <v>0.03333333333</v>
      </c>
    </row>
    <row r="29" ht="15.75" customHeight="1">
      <c r="F29" s="23"/>
      <c r="G29" s="19">
        <v>21.0</v>
      </c>
      <c r="H29" s="20">
        <v>193.0</v>
      </c>
      <c r="I29" s="20">
        <v>58.0</v>
      </c>
      <c r="J29" s="20">
        <v>15.0</v>
      </c>
      <c r="K29" s="20">
        <v>9.0</v>
      </c>
      <c r="L29" s="20">
        <v>15.0</v>
      </c>
      <c r="N29" s="24"/>
      <c r="O29" s="19">
        <v>21.0</v>
      </c>
      <c r="P29" s="22">
        <f t="shared" ref="P29:T29" si="22">H29/A$31</f>
        <v>0.02472140387</v>
      </c>
      <c r="Q29" s="22">
        <f t="shared" si="22"/>
        <v>0.01966768396</v>
      </c>
      <c r="R29" s="22">
        <f t="shared" si="22"/>
        <v>0.1020408163</v>
      </c>
      <c r="S29" s="22">
        <f t="shared" si="22"/>
        <v>0.01948051948</v>
      </c>
      <c r="T29" s="22">
        <f t="shared" si="22"/>
        <v>0.02631578947</v>
      </c>
      <c r="U29" s="25">
        <f>$H$7</f>
        <v>31</v>
      </c>
      <c r="V29" s="25">
        <f>$I$7</f>
        <v>32</v>
      </c>
      <c r="W29" s="25">
        <f>$J$7</f>
        <v>41</v>
      </c>
      <c r="X29" s="25">
        <f>$K$7</f>
        <v>42</v>
      </c>
      <c r="Y29" s="25">
        <f>$L$7</f>
        <v>5</v>
      </c>
    </row>
    <row r="30" ht="15.75" customHeight="1">
      <c r="F30" s="23"/>
      <c r="G30" s="19">
        <v>22.0</v>
      </c>
      <c r="H30" s="20">
        <v>152.0</v>
      </c>
      <c r="I30" s="20">
        <v>37.0</v>
      </c>
      <c r="J30" s="20">
        <v>2.0</v>
      </c>
      <c r="K30" s="20">
        <v>17.0</v>
      </c>
      <c r="L30" s="20">
        <v>13.0</v>
      </c>
      <c r="N30" s="24"/>
      <c r="O30" s="19">
        <v>22.0</v>
      </c>
      <c r="P30" s="22">
        <f t="shared" ref="P30:T30" si="23">H30/A$31</f>
        <v>0.01946970667</v>
      </c>
      <c r="Q30" s="22">
        <f t="shared" si="23"/>
        <v>0.01254662597</v>
      </c>
      <c r="R30" s="22">
        <f t="shared" si="23"/>
        <v>0.01360544218</v>
      </c>
      <c r="S30" s="22">
        <f t="shared" si="23"/>
        <v>0.0367965368</v>
      </c>
      <c r="T30" s="22">
        <f t="shared" si="23"/>
        <v>0.02280701754</v>
      </c>
    </row>
    <row r="31" ht="15.75" customHeight="1">
      <c r="A31" s="26">
        <f t="shared" ref="A31:E31" si="24">SUM(H8:H31)</f>
        <v>7807</v>
      </c>
      <c r="B31" s="26">
        <f t="shared" si="24"/>
        <v>2949</v>
      </c>
      <c r="C31" s="26">
        <f t="shared" si="24"/>
        <v>147</v>
      </c>
      <c r="D31" s="26">
        <f t="shared" si="24"/>
        <v>462</v>
      </c>
      <c r="E31" s="26">
        <f t="shared" si="24"/>
        <v>570</v>
      </c>
      <c r="F31" s="27"/>
      <c r="G31" s="19">
        <v>23.0</v>
      </c>
      <c r="H31" s="20">
        <v>89.0</v>
      </c>
      <c r="I31" s="20">
        <v>32.0</v>
      </c>
      <c r="J31" s="20">
        <v>0.0</v>
      </c>
      <c r="K31" s="20">
        <v>5.0</v>
      </c>
      <c r="L31" s="20">
        <v>17.0</v>
      </c>
      <c r="N31" s="28"/>
      <c r="O31" s="19">
        <v>23.0</v>
      </c>
      <c r="P31" s="22">
        <f t="shared" ref="P31:T31" si="25">H31/A$31</f>
        <v>0.01140002562</v>
      </c>
      <c r="Q31" s="22">
        <f t="shared" si="25"/>
        <v>0.01085113598</v>
      </c>
      <c r="R31" s="22">
        <f t="shared" si="25"/>
        <v>0</v>
      </c>
      <c r="S31" s="22">
        <f t="shared" si="25"/>
        <v>0.01082251082</v>
      </c>
      <c r="T31" s="22">
        <f t="shared" si="25"/>
        <v>0.0298245614</v>
      </c>
    </row>
    <row r="32" ht="15.75" customHeight="1">
      <c r="F32" s="29">
        <v>45195.0</v>
      </c>
      <c r="G32" s="19">
        <f>$G$8</f>
        <v>0</v>
      </c>
      <c r="H32" s="20">
        <v>60.0</v>
      </c>
      <c r="I32" s="20">
        <v>13.0</v>
      </c>
      <c r="J32" s="20">
        <v>1.0</v>
      </c>
      <c r="K32" s="20">
        <v>8.0</v>
      </c>
      <c r="L32" s="20">
        <v>4.0</v>
      </c>
      <c r="N32" s="30">
        <v>45195.0</v>
      </c>
      <c r="O32" s="31">
        <f>$G$8</f>
        <v>0</v>
      </c>
      <c r="P32" s="32">
        <f t="shared" ref="P32:T32" si="26">H32/A$56</f>
        <v>0.008332176087</v>
      </c>
      <c r="Q32" s="32">
        <f t="shared" si="26"/>
        <v>0.004506065858</v>
      </c>
      <c r="R32" s="32">
        <f t="shared" si="26"/>
        <v>0.008547008547</v>
      </c>
      <c r="S32" s="32">
        <f t="shared" si="26"/>
        <v>0.01388888889</v>
      </c>
      <c r="T32" s="32">
        <f t="shared" si="26"/>
        <v>0.006546644845</v>
      </c>
    </row>
    <row r="33" ht="15.75" customHeight="1">
      <c r="F33" s="23"/>
      <c r="G33" s="19">
        <f>$G$9</f>
        <v>1</v>
      </c>
      <c r="H33" s="20">
        <v>40.0</v>
      </c>
      <c r="I33" s="20">
        <v>12.0</v>
      </c>
      <c r="J33" s="20">
        <v>0.0</v>
      </c>
      <c r="K33" s="20">
        <v>7.0</v>
      </c>
      <c r="L33" s="20">
        <v>8.0</v>
      </c>
      <c r="N33" s="33"/>
      <c r="O33" s="31">
        <f>$G$9</f>
        <v>1</v>
      </c>
      <c r="P33" s="32">
        <f t="shared" ref="P33:T33" si="27">H33/A$56</f>
        <v>0.005554784058</v>
      </c>
      <c r="Q33" s="32">
        <f t="shared" si="27"/>
        <v>0.004159445407</v>
      </c>
      <c r="R33" s="32">
        <f t="shared" si="27"/>
        <v>0</v>
      </c>
      <c r="S33" s="32">
        <f t="shared" si="27"/>
        <v>0.01215277778</v>
      </c>
      <c r="T33" s="32">
        <f t="shared" si="27"/>
        <v>0.01309328969</v>
      </c>
    </row>
    <row r="34" ht="15.75" customHeight="1">
      <c r="F34" s="23"/>
      <c r="G34" s="19">
        <f>$G$10</f>
        <v>2</v>
      </c>
      <c r="H34" s="34">
        <v>22.0</v>
      </c>
      <c r="I34" s="34">
        <v>6.0</v>
      </c>
      <c r="J34" s="34">
        <v>0.0</v>
      </c>
      <c r="K34" s="34">
        <v>4.0</v>
      </c>
      <c r="L34" s="34">
        <v>6.0</v>
      </c>
      <c r="N34" s="33"/>
      <c r="O34" s="31">
        <f>$G$10</f>
        <v>2</v>
      </c>
      <c r="P34" s="32">
        <f t="shared" ref="P34:T34" si="28">H34/A$56</f>
        <v>0.003055131232</v>
      </c>
      <c r="Q34" s="32">
        <f t="shared" si="28"/>
        <v>0.002079722704</v>
      </c>
      <c r="R34" s="32">
        <f t="shared" si="28"/>
        <v>0</v>
      </c>
      <c r="S34" s="32">
        <f t="shared" si="28"/>
        <v>0.006944444444</v>
      </c>
      <c r="T34" s="32">
        <f t="shared" si="28"/>
        <v>0.009819967267</v>
      </c>
    </row>
    <row r="35" ht="15.75" customHeight="1">
      <c r="F35" s="23"/>
      <c r="G35" s="19">
        <f>$G$11</f>
        <v>3</v>
      </c>
      <c r="H35" s="20">
        <v>23.0</v>
      </c>
      <c r="I35" s="20">
        <v>11.0</v>
      </c>
      <c r="J35" s="20">
        <v>1.0</v>
      </c>
      <c r="K35" s="20">
        <v>6.0</v>
      </c>
      <c r="L35" s="20">
        <v>8.0</v>
      </c>
      <c r="N35" s="33"/>
      <c r="O35" s="31">
        <f>$G$11</f>
        <v>3</v>
      </c>
      <c r="P35" s="32">
        <f t="shared" ref="P35:T35" si="29">H35/A$56</f>
        <v>0.003194000833</v>
      </c>
      <c r="Q35" s="32">
        <f t="shared" si="29"/>
        <v>0.003812824957</v>
      </c>
      <c r="R35" s="32">
        <f t="shared" si="29"/>
        <v>0.008547008547</v>
      </c>
      <c r="S35" s="32">
        <f t="shared" si="29"/>
        <v>0.01041666667</v>
      </c>
      <c r="T35" s="32">
        <f t="shared" si="29"/>
        <v>0.01309328969</v>
      </c>
    </row>
    <row r="36" ht="15.75" customHeight="1">
      <c r="F36" s="23"/>
      <c r="G36" s="19">
        <f>$G$12</f>
        <v>4</v>
      </c>
      <c r="H36" s="20">
        <v>24.0</v>
      </c>
      <c r="I36" s="20">
        <v>10.0</v>
      </c>
      <c r="J36" s="20">
        <v>0.0</v>
      </c>
      <c r="K36" s="20">
        <v>6.0</v>
      </c>
      <c r="L36" s="20">
        <v>13.0</v>
      </c>
      <c r="N36" s="33"/>
      <c r="O36" s="31">
        <f>$G$12</f>
        <v>4</v>
      </c>
      <c r="P36" s="32">
        <f t="shared" ref="P36:T36" si="30">H36/A$56</f>
        <v>0.003332870435</v>
      </c>
      <c r="Q36" s="32">
        <f t="shared" si="30"/>
        <v>0.003466204506</v>
      </c>
      <c r="R36" s="32">
        <f t="shared" si="30"/>
        <v>0</v>
      </c>
      <c r="S36" s="32">
        <f t="shared" si="30"/>
        <v>0.01041666667</v>
      </c>
      <c r="T36" s="32">
        <f t="shared" si="30"/>
        <v>0.02127659574</v>
      </c>
    </row>
    <row r="37" ht="15.75" customHeight="1">
      <c r="F37" s="23"/>
      <c r="G37" s="19">
        <f>$G$13</f>
        <v>5</v>
      </c>
      <c r="H37" s="20">
        <v>72.0</v>
      </c>
      <c r="I37" s="20">
        <v>30.0</v>
      </c>
      <c r="J37" s="20">
        <v>0.0</v>
      </c>
      <c r="K37" s="20">
        <v>9.0</v>
      </c>
      <c r="L37" s="20">
        <v>30.0</v>
      </c>
      <c r="N37" s="33"/>
      <c r="O37" s="31">
        <f>$G$13</f>
        <v>5</v>
      </c>
      <c r="P37" s="32">
        <f t="shared" ref="P37:T37" si="31">H37/A$56</f>
        <v>0.009998611304</v>
      </c>
      <c r="Q37" s="32">
        <f t="shared" si="31"/>
        <v>0.01039861352</v>
      </c>
      <c r="R37" s="32">
        <f t="shared" si="31"/>
        <v>0</v>
      </c>
      <c r="S37" s="32">
        <f t="shared" si="31"/>
        <v>0.015625</v>
      </c>
      <c r="T37" s="32">
        <f t="shared" si="31"/>
        <v>0.04909983633</v>
      </c>
    </row>
    <row r="38" ht="15.75" customHeight="1">
      <c r="F38" s="23"/>
      <c r="G38" s="19">
        <f>$G$14</f>
        <v>6</v>
      </c>
      <c r="H38" s="20">
        <v>255.0</v>
      </c>
      <c r="I38" s="20">
        <v>148.0</v>
      </c>
      <c r="J38" s="20">
        <v>1.0</v>
      </c>
      <c r="K38" s="20">
        <v>16.0</v>
      </c>
      <c r="L38" s="20">
        <v>28.0</v>
      </c>
      <c r="N38" s="33"/>
      <c r="O38" s="31">
        <f>$G$14</f>
        <v>6</v>
      </c>
      <c r="P38" s="32">
        <f t="shared" ref="P38:T38" si="32">H38/A$56</f>
        <v>0.03541174837</v>
      </c>
      <c r="Q38" s="32">
        <f t="shared" si="32"/>
        <v>0.05129982669</v>
      </c>
      <c r="R38" s="32">
        <f t="shared" si="32"/>
        <v>0.008547008547</v>
      </c>
      <c r="S38" s="32">
        <f t="shared" si="32"/>
        <v>0.02777777778</v>
      </c>
      <c r="T38" s="32">
        <f t="shared" si="32"/>
        <v>0.04582651391</v>
      </c>
    </row>
    <row r="39" ht="15.75" customHeight="1">
      <c r="F39" s="23"/>
      <c r="G39" s="19">
        <f>$G$15</f>
        <v>7</v>
      </c>
      <c r="H39" s="20">
        <v>376.0</v>
      </c>
      <c r="I39" s="20">
        <v>177.0</v>
      </c>
      <c r="J39" s="20">
        <v>12.0</v>
      </c>
      <c r="K39" s="20">
        <v>24.0</v>
      </c>
      <c r="L39" s="20">
        <v>25.0</v>
      </c>
      <c r="N39" s="33"/>
      <c r="O39" s="31">
        <f>$G$15</f>
        <v>7</v>
      </c>
      <c r="P39" s="32">
        <f t="shared" ref="P39:T39" si="33">H39/A$56</f>
        <v>0.05221497014</v>
      </c>
      <c r="Q39" s="32">
        <f t="shared" si="33"/>
        <v>0.06135181976</v>
      </c>
      <c r="R39" s="32">
        <f t="shared" si="33"/>
        <v>0.1025641026</v>
      </c>
      <c r="S39" s="32">
        <f t="shared" si="33"/>
        <v>0.04166666667</v>
      </c>
      <c r="T39" s="32">
        <f t="shared" si="33"/>
        <v>0.04091653028</v>
      </c>
    </row>
    <row r="40" ht="15.75" customHeight="1">
      <c r="F40" s="23"/>
      <c r="G40" s="19">
        <f>$G$16</f>
        <v>8</v>
      </c>
      <c r="H40" s="20">
        <v>325.0</v>
      </c>
      <c r="I40" s="20">
        <v>135.0</v>
      </c>
      <c r="J40" s="20">
        <v>14.0</v>
      </c>
      <c r="K40" s="20">
        <v>47.0</v>
      </c>
      <c r="L40" s="20">
        <v>40.0</v>
      </c>
      <c r="N40" s="33"/>
      <c r="O40" s="31">
        <f>$G$16</f>
        <v>8</v>
      </c>
      <c r="P40" s="32">
        <f t="shared" ref="P40:T40" si="34">H40/A$56</f>
        <v>0.04513262047</v>
      </c>
      <c r="Q40" s="32">
        <f t="shared" si="34"/>
        <v>0.04679376083</v>
      </c>
      <c r="R40" s="32">
        <f t="shared" si="34"/>
        <v>0.1196581197</v>
      </c>
      <c r="S40" s="32">
        <f t="shared" si="34"/>
        <v>0.08159722222</v>
      </c>
      <c r="T40" s="32">
        <f t="shared" si="34"/>
        <v>0.06546644845</v>
      </c>
    </row>
    <row r="41" ht="15.75" customHeight="1">
      <c r="F41" s="23"/>
      <c r="G41" s="19">
        <f>$G$17</f>
        <v>9</v>
      </c>
      <c r="H41" s="20">
        <v>330.0</v>
      </c>
      <c r="I41" s="20">
        <v>161.0</v>
      </c>
      <c r="J41" s="20">
        <v>9.0</v>
      </c>
      <c r="K41" s="20">
        <v>30.0</v>
      </c>
      <c r="L41" s="20">
        <v>60.0</v>
      </c>
      <c r="N41" s="33"/>
      <c r="O41" s="31">
        <f>$G$17</f>
        <v>9</v>
      </c>
      <c r="P41" s="32">
        <f t="shared" ref="P41:T41" si="35">H41/A$56</f>
        <v>0.04582696848</v>
      </c>
      <c r="Q41" s="32">
        <f t="shared" si="35"/>
        <v>0.05580589255</v>
      </c>
      <c r="R41" s="32">
        <f t="shared" si="35"/>
        <v>0.07692307692</v>
      </c>
      <c r="S41" s="32">
        <f t="shared" si="35"/>
        <v>0.05208333333</v>
      </c>
      <c r="T41" s="32">
        <f t="shared" si="35"/>
        <v>0.09819967267</v>
      </c>
    </row>
    <row r="42" ht="15.75" customHeight="1">
      <c r="F42" s="23"/>
      <c r="G42" s="19">
        <f>$G$18</f>
        <v>10</v>
      </c>
      <c r="H42" s="20">
        <v>331.0</v>
      </c>
      <c r="I42" s="20">
        <v>146.0</v>
      </c>
      <c r="J42" s="20">
        <v>5.0</v>
      </c>
      <c r="K42" s="20">
        <v>43.0</v>
      </c>
      <c r="L42" s="20">
        <v>51.0</v>
      </c>
      <c r="N42" s="33"/>
      <c r="O42" s="31">
        <f>$G$18</f>
        <v>10</v>
      </c>
      <c r="P42" s="32">
        <f t="shared" ref="P42:T42" si="36">H42/A$56</f>
        <v>0.04596583808</v>
      </c>
      <c r="Q42" s="32">
        <f t="shared" si="36"/>
        <v>0.05060658579</v>
      </c>
      <c r="R42" s="32">
        <f t="shared" si="36"/>
        <v>0.04273504274</v>
      </c>
      <c r="S42" s="32">
        <f t="shared" si="36"/>
        <v>0.07465277778</v>
      </c>
      <c r="T42" s="32">
        <f t="shared" si="36"/>
        <v>0.08346972177</v>
      </c>
    </row>
    <row r="43" ht="15.75" customHeight="1">
      <c r="F43" s="23"/>
      <c r="G43" s="19">
        <f>$G$19</f>
        <v>11</v>
      </c>
      <c r="H43" s="20">
        <v>362.0</v>
      </c>
      <c r="I43" s="20">
        <v>167.0</v>
      </c>
      <c r="J43" s="20">
        <v>5.0</v>
      </c>
      <c r="K43" s="20">
        <v>44.0</v>
      </c>
      <c r="L43" s="20">
        <v>43.0</v>
      </c>
      <c r="N43" s="33"/>
      <c r="O43" s="31">
        <f>$G$19</f>
        <v>11</v>
      </c>
      <c r="P43" s="32">
        <f t="shared" ref="P43:T43" si="37">H43/A$56</f>
        <v>0.05027079572</v>
      </c>
      <c r="Q43" s="32">
        <f t="shared" si="37"/>
        <v>0.05788561525</v>
      </c>
      <c r="R43" s="32">
        <f t="shared" si="37"/>
        <v>0.04273504274</v>
      </c>
      <c r="S43" s="32">
        <f t="shared" si="37"/>
        <v>0.07638888889</v>
      </c>
      <c r="T43" s="32">
        <f t="shared" si="37"/>
        <v>0.07037643208</v>
      </c>
    </row>
    <row r="44" ht="15.75" customHeight="1">
      <c r="F44" s="23"/>
      <c r="G44" s="19">
        <f>$G$20</f>
        <v>12</v>
      </c>
      <c r="H44" s="20">
        <v>412.0</v>
      </c>
      <c r="I44" s="20">
        <v>150.0</v>
      </c>
      <c r="J44" s="20">
        <v>7.0</v>
      </c>
      <c r="K44" s="20">
        <v>23.0</v>
      </c>
      <c r="L44" s="20">
        <v>41.0</v>
      </c>
      <c r="N44" s="33"/>
      <c r="O44" s="31">
        <f>$G$20</f>
        <v>12</v>
      </c>
      <c r="P44" s="32">
        <f t="shared" ref="P44:T44" si="38">H44/A$56</f>
        <v>0.0572142758</v>
      </c>
      <c r="Q44" s="32">
        <f t="shared" si="38"/>
        <v>0.05199306759</v>
      </c>
      <c r="R44" s="32">
        <f t="shared" si="38"/>
        <v>0.05982905983</v>
      </c>
      <c r="S44" s="32">
        <f t="shared" si="38"/>
        <v>0.03993055556</v>
      </c>
      <c r="T44" s="32">
        <f t="shared" si="38"/>
        <v>0.06710310966</v>
      </c>
    </row>
    <row r="45" ht="15.75" customHeight="1">
      <c r="F45" s="23"/>
      <c r="G45" s="19">
        <f>$G$21</f>
        <v>13</v>
      </c>
      <c r="H45" s="20">
        <v>507.0</v>
      </c>
      <c r="I45" s="20">
        <v>193.0</v>
      </c>
      <c r="J45" s="20">
        <v>3.0</v>
      </c>
      <c r="K45" s="20">
        <v>52.0</v>
      </c>
      <c r="L45" s="20">
        <v>33.0</v>
      </c>
      <c r="N45" s="33"/>
      <c r="O45" s="31">
        <f>$G$21</f>
        <v>13</v>
      </c>
      <c r="P45" s="32">
        <f t="shared" ref="P45:T45" si="39">H45/A$56</f>
        <v>0.07040688793</v>
      </c>
      <c r="Q45" s="32">
        <f t="shared" si="39"/>
        <v>0.06689774697</v>
      </c>
      <c r="R45" s="32">
        <f t="shared" si="39"/>
        <v>0.02564102564</v>
      </c>
      <c r="S45" s="32">
        <f t="shared" si="39"/>
        <v>0.09027777778</v>
      </c>
      <c r="T45" s="32">
        <f t="shared" si="39"/>
        <v>0.05400981997</v>
      </c>
    </row>
    <row r="46" ht="15.75" customHeight="1">
      <c r="F46" s="23"/>
      <c r="G46" s="19">
        <f>$G$22</f>
        <v>14</v>
      </c>
      <c r="H46" s="20">
        <v>532.0</v>
      </c>
      <c r="I46" s="20">
        <v>196.0</v>
      </c>
      <c r="J46" s="20">
        <v>7.0</v>
      </c>
      <c r="K46" s="20">
        <v>48.0</v>
      </c>
      <c r="L46" s="20">
        <v>45.0</v>
      </c>
      <c r="N46" s="33"/>
      <c r="O46" s="31">
        <f>$G$22</f>
        <v>14</v>
      </c>
      <c r="P46" s="32">
        <f t="shared" ref="P46:T46" si="40">H46/A$56</f>
        <v>0.07387862797</v>
      </c>
      <c r="Q46" s="32">
        <f t="shared" si="40"/>
        <v>0.06793760832</v>
      </c>
      <c r="R46" s="32">
        <f t="shared" si="40"/>
        <v>0.05982905983</v>
      </c>
      <c r="S46" s="32">
        <f t="shared" si="40"/>
        <v>0.08333333333</v>
      </c>
      <c r="T46" s="32">
        <f t="shared" si="40"/>
        <v>0.0736497545</v>
      </c>
    </row>
    <row r="47" ht="15.75" customHeight="1">
      <c r="F47" s="23"/>
      <c r="G47" s="19">
        <f>$G$23</f>
        <v>15</v>
      </c>
      <c r="H47" s="20">
        <v>587.0</v>
      </c>
      <c r="I47" s="20">
        <v>259.0</v>
      </c>
      <c r="J47" s="20">
        <v>11.0</v>
      </c>
      <c r="K47" s="20">
        <v>43.0</v>
      </c>
      <c r="L47" s="20">
        <v>38.0</v>
      </c>
      <c r="N47" s="33"/>
      <c r="O47" s="31">
        <f>$G$23</f>
        <v>15</v>
      </c>
      <c r="P47" s="32">
        <f t="shared" ref="P47:T47" si="41">H47/A$56</f>
        <v>0.08151645605</v>
      </c>
      <c r="Q47" s="32">
        <f t="shared" si="41"/>
        <v>0.08977469671</v>
      </c>
      <c r="R47" s="32">
        <f t="shared" si="41"/>
        <v>0.09401709402</v>
      </c>
      <c r="S47" s="32">
        <f t="shared" si="41"/>
        <v>0.07465277778</v>
      </c>
      <c r="T47" s="32">
        <f t="shared" si="41"/>
        <v>0.06219312602</v>
      </c>
    </row>
    <row r="48" ht="15.75" customHeight="1">
      <c r="F48" s="23"/>
      <c r="G48" s="19">
        <f>$G$24</f>
        <v>16</v>
      </c>
      <c r="H48" s="20">
        <v>650.0</v>
      </c>
      <c r="I48" s="20">
        <v>277.0</v>
      </c>
      <c r="J48" s="20">
        <v>12.0</v>
      </c>
      <c r="K48" s="20">
        <v>39.0</v>
      </c>
      <c r="L48" s="20">
        <v>36.0</v>
      </c>
      <c r="N48" s="33"/>
      <c r="O48" s="31">
        <f>$G$24</f>
        <v>16</v>
      </c>
      <c r="P48" s="32">
        <f t="shared" ref="P48:T48" si="42">H48/A$56</f>
        <v>0.09026524094</v>
      </c>
      <c r="Q48" s="32">
        <f t="shared" si="42"/>
        <v>0.09601386482</v>
      </c>
      <c r="R48" s="32">
        <f t="shared" si="42"/>
        <v>0.1025641026</v>
      </c>
      <c r="S48" s="32">
        <f t="shared" si="42"/>
        <v>0.06770833333</v>
      </c>
      <c r="T48" s="32">
        <f t="shared" si="42"/>
        <v>0.0589198036</v>
      </c>
    </row>
    <row r="49" ht="15.75" customHeight="1">
      <c r="F49" s="23"/>
      <c r="G49" s="19">
        <f>$G$25</f>
        <v>17</v>
      </c>
      <c r="H49" s="20">
        <v>681.0</v>
      </c>
      <c r="I49" s="20">
        <v>246.0</v>
      </c>
      <c r="J49" s="20">
        <v>17.0</v>
      </c>
      <c r="K49" s="20">
        <v>40.0</v>
      </c>
      <c r="L49" s="20">
        <v>27.0</v>
      </c>
      <c r="N49" s="33"/>
      <c r="O49" s="31">
        <f>$G$25</f>
        <v>17</v>
      </c>
      <c r="P49" s="32">
        <f t="shared" ref="P49:T49" si="43">H49/A$56</f>
        <v>0.09457019858</v>
      </c>
      <c r="Q49" s="32">
        <f t="shared" si="43"/>
        <v>0.08526863085</v>
      </c>
      <c r="R49" s="32">
        <f t="shared" si="43"/>
        <v>0.1452991453</v>
      </c>
      <c r="S49" s="32">
        <f t="shared" si="43"/>
        <v>0.06944444444</v>
      </c>
      <c r="T49" s="32">
        <f t="shared" si="43"/>
        <v>0.0441898527</v>
      </c>
    </row>
    <row r="50" ht="15.75" customHeight="1">
      <c r="F50" s="23"/>
      <c r="G50" s="19">
        <f>$G$26</f>
        <v>18</v>
      </c>
      <c r="H50" s="20">
        <v>527.0</v>
      </c>
      <c r="I50" s="20">
        <v>197.0</v>
      </c>
      <c r="J50" s="20">
        <v>7.0</v>
      </c>
      <c r="K50" s="20">
        <v>24.0</v>
      </c>
      <c r="L50" s="20">
        <v>9.0</v>
      </c>
      <c r="N50" s="33"/>
      <c r="O50" s="31">
        <f>$G$26</f>
        <v>18</v>
      </c>
      <c r="P50" s="32">
        <f t="shared" ref="P50:T50" si="44">H50/A$56</f>
        <v>0.07318427996</v>
      </c>
      <c r="Q50" s="32">
        <f t="shared" si="44"/>
        <v>0.06828422877</v>
      </c>
      <c r="R50" s="32">
        <f t="shared" si="44"/>
        <v>0.05982905983</v>
      </c>
      <c r="S50" s="32">
        <f t="shared" si="44"/>
        <v>0.04166666667</v>
      </c>
      <c r="T50" s="32">
        <f t="shared" si="44"/>
        <v>0.0147299509</v>
      </c>
    </row>
    <row r="51" ht="15.75" customHeight="1">
      <c r="F51" s="23"/>
      <c r="G51" s="19">
        <f>$G$27</f>
        <v>19</v>
      </c>
      <c r="H51" s="20">
        <v>381.0</v>
      </c>
      <c r="I51" s="20">
        <v>114.0</v>
      </c>
      <c r="J51" s="20">
        <v>2.0</v>
      </c>
      <c r="K51" s="20">
        <v>13.0</v>
      </c>
      <c r="L51" s="20">
        <v>10.0</v>
      </c>
      <c r="N51" s="33"/>
      <c r="O51" s="31">
        <f>$G$27</f>
        <v>19</v>
      </c>
      <c r="P51" s="32">
        <f t="shared" ref="P51:T51" si="45">H51/A$56</f>
        <v>0.05290931815</v>
      </c>
      <c r="Q51" s="32">
        <f t="shared" si="45"/>
        <v>0.03951473137</v>
      </c>
      <c r="R51" s="32">
        <f t="shared" si="45"/>
        <v>0.01709401709</v>
      </c>
      <c r="S51" s="32">
        <f t="shared" si="45"/>
        <v>0.02256944444</v>
      </c>
      <c r="T51" s="32">
        <f t="shared" si="45"/>
        <v>0.01636661211</v>
      </c>
    </row>
    <row r="52" ht="15.75" customHeight="1">
      <c r="F52" s="23"/>
      <c r="G52" s="19">
        <f>$G$28</f>
        <v>20</v>
      </c>
      <c r="H52" s="20">
        <v>296.0</v>
      </c>
      <c r="I52" s="20">
        <v>92.0</v>
      </c>
      <c r="J52" s="20">
        <v>2.0</v>
      </c>
      <c r="K52" s="20">
        <v>17.0</v>
      </c>
      <c r="L52" s="20">
        <v>14.0</v>
      </c>
      <c r="N52" s="33"/>
      <c r="O52" s="31">
        <f>$G$28</f>
        <v>20</v>
      </c>
      <c r="P52" s="32">
        <f t="shared" ref="P52:T52" si="46">H52/A$56</f>
        <v>0.04110540203</v>
      </c>
      <c r="Q52" s="32">
        <f t="shared" si="46"/>
        <v>0.03188908146</v>
      </c>
      <c r="R52" s="32">
        <f t="shared" si="46"/>
        <v>0.01709401709</v>
      </c>
      <c r="S52" s="32">
        <f t="shared" si="46"/>
        <v>0.02951388889</v>
      </c>
      <c r="T52" s="32">
        <f t="shared" si="46"/>
        <v>0.02291325696</v>
      </c>
    </row>
    <row r="53" ht="15.75" customHeight="1">
      <c r="F53" s="23"/>
      <c r="G53" s="19">
        <f>$G$29</f>
        <v>21</v>
      </c>
      <c r="H53" s="20">
        <v>199.0</v>
      </c>
      <c r="I53" s="20">
        <v>69.0</v>
      </c>
      <c r="J53" s="20">
        <v>0.0</v>
      </c>
      <c r="K53" s="20">
        <v>14.0</v>
      </c>
      <c r="L53" s="20">
        <v>16.0</v>
      </c>
      <c r="N53" s="33"/>
      <c r="O53" s="31">
        <f>$G$29</f>
        <v>21</v>
      </c>
      <c r="P53" s="32">
        <f t="shared" ref="P53:T53" si="47">H53/A$56</f>
        <v>0.02763505069</v>
      </c>
      <c r="Q53" s="32">
        <f t="shared" si="47"/>
        <v>0.02391681109</v>
      </c>
      <c r="R53" s="32">
        <f t="shared" si="47"/>
        <v>0</v>
      </c>
      <c r="S53" s="32">
        <f t="shared" si="47"/>
        <v>0.02430555556</v>
      </c>
      <c r="T53" s="32">
        <f t="shared" si="47"/>
        <v>0.02618657938</v>
      </c>
    </row>
    <row r="54" ht="15.75" customHeight="1">
      <c r="F54" s="23"/>
      <c r="G54" s="19">
        <f>$G$30</f>
        <v>22</v>
      </c>
      <c r="H54" s="20">
        <v>136.0</v>
      </c>
      <c r="I54" s="20">
        <v>47.0</v>
      </c>
      <c r="J54" s="20">
        <v>0.0</v>
      </c>
      <c r="K54" s="20">
        <v>12.0</v>
      </c>
      <c r="L54" s="20">
        <v>10.0</v>
      </c>
      <c r="N54" s="33"/>
      <c r="O54" s="31">
        <f>$G$30</f>
        <v>22</v>
      </c>
      <c r="P54" s="32">
        <f t="shared" ref="P54:T54" si="48">H54/A$56</f>
        <v>0.0188862658</v>
      </c>
      <c r="Q54" s="32">
        <f t="shared" si="48"/>
        <v>0.01629116118</v>
      </c>
      <c r="R54" s="32">
        <f t="shared" si="48"/>
        <v>0</v>
      </c>
      <c r="S54" s="32">
        <f t="shared" si="48"/>
        <v>0.02083333333</v>
      </c>
      <c r="T54" s="32">
        <f t="shared" si="48"/>
        <v>0.01636661211</v>
      </c>
    </row>
    <row r="55" ht="15.75" customHeight="1">
      <c r="F55" s="27"/>
      <c r="G55" s="19">
        <f>$G$31</f>
        <v>23</v>
      </c>
      <c r="H55" s="20">
        <v>73.0</v>
      </c>
      <c r="I55" s="20">
        <v>29.0</v>
      </c>
      <c r="J55" s="20">
        <v>1.0</v>
      </c>
      <c r="K55" s="20">
        <v>7.0</v>
      </c>
      <c r="L55" s="20">
        <v>16.0</v>
      </c>
      <c r="N55" s="35"/>
      <c r="O55" s="31">
        <f>$G$31</f>
        <v>23</v>
      </c>
      <c r="P55" s="32">
        <f t="shared" ref="P55:T55" si="49">H55/A$56</f>
        <v>0.01013748091</v>
      </c>
      <c r="Q55" s="32">
        <f t="shared" si="49"/>
        <v>0.01005199307</v>
      </c>
      <c r="R55" s="32">
        <f t="shared" si="49"/>
        <v>0.008547008547</v>
      </c>
      <c r="S55" s="32">
        <f t="shared" si="49"/>
        <v>0.01215277778</v>
      </c>
      <c r="T55" s="32">
        <f t="shared" si="49"/>
        <v>0.02618657938</v>
      </c>
    </row>
    <row r="56" ht="15.75" customHeight="1">
      <c r="A56" s="26">
        <f t="shared" ref="A56:E56" si="50">SUM(H32:H55)</f>
        <v>7201</v>
      </c>
      <c r="B56" s="26">
        <f t="shared" si="50"/>
        <v>2885</v>
      </c>
      <c r="C56" s="26">
        <f t="shared" si="50"/>
        <v>117</v>
      </c>
      <c r="D56" s="26">
        <f t="shared" si="50"/>
        <v>576</v>
      </c>
      <c r="E56" s="26">
        <f t="shared" si="50"/>
        <v>611</v>
      </c>
      <c r="F56" s="18">
        <v>45196.0</v>
      </c>
      <c r="G56" s="19">
        <f>$G$8</f>
        <v>0</v>
      </c>
      <c r="H56" s="20">
        <v>50.0</v>
      </c>
      <c r="I56" s="20">
        <v>15.0</v>
      </c>
      <c r="J56" s="20">
        <v>1.0</v>
      </c>
      <c r="K56" s="20">
        <v>10.0</v>
      </c>
      <c r="L56" s="20">
        <v>10.0</v>
      </c>
      <c r="N56" s="36">
        <v>45196.0</v>
      </c>
      <c r="O56" s="31">
        <f>$G$8</f>
        <v>0</v>
      </c>
      <c r="P56" s="32">
        <f t="shared" ref="P56:T56" si="51">H56/A$84</f>
        <v>0.006928086463</v>
      </c>
      <c r="Q56" s="32">
        <f t="shared" si="51"/>
        <v>0.004978426817</v>
      </c>
      <c r="R56" s="32">
        <f t="shared" si="51"/>
        <v>0.0125</v>
      </c>
      <c r="S56" s="32">
        <f t="shared" si="51"/>
        <v>0.01680672269</v>
      </c>
      <c r="T56" s="32">
        <f t="shared" si="51"/>
        <v>0.01488095238</v>
      </c>
    </row>
    <row r="57" ht="15.75" customHeight="1">
      <c r="F57" s="23"/>
      <c r="G57" s="19">
        <f>$G$9</f>
        <v>1</v>
      </c>
      <c r="H57" s="20">
        <v>37.0</v>
      </c>
      <c r="I57" s="20">
        <v>13.0</v>
      </c>
      <c r="J57" s="20">
        <v>1.0</v>
      </c>
      <c r="K57" s="20">
        <v>8.0</v>
      </c>
      <c r="L57" s="20">
        <v>10.0</v>
      </c>
      <c r="N57" s="33"/>
      <c r="O57" s="31">
        <f>$G$9</f>
        <v>1</v>
      </c>
      <c r="P57" s="32">
        <f t="shared" ref="P57:T57" si="52">H57/A$84</f>
        <v>0.005126783982</v>
      </c>
      <c r="Q57" s="32">
        <f t="shared" si="52"/>
        <v>0.004314636575</v>
      </c>
      <c r="R57" s="32">
        <f t="shared" si="52"/>
        <v>0.0125</v>
      </c>
      <c r="S57" s="32">
        <f t="shared" si="52"/>
        <v>0.01344537815</v>
      </c>
      <c r="T57" s="32">
        <f t="shared" si="52"/>
        <v>0.01488095238</v>
      </c>
    </row>
    <row r="58" ht="15.75" customHeight="1">
      <c r="F58" s="23"/>
      <c r="G58" s="19">
        <f>$G$10</f>
        <v>2</v>
      </c>
      <c r="H58" s="16">
        <v>20.0</v>
      </c>
      <c r="I58" s="16">
        <v>9.0</v>
      </c>
      <c r="J58" s="16">
        <v>0.0</v>
      </c>
      <c r="K58" s="16">
        <v>9.0</v>
      </c>
      <c r="L58" s="16">
        <v>11.0</v>
      </c>
      <c r="N58" s="33"/>
      <c r="O58" s="31">
        <f>$G$10</f>
        <v>2</v>
      </c>
      <c r="P58" s="32">
        <f t="shared" ref="P58:T58" si="53">H58/A$84</f>
        <v>0.002771234585</v>
      </c>
      <c r="Q58" s="32">
        <f t="shared" si="53"/>
        <v>0.00298705609</v>
      </c>
      <c r="R58" s="32">
        <f t="shared" si="53"/>
        <v>0</v>
      </c>
      <c r="S58" s="32">
        <f t="shared" si="53"/>
        <v>0.01512605042</v>
      </c>
      <c r="T58" s="32">
        <f t="shared" si="53"/>
        <v>0.01636904762</v>
      </c>
    </row>
    <row r="59" ht="15.75" customHeight="1">
      <c r="F59" s="23"/>
      <c r="G59" s="19">
        <f>$G$11</f>
        <v>3</v>
      </c>
      <c r="H59" s="20">
        <v>22.0</v>
      </c>
      <c r="I59" s="20">
        <v>9.0</v>
      </c>
      <c r="J59" s="20">
        <v>1.0</v>
      </c>
      <c r="K59" s="20">
        <v>4.0</v>
      </c>
      <c r="L59" s="20">
        <v>7.0</v>
      </c>
      <c r="N59" s="33"/>
      <c r="O59" s="31">
        <f>$G$11</f>
        <v>3</v>
      </c>
      <c r="P59" s="32">
        <f t="shared" ref="P59:T59" si="54">H59/A$84</f>
        <v>0.003048358044</v>
      </c>
      <c r="Q59" s="32">
        <f t="shared" si="54"/>
        <v>0.00298705609</v>
      </c>
      <c r="R59" s="32">
        <f t="shared" si="54"/>
        <v>0.0125</v>
      </c>
      <c r="S59" s="32">
        <f t="shared" si="54"/>
        <v>0.006722689076</v>
      </c>
      <c r="T59" s="32">
        <f t="shared" si="54"/>
        <v>0.01041666667</v>
      </c>
      <c r="U59" s="25">
        <f>$H$7</f>
        <v>31</v>
      </c>
      <c r="V59" s="25">
        <f>$I$7</f>
        <v>32</v>
      </c>
      <c r="W59" s="25">
        <f>$J$7</f>
        <v>41</v>
      </c>
      <c r="X59" s="25">
        <f>$K$7</f>
        <v>42</v>
      </c>
      <c r="Y59" s="25">
        <f>$L$7</f>
        <v>5</v>
      </c>
    </row>
    <row r="60" ht="15.75" customHeight="1">
      <c r="A60" s="16" t="s">
        <v>16</v>
      </c>
      <c r="F60" s="23"/>
      <c r="G60" s="19">
        <f>$G$12</f>
        <v>4</v>
      </c>
      <c r="H60" s="20">
        <v>23.0</v>
      </c>
      <c r="I60" s="20">
        <v>8.0</v>
      </c>
      <c r="J60" s="20">
        <v>0.0</v>
      </c>
      <c r="K60" s="20">
        <v>7.0</v>
      </c>
      <c r="L60" s="20">
        <v>16.0</v>
      </c>
      <c r="N60" s="33"/>
      <c r="O60" s="31">
        <f>$G$12</f>
        <v>4</v>
      </c>
      <c r="P60" s="32">
        <f t="shared" ref="P60:T60" si="55">H60/A$84</f>
        <v>0.003186919773</v>
      </c>
      <c r="Q60" s="32">
        <f t="shared" si="55"/>
        <v>0.002655160969</v>
      </c>
      <c r="R60" s="32">
        <f t="shared" si="55"/>
        <v>0</v>
      </c>
      <c r="S60" s="32">
        <f t="shared" si="55"/>
        <v>0.01176470588</v>
      </c>
      <c r="T60" s="32">
        <f t="shared" si="55"/>
        <v>0.02380952381</v>
      </c>
    </row>
    <row r="61" ht="15.75" customHeight="1">
      <c r="A61" s="16" t="s">
        <v>17</v>
      </c>
      <c r="F61" s="23"/>
      <c r="G61" s="19">
        <f>$G$13</f>
        <v>5</v>
      </c>
      <c r="H61" s="20">
        <v>60.0</v>
      </c>
      <c r="I61" s="20">
        <v>41.0</v>
      </c>
      <c r="J61" s="20">
        <v>0.0</v>
      </c>
      <c r="K61" s="20">
        <v>10.0</v>
      </c>
      <c r="L61" s="20">
        <v>21.0</v>
      </c>
      <c r="N61" s="33"/>
      <c r="O61" s="31">
        <f>$G$13</f>
        <v>5</v>
      </c>
      <c r="P61" s="32">
        <f t="shared" ref="P61:T61" si="56">H61/A$84</f>
        <v>0.008313703755</v>
      </c>
      <c r="Q61" s="32">
        <f t="shared" si="56"/>
        <v>0.01360769997</v>
      </c>
      <c r="R61" s="32">
        <f t="shared" si="56"/>
        <v>0</v>
      </c>
      <c r="S61" s="32">
        <f t="shared" si="56"/>
        <v>0.01680672269</v>
      </c>
      <c r="T61" s="32">
        <f t="shared" si="56"/>
        <v>0.03125</v>
      </c>
    </row>
    <row r="62" ht="15.75" customHeight="1">
      <c r="A62" s="16" t="s">
        <v>18</v>
      </c>
      <c r="F62" s="23"/>
      <c r="G62" s="19">
        <f>$G$14</f>
        <v>6</v>
      </c>
      <c r="H62" s="20">
        <v>216.0</v>
      </c>
      <c r="I62" s="20">
        <v>132.0</v>
      </c>
      <c r="J62" s="20">
        <v>0.0</v>
      </c>
      <c r="K62" s="20">
        <v>12.0</v>
      </c>
      <c r="L62" s="20">
        <v>19.0</v>
      </c>
      <c r="N62" s="33"/>
      <c r="O62" s="31">
        <f>$G$14</f>
        <v>6</v>
      </c>
      <c r="P62" s="32">
        <f t="shared" ref="P62:T62" si="57">H62/A$84</f>
        <v>0.02992933352</v>
      </c>
      <c r="Q62" s="32">
        <f t="shared" si="57"/>
        <v>0.04381015599</v>
      </c>
      <c r="R62" s="32">
        <f t="shared" si="57"/>
        <v>0</v>
      </c>
      <c r="S62" s="32">
        <f t="shared" si="57"/>
        <v>0.02016806723</v>
      </c>
      <c r="T62" s="32">
        <f t="shared" si="57"/>
        <v>0.02827380952</v>
      </c>
    </row>
    <row r="63" ht="15.75" customHeight="1">
      <c r="A63" s="16" t="s">
        <v>19</v>
      </c>
      <c r="F63" s="23"/>
      <c r="G63" s="19">
        <f>$G$15</f>
        <v>7</v>
      </c>
      <c r="H63" s="20">
        <v>342.0</v>
      </c>
      <c r="I63" s="20">
        <v>122.0</v>
      </c>
      <c r="J63" s="20">
        <v>4.0</v>
      </c>
      <c r="K63" s="20">
        <v>12.0</v>
      </c>
      <c r="L63" s="20">
        <v>30.0</v>
      </c>
      <c r="N63" s="33"/>
      <c r="O63" s="31">
        <f>$G$15</f>
        <v>7</v>
      </c>
      <c r="P63" s="32">
        <f t="shared" ref="P63:T63" si="58">H63/A$84</f>
        <v>0.0473881114</v>
      </c>
      <c r="Q63" s="32">
        <f t="shared" si="58"/>
        <v>0.04049120478</v>
      </c>
      <c r="R63" s="32">
        <f t="shared" si="58"/>
        <v>0.05</v>
      </c>
      <c r="S63" s="32">
        <f t="shared" si="58"/>
        <v>0.02016806723</v>
      </c>
      <c r="T63" s="32">
        <f t="shared" si="58"/>
        <v>0.04464285714</v>
      </c>
    </row>
    <row r="64" ht="15.75" customHeight="1">
      <c r="A64" s="16" t="s">
        <v>20</v>
      </c>
      <c r="F64" s="23"/>
      <c r="G64" s="19">
        <f>$G$16</f>
        <v>8</v>
      </c>
      <c r="H64" s="20">
        <v>288.0</v>
      </c>
      <c r="I64" s="20">
        <v>145.0</v>
      </c>
      <c r="J64" s="20">
        <v>4.0</v>
      </c>
      <c r="K64" s="20">
        <v>37.0</v>
      </c>
      <c r="L64" s="20">
        <v>50.0</v>
      </c>
      <c r="N64" s="33"/>
      <c r="O64" s="31">
        <f>$G$16</f>
        <v>8</v>
      </c>
      <c r="P64" s="32">
        <f t="shared" ref="P64:T64" si="59">H64/A$84</f>
        <v>0.03990577802</v>
      </c>
      <c r="Q64" s="32">
        <f t="shared" si="59"/>
        <v>0.04812479257</v>
      </c>
      <c r="R64" s="32">
        <f t="shared" si="59"/>
        <v>0.05</v>
      </c>
      <c r="S64" s="32">
        <f t="shared" si="59"/>
        <v>0.06218487395</v>
      </c>
      <c r="T64" s="32">
        <f t="shared" si="59"/>
        <v>0.0744047619</v>
      </c>
    </row>
    <row r="65" ht="15.75" customHeight="1">
      <c r="A65" s="16" t="s">
        <v>21</v>
      </c>
      <c r="F65" s="23"/>
      <c r="G65" s="19">
        <f>$G$17</f>
        <v>9</v>
      </c>
      <c r="H65" s="20">
        <v>340.0</v>
      </c>
      <c r="I65" s="20">
        <v>142.0</v>
      </c>
      <c r="J65" s="20">
        <v>3.0</v>
      </c>
      <c r="K65" s="20">
        <v>38.0</v>
      </c>
      <c r="L65" s="20">
        <v>72.0</v>
      </c>
      <c r="N65" s="33"/>
      <c r="O65" s="31">
        <f>$G$17</f>
        <v>9</v>
      </c>
      <c r="P65" s="32">
        <f t="shared" ref="P65:T65" si="60">H65/A$84</f>
        <v>0.04711098795</v>
      </c>
      <c r="Q65" s="32">
        <f t="shared" si="60"/>
        <v>0.0471291072</v>
      </c>
      <c r="R65" s="32">
        <f t="shared" si="60"/>
        <v>0.0375</v>
      </c>
      <c r="S65" s="32">
        <f t="shared" si="60"/>
        <v>0.06386554622</v>
      </c>
      <c r="T65" s="32">
        <f t="shared" si="60"/>
        <v>0.1071428571</v>
      </c>
    </row>
    <row r="66" ht="15.75" customHeight="1">
      <c r="A66" s="16" t="s">
        <v>22</v>
      </c>
      <c r="F66" s="23"/>
      <c r="G66" s="19">
        <f>$G$18</f>
        <v>10</v>
      </c>
      <c r="H66" s="20">
        <v>334.0</v>
      </c>
      <c r="I66" s="20">
        <v>161.0</v>
      </c>
      <c r="J66" s="20">
        <v>6.0</v>
      </c>
      <c r="K66" s="20">
        <v>46.0</v>
      </c>
      <c r="L66" s="20">
        <v>47.0</v>
      </c>
      <c r="N66" s="33"/>
      <c r="O66" s="31">
        <f>$G$18</f>
        <v>10</v>
      </c>
      <c r="P66" s="32">
        <f t="shared" ref="P66:T66" si="61">H66/A$84</f>
        <v>0.04627961757</v>
      </c>
      <c r="Q66" s="32">
        <f t="shared" si="61"/>
        <v>0.0534351145</v>
      </c>
      <c r="R66" s="32">
        <f t="shared" si="61"/>
        <v>0.075</v>
      </c>
      <c r="S66" s="32">
        <f t="shared" si="61"/>
        <v>0.07731092437</v>
      </c>
      <c r="T66" s="32">
        <f t="shared" si="61"/>
        <v>0.06994047619</v>
      </c>
    </row>
    <row r="67" ht="15.75" customHeight="1">
      <c r="A67" s="16" t="s">
        <v>23</v>
      </c>
      <c r="F67" s="23"/>
      <c r="G67" s="19">
        <f>$G$19</f>
        <v>11</v>
      </c>
      <c r="H67" s="20">
        <v>379.0</v>
      </c>
      <c r="I67" s="20">
        <v>151.0</v>
      </c>
      <c r="J67" s="20">
        <v>1.0</v>
      </c>
      <c r="K67" s="20">
        <v>48.0</v>
      </c>
      <c r="L67" s="20">
        <v>56.0</v>
      </c>
      <c r="N67" s="33"/>
      <c r="O67" s="31">
        <f>$G$19</f>
        <v>11</v>
      </c>
      <c r="P67" s="32">
        <f t="shared" ref="P67:T67" si="62">H67/A$84</f>
        <v>0.05251489539</v>
      </c>
      <c r="Q67" s="32">
        <f t="shared" si="62"/>
        <v>0.05011616329</v>
      </c>
      <c r="R67" s="32">
        <f t="shared" si="62"/>
        <v>0.0125</v>
      </c>
      <c r="S67" s="32">
        <f t="shared" si="62"/>
        <v>0.08067226891</v>
      </c>
      <c r="T67" s="32">
        <f t="shared" si="62"/>
        <v>0.08333333333</v>
      </c>
    </row>
    <row r="68" ht="15.75" customHeight="1">
      <c r="A68" s="16" t="s">
        <v>24</v>
      </c>
      <c r="F68" s="23"/>
      <c r="G68" s="19">
        <f>$G$20</f>
        <v>12</v>
      </c>
      <c r="H68" s="20">
        <v>492.0</v>
      </c>
      <c r="I68" s="20">
        <v>163.0</v>
      </c>
      <c r="J68" s="20">
        <v>4.0</v>
      </c>
      <c r="K68" s="20">
        <v>37.0</v>
      </c>
      <c r="L68" s="20">
        <v>41.0</v>
      </c>
      <c r="N68" s="33"/>
      <c r="O68" s="31">
        <f>$G$20</f>
        <v>12</v>
      </c>
      <c r="P68" s="32">
        <f t="shared" ref="P68:T68" si="63">H68/A$84</f>
        <v>0.06817237079</v>
      </c>
      <c r="Q68" s="32">
        <f t="shared" si="63"/>
        <v>0.05409890475</v>
      </c>
      <c r="R68" s="32">
        <f t="shared" si="63"/>
        <v>0.05</v>
      </c>
      <c r="S68" s="32">
        <f t="shared" si="63"/>
        <v>0.06218487395</v>
      </c>
      <c r="T68" s="32">
        <f t="shared" si="63"/>
        <v>0.06101190476</v>
      </c>
    </row>
    <row r="69" ht="15.75" customHeight="1">
      <c r="A69" s="16" t="s">
        <v>25</v>
      </c>
      <c r="F69" s="23"/>
      <c r="G69" s="19">
        <f>$G$21</f>
        <v>13</v>
      </c>
      <c r="H69" s="20">
        <v>492.0</v>
      </c>
      <c r="I69" s="20">
        <v>202.0</v>
      </c>
      <c r="J69" s="20">
        <v>4.0</v>
      </c>
      <c r="K69" s="20">
        <v>44.0</v>
      </c>
      <c r="L69" s="20">
        <v>37.0</v>
      </c>
      <c r="N69" s="33"/>
      <c r="O69" s="31">
        <f>$G$21</f>
        <v>13</v>
      </c>
      <c r="P69" s="32">
        <f t="shared" ref="P69:T69" si="64">H69/A$84</f>
        <v>0.06817237079</v>
      </c>
      <c r="Q69" s="32">
        <f t="shared" si="64"/>
        <v>0.06704281447</v>
      </c>
      <c r="R69" s="32">
        <f t="shared" si="64"/>
        <v>0.05</v>
      </c>
      <c r="S69" s="32">
        <f t="shared" si="64"/>
        <v>0.07394957983</v>
      </c>
      <c r="T69" s="32">
        <f t="shared" si="64"/>
        <v>0.05505952381</v>
      </c>
    </row>
    <row r="70" ht="15.75" customHeight="1">
      <c r="A70" s="16" t="s">
        <v>26</v>
      </c>
      <c r="F70" s="23"/>
      <c r="G70" s="19">
        <f>$G$22</f>
        <v>14</v>
      </c>
      <c r="H70" s="20">
        <v>516.0</v>
      </c>
      <c r="I70" s="20">
        <v>289.0</v>
      </c>
      <c r="J70" s="20">
        <v>0.0</v>
      </c>
      <c r="K70" s="20">
        <v>44.0</v>
      </c>
      <c r="L70" s="20">
        <v>46.0</v>
      </c>
      <c r="N70" s="33"/>
      <c r="O70" s="31">
        <f>$G$22</f>
        <v>14</v>
      </c>
      <c r="P70" s="32">
        <f t="shared" ref="P70:T70" si="65">H70/A$84</f>
        <v>0.07149785229</v>
      </c>
      <c r="Q70" s="32">
        <f t="shared" si="65"/>
        <v>0.09591769001</v>
      </c>
      <c r="R70" s="32">
        <f t="shared" si="65"/>
        <v>0</v>
      </c>
      <c r="S70" s="32">
        <f t="shared" si="65"/>
        <v>0.07394957983</v>
      </c>
      <c r="T70" s="32">
        <f t="shared" si="65"/>
        <v>0.06845238095</v>
      </c>
    </row>
    <row r="71" ht="15.75" customHeight="1">
      <c r="A71" s="16" t="s">
        <v>27</v>
      </c>
      <c r="F71" s="23"/>
      <c r="G71" s="19">
        <f>$G$23</f>
        <v>15</v>
      </c>
      <c r="H71" s="20">
        <v>579.0</v>
      </c>
      <c r="I71" s="20">
        <v>244.0</v>
      </c>
      <c r="J71" s="20">
        <v>11.0</v>
      </c>
      <c r="K71" s="20">
        <v>49.0</v>
      </c>
      <c r="L71" s="20">
        <v>43.0</v>
      </c>
      <c r="N71" s="33"/>
      <c r="O71" s="31">
        <f>$G$23</f>
        <v>15</v>
      </c>
      <c r="P71" s="32">
        <f t="shared" ref="P71:T71" si="66">H71/A$84</f>
        <v>0.08022724124</v>
      </c>
      <c r="Q71" s="32">
        <f t="shared" si="66"/>
        <v>0.08098240956</v>
      </c>
      <c r="R71" s="32">
        <f t="shared" si="66"/>
        <v>0.1375</v>
      </c>
      <c r="S71" s="32">
        <f t="shared" si="66"/>
        <v>0.08235294118</v>
      </c>
      <c r="T71" s="32">
        <f t="shared" si="66"/>
        <v>0.06398809524</v>
      </c>
    </row>
    <row r="72" ht="15.75" customHeight="1">
      <c r="A72" s="16" t="s">
        <v>28</v>
      </c>
      <c r="F72" s="23"/>
      <c r="G72" s="19">
        <f>$G$24</f>
        <v>16</v>
      </c>
      <c r="H72" s="20">
        <v>663.0</v>
      </c>
      <c r="I72" s="20">
        <v>305.0</v>
      </c>
      <c r="J72" s="20">
        <v>7.0</v>
      </c>
      <c r="K72" s="20">
        <v>39.0</v>
      </c>
      <c r="L72" s="20">
        <v>22.0</v>
      </c>
      <c r="N72" s="33"/>
      <c r="O72" s="31">
        <f>$G$24</f>
        <v>16</v>
      </c>
      <c r="P72" s="32">
        <f t="shared" ref="P72:T72" si="67">H72/A$84</f>
        <v>0.09186642649</v>
      </c>
      <c r="Q72" s="32">
        <f t="shared" si="67"/>
        <v>0.1012280119</v>
      </c>
      <c r="R72" s="32">
        <f t="shared" si="67"/>
        <v>0.0875</v>
      </c>
      <c r="S72" s="32">
        <f t="shared" si="67"/>
        <v>0.06554621849</v>
      </c>
      <c r="T72" s="32">
        <f t="shared" si="67"/>
        <v>0.03273809524</v>
      </c>
    </row>
    <row r="73" ht="15.75" customHeight="1">
      <c r="A73" s="16" t="s">
        <v>29</v>
      </c>
      <c r="F73" s="23"/>
      <c r="G73" s="19">
        <f>$G$25</f>
        <v>17</v>
      </c>
      <c r="H73" s="20">
        <v>655.0</v>
      </c>
      <c r="I73" s="20">
        <v>281.0</v>
      </c>
      <c r="J73" s="20">
        <v>13.0</v>
      </c>
      <c r="K73" s="20">
        <v>24.0</v>
      </c>
      <c r="L73" s="20">
        <v>24.0</v>
      </c>
      <c r="N73" s="33"/>
      <c r="O73" s="31">
        <f>$G$25</f>
        <v>17</v>
      </c>
      <c r="P73" s="32">
        <f t="shared" ref="P73:T73" si="68">H73/A$84</f>
        <v>0.09075793266</v>
      </c>
      <c r="Q73" s="32">
        <f t="shared" si="68"/>
        <v>0.09326252904</v>
      </c>
      <c r="R73" s="32">
        <f t="shared" si="68"/>
        <v>0.1625</v>
      </c>
      <c r="S73" s="32">
        <f t="shared" si="68"/>
        <v>0.04033613445</v>
      </c>
      <c r="T73" s="32">
        <f t="shared" si="68"/>
        <v>0.03571428571</v>
      </c>
    </row>
    <row r="74" ht="15.75" customHeight="1">
      <c r="A74" s="16" t="s">
        <v>30</v>
      </c>
      <c r="F74" s="23"/>
      <c r="G74" s="19">
        <f>$G$26</f>
        <v>18</v>
      </c>
      <c r="H74" s="20">
        <v>568.0</v>
      </c>
      <c r="I74" s="20">
        <v>195.0</v>
      </c>
      <c r="J74" s="20">
        <v>8.0</v>
      </c>
      <c r="K74" s="20">
        <v>24.0</v>
      </c>
      <c r="L74" s="20">
        <v>27.0</v>
      </c>
      <c r="N74" s="33"/>
      <c r="O74" s="31">
        <f>$G$26</f>
        <v>18</v>
      </c>
      <c r="P74" s="32">
        <f t="shared" ref="P74:T74" si="69">H74/A$84</f>
        <v>0.07870306221</v>
      </c>
      <c r="Q74" s="32">
        <f t="shared" si="69"/>
        <v>0.06471954862</v>
      </c>
      <c r="R74" s="32">
        <f t="shared" si="69"/>
        <v>0.1</v>
      </c>
      <c r="S74" s="32">
        <f t="shared" si="69"/>
        <v>0.04033613445</v>
      </c>
      <c r="T74" s="32">
        <f t="shared" si="69"/>
        <v>0.04017857143</v>
      </c>
    </row>
    <row r="75" ht="15.75" customHeight="1">
      <c r="A75" s="16" t="s">
        <v>31</v>
      </c>
      <c r="F75" s="23"/>
      <c r="G75" s="19">
        <f>$G$27</f>
        <v>19</v>
      </c>
      <c r="H75" s="20">
        <v>357.0</v>
      </c>
      <c r="I75" s="20">
        <v>134.0</v>
      </c>
      <c r="J75" s="20">
        <v>7.0</v>
      </c>
      <c r="K75" s="20">
        <v>27.0</v>
      </c>
      <c r="L75" s="20">
        <v>18.0</v>
      </c>
      <c r="N75" s="33"/>
      <c r="O75" s="31">
        <f>$G$27</f>
        <v>19</v>
      </c>
      <c r="P75" s="32">
        <f t="shared" ref="P75:T75" si="70">H75/A$84</f>
        <v>0.04946653734</v>
      </c>
      <c r="Q75" s="32">
        <f t="shared" si="70"/>
        <v>0.04447394623</v>
      </c>
      <c r="R75" s="32">
        <f t="shared" si="70"/>
        <v>0.0875</v>
      </c>
      <c r="S75" s="32">
        <f t="shared" si="70"/>
        <v>0.04537815126</v>
      </c>
      <c r="T75" s="32">
        <f t="shared" si="70"/>
        <v>0.02678571429</v>
      </c>
    </row>
    <row r="76" ht="15.75" customHeight="1">
      <c r="A76" s="16" t="s">
        <v>32</v>
      </c>
      <c r="F76" s="23"/>
      <c r="G76" s="19">
        <f>$G$28</f>
        <v>20</v>
      </c>
      <c r="H76" s="20">
        <v>304.0</v>
      </c>
      <c r="I76" s="20">
        <v>98.0</v>
      </c>
      <c r="J76" s="20">
        <v>2.0</v>
      </c>
      <c r="K76" s="20">
        <v>22.0</v>
      </c>
      <c r="L76" s="20">
        <v>21.0</v>
      </c>
      <c r="N76" s="33"/>
      <c r="O76" s="31">
        <f>$G$28</f>
        <v>20</v>
      </c>
      <c r="P76" s="32">
        <f t="shared" ref="P76:T76" si="71">H76/A$84</f>
        <v>0.04212276569</v>
      </c>
      <c r="Q76" s="32">
        <f t="shared" si="71"/>
        <v>0.03252572187</v>
      </c>
      <c r="R76" s="32">
        <f t="shared" si="71"/>
        <v>0.025</v>
      </c>
      <c r="S76" s="32">
        <f t="shared" si="71"/>
        <v>0.03697478992</v>
      </c>
      <c r="T76" s="32">
        <f t="shared" si="71"/>
        <v>0.03125</v>
      </c>
    </row>
    <row r="77" ht="15.75" customHeight="1">
      <c r="A77" s="16" t="s">
        <v>33</v>
      </c>
      <c r="F77" s="23"/>
      <c r="G77" s="19">
        <f>$G$29</f>
        <v>21</v>
      </c>
      <c r="H77" s="20">
        <v>230.0</v>
      </c>
      <c r="I77" s="20">
        <v>64.0</v>
      </c>
      <c r="J77" s="20">
        <v>2.0</v>
      </c>
      <c r="K77" s="20">
        <v>27.0</v>
      </c>
      <c r="L77" s="20">
        <v>10.0</v>
      </c>
      <c r="N77" s="33"/>
      <c r="O77" s="31">
        <f>$G$29</f>
        <v>21</v>
      </c>
      <c r="P77" s="32">
        <f t="shared" ref="P77:T77" si="72">H77/A$84</f>
        <v>0.03186919773</v>
      </c>
      <c r="Q77" s="32">
        <f t="shared" si="72"/>
        <v>0.02124128775</v>
      </c>
      <c r="R77" s="32">
        <f t="shared" si="72"/>
        <v>0.025</v>
      </c>
      <c r="S77" s="32">
        <f t="shared" si="72"/>
        <v>0.04537815126</v>
      </c>
      <c r="T77" s="32">
        <f t="shared" si="72"/>
        <v>0.01488095238</v>
      </c>
    </row>
    <row r="78" ht="15.75" customHeight="1">
      <c r="A78" s="16" t="s">
        <v>34</v>
      </c>
      <c r="F78" s="23"/>
      <c r="G78" s="19">
        <f>$G$30</f>
        <v>22</v>
      </c>
      <c r="H78" s="20">
        <v>150.0</v>
      </c>
      <c r="I78" s="20">
        <v>55.0</v>
      </c>
      <c r="J78" s="20">
        <v>1.0</v>
      </c>
      <c r="K78" s="20">
        <v>6.0</v>
      </c>
      <c r="L78" s="20">
        <v>11.0</v>
      </c>
      <c r="N78" s="33"/>
      <c r="O78" s="31">
        <f>$G$30</f>
        <v>22</v>
      </c>
      <c r="P78" s="32">
        <f t="shared" ref="P78:T78" si="73">H78/A$84</f>
        <v>0.02078425939</v>
      </c>
      <c r="Q78" s="32">
        <f t="shared" si="73"/>
        <v>0.01825423166</v>
      </c>
      <c r="R78" s="32">
        <f t="shared" si="73"/>
        <v>0.0125</v>
      </c>
      <c r="S78" s="32">
        <f t="shared" si="73"/>
        <v>0.01008403361</v>
      </c>
      <c r="T78" s="32">
        <f t="shared" si="73"/>
        <v>0.01636904762</v>
      </c>
    </row>
    <row r="79" ht="15.75" customHeight="1">
      <c r="A79" s="16" t="s">
        <v>35</v>
      </c>
      <c r="F79" s="27"/>
      <c r="G79" s="19">
        <f>$G$31</f>
        <v>23</v>
      </c>
      <c r="H79" s="20">
        <v>100.0</v>
      </c>
      <c r="I79" s="20">
        <v>35.0</v>
      </c>
      <c r="J79" s="20">
        <v>0.0</v>
      </c>
      <c r="K79" s="20">
        <v>11.0</v>
      </c>
      <c r="L79" s="20">
        <v>23.0</v>
      </c>
      <c r="N79" s="37"/>
      <c r="O79" s="31">
        <f>$G$31</f>
        <v>23</v>
      </c>
      <c r="P79" s="32">
        <f t="shared" ref="P79:T79" si="74">H79/A$84</f>
        <v>0.01385617293</v>
      </c>
      <c r="Q79" s="32">
        <f t="shared" si="74"/>
        <v>0.01161632924</v>
      </c>
      <c r="R79" s="32">
        <f t="shared" si="74"/>
        <v>0</v>
      </c>
      <c r="S79" s="32">
        <f t="shared" si="74"/>
        <v>0.01848739496</v>
      </c>
      <c r="T79" s="32">
        <f t="shared" si="74"/>
        <v>0.03422619048</v>
      </c>
    </row>
    <row r="80" ht="15.75" customHeight="1">
      <c r="A80" s="16" t="s">
        <v>36</v>
      </c>
      <c r="F80" s="18">
        <v>45197.0</v>
      </c>
      <c r="G80" s="19">
        <f>$G$8</f>
        <v>0</v>
      </c>
      <c r="H80" s="38">
        <v>66.0</v>
      </c>
      <c r="I80" s="38">
        <v>19.0</v>
      </c>
      <c r="J80" s="38">
        <v>1.0</v>
      </c>
      <c r="K80" s="38">
        <v>13.0</v>
      </c>
      <c r="L80" s="38">
        <v>7.0</v>
      </c>
      <c r="N80" s="18">
        <v>45197.0</v>
      </c>
      <c r="O80" s="31">
        <f>$G$8</f>
        <v>0</v>
      </c>
      <c r="P80" s="32">
        <f t="shared" ref="P80:T80" si="75">H80/A$111</f>
        <v>0.007421567525</v>
      </c>
      <c r="Q80" s="32">
        <f t="shared" si="75"/>
        <v>0.005743651753</v>
      </c>
      <c r="R80" s="32">
        <f t="shared" si="75"/>
        <v>0.005235602094</v>
      </c>
      <c r="S80" s="32">
        <f t="shared" si="75"/>
        <v>0.02476190476</v>
      </c>
      <c r="T80" s="32">
        <f t="shared" si="75"/>
        <v>0.0128440367</v>
      </c>
    </row>
    <row r="81" ht="15.75" customHeight="1">
      <c r="A81" s="16" t="s">
        <v>37</v>
      </c>
      <c r="F81" s="23"/>
      <c r="G81" s="19">
        <f>$G$9</f>
        <v>1</v>
      </c>
      <c r="H81" s="38">
        <v>45.0</v>
      </c>
      <c r="I81" s="38">
        <v>13.0</v>
      </c>
      <c r="J81" s="38">
        <v>0.0</v>
      </c>
      <c r="K81" s="38">
        <v>7.0</v>
      </c>
      <c r="L81" s="38">
        <v>8.0</v>
      </c>
      <c r="N81" s="23"/>
      <c r="O81" s="31">
        <f>$G$9</f>
        <v>1</v>
      </c>
      <c r="P81" s="32">
        <f t="shared" ref="P81:T81" si="76">H81/A$111</f>
        <v>0.005060159676</v>
      </c>
      <c r="Q81" s="32">
        <f t="shared" si="76"/>
        <v>0.003929866989</v>
      </c>
      <c r="R81" s="32">
        <f t="shared" si="76"/>
        <v>0</v>
      </c>
      <c r="S81" s="32">
        <f t="shared" si="76"/>
        <v>0.01333333333</v>
      </c>
      <c r="T81" s="32">
        <f t="shared" si="76"/>
        <v>0.01467889908</v>
      </c>
    </row>
    <row r="82" ht="15.75" customHeight="1">
      <c r="A82" s="16" t="s">
        <v>38</v>
      </c>
      <c r="F82" s="23"/>
      <c r="G82" s="19">
        <f>$G$10</f>
        <v>2</v>
      </c>
      <c r="H82" s="38">
        <v>23.0</v>
      </c>
      <c r="I82" s="38">
        <v>10.0</v>
      </c>
      <c r="J82" s="38">
        <v>0.0</v>
      </c>
      <c r="K82" s="38">
        <v>8.0</v>
      </c>
      <c r="L82" s="38">
        <v>7.0</v>
      </c>
      <c r="N82" s="23"/>
      <c r="O82" s="31">
        <f>$G$10</f>
        <v>2</v>
      </c>
      <c r="P82" s="32">
        <f t="shared" ref="P82:T82" si="77">H82/A$111</f>
        <v>0.002586303834</v>
      </c>
      <c r="Q82" s="32">
        <f t="shared" si="77"/>
        <v>0.003022974607</v>
      </c>
      <c r="R82" s="32">
        <f t="shared" si="77"/>
        <v>0</v>
      </c>
      <c r="S82" s="32">
        <f t="shared" si="77"/>
        <v>0.01523809524</v>
      </c>
      <c r="T82" s="32">
        <f t="shared" si="77"/>
        <v>0.0128440367</v>
      </c>
    </row>
    <row r="83" ht="15.75" customHeight="1">
      <c r="A83" s="16" t="s">
        <v>39</v>
      </c>
      <c r="F83" s="23"/>
      <c r="G83" s="19">
        <f>$G$11</f>
        <v>3</v>
      </c>
      <c r="H83" s="38">
        <v>16.0</v>
      </c>
      <c r="I83" s="38">
        <v>12.0</v>
      </c>
      <c r="J83" s="38">
        <v>0.0</v>
      </c>
      <c r="K83" s="38">
        <v>3.0</v>
      </c>
      <c r="L83" s="38">
        <v>15.0</v>
      </c>
      <c r="N83" s="23"/>
      <c r="O83" s="31">
        <f>$G$11</f>
        <v>3</v>
      </c>
      <c r="P83" s="32">
        <f t="shared" ref="P83:T83" si="78">H83/A$111</f>
        <v>0.001799167885</v>
      </c>
      <c r="Q83" s="32">
        <f t="shared" si="78"/>
        <v>0.003627569528</v>
      </c>
      <c r="R83" s="32">
        <f t="shared" si="78"/>
        <v>0</v>
      </c>
      <c r="S83" s="32">
        <f t="shared" si="78"/>
        <v>0.005714285714</v>
      </c>
      <c r="T83" s="32">
        <f t="shared" si="78"/>
        <v>0.02752293578</v>
      </c>
    </row>
    <row r="84" ht="15.75" customHeight="1">
      <c r="A84" s="26">
        <f t="shared" ref="A84:E84" si="79">SUM(H56:H79)</f>
        <v>7217</v>
      </c>
      <c r="B84" s="26">
        <f t="shared" si="79"/>
        <v>3013</v>
      </c>
      <c r="C84" s="26">
        <f t="shared" si="79"/>
        <v>80</v>
      </c>
      <c r="D84" s="26">
        <f t="shared" si="79"/>
        <v>595</v>
      </c>
      <c r="E84" s="26">
        <f t="shared" si="79"/>
        <v>672</v>
      </c>
      <c r="F84" s="23"/>
      <c r="G84" s="19">
        <f>$G$12</f>
        <v>4</v>
      </c>
      <c r="H84" s="38">
        <v>32.0</v>
      </c>
      <c r="I84" s="38">
        <v>17.0</v>
      </c>
      <c r="J84" s="38">
        <v>0.0</v>
      </c>
      <c r="K84" s="38">
        <v>5.0</v>
      </c>
      <c r="L84" s="38">
        <v>12.0</v>
      </c>
      <c r="N84" s="23"/>
      <c r="O84" s="31">
        <f>$G$12</f>
        <v>4</v>
      </c>
      <c r="P84" s="32">
        <f t="shared" ref="P84:T84" si="80">H84/A$111</f>
        <v>0.00359833577</v>
      </c>
      <c r="Q84" s="32">
        <f t="shared" si="80"/>
        <v>0.005139056832</v>
      </c>
      <c r="R84" s="32">
        <f t="shared" si="80"/>
        <v>0</v>
      </c>
      <c r="S84" s="32">
        <f t="shared" si="80"/>
        <v>0.009523809524</v>
      </c>
      <c r="T84" s="32">
        <f t="shared" si="80"/>
        <v>0.02201834862</v>
      </c>
    </row>
    <row r="85" ht="15.75" customHeight="1">
      <c r="F85" s="23"/>
      <c r="G85" s="19">
        <f>$G$13</f>
        <v>5</v>
      </c>
      <c r="H85" s="38">
        <v>78.0</v>
      </c>
      <c r="I85" s="38">
        <v>29.0</v>
      </c>
      <c r="J85" s="38">
        <v>0.0</v>
      </c>
      <c r="K85" s="38">
        <v>7.0</v>
      </c>
      <c r="L85" s="38">
        <v>26.0</v>
      </c>
      <c r="N85" s="23"/>
      <c r="O85" s="31">
        <f>$G$13</f>
        <v>5</v>
      </c>
      <c r="P85" s="32">
        <f t="shared" ref="P85:T85" si="81">H85/A$111</f>
        <v>0.008770943439</v>
      </c>
      <c r="Q85" s="32">
        <f t="shared" si="81"/>
        <v>0.00876662636</v>
      </c>
      <c r="R85" s="32">
        <f t="shared" si="81"/>
        <v>0</v>
      </c>
      <c r="S85" s="32">
        <f t="shared" si="81"/>
        <v>0.01333333333</v>
      </c>
      <c r="T85" s="32">
        <f t="shared" si="81"/>
        <v>0.04770642202</v>
      </c>
      <c r="V85" s="25">
        <f>$H$7</f>
        <v>31</v>
      </c>
      <c r="W85" s="25">
        <f>$I$7</f>
        <v>32</v>
      </c>
      <c r="X85" s="25">
        <f>$J$7</f>
        <v>41</v>
      </c>
      <c r="Y85" s="25">
        <f>$K$7</f>
        <v>42</v>
      </c>
      <c r="Z85" s="25">
        <f>$L$7</f>
        <v>5</v>
      </c>
    </row>
    <row r="86" ht="15.75" customHeight="1">
      <c r="A86" s="16" t="s">
        <v>40</v>
      </c>
      <c r="F86" s="23"/>
      <c r="G86" s="19">
        <f>$G$14</f>
        <v>6</v>
      </c>
      <c r="H86" s="38">
        <v>246.0</v>
      </c>
      <c r="I86" s="38">
        <v>150.0</v>
      </c>
      <c r="J86" s="38">
        <v>0.0</v>
      </c>
      <c r="K86" s="38">
        <v>7.0</v>
      </c>
      <c r="L86" s="38">
        <v>21.0</v>
      </c>
      <c r="N86" s="23"/>
      <c r="O86" s="31">
        <f>$G$14</f>
        <v>6</v>
      </c>
      <c r="P86" s="32">
        <f t="shared" ref="P86:T86" si="82">H86/A$111</f>
        <v>0.02766220623</v>
      </c>
      <c r="Q86" s="32">
        <f t="shared" si="82"/>
        <v>0.04534461911</v>
      </c>
      <c r="R86" s="32">
        <f t="shared" si="82"/>
        <v>0</v>
      </c>
      <c r="S86" s="32">
        <f t="shared" si="82"/>
        <v>0.01333333333</v>
      </c>
      <c r="T86" s="32">
        <f t="shared" si="82"/>
        <v>0.03853211009</v>
      </c>
    </row>
    <row r="87" ht="15.75" customHeight="1">
      <c r="A87" s="16" t="s">
        <v>41</v>
      </c>
      <c r="F87" s="23"/>
      <c r="G87" s="19">
        <f>$G$15</f>
        <v>7</v>
      </c>
      <c r="H87" s="38">
        <v>370.0</v>
      </c>
      <c r="I87" s="38">
        <v>167.0</v>
      </c>
      <c r="J87" s="38">
        <v>3.0</v>
      </c>
      <c r="K87" s="38">
        <v>22.0</v>
      </c>
      <c r="L87" s="38">
        <v>28.0</v>
      </c>
      <c r="N87" s="23"/>
      <c r="O87" s="31">
        <f>$G$15</f>
        <v>7</v>
      </c>
      <c r="P87" s="32">
        <f t="shared" ref="P87:T87" si="83">H87/A$111</f>
        <v>0.04160575734</v>
      </c>
      <c r="Q87" s="32">
        <f t="shared" si="83"/>
        <v>0.05048367594</v>
      </c>
      <c r="R87" s="32">
        <f t="shared" si="83"/>
        <v>0.01570680628</v>
      </c>
      <c r="S87" s="32">
        <f t="shared" si="83"/>
        <v>0.0419047619</v>
      </c>
      <c r="T87" s="32">
        <f t="shared" si="83"/>
        <v>0.05137614679</v>
      </c>
    </row>
    <row r="88" ht="15.75" customHeight="1">
      <c r="A88" s="16" t="s">
        <v>42</v>
      </c>
      <c r="F88" s="23"/>
      <c r="G88" s="19">
        <f>$G$16</f>
        <v>8</v>
      </c>
      <c r="H88" s="38">
        <v>355.0</v>
      </c>
      <c r="I88" s="38">
        <v>138.0</v>
      </c>
      <c r="J88" s="38">
        <v>17.0</v>
      </c>
      <c r="K88" s="38">
        <v>25.0</v>
      </c>
      <c r="L88" s="38">
        <v>32.0</v>
      </c>
      <c r="N88" s="23"/>
      <c r="O88" s="31">
        <f>$G$16</f>
        <v>8</v>
      </c>
      <c r="P88" s="32">
        <f t="shared" ref="P88:T88" si="84">H88/A$111</f>
        <v>0.03991903745</v>
      </c>
      <c r="Q88" s="32">
        <f t="shared" si="84"/>
        <v>0.04171704958</v>
      </c>
      <c r="R88" s="32">
        <f t="shared" si="84"/>
        <v>0.0890052356</v>
      </c>
      <c r="S88" s="32">
        <f t="shared" si="84"/>
        <v>0.04761904762</v>
      </c>
      <c r="T88" s="32">
        <f t="shared" si="84"/>
        <v>0.05871559633</v>
      </c>
    </row>
    <row r="89" ht="15.75" customHeight="1">
      <c r="A89" s="16" t="s">
        <v>43</v>
      </c>
      <c r="F89" s="23"/>
      <c r="G89" s="19">
        <f>$G$17</f>
        <v>9</v>
      </c>
      <c r="H89" s="38">
        <v>369.0</v>
      </c>
      <c r="I89" s="38">
        <v>165.0</v>
      </c>
      <c r="J89" s="38">
        <v>23.0</v>
      </c>
      <c r="K89" s="38">
        <v>41.0</v>
      </c>
      <c r="L89" s="38">
        <v>48.0</v>
      </c>
      <c r="N89" s="23"/>
      <c r="O89" s="31">
        <f>$G$17</f>
        <v>9</v>
      </c>
      <c r="P89" s="32">
        <f t="shared" ref="P89:T89" si="85">H89/A$111</f>
        <v>0.04149330934</v>
      </c>
      <c r="Q89" s="32">
        <f t="shared" si="85"/>
        <v>0.04987908102</v>
      </c>
      <c r="R89" s="32">
        <f t="shared" si="85"/>
        <v>0.1204188482</v>
      </c>
      <c r="S89" s="32">
        <f t="shared" si="85"/>
        <v>0.0780952381</v>
      </c>
      <c r="T89" s="32">
        <f t="shared" si="85"/>
        <v>0.0880733945</v>
      </c>
    </row>
    <row r="90" ht="15.75" customHeight="1">
      <c r="A90" s="16" t="s">
        <v>44</v>
      </c>
      <c r="F90" s="23"/>
      <c r="G90" s="19">
        <f>$G$18</f>
        <v>10</v>
      </c>
      <c r="H90" s="38">
        <v>379.0</v>
      </c>
      <c r="I90" s="38">
        <v>183.0</v>
      </c>
      <c r="J90" s="38">
        <v>8.0</v>
      </c>
      <c r="K90" s="38">
        <v>43.0</v>
      </c>
      <c r="L90" s="38">
        <v>52.0</v>
      </c>
      <c r="N90" s="23"/>
      <c r="O90" s="31">
        <f>$G$18</f>
        <v>10</v>
      </c>
      <c r="P90" s="32">
        <f t="shared" ref="P90:T90" si="86">H90/A$111</f>
        <v>0.04261778927</v>
      </c>
      <c r="Q90" s="32">
        <f t="shared" si="86"/>
        <v>0.05532043531</v>
      </c>
      <c r="R90" s="32">
        <f t="shared" si="86"/>
        <v>0.04188481675</v>
      </c>
      <c r="S90" s="32">
        <f t="shared" si="86"/>
        <v>0.0819047619</v>
      </c>
      <c r="T90" s="32">
        <f t="shared" si="86"/>
        <v>0.09541284404</v>
      </c>
    </row>
    <row r="91" ht="15.75" customHeight="1">
      <c r="A91" s="16" t="s">
        <v>45</v>
      </c>
      <c r="F91" s="23"/>
      <c r="G91" s="19">
        <f>$G$19</f>
        <v>11</v>
      </c>
      <c r="H91" s="38">
        <v>414.0</v>
      </c>
      <c r="I91" s="38">
        <v>161.0</v>
      </c>
      <c r="J91" s="38">
        <v>3.0</v>
      </c>
      <c r="K91" s="38">
        <v>32.0</v>
      </c>
      <c r="L91" s="38">
        <v>42.0</v>
      </c>
      <c r="N91" s="23"/>
      <c r="O91" s="31">
        <f>$G$19</f>
        <v>11</v>
      </c>
      <c r="P91" s="32">
        <f t="shared" ref="P91:T91" si="87">H91/A$111</f>
        <v>0.04655346902</v>
      </c>
      <c r="Q91" s="32">
        <f t="shared" si="87"/>
        <v>0.04866989117</v>
      </c>
      <c r="R91" s="32">
        <f t="shared" si="87"/>
        <v>0.01570680628</v>
      </c>
      <c r="S91" s="32">
        <f t="shared" si="87"/>
        <v>0.06095238095</v>
      </c>
      <c r="T91" s="32">
        <f t="shared" si="87"/>
        <v>0.07706422018</v>
      </c>
    </row>
    <row r="92" ht="15.75" customHeight="1">
      <c r="A92" s="16" t="s">
        <v>46</v>
      </c>
      <c r="F92" s="23"/>
      <c r="G92" s="19">
        <f>$G$20</f>
        <v>12</v>
      </c>
      <c r="H92" s="38">
        <v>466.0</v>
      </c>
      <c r="I92" s="38">
        <v>179.0</v>
      </c>
      <c r="J92" s="38">
        <v>24.0</v>
      </c>
      <c r="K92" s="38">
        <v>31.0</v>
      </c>
      <c r="L92" s="38">
        <v>48.0</v>
      </c>
      <c r="N92" s="23"/>
      <c r="O92" s="31">
        <f>$G$20</f>
        <v>12</v>
      </c>
      <c r="P92" s="32">
        <f t="shared" ref="P92:T92" si="88">H92/A$111</f>
        <v>0.05240076465</v>
      </c>
      <c r="Q92" s="32">
        <f t="shared" si="88"/>
        <v>0.05411124547</v>
      </c>
      <c r="R92" s="32">
        <f t="shared" si="88"/>
        <v>0.1256544503</v>
      </c>
      <c r="S92" s="32">
        <f t="shared" si="88"/>
        <v>0.05904761905</v>
      </c>
      <c r="T92" s="32">
        <f t="shared" si="88"/>
        <v>0.0880733945</v>
      </c>
    </row>
    <row r="93" ht="15.75" customHeight="1">
      <c r="A93" s="16" t="s">
        <v>47</v>
      </c>
      <c r="F93" s="23"/>
      <c r="G93" s="19">
        <f>$G$21</f>
        <v>13</v>
      </c>
      <c r="H93" s="38">
        <v>516.0</v>
      </c>
      <c r="I93" s="38">
        <v>235.0</v>
      </c>
      <c r="J93" s="38">
        <v>37.0</v>
      </c>
      <c r="K93" s="38">
        <v>50.0</v>
      </c>
      <c r="L93" s="38">
        <v>30.0</v>
      </c>
      <c r="N93" s="23"/>
      <c r="O93" s="31">
        <f>$G$21</f>
        <v>13</v>
      </c>
      <c r="P93" s="32">
        <f t="shared" ref="P93:T93" si="89">H93/A$111</f>
        <v>0.05802316429</v>
      </c>
      <c r="Q93" s="32">
        <f t="shared" si="89"/>
        <v>0.07103990326</v>
      </c>
      <c r="R93" s="32">
        <f t="shared" si="89"/>
        <v>0.1937172775</v>
      </c>
      <c r="S93" s="32">
        <f t="shared" si="89"/>
        <v>0.09523809524</v>
      </c>
      <c r="T93" s="32">
        <f t="shared" si="89"/>
        <v>0.05504587156</v>
      </c>
    </row>
    <row r="94" ht="15.75" customHeight="1">
      <c r="A94" s="16" t="s">
        <v>48</v>
      </c>
      <c r="F94" s="23"/>
      <c r="G94" s="19">
        <f>$G$22</f>
        <v>14</v>
      </c>
      <c r="H94" s="38">
        <v>590.0</v>
      </c>
      <c r="I94" s="38">
        <v>248.0</v>
      </c>
      <c r="J94" s="38">
        <v>2.0</v>
      </c>
      <c r="K94" s="38">
        <v>38.0</v>
      </c>
      <c r="L94" s="38">
        <v>37.0</v>
      </c>
      <c r="N94" s="23"/>
      <c r="O94" s="31">
        <f>$G$22</f>
        <v>14</v>
      </c>
      <c r="P94" s="32">
        <f t="shared" ref="P94:T94" si="90">H94/A$111</f>
        <v>0.06634431575</v>
      </c>
      <c r="Q94" s="32">
        <f t="shared" si="90"/>
        <v>0.07496977025</v>
      </c>
      <c r="R94" s="32">
        <f t="shared" si="90"/>
        <v>0.01047120419</v>
      </c>
      <c r="S94" s="32">
        <f t="shared" si="90"/>
        <v>0.07238095238</v>
      </c>
      <c r="T94" s="32">
        <f t="shared" si="90"/>
        <v>0.06788990826</v>
      </c>
    </row>
    <row r="95" ht="15.75" customHeight="1">
      <c r="A95" s="16" t="s">
        <v>49</v>
      </c>
      <c r="F95" s="23"/>
      <c r="G95" s="19">
        <f>$G$23</f>
        <v>15</v>
      </c>
      <c r="H95" s="38">
        <v>771.0</v>
      </c>
      <c r="I95" s="38">
        <v>305.0</v>
      </c>
      <c r="J95" s="38">
        <v>14.0</v>
      </c>
      <c r="K95" s="38">
        <v>31.0</v>
      </c>
      <c r="L95" s="38">
        <v>37.0</v>
      </c>
      <c r="N95" s="23"/>
      <c r="O95" s="31">
        <f>$G$23</f>
        <v>15</v>
      </c>
      <c r="P95" s="32">
        <f t="shared" ref="P95:T95" si="91">H95/A$111</f>
        <v>0.08669740245</v>
      </c>
      <c r="Q95" s="32">
        <f t="shared" si="91"/>
        <v>0.09220072551</v>
      </c>
      <c r="R95" s="32">
        <f t="shared" si="91"/>
        <v>0.07329842932</v>
      </c>
      <c r="S95" s="32">
        <f t="shared" si="91"/>
        <v>0.05904761905</v>
      </c>
      <c r="T95" s="32">
        <f t="shared" si="91"/>
        <v>0.06788990826</v>
      </c>
    </row>
    <row r="96" ht="15.75" customHeight="1">
      <c r="A96" s="16" t="s">
        <v>50</v>
      </c>
      <c r="F96" s="23"/>
      <c r="G96" s="19">
        <f>$G$24</f>
        <v>16</v>
      </c>
      <c r="H96" s="38">
        <v>793.0</v>
      </c>
      <c r="I96" s="38">
        <v>290.0</v>
      </c>
      <c r="J96" s="38">
        <v>13.0</v>
      </c>
      <c r="K96" s="38">
        <v>35.0</v>
      </c>
      <c r="L96" s="38">
        <v>26.0</v>
      </c>
      <c r="N96" s="23"/>
      <c r="O96" s="31">
        <f>$G$24</f>
        <v>16</v>
      </c>
      <c r="P96" s="32">
        <f t="shared" ref="P96:T96" si="92">H96/A$111</f>
        <v>0.08917125829</v>
      </c>
      <c r="Q96" s="32">
        <f t="shared" si="92"/>
        <v>0.0876662636</v>
      </c>
      <c r="R96" s="32">
        <f t="shared" si="92"/>
        <v>0.06806282723</v>
      </c>
      <c r="S96" s="32">
        <f t="shared" si="92"/>
        <v>0.06666666667</v>
      </c>
      <c r="T96" s="32">
        <f t="shared" si="92"/>
        <v>0.04770642202</v>
      </c>
    </row>
    <row r="97" ht="15.75" customHeight="1">
      <c r="A97" s="16" t="s">
        <v>51</v>
      </c>
      <c r="F97" s="23"/>
      <c r="G97" s="19">
        <f>$G$25</f>
        <v>17</v>
      </c>
      <c r="H97" s="38">
        <v>828.0</v>
      </c>
      <c r="I97" s="38">
        <v>284.0</v>
      </c>
      <c r="J97" s="38">
        <v>19.0</v>
      </c>
      <c r="K97" s="38">
        <v>24.0</v>
      </c>
      <c r="L97" s="38">
        <v>13.0</v>
      </c>
      <c r="N97" s="23"/>
      <c r="O97" s="31">
        <f>$G$25</f>
        <v>17</v>
      </c>
      <c r="P97" s="32">
        <f t="shared" ref="P97:T97" si="93">H97/A$111</f>
        <v>0.09310693804</v>
      </c>
      <c r="Q97" s="32">
        <f t="shared" si="93"/>
        <v>0.08585247884</v>
      </c>
      <c r="R97" s="32">
        <f t="shared" si="93"/>
        <v>0.09947643979</v>
      </c>
      <c r="S97" s="32">
        <f t="shared" si="93"/>
        <v>0.04571428571</v>
      </c>
      <c r="T97" s="32">
        <f t="shared" si="93"/>
        <v>0.02385321101</v>
      </c>
    </row>
    <row r="98" ht="15.75" customHeight="1">
      <c r="A98" s="16" t="s">
        <v>52</v>
      </c>
      <c r="F98" s="23"/>
      <c r="G98" s="19">
        <f>$G$26</f>
        <v>18</v>
      </c>
      <c r="H98" s="38">
        <v>752.0</v>
      </c>
      <c r="I98" s="38">
        <v>205.0</v>
      </c>
      <c r="J98" s="38">
        <v>6.0</v>
      </c>
      <c r="K98" s="38">
        <v>29.0</v>
      </c>
      <c r="L98" s="38">
        <v>12.0</v>
      </c>
      <c r="N98" s="23"/>
      <c r="O98" s="31">
        <f>$G$26</f>
        <v>18</v>
      </c>
      <c r="P98" s="32">
        <f t="shared" ref="P98:T98" si="94">H98/A$111</f>
        <v>0.08456089059</v>
      </c>
      <c r="Q98" s="32">
        <f t="shared" si="94"/>
        <v>0.06197097944</v>
      </c>
      <c r="R98" s="32">
        <f t="shared" si="94"/>
        <v>0.03141361257</v>
      </c>
      <c r="S98" s="32">
        <f t="shared" si="94"/>
        <v>0.05523809524</v>
      </c>
      <c r="T98" s="32">
        <f t="shared" si="94"/>
        <v>0.02201834862</v>
      </c>
    </row>
    <row r="99" ht="15.75" customHeight="1">
      <c r="A99" s="16" t="s">
        <v>53</v>
      </c>
      <c r="F99" s="23"/>
      <c r="G99" s="19">
        <f>$G$27</f>
        <v>19</v>
      </c>
      <c r="H99" s="38">
        <v>546.0</v>
      </c>
      <c r="I99" s="38">
        <v>130.0</v>
      </c>
      <c r="J99" s="38">
        <v>9.0</v>
      </c>
      <c r="K99" s="38">
        <v>15.0</v>
      </c>
      <c r="L99" s="38">
        <v>11.0</v>
      </c>
      <c r="N99" s="23"/>
      <c r="O99" s="31">
        <f>$G$27</f>
        <v>19</v>
      </c>
      <c r="P99" s="32">
        <f t="shared" ref="P99:T99" si="95">H99/A$111</f>
        <v>0.06139660407</v>
      </c>
      <c r="Q99" s="32">
        <f t="shared" si="95"/>
        <v>0.03929866989</v>
      </c>
      <c r="R99" s="32">
        <f t="shared" si="95"/>
        <v>0.04712041885</v>
      </c>
      <c r="S99" s="32">
        <f t="shared" si="95"/>
        <v>0.02857142857</v>
      </c>
      <c r="T99" s="32">
        <f t="shared" si="95"/>
        <v>0.02018348624</v>
      </c>
    </row>
    <row r="100" ht="15.75" customHeight="1">
      <c r="A100" s="16" t="s">
        <v>54</v>
      </c>
      <c r="F100" s="23"/>
      <c r="G100" s="19">
        <f>$G$28</f>
        <v>20</v>
      </c>
      <c r="H100" s="38">
        <v>434.0</v>
      </c>
      <c r="I100" s="38">
        <v>123.0</v>
      </c>
      <c r="J100" s="38">
        <v>9.0</v>
      </c>
      <c r="K100" s="38">
        <v>20.0</v>
      </c>
      <c r="L100" s="38">
        <v>16.0</v>
      </c>
      <c r="N100" s="23"/>
      <c r="O100" s="31">
        <f>$G$28</f>
        <v>20</v>
      </c>
      <c r="P100" s="32">
        <f t="shared" ref="P100:T100" si="96">H100/A$111</f>
        <v>0.04880242888</v>
      </c>
      <c r="Q100" s="32">
        <f t="shared" si="96"/>
        <v>0.03718258767</v>
      </c>
      <c r="R100" s="32">
        <f t="shared" si="96"/>
        <v>0.04712041885</v>
      </c>
      <c r="S100" s="32">
        <f t="shared" si="96"/>
        <v>0.0380952381</v>
      </c>
      <c r="T100" s="32">
        <f t="shared" si="96"/>
        <v>0.02935779817</v>
      </c>
    </row>
    <row r="101" ht="15.75" customHeight="1">
      <c r="A101" s="16" t="s">
        <v>55</v>
      </c>
      <c r="F101" s="23"/>
      <c r="G101" s="19">
        <f>$G$29</f>
        <v>21</v>
      </c>
      <c r="H101" s="38">
        <v>355.0</v>
      </c>
      <c r="I101" s="38">
        <v>80.0</v>
      </c>
      <c r="J101" s="38">
        <v>2.0</v>
      </c>
      <c r="K101" s="38">
        <v>18.0</v>
      </c>
      <c r="L101" s="38">
        <v>8.0</v>
      </c>
      <c r="N101" s="23"/>
      <c r="O101" s="31">
        <f>$G$29</f>
        <v>21</v>
      </c>
      <c r="P101" s="32">
        <f t="shared" ref="P101:T101" si="97">H101/A$111</f>
        <v>0.03991903745</v>
      </c>
      <c r="Q101" s="32">
        <f t="shared" si="97"/>
        <v>0.02418379686</v>
      </c>
      <c r="R101" s="32">
        <f t="shared" si="97"/>
        <v>0.01047120419</v>
      </c>
      <c r="S101" s="32">
        <f t="shared" si="97"/>
        <v>0.03428571429</v>
      </c>
      <c r="T101" s="32">
        <f t="shared" si="97"/>
        <v>0.01467889908</v>
      </c>
    </row>
    <row r="102" ht="15.75" customHeight="1">
      <c r="A102" s="16" t="s">
        <v>56</v>
      </c>
      <c r="F102" s="23"/>
      <c r="G102" s="19">
        <f>$G$30</f>
        <v>22</v>
      </c>
      <c r="H102" s="38">
        <v>268.0</v>
      </c>
      <c r="I102" s="38">
        <v>81.0</v>
      </c>
      <c r="J102" s="38">
        <v>1.0</v>
      </c>
      <c r="K102" s="38">
        <v>13.0</v>
      </c>
      <c r="L102" s="38">
        <v>8.0</v>
      </c>
      <c r="N102" s="23"/>
      <c r="O102" s="31">
        <f>$G$30</f>
        <v>22</v>
      </c>
      <c r="P102" s="32">
        <f t="shared" ref="P102:T102" si="98">H102/A$111</f>
        <v>0.03013606207</v>
      </c>
      <c r="Q102" s="32">
        <f t="shared" si="98"/>
        <v>0.02448609432</v>
      </c>
      <c r="R102" s="32">
        <f t="shared" si="98"/>
        <v>0.005235602094</v>
      </c>
      <c r="S102" s="32">
        <f t="shared" si="98"/>
        <v>0.02476190476</v>
      </c>
      <c r="T102" s="32">
        <f t="shared" si="98"/>
        <v>0.01467889908</v>
      </c>
    </row>
    <row r="103" ht="15.75" customHeight="1">
      <c r="A103" s="16" t="s">
        <v>57</v>
      </c>
      <c r="F103" s="27"/>
      <c r="G103" s="19">
        <f>$G$31</f>
        <v>23</v>
      </c>
      <c r="H103" s="38">
        <v>181.0</v>
      </c>
      <c r="I103" s="38">
        <v>84.0</v>
      </c>
      <c r="J103" s="38">
        <v>0.0</v>
      </c>
      <c r="K103" s="38">
        <v>8.0</v>
      </c>
      <c r="L103" s="38">
        <v>1.0</v>
      </c>
      <c r="N103" s="27"/>
      <c r="O103" s="31">
        <f>$G$31</f>
        <v>23</v>
      </c>
      <c r="P103" s="32">
        <f t="shared" ref="P103:T103" si="99">H103/A$111</f>
        <v>0.0203530867</v>
      </c>
      <c r="Q103" s="32">
        <f t="shared" si="99"/>
        <v>0.0253929867</v>
      </c>
      <c r="R103" s="32">
        <f t="shared" si="99"/>
        <v>0</v>
      </c>
      <c r="S103" s="32">
        <f t="shared" si="99"/>
        <v>0.01523809524</v>
      </c>
      <c r="T103" s="32">
        <f t="shared" si="99"/>
        <v>0.001834862385</v>
      </c>
    </row>
    <row r="104" ht="15.75" customHeight="1">
      <c r="A104" s="16" t="s">
        <v>58</v>
      </c>
      <c r="F104" s="39">
        <v>45198.0</v>
      </c>
      <c r="G104" s="19">
        <f>$G$8</f>
        <v>0</v>
      </c>
      <c r="H104" s="38">
        <v>144.0</v>
      </c>
      <c r="I104" s="38">
        <v>28.0</v>
      </c>
      <c r="J104" s="38">
        <v>5.0</v>
      </c>
      <c r="K104" s="38">
        <v>2.0</v>
      </c>
      <c r="L104" s="38">
        <v>4.0</v>
      </c>
      <c r="N104" s="39">
        <v>45198.0</v>
      </c>
      <c r="O104" s="31">
        <f>$G$8</f>
        <v>0</v>
      </c>
      <c r="P104" s="32">
        <f t="shared" ref="P104:T104" si="100">H104/A$135</f>
        <v>0.01486528337</v>
      </c>
      <c r="Q104" s="32">
        <f t="shared" si="100"/>
        <v>0.009985734665</v>
      </c>
      <c r="R104" s="32">
        <f t="shared" si="100"/>
        <v>0.08333333333</v>
      </c>
      <c r="S104" s="32">
        <f t="shared" si="100"/>
        <v>0.00826446281</v>
      </c>
      <c r="T104" s="32">
        <f t="shared" si="100"/>
        <v>0.02469135802</v>
      </c>
    </row>
    <row r="105" ht="15.75" customHeight="1">
      <c r="A105" s="16" t="s">
        <v>59</v>
      </c>
      <c r="F105" s="23"/>
      <c r="G105" s="19">
        <f>$G$9</f>
        <v>1</v>
      </c>
      <c r="H105" s="38">
        <v>105.0</v>
      </c>
      <c r="I105" s="38">
        <v>30.0</v>
      </c>
      <c r="J105" s="38">
        <v>3.0</v>
      </c>
      <c r="K105" s="38">
        <v>6.0</v>
      </c>
      <c r="L105" s="38">
        <v>3.0</v>
      </c>
      <c r="N105" s="23"/>
      <c r="O105" s="31">
        <f>$G$9</f>
        <v>1</v>
      </c>
      <c r="P105" s="32">
        <f t="shared" ref="P105:T105" si="101">H105/A$135</f>
        <v>0.01083926912</v>
      </c>
      <c r="Q105" s="32">
        <f t="shared" si="101"/>
        <v>0.01069900143</v>
      </c>
      <c r="R105" s="32">
        <f t="shared" si="101"/>
        <v>0.05</v>
      </c>
      <c r="S105" s="32">
        <f t="shared" si="101"/>
        <v>0.02479338843</v>
      </c>
      <c r="T105" s="32">
        <f t="shared" si="101"/>
        <v>0.01851851852</v>
      </c>
    </row>
    <row r="106" ht="15.75" customHeight="1">
      <c r="A106" s="16" t="s">
        <v>60</v>
      </c>
      <c r="F106" s="23"/>
      <c r="G106" s="19">
        <f>$G$10</f>
        <v>2</v>
      </c>
      <c r="H106" s="38">
        <v>67.0</v>
      </c>
      <c r="I106" s="38">
        <v>16.0</v>
      </c>
      <c r="J106" s="38">
        <v>2.0</v>
      </c>
      <c r="K106" s="38">
        <v>6.0</v>
      </c>
      <c r="L106" s="38">
        <v>2.0</v>
      </c>
      <c r="N106" s="23"/>
      <c r="O106" s="31">
        <f>$G$10</f>
        <v>2</v>
      </c>
      <c r="P106" s="32">
        <f t="shared" ref="P106:T106" si="102">H106/A$135</f>
        <v>0.006916486012</v>
      </c>
      <c r="Q106" s="32">
        <f t="shared" si="102"/>
        <v>0.005706134094</v>
      </c>
      <c r="R106" s="32">
        <f t="shared" si="102"/>
        <v>0.03333333333</v>
      </c>
      <c r="S106" s="32">
        <f t="shared" si="102"/>
        <v>0.02479338843</v>
      </c>
      <c r="T106" s="32">
        <f t="shared" si="102"/>
        <v>0.01234567901</v>
      </c>
    </row>
    <row r="107" ht="15.75" customHeight="1">
      <c r="A107" s="16" t="s">
        <v>61</v>
      </c>
      <c r="F107" s="23"/>
      <c r="G107" s="19">
        <f>$G$11</f>
        <v>3</v>
      </c>
      <c r="H107" s="38">
        <v>43.0</v>
      </c>
      <c r="I107" s="38">
        <v>9.0</v>
      </c>
      <c r="J107" s="38">
        <v>0.0</v>
      </c>
      <c r="K107" s="38">
        <v>2.0</v>
      </c>
      <c r="L107" s="38">
        <v>11.0</v>
      </c>
      <c r="N107" s="23"/>
      <c r="O107" s="31">
        <f>$G$11</f>
        <v>3</v>
      </c>
      <c r="P107" s="32">
        <f t="shared" ref="P107:T107" si="103">H107/A$135</f>
        <v>0.004438938784</v>
      </c>
      <c r="Q107" s="32">
        <f t="shared" si="103"/>
        <v>0.003209700428</v>
      </c>
      <c r="R107" s="32">
        <f t="shared" si="103"/>
        <v>0</v>
      </c>
      <c r="S107" s="32">
        <f t="shared" si="103"/>
        <v>0.00826446281</v>
      </c>
      <c r="T107" s="32">
        <f t="shared" si="103"/>
        <v>0.06790123457</v>
      </c>
    </row>
    <row r="108" ht="15.75" customHeight="1">
      <c r="A108" s="16" t="s">
        <v>62</v>
      </c>
      <c r="F108" s="23"/>
      <c r="G108" s="19">
        <f>$G$12</f>
        <v>4</v>
      </c>
      <c r="H108" s="38">
        <v>36.0</v>
      </c>
      <c r="I108" s="38">
        <v>11.0</v>
      </c>
      <c r="J108" s="38">
        <v>2.0</v>
      </c>
      <c r="K108" s="38">
        <v>2.0</v>
      </c>
      <c r="L108" s="38">
        <v>8.0</v>
      </c>
      <c r="N108" s="23"/>
      <c r="O108" s="31">
        <f>$G$12</f>
        <v>4</v>
      </c>
      <c r="P108" s="32">
        <f t="shared" ref="P108:T108" si="104">H108/A$135</f>
        <v>0.003716320842</v>
      </c>
      <c r="Q108" s="32">
        <f t="shared" si="104"/>
        <v>0.00392296719</v>
      </c>
      <c r="R108" s="32">
        <f t="shared" si="104"/>
        <v>0.03333333333</v>
      </c>
      <c r="S108" s="32">
        <f t="shared" si="104"/>
        <v>0.00826446281</v>
      </c>
      <c r="T108" s="32">
        <f t="shared" si="104"/>
        <v>0.04938271605</v>
      </c>
    </row>
    <row r="109" ht="15.75" customHeight="1">
      <c r="A109" s="16" t="s">
        <v>63</v>
      </c>
      <c r="F109" s="23"/>
      <c r="G109" s="19">
        <f>$G$13</f>
        <v>5</v>
      </c>
      <c r="H109" s="38">
        <v>74.0</v>
      </c>
      <c r="I109" s="38">
        <v>24.0</v>
      </c>
      <c r="J109" s="38">
        <v>0.0</v>
      </c>
      <c r="K109" s="38">
        <v>2.0</v>
      </c>
      <c r="L109" s="38">
        <v>13.0</v>
      </c>
      <c r="N109" s="23"/>
      <c r="O109" s="31">
        <f>$G$13</f>
        <v>5</v>
      </c>
      <c r="P109" s="32">
        <f t="shared" ref="P109:T109" si="105">H109/A$135</f>
        <v>0.007639103954</v>
      </c>
      <c r="Q109" s="32">
        <f t="shared" si="105"/>
        <v>0.008559201141</v>
      </c>
      <c r="R109" s="32">
        <f t="shared" si="105"/>
        <v>0</v>
      </c>
      <c r="S109" s="32">
        <f t="shared" si="105"/>
        <v>0.00826446281</v>
      </c>
      <c r="T109" s="32">
        <f t="shared" si="105"/>
        <v>0.08024691358</v>
      </c>
    </row>
    <row r="110" ht="15.75" customHeight="1">
      <c r="F110" s="23"/>
      <c r="G110" s="19">
        <f>$G$14</f>
        <v>6</v>
      </c>
      <c r="H110" s="38">
        <v>182.0</v>
      </c>
      <c r="I110" s="38">
        <v>103.0</v>
      </c>
      <c r="J110" s="38">
        <v>1.0</v>
      </c>
      <c r="K110" s="38">
        <v>8.0</v>
      </c>
      <c r="L110" s="38">
        <v>6.0</v>
      </c>
      <c r="N110" s="23"/>
      <c r="O110" s="31">
        <f>$G$14</f>
        <v>6</v>
      </c>
      <c r="P110" s="32">
        <f t="shared" ref="P110:T110" si="106">H110/A$135</f>
        <v>0.01878806648</v>
      </c>
      <c r="Q110" s="32">
        <f t="shared" si="106"/>
        <v>0.03673323823</v>
      </c>
      <c r="R110" s="32">
        <f t="shared" si="106"/>
        <v>0.01666666667</v>
      </c>
      <c r="S110" s="32">
        <f t="shared" si="106"/>
        <v>0.03305785124</v>
      </c>
      <c r="T110" s="32">
        <f t="shared" si="106"/>
        <v>0.03703703704</v>
      </c>
    </row>
    <row r="111" ht="15.75" customHeight="1">
      <c r="A111" s="26">
        <f t="shared" ref="A111:E111" si="107">SUM(H80:H103)</f>
        <v>8893</v>
      </c>
      <c r="B111" s="26">
        <f t="shared" si="107"/>
        <v>3308</v>
      </c>
      <c r="C111" s="26">
        <f t="shared" si="107"/>
        <v>191</v>
      </c>
      <c r="D111" s="26">
        <f t="shared" si="107"/>
        <v>525</v>
      </c>
      <c r="E111" s="26">
        <f t="shared" si="107"/>
        <v>545</v>
      </c>
      <c r="F111" s="23"/>
      <c r="G111" s="19">
        <f>$G$15</f>
        <v>7</v>
      </c>
      <c r="H111" s="38">
        <v>240.0</v>
      </c>
      <c r="I111" s="38">
        <v>104.0</v>
      </c>
      <c r="J111" s="38">
        <v>0.0</v>
      </c>
      <c r="K111" s="38">
        <v>16.0</v>
      </c>
      <c r="L111" s="38">
        <v>8.0</v>
      </c>
      <c r="N111" s="23"/>
      <c r="O111" s="31">
        <f>$G$15</f>
        <v>7</v>
      </c>
      <c r="P111" s="32">
        <f t="shared" ref="P111:T111" si="108">H111/A$135</f>
        <v>0.02477547228</v>
      </c>
      <c r="Q111" s="32">
        <f t="shared" si="108"/>
        <v>0.03708987161</v>
      </c>
      <c r="R111" s="32">
        <f t="shared" si="108"/>
        <v>0</v>
      </c>
      <c r="S111" s="32">
        <f t="shared" si="108"/>
        <v>0.06611570248</v>
      </c>
      <c r="T111" s="32">
        <f t="shared" si="108"/>
        <v>0.04938271605</v>
      </c>
      <c r="U111" s="25">
        <f>$H$7</f>
        <v>31</v>
      </c>
      <c r="V111" s="25">
        <f>$I$7</f>
        <v>32</v>
      </c>
      <c r="W111" s="25">
        <f>$J$7</f>
        <v>41</v>
      </c>
      <c r="X111" s="25">
        <f>$K$7</f>
        <v>42</v>
      </c>
      <c r="Y111" s="25">
        <f>$L$7</f>
        <v>5</v>
      </c>
    </row>
    <row r="112" ht="15.75" customHeight="1">
      <c r="F112" s="23"/>
      <c r="G112" s="19">
        <f>$G$16</f>
        <v>8</v>
      </c>
      <c r="H112" s="38">
        <v>255.0</v>
      </c>
      <c r="I112" s="38">
        <v>97.0</v>
      </c>
      <c r="J112" s="38">
        <v>5.0</v>
      </c>
      <c r="K112" s="38">
        <v>16.0</v>
      </c>
      <c r="L112" s="38">
        <v>9.0</v>
      </c>
      <c r="N112" s="23"/>
      <c r="O112" s="31">
        <f>$G$16</f>
        <v>8</v>
      </c>
      <c r="P112" s="32">
        <f t="shared" ref="P112:T112" si="109">H112/A$135</f>
        <v>0.0263239393</v>
      </c>
      <c r="Q112" s="32">
        <f t="shared" si="109"/>
        <v>0.03459343795</v>
      </c>
      <c r="R112" s="32">
        <f t="shared" si="109"/>
        <v>0.08333333333</v>
      </c>
      <c r="S112" s="32">
        <f t="shared" si="109"/>
        <v>0.06611570248</v>
      </c>
      <c r="T112" s="32">
        <f t="shared" si="109"/>
        <v>0.05555555556</v>
      </c>
    </row>
    <row r="113" ht="15.75" customHeight="1">
      <c r="F113" s="23"/>
      <c r="G113" s="19">
        <f>$G$17</f>
        <v>9</v>
      </c>
      <c r="H113" s="38">
        <v>360.0</v>
      </c>
      <c r="I113" s="38">
        <v>129.0</v>
      </c>
      <c r="J113" s="38">
        <v>3.0</v>
      </c>
      <c r="K113" s="38">
        <v>14.0</v>
      </c>
      <c r="L113" s="38">
        <v>10.0</v>
      </c>
      <c r="N113" s="23"/>
      <c r="O113" s="31">
        <f>$G$17</f>
        <v>9</v>
      </c>
      <c r="P113" s="32">
        <f t="shared" ref="P113:T113" si="110">H113/A$135</f>
        <v>0.03716320842</v>
      </c>
      <c r="Q113" s="32">
        <f t="shared" si="110"/>
        <v>0.04600570613</v>
      </c>
      <c r="R113" s="32">
        <f t="shared" si="110"/>
        <v>0.05</v>
      </c>
      <c r="S113" s="32">
        <f t="shared" si="110"/>
        <v>0.05785123967</v>
      </c>
      <c r="T113" s="32">
        <f t="shared" si="110"/>
        <v>0.06172839506</v>
      </c>
    </row>
    <row r="114" ht="15.75" customHeight="1">
      <c r="F114" s="23"/>
      <c r="G114" s="19">
        <f>$G$18</f>
        <v>10</v>
      </c>
      <c r="H114" s="38">
        <v>448.0</v>
      </c>
      <c r="I114" s="38">
        <v>165.0</v>
      </c>
      <c r="J114" s="38">
        <v>3.0</v>
      </c>
      <c r="K114" s="38">
        <v>20.0</v>
      </c>
      <c r="L114" s="38">
        <v>15.0</v>
      </c>
      <c r="N114" s="23"/>
      <c r="O114" s="31">
        <f>$G$18</f>
        <v>10</v>
      </c>
      <c r="P114" s="32">
        <f t="shared" ref="P114:T114" si="111">H114/A$135</f>
        <v>0.04624754826</v>
      </c>
      <c r="Q114" s="32">
        <f t="shared" si="111"/>
        <v>0.05884450785</v>
      </c>
      <c r="R114" s="32">
        <f t="shared" si="111"/>
        <v>0.05</v>
      </c>
      <c r="S114" s="32">
        <f t="shared" si="111"/>
        <v>0.0826446281</v>
      </c>
      <c r="T114" s="32">
        <f t="shared" si="111"/>
        <v>0.09259259259</v>
      </c>
    </row>
    <row r="115" ht="15.75" customHeight="1">
      <c r="F115" s="23"/>
      <c r="G115" s="19">
        <f>$G$19</f>
        <v>11</v>
      </c>
      <c r="H115" s="38">
        <v>520.0</v>
      </c>
      <c r="I115" s="38">
        <v>162.0</v>
      </c>
      <c r="J115" s="38">
        <v>2.0</v>
      </c>
      <c r="K115" s="38">
        <v>17.0</v>
      </c>
      <c r="L115" s="38">
        <v>14.0</v>
      </c>
      <c r="N115" s="23"/>
      <c r="O115" s="31">
        <f>$G$19</f>
        <v>11</v>
      </c>
      <c r="P115" s="32">
        <f t="shared" ref="P115:T115" si="112">H115/A$135</f>
        <v>0.05368018995</v>
      </c>
      <c r="Q115" s="32">
        <f t="shared" si="112"/>
        <v>0.0577746077</v>
      </c>
      <c r="R115" s="32">
        <f t="shared" si="112"/>
        <v>0.03333333333</v>
      </c>
      <c r="S115" s="32">
        <f t="shared" si="112"/>
        <v>0.07024793388</v>
      </c>
      <c r="T115" s="32">
        <f t="shared" si="112"/>
        <v>0.08641975309</v>
      </c>
    </row>
    <row r="116" ht="15.75" customHeight="1">
      <c r="F116" s="23"/>
      <c r="G116" s="19">
        <f>$G$20</f>
        <v>12</v>
      </c>
      <c r="H116" s="38">
        <v>556.0</v>
      </c>
      <c r="I116" s="38">
        <v>164.0</v>
      </c>
      <c r="J116" s="38">
        <v>4.0</v>
      </c>
      <c r="K116" s="38">
        <v>21.0</v>
      </c>
      <c r="L116" s="38">
        <v>12.0</v>
      </c>
      <c r="N116" s="23"/>
      <c r="O116" s="31">
        <f>$G$20</f>
        <v>12</v>
      </c>
      <c r="P116" s="32">
        <f t="shared" ref="P116:T116" si="113">H116/A$135</f>
        <v>0.05739651079</v>
      </c>
      <c r="Q116" s="32">
        <f t="shared" si="113"/>
        <v>0.05848787447</v>
      </c>
      <c r="R116" s="32">
        <f t="shared" si="113"/>
        <v>0.06666666667</v>
      </c>
      <c r="S116" s="32">
        <f t="shared" si="113"/>
        <v>0.0867768595</v>
      </c>
      <c r="T116" s="32">
        <f t="shared" si="113"/>
        <v>0.07407407407</v>
      </c>
    </row>
    <row r="117" ht="15.75" customHeight="1">
      <c r="F117" s="23"/>
      <c r="G117" s="19">
        <f>$G$21</f>
        <v>13</v>
      </c>
      <c r="H117" s="38">
        <v>673.0</v>
      </c>
      <c r="I117" s="38">
        <v>194.0</v>
      </c>
      <c r="J117" s="38">
        <v>2.0</v>
      </c>
      <c r="K117" s="38">
        <v>22.0</v>
      </c>
      <c r="L117" s="38">
        <v>11.0</v>
      </c>
      <c r="N117" s="23"/>
      <c r="O117" s="31">
        <f>$G$21</f>
        <v>13</v>
      </c>
      <c r="P117" s="32">
        <f t="shared" ref="P117:T117" si="114">H117/A$135</f>
        <v>0.06947455353</v>
      </c>
      <c r="Q117" s="32">
        <f t="shared" si="114"/>
        <v>0.06918687589</v>
      </c>
      <c r="R117" s="32">
        <f t="shared" si="114"/>
        <v>0.03333333333</v>
      </c>
      <c r="S117" s="32">
        <f t="shared" si="114"/>
        <v>0.09090909091</v>
      </c>
      <c r="T117" s="32">
        <f t="shared" si="114"/>
        <v>0.06790123457</v>
      </c>
    </row>
    <row r="118" ht="15.75" customHeight="1">
      <c r="F118" s="23"/>
      <c r="G118" s="19">
        <f>$G$22</f>
        <v>14</v>
      </c>
      <c r="H118" s="38">
        <v>708.0</v>
      </c>
      <c r="I118" s="38">
        <v>212.0</v>
      </c>
      <c r="J118" s="38">
        <v>2.0</v>
      </c>
      <c r="K118" s="38">
        <v>21.0</v>
      </c>
      <c r="L118" s="38">
        <v>5.0</v>
      </c>
      <c r="N118" s="23"/>
      <c r="O118" s="31">
        <f>$G$22</f>
        <v>14</v>
      </c>
      <c r="P118" s="32">
        <f t="shared" ref="P118:T118" si="115">H118/A$135</f>
        <v>0.07308764323</v>
      </c>
      <c r="Q118" s="32">
        <f t="shared" si="115"/>
        <v>0.07560627675</v>
      </c>
      <c r="R118" s="32">
        <f t="shared" si="115"/>
        <v>0.03333333333</v>
      </c>
      <c r="S118" s="32">
        <f t="shared" si="115"/>
        <v>0.0867768595</v>
      </c>
      <c r="T118" s="32">
        <f t="shared" si="115"/>
        <v>0.03086419753</v>
      </c>
    </row>
    <row r="119" ht="15.75" customHeight="1">
      <c r="F119" s="23"/>
      <c r="G119" s="19">
        <f>$G$23</f>
        <v>15</v>
      </c>
      <c r="H119" s="38">
        <v>826.0</v>
      </c>
      <c r="I119" s="38">
        <v>195.0</v>
      </c>
      <c r="J119" s="38">
        <v>12.0</v>
      </c>
      <c r="K119" s="38">
        <v>13.0</v>
      </c>
      <c r="L119" s="38">
        <v>5.0</v>
      </c>
      <c r="N119" s="23"/>
      <c r="O119" s="31">
        <f>$G$23</f>
        <v>15</v>
      </c>
      <c r="P119" s="32">
        <f t="shared" ref="P119:T119" si="116">H119/A$135</f>
        <v>0.08526891711</v>
      </c>
      <c r="Q119" s="32">
        <f t="shared" si="116"/>
        <v>0.06954350927</v>
      </c>
      <c r="R119" s="32">
        <f t="shared" si="116"/>
        <v>0.2</v>
      </c>
      <c r="S119" s="32">
        <f t="shared" si="116"/>
        <v>0.05371900826</v>
      </c>
      <c r="T119" s="32">
        <f t="shared" si="116"/>
        <v>0.03086419753</v>
      </c>
    </row>
    <row r="120" ht="15.75" customHeight="1">
      <c r="F120" s="23"/>
      <c r="G120" s="19">
        <f>$G$24</f>
        <v>16</v>
      </c>
      <c r="H120" s="38">
        <v>862.0</v>
      </c>
      <c r="I120" s="38">
        <v>240.0</v>
      </c>
      <c r="J120" s="38">
        <v>1.0</v>
      </c>
      <c r="K120" s="38">
        <v>8.0</v>
      </c>
      <c r="L120" s="38">
        <v>2.0</v>
      </c>
      <c r="N120" s="23"/>
      <c r="O120" s="31">
        <f>$G$24</f>
        <v>16</v>
      </c>
      <c r="P120" s="32">
        <f t="shared" ref="P120:T120" si="117">H120/A$135</f>
        <v>0.08898523795</v>
      </c>
      <c r="Q120" s="32">
        <f t="shared" si="117"/>
        <v>0.08559201141</v>
      </c>
      <c r="R120" s="32">
        <f t="shared" si="117"/>
        <v>0.01666666667</v>
      </c>
      <c r="S120" s="32">
        <f t="shared" si="117"/>
        <v>0.03305785124</v>
      </c>
      <c r="T120" s="32">
        <f t="shared" si="117"/>
        <v>0.01234567901</v>
      </c>
    </row>
    <row r="121" ht="15.75" customHeight="1">
      <c r="F121" s="23"/>
      <c r="G121" s="19">
        <f>$G$25</f>
        <v>17</v>
      </c>
      <c r="H121" s="38">
        <v>743.0</v>
      </c>
      <c r="I121" s="38">
        <v>206.0</v>
      </c>
      <c r="J121" s="38">
        <v>6.0</v>
      </c>
      <c r="K121" s="38">
        <v>11.0</v>
      </c>
      <c r="L121" s="38">
        <v>3.0</v>
      </c>
      <c r="N121" s="23"/>
      <c r="O121" s="31">
        <f>$G$25</f>
        <v>17</v>
      </c>
      <c r="P121" s="32">
        <f t="shared" ref="P121:T121" si="118">H121/A$135</f>
        <v>0.07670073294</v>
      </c>
      <c r="Q121" s="32">
        <f t="shared" si="118"/>
        <v>0.07346647646</v>
      </c>
      <c r="R121" s="32">
        <f t="shared" si="118"/>
        <v>0.1</v>
      </c>
      <c r="S121" s="32">
        <f t="shared" si="118"/>
        <v>0.04545454545</v>
      </c>
      <c r="T121" s="32">
        <f t="shared" si="118"/>
        <v>0.01851851852</v>
      </c>
    </row>
    <row r="122" ht="15.75" customHeight="1">
      <c r="F122" s="23"/>
      <c r="G122" s="19">
        <f>$G$26</f>
        <v>18</v>
      </c>
      <c r="H122" s="38">
        <v>609.0</v>
      </c>
      <c r="I122" s="38">
        <v>171.0</v>
      </c>
      <c r="J122" s="38">
        <v>2.0</v>
      </c>
      <c r="K122" s="38">
        <v>5.0</v>
      </c>
      <c r="L122" s="38">
        <v>7.0</v>
      </c>
      <c r="N122" s="23"/>
      <c r="O122" s="31">
        <f>$G$26</f>
        <v>18</v>
      </c>
      <c r="P122" s="32">
        <f t="shared" ref="P122:T122" si="119">H122/A$135</f>
        <v>0.06286776092</v>
      </c>
      <c r="Q122" s="32">
        <f t="shared" si="119"/>
        <v>0.06098430813</v>
      </c>
      <c r="R122" s="32">
        <f t="shared" si="119"/>
        <v>0.03333333333</v>
      </c>
      <c r="S122" s="32">
        <f t="shared" si="119"/>
        <v>0.02066115702</v>
      </c>
      <c r="T122" s="32">
        <f t="shared" si="119"/>
        <v>0.04320987654</v>
      </c>
    </row>
    <row r="123" ht="15.75" customHeight="1">
      <c r="F123" s="23"/>
      <c r="G123" s="19">
        <f>$G$27</f>
        <v>19</v>
      </c>
      <c r="H123" s="38">
        <v>572.0</v>
      </c>
      <c r="I123" s="38">
        <v>131.0</v>
      </c>
      <c r="J123" s="38">
        <v>0.0</v>
      </c>
      <c r="K123" s="38">
        <v>8.0</v>
      </c>
      <c r="L123" s="38">
        <v>4.0</v>
      </c>
      <c r="N123" s="23"/>
      <c r="O123" s="31">
        <f>$G$27</f>
        <v>19</v>
      </c>
      <c r="P123" s="32">
        <f t="shared" ref="P123:T123" si="120">H123/A$135</f>
        <v>0.05904820894</v>
      </c>
      <c r="Q123" s="32">
        <f t="shared" si="120"/>
        <v>0.0467189729</v>
      </c>
      <c r="R123" s="32">
        <f t="shared" si="120"/>
        <v>0</v>
      </c>
      <c r="S123" s="32">
        <f t="shared" si="120"/>
        <v>0.03305785124</v>
      </c>
      <c r="T123" s="32">
        <f t="shared" si="120"/>
        <v>0.02469135802</v>
      </c>
    </row>
    <row r="124" ht="15.75" customHeight="1">
      <c r="F124" s="23"/>
      <c r="G124" s="19">
        <f>$G$28</f>
        <v>20</v>
      </c>
      <c r="H124" s="38">
        <v>537.0</v>
      </c>
      <c r="I124" s="38">
        <v>132.0</v>
      </c>
      <c r="J124" s="38">
        <v>1.0</v>
      </c>
      <c r="K124" s="38">
        <v>8.0</v>
      </c>
      <c r="L124" s="38">
        <v>3.0</v>
      </c>
      <c r="N124" s="23"/>
      <c r="O124" s="31">
        <f>$G$28</f>
        <v>20</v>
      </c>
      <c r="P124" s="32">
        <f t="shared" ref="P124:T124" si="121">H124/A$135</f>
        <v>0.05543511923</v>
      </c>
      <c r="Q124" s="32">
        <f t="shared" si="121"/>
        <v>0.04707560628</v>
      </c>
      <c r="R124" s="32">
        <f t="shared" si="121"/>
        <v>0.01666666667</v>
      </c>
      <c r="S124" s="32">
        <f t="shared" si="121"/>
        <v>0.03305785124</v>
      </c>
      <c r="T124" s="32">
        <f t="shared" si="121"/>
        <v>0.01851851852</v>
      </c>
    </row>
    <row r="125" ht="15.75" customHeight="1">
      <c r="F125" s="23"/>
      <c r="G125" s="19">
        <f>$G$29</f>
        <v>21</v>
      </c>
      <c r="H125" s="38">
        <v>474.0</v>
      </c>
      <c r="I125" s="38">
        <v>114.0</v>
      </c>
      <c r="J125" s="38">
        <v>3.0</v>
      </c>
      <c r="K125" s="38">
        <v>10.0</v>
      </c>
      <c r="L125" s="38">
        <v>3.0</v>
      </c>
      <c r="N125" s="23"/>
      <c r="O125" s="31">
        <f>$G$29</f>
        <v>21</v>
      </c>
      <c r="P125" s="32">
        <f t="shared" ref="P125:T125" si="122">H125/A$135</f>
        <v>0.04893155776</v>
      </c>
      <c r="Q125" s="32">
        <f t="shared" si="122"/>
        <v>0.04065620542</v>
      </c>
      <c r="R125" s="32">
        <f t="shared" si="122"/>
        <v>0.05</v>
      </c>
      <c r="S125" s="32">
        <f t="shared" si="122"/>
        <v>0.04132231405</v>
      </c>
      <c r="T125" s="32">
        <f t="shared" si="122"/>
        <v>0.01851851852</v>
      </c>
    </row>
    <row r="126" ht="15.75" customHeight="1">
      <c r="F126" s="23"/>
      <c r="G126" s="19">
        <f>$G$30</f>
        <v>22</v>
      </c>
      <c r="H126" s="38">
        <v>383.0</v>
      </c>
      <c r="I126" s="38">
        <v>99.0</v>
      </c>
      <c r="J126" s="38">
        <v>0.0</v>
      </c>
      <c r="K126" s="38">
        <v>2.0</v>
      </c>
      <c r="L126" s="38">
        <v>2.0</v>
      </c>
      <c r="N126" s="23"/>
      <c r="O126" s="31">
        <f>$G$30</f>
        <v>22</v>
      </c>
      <c r="P126" s="32">
        <f t="shared" ref="P126:T126" si="123">H126/A$135</f>
        <v>0.03953752452</v>
      </c>
      <c r="Q126" s="32">
        <f t="shared" si="123"/>
        <v>0.03530670471</v>
      </c>
      <c r="R126" s="32">
        <f t="shared" si="123"/>
        <v>0</v>
      </c>
      <c r="S126" s="32">
        <f t="shared" si="123"/>
        <v>0.00826446281</v>
      </c>
      <c r="T126" s="32">
        <f t="shared" si="123"/>
        <v>0.01234567901</v>
      </c>
    </row>
    <row r="127" ht="15.75" customHeight="1">
      <c r="F127" s="27"/>
      <c r="G127" s="19">
        <f>$G$31</f>
        <v>23</v>
      </c>
      <c r="H127" s="38">
        <v>270.0</v>
      </c>
      <c r="I127" s="38">
        <v>68.0</v>
      </c>
      <c r="J127" s="38">
        <v>1.0</v>
      </c>
      <c r="K127" s="38">
        <v>2.0</v>
      </c>
      <c r="L127" s="38">
        <v>2.0</v>
      </c>
      <c r="N127" s="27"/>
      <c r="O127" s="31">
        <f>$G$31</f>
        <v>23</v>
      </c>
      <c r="P127" s="32">
        <f t="shared" ref="P127:T127" si="124">H127/A$135</f>
        <v>0.02787240632</v>
      </c>
      <c r="Q127" s="32">
        <f t="shared" si="124"/>
        <v>0.0242510699</v>
      </c>
      <c r="R127" s="32">
        <f t="shared" si="124"/>
        <v>0.01666666667</v>
      </c>
      <c r="S127" s="32">
        <f t="shared" si="124"/>
        <v>0.00826446281</v>
      </c>
      <c r="T127" s="32">
        <f t="shared" si="124"/>
        <v>0.01234567901</v>
      </c>
    </row>
    <row r="128" ht="15.75" customHeight="1">
      <c r="F128" s="39">
        <v>45199.0</v>
      </c>
      <c r="G128" s="19">
        <f>$G$8</f>
        <v>0</v>
      </c>
      <c r="H128" s="20">
        <v>200.0</v>
      </c>
      <c r="I128" s="20">
        <v>38.0</v>
      </c>
      <c r="J128" s="20">
        <v>3.0</v>
      </c>
      <c r="K128" s="20">
        <v>2.0</v>
      </c>
      <c r="L128" s="20">
        <v>3.0</v>
      </c>
      <c r="N128" s="39">
        <v>45199.0</v>
      </c>
      <c r="O128" s="31">
        <f>$G$8</f>
        <v>0</v>
      </c>
      <c r="P128" s="32">
        <f t="shared" ref="P128:T128" si="125">H128/A$161</f>
        <v>0.01537751807</v>
      </c>
      <c r="Q128" s="32">
        <f t="shared" si="125"/>
        <v>0.01141483929</v>
      </c>
      <c r="R128" s="32">
        <f t="shared" si="125"/>
        <v>0.05555555556</v>
      </c>
      <c r="S128" s="32">
        <f t="shared" si="125"/>
        <v>0.01117318436</v>
      </c>
      <c r="T128" s="32">
        <f t="shared" si="125"/>
        <v>0.03658536585</v>
      </c>
    </row>
    <row r="129" ht="15.75" customHeight="1">
      <c r="F129" s="23"/>
      <c r="G129" s="19">
        <f>$G$9</f>
        <v>1</v>
      </c>
      <c r="H129" s="20">
        <v>130.0</v>
      </c>
      <c r="I129" s="20">
        <v>12.0</v>
      </c>
      <c r="J129" s="20">
        <v>1.0</v>
      </c>
      <c r="K129" s="20">
        <v>4.0</v>
      </c>
      <c r="L129" s="20">
        <v>3.0</v>
      </c>
      <c r="N129" s="23"/>
      <c r="O129" s="31">
        <f>$G$9</f>
        <v>1</v>
      </c>
      <c r="P129" s="32">
        <f t="shared" ref="P129:T129" si="126">H129/A$161</f>
        <v>0.009995386745</v>
      </c>
      <c r="Q129" s="32">
        <f t="shared" si="126"/>
        <v>0.003604686092</v>
      </c>
      <c r="R129" s="32">
        <f t="shared" si="126"/>
        <v>0.01851851852</v>
      </c>
      <c r="S129" s="32">
        <f t="shared" si="126"/>
        <v>0.02234636872</v>
      </c>
      <c r="T129" s="32">
        <f t="shared" si="126"/>
        <v>0.03658536585</v>
      </c>
    </row>
    <row r="130" ht="15.75" customHeight="1">
      <c r="F130" s="23"/>
      <c r="G130" s="19">
        <f>$G$10</f>
        <v>2</v>
      </c>
      <c r="H130" s="16">
        <v>71.0</v>
      </c>
      <c r="I130" s="16">
        <v>20.0</v>
      </c>
      <c r="J130" s="16">
        <v>2.0</v>
      </c>
      <c r="K130" s="16">
        <v>6.0</v>
      </c>
      <c r="L130" s="16">
        <v>2.0</v>
      </c>
      <c r="N130" s="23"/>
      <c r="O130" s="31">
        <f>$G$10</f>
        <v>2</v>
      </c>
      <c r="P130" s="32">
        <f t="shared" ref="P130:T130" si="127">H130/A$161</f>
        <v>0.005459018914</v>
      </c>
      <c r="Q130" s="32">
        <f t="shared" si="127"/>
        <v>0.006007810153</v>
      </c>
      <c r="R130" s="32">
        <f t="shared" si="127"/>
        <v>0.03703703704</v>
      </c>
      <c r="S130" s="32">
        <f t="shared" si="127"/>
        <v>0.03351955307</v>
      </c>
      <c r="T130" s="32">
        <f t="shared" si="127"/>
        <v>0.0243902439</v>
      </c>
    </row>
    <row r="131" ht="15.75" customHeight="1">
      <c r="F131" s="23"/>
      <c r="G131" s="19">
        <f>$G$11</f>
        <v>3</v>
      </c>
      <c r="H131" s="20">
        <v>60.0</v>
      </c>
      <c r="I131" s="20">
        <v>12.0</v>
      </c>
      <c r="J131" s="20">
        <v>2.0</v>
      </c>
      <c r="K131" s="20">
        <v>1.0</v>
      </c>
      <c r="L131" s="20">
        <v>1.0</v>
      </c>
      <c r="N131" s="23"/>
      <c r="O131" s="31">
        <f>$G$11</f>
        <v>3</v>
      </c>
      <c r="P131" s="32">
        <f t="shared" ref="P131:T131" si="128">H131/A$161</f>
        <v>0.004613255421</v>
      </c>
      <c r="Q131" s="32">
        <f t="shared" si="128"/>
        <v>0.003604686092</v>
      </c>
      <c r="R131" s="32">
        <f t="shared" si="128"/>
        <v>0.03703703704</v>
      </c>
      <c r="S131" s="32">
        <f t="shared" si="128"/>
        <v>0.005586592179</v>
      </c>
      <c r="T131" s="32">
        <f t="shared" si="128"/>
        <v>0.01219512195</v>
      </c>
    </row>
    <row r="132" ht="15.75" customHeight="1">
      <c r="F132" s="23"/>
      <c r="G132" s="19">
        <f>$G$12</f>
        <v>4</v>
      </c>
      <c r="H132" s="20">
        <v>51.0</v>
      </c>
      <c r="I132" s="20">
        <v>9.0</v>
      </c>
      <c r="J132" s="20">
        <v>2.0</v>
      </c>
      <c r="K132" s="20">
        <v>2.0</v>
      </c>
      <c r="L132" s="20">
        <v>2.0</v>
      </c>
      <c r="N132" s="23"/>
      <c r="O132" s="31">
        <f>$G$12</f>
        <v>4</v>
      </c>
      <c r="P132" s="32">
        <f t="shared" ref="P132:T132" si="129">H132/A$161</f>
        <v>0.003921267107</v>
      </c>
      <c r="Q132" s="32">
        <f t="shared" si="129"/>
        <v>0.002703514569</v>
      </c>
      <c r="R132" s="32">
        <f t="shared" si="129"/>
        <v>0.03703703704</v>
      </c>
      <c r="S132" s="32">
        <f t="shared" si="129"/>
        <v>0.01117318436</v>
      </c>
      <c r="T132" s="32">
        <f t="shared" si="129"/>
        <v>0.0243902439</v>
      </c>
    </row>
    <row r="133" ht="15.75" customHeight="1">
      <c r="F133" s="23"/>
      <c r="G133" s="19">
        <f>$G$13</f>
        <v>5</v>
      </c>
      <c r="H133" s="20">
        <v>61.0</v>
      </c>
      <c r="I133" s="20">
        <v>25.0</v>
      </c>
      <c r="J133" s="20">
        <v>0.0</v>
      </c>
      <c r="K133" s="20">
        <v>5.0</v>
      </c>
      <c r="L133" s="20">
        <v>3.0</v>
      </c>
      <c r="N133" s="23"/>
      <c r="O133" s="31">
        <f>$G$13</f>
        <v>5</v>
      </c>
      <c r="P133" s="32">
        <f t="shared" ref="P133:T133" si="130">H133/A$161</f>
        <v>0.004690143011</v>
      </c>
      <c r="Q133" s="32">
        <f t="shared" si="130"/>
        <v>0.007509762691</v>
      </c>
      <c r="R133" s="32">
        <f t="shared" si="130"/>
        <v>0</v>
      </c>
      <c r="S133" s="32">
        <f t="shared" si="130"/>
        <v>0.02793296089</v>
      </c>
      <c r="T133" s="32">
        <f t="shared" si="130"/>
        <v>0.03658536585</v>
      </c>
    </row>
    <row r="134" ht="15.75" customHeight="1">
      <c r="F134" s="23"/>
      <c r="G134" s="19">
        <f>$G$14</f>
        <v>6</v>
      </c>
      <c r="H134" s="20">
        <v>143.0</v>
      </c>
      <c r="I134" s="20">
        <v>56.0</v>
      </c>
      <c r="J134" s="20">
        <v>1.0</v>
      </c>
      <c r="K134" s="20">
        <v>11.0</v>
      </c>
      <c r="L134" s="20">
        <v>7.0</v>
      </c>
      <c r="N134" s="23"/>
      <c r="O134" s="31">
        <f>$G$14</f>
        <v>6</v>
      </c>
      <c r="P134" s="32">
        <f t="shared" ref="P134:T134" si="131">H134/A$161</f>
        <v>0.01099492542</v>
      </c>
      <c r="Q134" s="32">
        <f t="shared" si="131"/>
        <v>0.01682186843</v>
      </c>
      <c r="R134" s="32">
        <f t="shared" si="131"/>
        <v>0.01851851852</v>
      </c>
      <c r="S134" s="32">
        <f t="shared" si="131"/>
        <v>0.06145251397</v>
      </c>
      <c r="T134" s="32">
        <f t="shared" si="131"/>
        <v>0.08536585366</v>
      </c>
    </row>
    <row r="135" ht="15.75" customHeight="1">
      <c r="A135" s="26">
        <f t="shared" ref="A135:E135" si="132">SUM(H104:H127)</f>
        <v>9687</v>
      </c>
      <c r="B135" s="26">
        <f t="shared" si="132"/>
        <v>2804</v>
      </c>
      <c r="C135" s="26">
        <f t="shared" si="132"/>
        <v>60</v>
      </c>
      <c r="D135" s="26">
        <f t="shared" si="132"/>
        <v>242</v>
      </c>
      <c r="E135" s="26">
        <f t="shared" si="132"/>
        <v>162</v>
      </c>
      <c r="F135" s="23"/>
      <c r="G135" s="19">
        <f>$G$15</f>
        <v>7</v>
      </c>
      <c r="H135" s="20">
        <v>188.0</v>
      </c>
      <c r="I135" s="20">
        <v>76.0</v>
      </c>
      <c r="J135" s="20">
        <v>2.0</v>
      </c>
      <c r="K135" s="20">
        <v>9.0</v>
      </c>
      <c r="L135" s="20">
        <v>7.0</v>
      </c>
      <c r="N135" s="23"/>
      <c r="O135" s="31">
        <f>$G$15</f>
        <v>7</v>
      </c>
      <c r="P135" s="32">
        <f t="shared" ref="P135:T135" si="133">H135/A$161</f>
        <v>0.01445486698</v>
      </c>
      <c r="Q135" s="32">
        <f t="shared" si="133"/>
        <v>0.02282967858</v>
      </c>
      <c r="R135" s="32">
        <f t="shared" si="133"/>
        <v>0.03703703704</v>
      </c>
      <c r="S135" s="32">
        <f t="shared" si="133"/>
        <v>0.05027932961</v>
      </c>
      <c r="T135" s="32">
        <f t="shared" si="133"/>
        <v>0.08536585366</v>
      </c>
    </row>
    <row r="136" ht="15.75" customHeight="1">
      <c r="F136" s="23"/>
      <c r="G136" s="19">
        <f>$G$16</f>
        <v>8</v>
      </c>
      <c r="H136" s="20">
        <v>264.0</v>
      </c>
      <c r="I136" s="20">
        <v>75.0</v>
      </c>
      <c r="J136" s="20">
        <v>2.0</v>
      </c>
      <c r="K136" s="20">
        <v>10.0</v>
      </c>
      <c r="L136" s="20">
        <v>8.0</v>
      </c>
      <c r="N136" s="23"/>
      <c r="O136" s="31">
        <f>$G$16</f>
        <v>8</v>
      </c>
      <c r="P136" s="32">
        <f t="shared" ref="P136:T136" si="134">H136/A$161</f>
        <v>0.02029832385</v>
      </c>
      <c r="Q136" s="32">
        <f t="shared" si="134"/>
        <v>0.02252928807</v>
      </c>
      <c r="R136" s="32">
        <f t="shared" si="134"/>
        <v>0.03703703704</v>
      </c>
      <c r="S136" s="32">
        <f t="shared" si="134"/>
        <v>0.05586592179</v>
      </c>
      <c r="T136" s="32">
        <f t="shared" si="134"/>
        <v>0.09756097561</v>
      </c>
    </row>
    <row r="137" ht="15.75" customHeight="1">
      <c r="F137" s="23"/>
      <c r="G137" s="19">
        <f>$G$17</f>
        <v>9</v>
      </c>
      <c r="H137" s="20">
        <v>379.0</v>
      </c>
      <c r="I137" s="20">
        <v>140.0</v>
      </c>
      <c r="J137" s="20">
        <v>2.0</v>
      </c>
      <c r="K137" s="20">
        <v>19.0</v>
      </c>
      <c r="L137" s="20">
        <v>5.0</v>
      </c>
      <c r="N137" s="23"/>
      <c r="O137" s="31">
        <f>$G$17</f>
        <v>9</v>
      </c>
      <c r="P137" s="32">
        <f t="shared" ref="P137:T137" si="135">H137/A$161</f>
        <v>0.02914039674</v>
      </c>
      <c r="Q137" s="32">
        <f t="shared" si="135"/>
        <v>0.04205467107</v>
      </c>
      <c r="R137" s="32">
        <f t="shared" si="135"/>
        <v>0.03703703704</v>
      </c>
      <c r="S137" s="32">
        <f t="shared" si="135"/>
        <v>0.1061452514</v>
      </c>
      <c r="T137" s="32">
        <f t="shared" si="135"/>
        <v>0.06097560976</v>
      </c>
      <c r="U137" s="25">
        <f>$H$7</f>
        <v>31</v>
      </c>
      <c r="V137" s="25">
        <f>$I$7</f>
        <v>32</v>
      </c>
      <c r="W137" s="25">
        <f>$J$7</f>
        <v>41</v>
      </c>
      <c r="X137" s="25">
        <f>$K$7</f>
        <v>42</v>
      </c>
      <c r="Y137" s="25">
        <f>$L$7</f>
        <v>5</v>
      </c>
    </row>
    <row r="138" ht="15.75" customHeight="1">
      <c r="F138" s="23"/>
      <c r="G138" s="19">
        <f>$G$18</f>
        <v>10</v>
      </c>
      <c r="H138" s="20">
        <v>548.0</v>
      </c>
      <c r="I138" s="20">
        <v>148.0</v>
      </c>
      <c r="J138" s="20">
        <v>2.0</v>
      </c>
      <c r="K138" s="20">
        <v>11.0</v>
      </c>
      <c r="L138" s="20">
        <v>3.0</v>
      </c>
      <c r="N138" s="23"/>
      <c r="O138" s="31">
        <f>$G$18</f>
        <v>10</v>
      </c>
      <c r="P138" s="32">
        <f t="shared" ref="P138:T138" si="136">H138/A$161</f>
        <v>0.04213439951</v>
      </c>
      <c r="Q138" s="32">
        <f t="shared" si="136"/>
        <v>0.04445779513</v>
      </c>
      <c r="R138" s="32">
        <f t="shared" si="136"/>
        <v>0.03703703704</v>
      </c>
      <c r="S138" s="32">
        <f t="shared" si="136"/>
        <v>0.06145251397</v>
      </c>
      <c r="T138" s="32">
        <f t="shared" si="136"/>
        <v>0.03658536585</v>
      </c>
    </row>
    <row r="139" ht="15.75" customHeight="1">
      <c r="F139" s="23"/>
      <c r="G139" s="19">
        <f>$G$19</f>
        <v>11</v>
      </c>
      <c r="H139" s="20">
        <v>558.0</v>
      </c>
      <c r="I139" s="20">
        <v>168.0</v>
      </c>
      <c r="J139" s="20">
        <v>1.0</v>
      </c>
      <c r="K139" s="20">
        <v>18.0</v>
      </c>
      <c r="L139" s="20">
        <v>6.0</v>
      </c>
      <c r="N139" s="23"/>
      <c r="O139" s="31">
        <f>$G$19</f>
        <v>11</v>
      </c>
      <c r="P139" s="32">
        <f t="shared" ref="P139:T139" si="137">H139/A$161</f>
        <v>0.04290327541</v>
      </c>
      <c r="Q139" s="32">
        <f t="shared" si="137"/>
        <v>0.05046560529</v>
      </c>
      <c r="R139" s="32">
        <f t="shared" si="137"/>
        <v>0.01851851852</v>
      </c>
      <c r="S139" s="32">
        <f t="shared" si="137"/>
        <v>0.1005586592</v>
      </c>
      <c r="T139" s="32">
        <f t="shared" si="137"/>
        <v>0.07317073171</v>
      </c>
    </row>
    <row r="140" ht="15.75" customHeight="1">
      <c r="F140" s="23"/>
      <c r="G140" s="19">
        <f>$G$20</f>
        <v>12</v>
      </c>
      <c r="H140" s="20">
        <v>677.0</v>
      </c>
      <c r="I140" s="20">
        <v>188.0</v>
      </c>
      <c r="J140" s="20">
        <v>3.0</v>
      </c>
      <c r="K140" s="20">
        <v>9.0</v>
      </c>
      <c r="L140" s="20">
        <v>3.0</v>
      </c>
      <c r="N140" s="23"/>
      <c r="O140" s="31">
        <f>$G$20</f>
        <v>12</v>
      </c>
      <c r="P140" s="32">
        <f t="shared" ref="P140:T140" si="138">H140/A$161</f>
        <v>0.05205289866</v>
      </c>
      <c r="Q140" s="32">
        <f t="shared" si="138"/>
        <v>0.05647341544</v>
      </c>
      <c r="R140" s="32">
        <f t="shared" si="138"/>
        <v>0.05555555556</v>
      </c>
      <c r="S140" s="32">
        <f t="shared" si="138"/>
        <v>0.05027932961</v>
      </c>
      <c r="T140" s="32">
        <f t="shared" si="138"/>
        <v>0.03658536585</v>
      </c>
    </row>
    <row r="141" ht="15.75" customHeight="1">
      <c r="F141" s="23"/>
      <c r="G141" s="19">
        <f>$G$21</f>
        <v>13</v>
      </c>
      <c r="H141" s="20">
        <v>852.0</v>
      </c>
      <c r="I141" s="20">
        <v>242.0</v>
      </c>
      <c r="J141" s="20">
        <v>5.0</v>
      </c>
      <c r="K141" s="20">
        <v>12.0</v>
      </c>
      <c r="L141" s="20">
        <v>4.0</v>
      </c>
      <c r="N141" s="23"/>
      <c r="O141" s="31">
        <f>$G$21</f>
        <v>13</v>
      </c>
      <c r="P141" s="32">
        <f t="shared" ref="P141:T141" si="139">H141/A$161</f>
        <v>0.06550822697</v>
      </c>
      <c r="Q141" s="32">
        <f t="shared" si="139"/>
        <v>0.07269450285</v>
      </c>
      <c r="R141" s="32">
        <f t="shared" si="139"/>
        <v>0.09259259259</v>
      </c>
      <c r="S141" s="32">
        <f t="shared" si="139"/>
        <v>0.06703910615</v>
      </c>
      <c r="T141" s="32">
        <f t="shared" si="139"/>
        <v>0.0487804878</v>
      </c>
    </row>
    <row r="142" ht="15.75" customHeight="1">
      <c r="F142" s="23"/>
      <c r="G142" s="19">
        <f>$G$22</f>
        <v>14</v>
      </c>
      <c r="H142" s="20">
        <v>1035.0</v>
      </c>
      <c r="I142" s="20">
        <v>233.0</v>
      </c>
      <c r="J142" s="20">
        <v>4.0</v>
      </c>
      <c r="K142" s="20">
        <v>6.0</v>
      </c>
      <c r="L142" s="20">
        <v>4.0</v>
      </c>
      <c r="N142" s="23"/>
      <c r="O142" s="31">
        <f>$G$22</f>
        <v>14</v>
      </c>
      <c r="P142" s="32">
        <f t="shared" ref="P142:T142" si="140">H142/A$161</f>
        <v>0.079578656</v>
      </c>
      <c r="Q142" s="32">
        <f t="shared" si="140"/>
        <v>0.06999098828</v>
      </c>
      <c r="R142" s="32">
        <f t="shared" si="140"/>
        <v>0.07407407407</v>
      </c>
      <c r="S142" s="32">
        <f t="shared" si="140"/>
        <v>0.03351955307</v>
      </c>
      <c r="T142" s="32">
        <f t="shared" si="140"/>
        <v>0.0487804878</v>
      </c>
    </row>
    <row r="143" ht="15.75" customHeight="1">
      <c r="F143" s="23"/>
      <c r="G143" s="19">
        <f>$G$23</f>
        <v>15</v>
      </c>
      <c r="H143" s="20">
        <v>1084.0</v>
      </c>
      <c r="I143" s="20">
        <v>252.0</v>
      </c>
      <c r="J143" s="20">
        <v>2.0</v>
      </c>
      <c r="K143" s="20">
        <v>10.0</v>
      </c>
      <c r="L143" s="20">
        <v>2.0</v>
      </c>
      <c r="N143" s="23"/>
      <c r="O143" s="31">
        <f>$G$23</f>
        <v>15</v>
      </c>
      <c r="P143" s="32">
        <f t="shared" ref="P143:T143" si="141">H143/A$161</f>
        <v>0.08334614793</v>
      </c>
      <c r="Q143" s="32">
        <f t="shared" si="141"/>
        <v>0.07569840793</v>
      </c>
      <c r="R143" s="32">
        <f t="shared" si="141"/>
        <v>0.03703703704</v>
      </c>
      <c r="S143" s="32">
        <f t="shared" si="141"/>
        <v>0.05586592179</v>
      </c>
      <c r="T143" s="32">
        <f t="shared" si="141"/>
        <v>0.0243902439</v>
      </c>
    </row>
    <row r="144" ht="15.75" customHeight="1">
      <c r="F144" s="23"/>
      <c r="G144" s="19">
        <f>$G$24</f>
        <v>16</v>
      </c>
      <c r="H144" s="20">
        <v>1095.0</v>
      </c>
      <c r="I144" s="20">
        <v>288.0</v>
      </c>
      <c r="J144" s="20">
        <v>4.0</v>
      </c>
      <c r="K144" s="20">
        <v>7.0</v>
      </c>
      <c r="L144" s="20">
        <v>3.0</v>
      </c>
      <c r="N144" s="23"/>
      <c r="O144" s="31">
        <f>$G$24</f>
        <v>16</v>
      </c>
      <c r="P144" s="32">
        <f t="shared" ref="P144:T144" si="142">H144/A$161</f>
        <v>0.08419191143</v>
      </c>
      <c r="Q144" s="32">
        <f t="shared" si="142"/>
        <v>0.08651246621</v>
      </c>
      <c r="R144" s="32">
        <f t="shared" si="142"/>
        <v>0.07407407407</v>
      </c>
      <c r="S144" s="32">
        <f t="shared" si="142"/>
        <v>0.03910614525</v>
      </c>
      <c r="T144" s="32">
        <f t="shared" si="142"/>
        <v>0.03658536585</v>
      </c>
    </row>
    <row r="145" ht="15.75" customHeight="1">
      <c r="F145" s="23"/>
      <c r="G145" s="19">
        <f>$G$25</f>
        <v>17</v>
      </c>
      <c r="H145" s="20">
        <v>1146.0</v>
      </c>
      <c r="I145" s="20">
        <v>293.0</v>
      </c>
      <c r="J145" s="20">
        <v>6.0</v>
      </c>
      <c r="K145" s="20">
        <v>3.0</v>
      </c>
      <c r="L145" s="20">
        <v>3.0</v>
      </c>
      <c r="N145" s="23"/>
      <c r="O145" s="31">
        <f>$G$25</f>
        <v>17</v>
      </c>
      <c r="P145" s="32">
        <f t="shared" ref="P145:T145" si="143">H145/A$161</f>
        <v>0.08811317853</v>
      </c>
      <c r="Q145" s="32">
        <f t="shared" si="143"/>
        <v>0.08801441874</v>
      </c>
      <c r="R145" s="32">
        <f t="shared" si="143"/>
        <v>0.1111111111</v>
      </c>
      <c r="S145" s="32">
        <f t="shared" si="143"/>
        <v>0.01675977654</v>
      </c>
      <c r="T145" s="32">
        <f t="shared" si="143"/>
        <v>0.03658536585</v>
      </c>
    </row>
    <row r="146" ht="15.75" customHeight="1">
      <c r="F146" s="23"/>
      <c r="G146" s="19">
        <f>$G$26</f>
        <v>18</v>
      </c>
      <c r="H146" s="20">
        <v>981.0</v>
      </c>
      <c r="I146" s="20">
        <v>239.0</v>
      </c>
      <c r="J146" s="20">
        <v>2.0</v>
      </c>
      <c r="K146" s="20">
        <v>7.0</v>
      </c>
      <c r="L146" s="20">
        <v>1.0</v>
      </c>
      <c r="N146" s="23"/>
      <c r="O146" s="31">
        <f>$G$26</f>
        <v>18</v>
      </c>
      <c r="P146" s="32">
        <f t="shared" ref="P146:T146" si="144">H146/A$161</f>
        <v>0.07542672613</v>
      </c>
      <c r="Q146" s="32">
        <f t="shared" si="144"/>
        <v>0.07179333133</v>
      </c>
      <c r="R146" s="32">
        <f t="shared" si="144"/>
        <v>0.03703703704</v>
      </c>
      <c r="S146" s="32">
        <f t="shared" si="144"/>
        <v>0.03910614525</v>
      </c>
      <c r="T146" s="32">
        <f t="shared" si="144"/>
        <v>0.01219512195</v>
      </c>
    </row>
    <row r="147" ht="15.75" customHeight="1">
      <c r="F147" s="23"/>
      <c r="G147" s="19">
        <f>$G$27</f>
        <v>19</v>
      </c>
      <c r="H147" s="20">
        <v>938.0</v>
      </c>
      <c r="I147" s="20">
        <v>196.0</v>
      </c>
      <c r="J147" s="20">
        <v>5.0</v>
      </c>
      <c r="K147" s="20">
        <v>6.0</v>
      </c>
      <c r="L147" s="20">
        <v>2.0</v>
      </c>
      <c r="N147" s="23"/>
      <c r="O147" s="31">
        <f>$G$27</f>
        <v>19</v>
      </c>
      <c r="P147" s="32">
        <f t="shared" ref="P147:T147" si="145">H147/A$161</f>
        <v>0.07212055974</v>
      </c>
      <c r="Q147" s="32">
        <f t="shared" si="145"/>
        <v>0.0588765395</v>
      </c>
      <c r="R147" s="32">
        <f t="shared" si="145"/>
        <v>0.09259259259</v>
      </c>
      <c r="S147" s="32">
        <f t="shared" si="145"/>
        <v>0.03351955307</v>
      </c>
      <c r="T147" s="32">
        <f t="shared" si="145"/>
        <v>0.0243902439</v>
      </c>
    </row>
    <row r="148" ht="15.75" customHeight="1">
      <c r="F148" s="23"/>
      <c r="G148" s="19">
        <f>$G$28</f>
        <v>20</v>
      </c>
      <c r="H148" s="20">
        <v>792.0</v>
      </c>
      <c r="I148" s="20">
        <v>221.0</v>
      </c>
      <c r="J148" s="20">
        <v>2.0</v>
      </c>
      <c r="K148" s="20">
        <v>8.0</v>
      </c>
      <c r="L148" s="20">
        <v>2.0</v>
      </c>
      <c r="N148" s="23"/>
      <c r="O148" s="31">
        <f>$G$28</f>
        <v>20</v>
      </c>
      <c r="P148" s="32">
        <f t="shared" ref="P148:T148" si="146">H148/A$161</f>
        <v>0.06089497155</v>
      </c>
      <c r="Q148" s="32">
        <f t="shared" si="146"/>
        <v>0.06638630219</v>
      </c>
      <c r="R148" s="32">
        <f t="shared" si="146"/>
        <v>0.03703703704</v>
      </c>
      <c r="S148" s="32">
        <f t="shared" si="146"/>
        <v>0.04469273743</v>
      </c>
      <c r="T148" s="32">
        <f t="shared" si="146"/>
        <v>0.0243902439</v>
      </c>
    </row>
    <row r="149" ht="15.75" customHeight="1">
      <c r="F149" s="23"/>
      <c r="G149" s="19">
        <f>$G$29</f>
        <v>21</v>
      </c>
      <c r="H149" s="20">
        <v>715.0</v>
      </c>
      <c r="I149" s="20">
        <v>149.0</v>
      </c>
      <c r="J149" s="20">
        <v>1.0</v>
      </c>
      <c r="K149" s="20">
        <v>5.0</v>
      </c>
      <c r="L149" s="20">
        <v>1.0</v>
      </c>
      <c r="N149" s="23"/>
      <c r="O149" s="31">
        <f>$G$29</f>
        <v>21</v>
      </c>
      <c r="P149" s="32">
        <f t="shared" ref="P149:T149" si="147">H149/A$161</f>
        <v>0.0549746271</v>
      </c>
      <c r="Q149" s="32">
        <f t="shared" si="147"/>
        <v>0.04475818564</v>
      </c>
      <c r="R149" s="32">
        <f t="shared" si="147"/>
        <v>0.01851851852</v>
      </c>
      <c r="S149" s="32">
        <f t="shared" si="147"/>
        <v>0.02793296089</v>
      </c>
      <c r="T149" s="32">
        <f t="shared" si="147"/>
        <v>0.01219512195</v>
      </c>
    </row>
    <row r="150" ht="15.75" customHeight="1">
      <c r="F150" s="23"/>
      <c r="G150" s="19">
        <f>$G$30</f>
        <v>22</v>
      </c>
      <c r="H150" s="20">
        <v>608.0</v>
      </c>
      <c r="I150" s="20">
        <v>149.0</v>
      </c>
      <c r="J150" s="20">
        <v>0.0</v>
      </c>
      <c r="K150" s="20">
        <v>4.0</v>
      </c>
      <c r="L150" s="20">
        <v>2.0</v>
      </c>
      <c r="N150" s="23"/>
      <c r="O150" s="31">
        <f>$G$30</f>
        <v>22</v>
      </c>
      <c r="P150" s="32">
        <f t="shared" ref="P150:T150" si="148">H150/A$161</f>
        <v>0.04674765493</v>
      </c>
      <c r="Q150" s="32">
        <f t="shared" si="148"/>
        <v>0.04475818564</v>
      </c>
      <c r="R150" s="32">
        <f t="shared" si="148"/>
        <v>0</v>
      </c>
      <c r="S150" s="32">
        <f t="shared" si="148"/>
        <v>0.02234636872</v>
      </c>
      <c r="T150" s="32">
        <f t="shared" si="148"/>
        <v>0.0243902439</v>
      </c>
    </row>
    <row r="151" ht="15.75" customHeight="1">
      <c r="F151" s="27"/>
      <c r="G151" s="19">
        <f>$G$31</f>
        <v>23</v>
      </c>
      <c r="H151" s="20">
        <v>430.0</v>
      </c>
      <c r="I151" s="20">
        <v>100.0</v>
      </c>
      <c r="J151" s="20">
        <v>0.0</v>
      </c>
      <c r="K151" s="20">
        <v>4.0</v>
      </c>
      <c r="L151" s="20">
        <v>5.0</v>
      </c>
      <c r="N151" s="27"/>
      <c r="O151" s="31">
        <f>$G$31</f>
        <v>23</v>
      </c>
      <c r="P151" s="32">
        <f t="shared" ref="P151:T151" si="149">H151/A$161</f>
        <v>0.03306166385</v>
      </c>
      <c r="Q151" s="32">
        <f t="shared" si="149"/>
        <v>0.03003905077</v>
      </c>
      <c r="R151" s="32">
        <f t="shared" si="149"/>
        <v>0</v>
      </c>
      <c r="S151" s="32">
        <f t="shared" si="149"/>
        <v>0.02234636872</v>
      </c>
      <c r="T151" s="32">
        <f t="shared" si="149"/>
        <v>0.06097560976</v>
      </c>
    </row>
    <row r="152" ht="15.75" customHeight="1">
      <c r="F152" s="39">
        <v>45200.0</v>
      </c>
      <c r="G152" s="19">
        <f>$G$8</f>
        <v>0</v>
      </c>
      <c r="H152" s="38">
        <v>284.0</v>
      </c>
      <c r="I152" s="38">
        <v>54.0</v>
      </c>
      <c r="J152" s="38">
        <v>2.0</v>
      </c>
      <c r="K152" s="38">
        <v>1.0</v>
      </c>
      <c r="L152" s="38">
        <v>0.0</v>
      </c>
      <c r="N152" s="39">
        <v>45200.0</v>
      </c>
      <c r="O152" s="31">
        <f>$G$8</f>
        <v>0</v>
      </c>
      <c r="P152" s="32">
        <f t="shared" ref="P152:T152" si="150">H152/A$185</f>
        <v>0.01748445484</v>
      </c>
      <c r="Q152" s="32">
        <f t="shared" si="150"/>
        <v>0.01248554913</v>
      </c>
      <c r="R152" s="32">
        <f t="shared" si="150"/>
        <v>0.0119047619</v>
      </c>
      <c r="S152" s="32">
        <f t="shared" si="150"/>
        <v>0.007936507937</v>
      </c>
      <c r="T152" s="32">
        <f t="shared" si="150"/>
        <v>0</v>
      </c>
    </row>
    <row r="153" ht="15.75" customHeight="1">
      <c r="F153" s="23"/>
      <c r="G153" s="19">
        <f>$G$9</f>
        <v>1</v>
      </c>
      <c r="H153" s="38">
        <v>209.0</v>
      </c>
      <c r="I153" s="38">
        <v>33.0</v>
      </c>
      <c r="J153" s="38">
        <v>1.0</v>
      </c>
      <c r="K153" s="38">
        <v>4.0</v>
      </c>
      <c r="L153" s="38">
        <v>1.0</v>
      </c>
      <c r="N153" s="23"/>
      <c r="O153" s="31">
        <f>$G$9</f>
        <v>1</v>
      </c>
      <c r="P153" s="32">
        <f t="shared" ref="P153:T153" si="151">H153/A$185</f>
        <v>0.0128670812</v>
      </c>
      <c r="Q153" s="32">
        <f t="shared" si="151"/>
        <v>0.007630057803</v>
      </c>
      <c r="R153" s="32">
        <f t="shared" si="151"/>
        <v>0.005952380952</v>
      </c>
      <c r="S153" s="32">
        <f t="shared" si="151"/>
        <v>0.03174603175</v>
      </c>
      <c r="T153" s="32">
        <f t="shared" si="151"/>
        <v>0.01818181818</v>
      </c>
    </row>
    <row r="154" ht="15.75" customHeight="1">
      <c r="F154" s="23"/>
      <c r="G154" s="19">
        <f>$G$10</f>
        <v>2</v>
      </c>
      <c r="H154" s="38">
        <v>123.0</v>
      </c>
      <c r="I154" s="38">
        <v>26.0</v>
      </c>
      <c r="J154" s="38">
        <v>1.0</v>
      </c>
      <c r="K154" s="38">
        <v>5.0</v>
      </c>
      <c r="L154" s="38">
        <v>1.0</v>
      </c>
      <c r="N154" s="23"/>
      <c r="O154" s="31">
        <f>$G$10</f>
        <v>2</v>
      </c>
      <c r="P154" s="32">
        <f t="shared" ref="P154:T154" si="152">H154/A$185</f>
        <v>0.007572492766</v>
      </c>
      <c r="Q154" s="32">
        <f t="shared" si="152"/>
        <v>0.006011560694</v>
      </c>
      <c r="R154" s="32">
        <f t="shared" si="152"/>
        <v>0.005952380952</v>
      </c>
      <c r="S154" s="32">
        <f t="shared" si="152"/>
        <v>0.03968253968</v>
      </c>
      <c r="T154" s="32">
        <f t="shared" si="152"/>
        <v>0.01818181818</v>
      </c>
    </row>
    <row r="155" ht="15.75" customHeight="1">
      <c r="F155" s="23"/>
      <c r="G155" s="19">
        <f>$G$11</f>
        <v>3</v>
      </c>
      <c r="H155" s="38">
        <v>98.0</v>
      </c>
      <c r="I155" s="38">
        <v>21.0</v>
      </c>
      <c r="J155" s="38">
        <v>0.0</v>
      </c>
      <c r="K155" s="38">
        <v>6.0</v>
      </c>
      <c r="L155" s="38">
        <v>0.0</v>
      </c>
      <c r="N155" s="23"/>
      <c r="O155" s="31">
        <f>$G$11</f>
        <v>3</v>
      </c>
      <c r="P155" s="32">
        <f t="shared" ref="P155:T155" si="153">H155/A$185</f>
        <v>0.00603336822</v>
      </c>
      <c r="Q155" s="32">
        <f t="shared" si="153"/>
        <v>0.004855491329</v>
      </c>
      <c r="R155" s="32">
        <f t="shared" si="153"/>
        <v>0</v>
      </c>
      <c r="S155" s="32">
        <f t="shared" si="153"/>
        <v>0.04761904762</v>
      </c>
      <c r="T155" s="32">
        <f t="shared" si="153"/>
        <v>0</v>
      </c>
    </row>
    <row r="156" ht="15.75" customHeight="1">
      <c r="F156" s="23"/>
      <c r="G156" s="19">
        <f>$G$12</f>
        <v>4</v>
      </c>
      <c r="H156" s="38">
        <v>71.0</v>
      </c>
      <c r="I156" s="38">
        <v>16.0</v>
      </c>
      <c r="J156" s="38">
        <v>2.0</v>
      </c>
      <c r="K156" s="38">
        <v>0.0</v>
      </c>
      <c r="L156" s="38">
        <v>0.0</v>
      </c>
      <c r="N156" s="23"/>
      <c r="O156" s="31">
        <f>$G$12</f>
        <v>4</v>
      </c>
      <c r="P156" s="32">
        <f t="shared" ref="P156:T156" si="154">H156/A$185</f>
        <v>0.004371113711</v>
      </c>
      <c r="Q156" s="32">
        <f t="shared" si="154"/>
        <v>0.003699421965</v>
      </c>
      <c r="R156" s="32">
        <f t="shared" si="154"/>
        <v>0.0119047619</v>
      </c>
      <c r="S156" s="32">
        <f t="shared" si="154"/>
        <v>0</v>
      </c>
      <c r="T156" s="32">
        <f t="shared" si="154"/>
        <v>0</v>
      </c>
    </row>
    <row r="157" ht="15.75" customHeight="1">
      <c r="F157" s="23"/>
      <c r="G157" s="19">
        <f>$G$13</f>
        <v>5</v>
      </c>
      <c r="H157" s="38">
        <v>125.0</v>
      </c>
      <c r="I157" s="38">
        <v>41.0</v>
      </c>
      <c r="J157" s="38">
        <v>2.0</v>
      </c>
      <c r="K157" s="38">
        <v>3.0</v>
      </c>
      <c r="L157" s="38">
        <v>2.0</v>
      </c>
      <c r="N157" s="23"/>
      <c r="O157" s="31">
        <f>$G$13</f>
        <v>5</v>
      </c>
      <c r="P157" s="32">
        <f t="shared" ref="P157:T157" si="155">H157/A$185</f>
        <v>0.00769562273</v>
      </c>
      <c r="Q157" s="32">
        <f t="shared" si="155"/>
        <v>0.009479768786</v>
      </c>
      <c r="R157" s="32">
        <f t="shared" si="155"/>
        <v>0.0119047619</v>
      </c>
      <c r="S157" s="32">
        <f t="shared" si="155"/>
        <v>0.02380952381</v>
      </c>
      <c r="T157" s="32">
        <f t="shared" si="155"/>
        <v>0.03636363636</v>
      </c>
    </row>
    <row r="158" ht="15.75" customHeight="1">
      <c r="F158" s="23"/>
      <c r="G158" s="19">
        <f>$G$14</f>
        <v>6</v>
      </c>
      <c r="H158" s="38">
        <v>182.0</v>
      </c>
      <c r="I158" s="38">
        <v>77.0</v>
      </c>
      <c r="J158" s="38">
        <v>3.0</v>
      </c>
      <c r="K158" s="38">
        <v>5.0</v>
      </c>
      <c r="L158" s="38">
        <v>1.0</v>
      </c>
      <c r="N158" s="23"/>
      <c r="O158" s="31">
        <f>$G$14</f>
        <v>6</v>
      </c>
      <c r="P158" s="32">
        <f t="shared" ref="P158:T158" si="156">H158/A$185</f>
        <v>0.01120482669</v>
      </c>
      <c r="Q158" s="32">
        <f t="shared" si="156"/>
        <v>0.01780346821</v>
      </c>
      <c r="R158" s="32">
        <f t="shared" si="156"/>
        <v>0.01785714286</v>
      </c>
      <c r="S158" s="32">
        <f t="shared" si="156"/>
        <v>0.03968253968</v>
      </c>
      <c r="T158" s="32">
        <f t="shared" si="156"/>
        <v>0.01818181818</v>
      </c>
    </row>
    <row r="159" ht="15.75" customHeight="1">
      <c r="F159" s="23"/>
      <c r="G159" s="19">
        <f>$G$15</f>
        <v>7</v>
      </c>
      <c r="H159" s="38">
        <v>279.0</v>
      </c>
      <c r="I159" s="38">
        <v>105.0</v>
      </c>
      <c r="J159" s="38">
        <v>7.0</v>
      </c>
      <c r="K159" s="38">
        <v>7.0</v>
      </c>
      <c r="L159" s="38">
        <v>4.0</v>
      </c>
      <c r="N159" s="23"/>
      <c r="O159" s="31">
        <f>$G$15</f>
        <v>7</v>
      </c>
      <c r="P159" s="32">
        <f t="shared" ref="P159:T159" si="157">H159/A$185</f>
        <v>0.01717662993</v>
      </c>
      <c r="Q159" s="32">
        <f t="shared" si="157"/>
        <v>0.02427745665</v>
      </c>
      <c r="R159" s="32">
        <f t="shared" si="157"/>
        <v>0.04166666667</v>
      </c>
      <c r="S159" s="32">
        <f t="shared" si="157"/>
        <v>0.05555555556</v>
      </c>
      <c r="T159" s="32">
        <f t="shared" si="157"/>
        <v>0.07272727273</v>
      </c>
    </row>
    <row r="160" ht="15.75" customHeight="1">
      <c r="F160" s="23"/>
      <c r="G160" s="19">
        <f>$G$16</f>
        <v>8</v>
      </c>
      <c r="H160" s="38">
        <v>396.0</v>
      </c>
      <c r="I160" s="38">
        <v>141.0</v>
      </c>
      <c r="J160" s="38">
        <v>8.0</v>
      </c>
      <c r="K160" s="38">
        <v>10.0</v>
      </c>
      <c r="L160" s="38">
        <v>3.0</v>
      </c>
      <c r="N160" s="23"/>
      <c r="O160" s="31">
        <f>$G$16</f>
        <v>8</v>
      </c>
      <c r="P160" s="32">
        <f t="shared" ref="P160:T160" si="158">H160/A$185</f>
        <v>0.02437973281</v>
      </c>
      <c r="Q160" s="32">
        <f t="shared" si="158"/>
        <v>0.03260115607</v>
      </c>
      <c r="R160" s="32">
        <f t="shared" si="158"/>
        <v>0.04761904762</v>
      </c>
      <c r="S160" s="32">
        <f t="shared" si="158"/>
        <v>0.07936507937</v>
      </c>
      <c r="T160" s="32">
        <f t="shared" si="158"/>
        <v>0.05454545455</v>
      </c>
    </row>
    <row r="161" ht="15.75" customHeight="1">
      <c r="A161" s="26">
        <f t="shared" ref="A161:E161" si="159">SUM(H128:H151)</f>
        <v>13006</v>
      </c>
      <c r="B161" s="26">
        <f t="shared" si="159"/>
        <v>3329</v>
      </c>
      <c r="C161" s="26">
        <f t="shared" si="159"/>
        <v>54</v>
      </c>
      <c r="D161" s="26">
        <f t="shared" si="159"/>
        <v>179</v>
      </c>
      <c r="E161" s="26">
        <f t="shared" si="159"/>
        <v>82</v>
      </c>
      <c r="F161" s="23"/>
      <c r="G161" s="19">
        <f>$G$17</f>
        <v>9</v>
      </c>
      <c r="H161" s="38">
        <v>581.0</v>
      </c>
      <c r="I161" s="38">
        <v>171.0</v>
      </c>
      <c r="J161" s="38">
        <v>11.0</v>
      </c>
      <c r="K161" s="38">
        <v>5.0</v>
      </c>
      <c r="L161" s="38">
        <v>2.0</v>
      </c>
      <c r="N161" s="23"/>
      <c r="O161" s="31">
        <f>$G$17</f>
        <v>9</v>
      </c>
      <c r="P161" s="32">
        <f t="shared" ref="P161:T161" si="160">H161/A$185</f>
        <v>0.03576925445</v>
      </c>
      <c r="Q161" s="32">
        <f t="shared" si="160"/>
        <v>0.03953757225</v>
      </c>
      <c r="R161" s="32">
        <f t="shared" si="160"/>
        <v>0.06547619048</v>
      </c>
      <c r="S161" s="32">
        <f t="shared" si="160"/>
        <v>0.03968253968</v>
      </c>
      <c r="T161" s="32">
        <f t="shared" si="160"/>
        <v>0.03636363636</v>
      </c>
    </row>
    <row r="162" ht="15.75" customHeight="1">
      <c r="F162" s="23"/>
      <c r="G162" s="19">
        <f>$G$18</f>
        <v>10</v>
      </c>
      <c r="H162" s="38">
        <v>830.0</v>
      </c>
      <c r="I162" s="38">
        <v>211.0</v>
      </c>
      <c r="J162" s="38">
        <v>9.0</v>
      </c>
      <c r="K162" s="38">
        <v>10.0</v>
      </c>
      <c r="L162" s="38">
        <v>1.0</v>
      </c>
      <c r="N162" s="23"/>
      <c r="O162" s="31">
        <f>$G$18</f>
        <v>10</v>
      </c>
      <c r="P162" s="32">
        <f t="shared" ref="P162:T162" si="161">H162/A$185</f>
        <v>0.05109893493</v>
      </c>
      <c r="Q162" s="32">
        <f t="shared" si="161"/>
        <v>0.04878612717</v>
      </c>
      <c r="R162" s="32">
        <f t="shared" si="161"/>
        <v>0.05357142857</v>
      </c>
      <c r="S162" s="32">
        <f t="shared" si="161"/>
        <v>0.07936507937</v>
      </c>
      <c r="T162" s="32">
        <f t="shared" si="161"/>
        <v>0.01818181818</v>
      </c>
    </row>
    <row r="163" ht="15.75" customHeight="1">
      <c r="F163" s="23"/>
      <c r="G163" s="19">
        <f>$G$19</f>
        <v>11</v>
      </c>
      <c r="H163" s="38">
        <v>1018.0</v>
      </c>
      <c r="I163" s="38">
        <v>271.0</v>
      </c>
      <c r="J163" s="38">
        <v>6.0</v>
      </c>
      <c r="K163" s="38">
        <v>7.0</v>
      </c>
      <c r="L163" s="38">
        <v>2.0</v>
      </c>
      <c r="N163" s="23"/>
      <c r="O163" s="31">
        <f>$G$19</f>
        <v>11</v>
      </c>
      <c r="P163" s="32">
        <f t="shared" ref="P163:T163" si="162">H163/A$185</f>
        <v>0.06267315151</v>
      </c>
      <c r="Q163" s="32">
        <f t="shared" si="162"/>
        <v>0.06265895954</v>
      </c>
      <c r="R163" s="32">
        <f t="shared" si="162"/>
        <v>0.03571428571</v>
      </c>
      <c r="S163" s="32">
        <f t="shared" si="162"/>
        <v>0.05555555556</v>
      </c>
      <c r="T163" s="32">
        <f t="shared" si="162"/>
        <v>0.03636363636</v>
      </c>
      <c r="U163" s="25"/>
      <c r="V163" s="25">
        <f>$I$7</f>
        <v>32</v>
      </c>
      <c r="W163" s="25">
        <f>$J$7</f>
        <v>41</v>
      </c>
      <c r="X163" s="25">
        <f>$K$7</f>
        <v>42</v>
      </c>
      <c r="Y163" s="25">
        <f>$L$7</f>
        <v>5</v>
      </c>
    </row>
    <row r="164" ht="15.75" customHeight="1">
      <c r="F164" s="23"/>
      <c r="G164" s="19">
        <f>$G$20</f>
        <v>12</v>
      </c>
      <c r="H164" s="38">
        <v>1143.0</v>
      </c>
      <c r="I164" s="38">
        <v>323.0</v>
      </c>
      <c r="J164" s="38">
        <v>7.0</v>
      </c>
      <c r="K164" s="38">
        <v>4.0</v>
      </c>
      <c r="L164" s="38">
        <v>0.0</v>
      </c>
      <c r="N164" s="23"/>
      <c r="O164" s="31">
        <f>$G$20</f>
        <v>12</v>
      </c>
      <c r="P164" s="32">
        <f t="shared" ref="P164:T164" si="163">H164/A$185</f>
        <v>0.07036877424</v>
      </c>
      <c r="Q164" s="32">
        <f t="shared" si="163"/>
        <v>0.07468208092</v>
      </c>
      <c r="R164" s="32">
        <f t="shared" si="163"/>
        <v>0.04166666667</v>
      </c>
      <c r="S164" s="32">
        <f t="shared" si="163"/>
        <v>0.03174603175</v>
      </c>
      <c r="T164" s="32">
        <f t="shared" si="163"/>
        <v>0</v>
      </c>
    </row>
    <row r="165" ht="15.75" customHeight="1">
      <c r="F165" s="23"/>
      <c r="G165" s="19">
        <f>$G$21</f>
        <v>13</v>
      </c>
      <c r="H165" s="38">
        <v>1260.0</v>
      </c>
      <c r="I165" s="38">
        <v>356.0</v>
      </c>
      <c r="J165" s="38">
        <v>9.0</v>
      </c>
      <c r="K165" s="38">
        <v>4.0</v>
      </c>
      <c r="L165" s="38">
        <v>1.0</v>
      </c>
      <c r="N165" s="23"/>
      <c r="O165" s="31">
        <f>$G$21</f>
        <v>13</v>
      </c>
      <c r="P165" s="32">
        <f t="shared" ref="P165:T165" si="164">H165/A$185</f>
        <v>0.07757187712</v>
      </c>
      <c r="Q165" s="32">
        <f t="shared" si="164"/>
        <v>0.08231213873</v>
      </c>
      <c r="R165" s="32">
        <f t="shared" si="164"/>
        <v>0.05357142857</v>
      </c>
      <c r="S165" s="32">
        <f t="shared" si="164"/>
        <v>0.03174603175</v>
      </c>
      <c r="T165" s="32">
        <f t="shared" si="164"/>
        <v>0.01818181818</v>
      </c>
    </row>
    <row r="166" ht="15.75" customHeight="1">
      <c r="F166" s="23"/>
      <c r="G166" s="19">
        <f>$G$22</f>
        <v>14</v>
      </c>
      <c r="H166" s="38">
        <v>1240.0</v>
      </c>
      <c r="I166" s="38">
        <v>329.0</v>
      </c>
      <c r="J166" s="38">
        <v>14.0</v>
      </c>
      <c r="K166" s="38">
        <v>8.0</v>
      </c>
      <c r="L166" s="38">
        <v>4.0</v>
      </c>
      <c r="N166" s="23"/>
      <c r="O166" s="31">
        <f>$G$22</f>
        <v>14</v>
      </c>
      <c r="P166" s="32">
        <f t="shared" ref="P166:T166" si="165">H166/A$185</f>
        <v>0.07634057748</v>
      </c>
      <c r="Q166" s="32">
        <f t="shared" si="165"/>
        <v>0.07606936416</v>
      </c>
      <c r="R166" s="32">
        <f t="shared" si="165"/>
        <v>0.08333333333</v>
      </c>
      <c r="S166" s="32">
        <f t="shared" si="165"/>
        <v>0.06349206349</v>
      </c>
      <c r="T166" s="32">
        <f t="shared" si="165"/>
        <v>0.07272727273</v>
      </c>
    </row>
    <row r="167" ht="15.75" customHeight="1">
      <c r="F167" s="23"/>
      <c r="G167" s="19">
        <f>$G$23</f>
        <v>15</v>
      </c>
      <c r="H167" s="38">
        <v>1296.0</v>
      </c>
      <c r="I167" s="38">
        <v>360.0</v>
      </c>
      <c r="J167" s="38">
        <v>8.0</v>
      </c>
      <c r="K167" s="38">
        <v>5.0</v>
      </c>
      <c r="L167" s="38">
        <v>1.0</v>
      </c>
      <c r="N167" s="23"/>
      <c r="O167" s="31">
        <f>$G$23</f>
        <v>15</v>
      </c>
      <c r="P167" s="32">
        <f t="shared" ref="P167:T167" si="166">H167/A$185</f>
        <v>0.07978821646</v>
      </c>
      <c r="Q167" s="32">
        <f t="shared" si="166"/>
        <v>0.08323699422</v>
      </c>
      <c r="R167" s="32">
        <f t="shared" si="166"/>
        <v>0.04761904762</v>
      </c>
      <c r="S167" s="32">
        <f t="shared" si="166"/>
        <v>0.03968253968</v>
      </c>
      <c r="T167" s="32">
        <f t="shared" si="166"/>
        <v>0.01818181818</v>
      </c>
    </row>
    <row r="168" ht="15.75" customHeight="1">
      <c r="F168" s="23"/>
      <c r="G168" s="19">
        <f>$G$24</f>
        <v>16</v>
      </c>
      <c r="H168" s="38">
        <v>1299.0</v>
      </c>
      <c r="I168" s="38">
        <v>313.0</v>
      </c>
      <c r="J168" s="38">
        <v>15.0</v>
      </c>
      <c r="K168" s="38">
        <v>5.0</v>
      </c>
      <c r="L168" s="38">
        <v>2.0</v>
      </c>
      <c r="N168" s="23"/>
      <c r="O168" s="31">
        <f>$G$24</f>
        <v>16</v>
      </c>
      <c r="P168" s="32">
        <f t="shared" ref="P168:T168" si="167">H168/A$185</f>
        <v>0.07997291141</v>
      </c>
      <c r="Q168" s="32">
        <f t="shared" si="167"/>
        <v>0.0723699422</v>
      </c>
      <c r="R168" s="32">
        <f t="shared" si="167"/>
        <v>0.08928571429</v>
      </c>
      <c r="S168" s="32">
        <f t="shared" si="167"/>
        <v>0.03968253968</v>
      </c>
      <c r="T168" s="32">
        <f t="shared" si="167"/>
        <v>0.03636363636</v>
      </c>
    </row>
    <row r="169" ht="15.75" customHeight="1">
      <c r="F169" s="23"/>
      <c r="G169" s="19">
        <f>$G$25</f>
        <v>17</v>
      </c>
      <c r="H169" s="38">
        <v>1179.0</v>
      </c>
      <c r="I169" s="38">
        <v>332.0</v>
      </c>
      <c r="J169" s="38">
        <v>12.0</v>
      </c>
      <c r="K169" s="38">
        <v>7.0</v>
      </c>
      <c r="L169" s="38">
        <v>0.0</v>
      </c>
      <c r="N169" s="23"/>
      <c r="O169" s="31">
        <f>$G$25</f>
        <v>17</v>
      </c>
      <c r="P169" s="32">
        <f t="shared" ref="P169:T169" si="168">H169/A$185</f>
        <v>0.07258511359</v>
      </c>
      <c r="Q169" s="32">
        <f t="shared" si="168"/>
        <v>0.07676300578</v>
      </c>
      <c r="R169" s="32">
        <f t="shared" si="168"/>
        <v>0.07142857143</v>
      </c>
      <c r="S169" s="32">
        <f t="shared" si="168"/>
        <v>0.05555555556</v>
      </c>
      <c r="T169" s="32">
        <f t="shared" si="168"/>
        <v>0</v>
      </c>
    </row>
    <row r="170" ht="15.75" customHeight="1">
      <c r="F170" s="23"/>
      <c r="G170" s="19">
        <f>$G$26</f>
        <v>18</v>
      </c>
      <c r="H170" s="38">
        <v>1042.0</v>
      </c>
      <c r="I170" s="38">
        <v>242.0</v>
      </c>
      <c r="J170" s="38">
        <v>9.0</v>
      </c>
      <c r="K170" s="38">
        <v>8.0</v>
      </c>
      <c r="L170" s="38">
        <v>2.0</v>
      </c>
      <c r="N170" s="23"/>
      <c r="O170" s="31">
        <f>$G$26</f>
        <v>18</v>
      </c>
      <c r="P170" s="32">
        <f t="shared" ref="P170:T170" si="169">H170/A$185</f>
        <v>0.06415071108</v>
      </c>
      <c r="Q170" s="32">
        <f t="shared" si="169"/>
        <v>0.05595375723</v>
      </c>
      <c r="R170" s="32">
        <f t="shared" si="169"/>
        <v>0.05357142857</v>
      </c>
      <c r="S170" s="32">
        <f t="shared" si="169"/>
        <v>0.06349206349</v>
      </c>
      <c r="T170" s="32">
        <f t="shared" si="169"/>
        <v>0.03636363636</v>
      </c>
    </row>
    <row r="171" ht="15.75" customHeight="1">
      <c r="F171" s="23"/>
      <c r="G171" s="19">
        <f>$G$27</f>
        <v>19</v>
      </c>
      <c r="H171" s="38">
        <v>1055.0</v>
      </c>
      <c r="I171" s="38">
        <v>246.0</v>
      </c>
      <c r="J171" s="38">
        <v>8.0</v>
      </c>
      <c r="K171" s="38">
        <v>4.0</v>
      </c>
      <c r="L171" s="38">
        <v>2.0</v>
      </c>
      <c r="N171" s="23"/>
      <c r="O171" s="31">
        <f>$G$27</f>
        <v>19</v>
      </c>
      <c r="P171" s="32">
        <f t="shared" ref="P171:T171" si="170">H171/A$185</f>
        <v>0.06495105584</v>
      </c>
      <c r="Q171" s="32">
        <f t="shared" si="170"/>
        <v>0.05687861272</v>
      </c>
      <c r="R171" s="32">
        <f t="shared" si="170"/>
        <v>0.04761904762</v>
      </c>
      <c r="S171" s="32">
        <f t="shared" si="170"/>
        <v>0.03174603175</v>
      </c>
      <c r="T171" s="32">
        <f t="shared" si="170"/>
        <v>0.03636363636</v>
      </c>
    </row>
    <row r="172" ht="15.75" customHeight="1">
      <c r="F172" s="23"/>
      <c r="G172" s="19">
        <f>$G$28</f>
        <v>20</v>
      </c>
      <c r="H172" s="38">
        <v>1017.0</v>
      </c>
      <c r="I172" s="38">
        <v>238.0</v>
      </c>
      <c r="J172" s="38">
        <v>14.0</v>
      </c>
      <c r="K172" s="38">
        <v>5.0</v>
      </c>
      <c r="L172" s="38">
        <v>4.0</v>
      </c>
      <c r="N172" s="23"/>
      <c r="O172" s="31">
        <f>$G$28</f>
        <v>20</v>
      </c>
      <c r="P172" s="32">
        <f t="shared" ref="P172:T172" si="171">H172/A$185</f>
        <v>0.06261158653</v>
      </c>
      <c r="Q172" s="32">
        <f t="shared" si="171"/>
        <v>0.05502890173</v>
      </c>
      <c r="R172" s="32">
        <f t="shared" si="171"/>
        <v>0.08333333333</v>
      </c>
      <c r="S172" s="32">
        <f t="shared" si="171"/>
        <v>0.03968253968</v>
      </c>
      <c r="T172" s="32">
        <f t="shared" si="171"/>
        <v>0.07272727273</v>
      </c>
    </row>
    <row r="173" ht="15.75" customHeight="1">
      <c r="F173" s="23"/>
      <c r="G173" s="19">
        <f>$G$29</f>
        <v>21</v>
      </c>
      <c r="H173" s="38">
        <v>767.0</v>
      </c>
      <c r="I173" s="38">
        <v>196.0</v>
      </c>
      <c r="J173" s="38">
        <v>8.0</v>
      </c>
      <c r="K173" s="38">
        <v>5.0</v>
      </c>
      <c r="L173" s="38">
        <v>6.0</v>
      </c>
      <c r="N173" s="23"/>
      <c r="O173" s="31">
        <f>$G$29</f>
        <v>21</v>
      </c>
      <c r="P173" s="32">
        <f t="shared" ref="P173:T173" si="172">H173/A$185</f>
        <v>0.04722034107</v>
      </c>
      <c r="Q173" s="32">
        <f t="shared" si="172"/>
        <v>0.04531791908</v>
      </c>
      <c r="R173" s="32">
        <f t="shared" si="172"/>
        <v>0.04761904762</v>
      </c>
      <c r="S173" s="32">
        <f t="shared" si="172"/>
        <v>0.03968253968</v>
      </c>
      <c r="T173" s="32">
        <f t="shared" si="172"/>
        <v>0.1090909091</v>
      </c>
    </row>
    <row r="174" ht="15.75" customHeight="1">
      <c r="F174" s="23"/>
      <c r="G174" s="19">
        <f>$G$30</f>
        <v>22</v>
      </c>
      <c r="H174" s="38">
        <v>487.0</v>
      </c>
      <c r="I174" s="38">
        <v>138.0</v>
      </c>
      <c r="J174" s="38">
        <v>9.0</v>
      </c>
      <c r="K174" s="38">
        <v>5.0</v>
      </c>
      <c r="L174" s="38">
        <v>9.0</v>
      </c>
      <c r="N174" s="23"/>
      <c r="O174" s="31">
        <f>$G$30</f>
        <v>22</v>
      </c>
      <c r="P174" s="32">
        <f t="shared" ref="P174:T174" si="173">H174/A$185</f>
        <v>0.02998214616</v>
      </c>
      <c r="Q174" s="32">
        <f t="shared" si="173"/>
        <v>0.03190751445</v>
      </c>
      <c r="R174" s="32">
        <f t="shared" si="173"/>
        <v>0.05357142857</v>
      </c>
      <c r="S174" s="32">
        <f t="shared" si="173"/>
        <v>0.03968253968</v>
      </c>
      <c r="T174" s="32">
        <f t="shared" si="173"/>
        <v>0.1636363636</v>
      </c>
    </row>
    <row r="175" ht="15.75" customHeight="1">
      <c r="F175" s="27"/>
      <c r="G175" s="19">
        <f>$G$31</f>
        <v>23</v>
      </c>
      <c r="H175" s="38">
        <v>262.0</v>
      </c>
      <c r="I175" s="38">
        <v>85.0</v>
      </c>
      <c r="J175" s="38">
        <v>3.0</v>
      </c>
      <c r="K175" s="38">
        <v>3.0</v>
      </c>
      <c r="L175" s="38">
        <v>7.0</v>
      </c>
      <c r="N175" s="27"/>
      <c r="O175" s="31">
        <f>$G$31</f>
        <v>23</v>
      </c>
      <c r="P175" s="32">
        <f t="shared" ref="P175:T175" si="174">H175/A$185</f>
        <v>0.01613002524</v>
      </c>
      <c r="Q175" s="32">
        <f t="shared" si="174"/>
        <v>0.01965317919</v>
      </c>
      <c r="R175" s="32">
        <f t="shared" si="174"/>
        <v>0.01785714286</v>
      </c>
      <c r="S175" s="32">
        <f t="shared" si="174"/>
        <v>0.02380952381</v>
      </c>
      <c r="T175" s="32">
        <f t="shared" si="174"/>
        <v>0.1272727273</v>
      </c>
    </row>
    <row r="176" ht="15.75" customHeight="1"/>
    <row r="177" ht="15.75" customHeight="1">
      <c r="P177" s="17">
        <v>31.0</v>
      </c>
      <c r="Q177" s="17">
        <f>$I$7</f>
        <v>32</v>
      </c>
      <c r="R177" s="17">
        <f>$J$7</f>
        <v>41</v>
      </c>
      <c r="S177" s="17">
        <f>$K$7</f>
        <v>42</v>
      </c>
      <c r="T177" s="17">
        <v>5.0</v>
      </c>
    </row>
    <row r="178" ht="15.75" customHeight="1">
      <c r="N178" s="39">
        <v>45201.0</v>
      </c>
      <c r="O178" s="19">
        <f>$G$8</f>
        <v>0</v>
      </c>
      <c r="P178" s="40">
        <f t="shared" ref="P178:T178" si="175">H190/A$213</f>
        <v>0.0146130031</v>
      </c>
      <c r="Q178" s="40">
        <f t="shared" si="175"/>
        <v>0.01550910317</v>
      </c>
      <c r="R178" s="40">
        <f t="shared" si="175"/>
        <v>0.02127659574</v>
      </c>
      <c r="S178" s="40">
        <f t="shared" si="175"/>
        <v>0.003831417625</v>
      </c>
      <c r="T178" s="40">
        <f t="shared" si="175"/>
        <v>0.006791171477</v>
      </c>
    </row>
    <row r="179" ht="15.75" customHeight="1">
      <c r="N179" s="23"/>
      <c r="O179" s="19">
        <f>$G$9</f>
        <v>1</v>
      </c>
      <c r="P179" s="40">
        <f t="shared" ref="P179:T179" si="176">H191/A$213</f>
        <v>0.01089783282</v>
      </c>
      <c r="Q179" s="40">
        <f t="shared" si="176"/>
        <v>0.008428860418</v>
      </c>
      <c r="R179" s="40">
        <f t="shared" si="176"/>
        <v>0.01063829787</v>
      </c>
      <c r="S179" s="40">
        <f t="shared" si="176"/>
        <v>0.01149425287</v>
      </c>
      <c r="T179" s="40">
        <f t="shared" si="176"/>
        <v>0.005093378608</v>
      </c>
    </row>
    <row r="180" ht="15.75" customHeight="1">
      <c r="N180" s="23"/>
      <c r="O180" s="19">
        <f>$G$10</f>
        <v>2</v>
      </c>
      <c r="P180" s="40">
        <f t="shared" ref="P180:T180" si="177">H192/A$213</f>
        <v>0.007058823529</v>
      </c>
      <c r="Q180" s="40">
        <f t="shared" si="177"/>
        <v>0.003034389751</v>
      </c>
      <c r="R180" s="40">
        <f t="shared" si="177"/>
        <v>0.01063829787</v>
      </c>
      <c r="S180" s="40">
        <f t="shared" si="177"/>
        <v>0.01915708812</v>
      </c>
      <c r="T180" s="40">
        <f t="shared" si="177"/>
        <v>0.008488964346</v>
      </c>
    </row>
    <row r="181" ht="15.75" customHeight="1">
      <c r="N181" s="23"/>
      <c r="O181" s="19">
        <f>$G$11</f>
        <v>3</v>
      </c>
      <c r="P181" s="40">
        <f t="shared" ref="P181:T181" si="178">H193/A$213</f>
        <v>0.00520123839</v>
      </c>
      <c r="Q181" s="40">
        <f t="shared" si="178"/>
        <v>0.006405933918</v>
      </c>
      <c r="R181" s="40">
        <f t="shared" si="178"/>
        <v>0</v>
      </c>
      <c r="S181" s="40">
        <f t="shared" si="178"/>
        <v>0.009578544061</v>
      </c>
      <c r="T181" s="40">
        <f t="shared" si="178"/>
        <v>0.01358234295</v>
      </c>
    </row>
    <row r="182" ht="15.75" customHeight="1">
      <c r="N182" s="23"/>
      <c r="O182" s="19">
        <f>$G$12</f>
        <v>4</v>
      </c>
      <c r="P182" s="40">
        <f t="shared" ref="P182:T182" si="179">H194/A$213</f>
        <v>0.005077399381</v>
      </c>
      <c r="Q182" s="40">
        <f t="shared" si="179"/>
        <v>0.007754551585</v>
      </c>
      <c r="R182" s="40">
        <f t="shared" si="179"/>
        <v>0.04255319149</v>
      </c>
      <c r="S182" s="40">
        <f t="shared" si="179"/>
        <v>0.009578544061</v>
      </c>
      <c r="T182" s="40">
        <f t="shared" si="179"/>
        <v>0.01528013582</v>
      </c>
    </row>
    <row r="183" ht="15.75" customHeight="1">
      <c r="N183" s="23"/>
      <c r="O183" s="19">
        <f>$G$13</f>
        <v>5</v>
      </c>
      <c r="P183" s="40">
        <f t="shared" ref="P183:T183" si="180">H195/A$213</f>
        <v>0.01226006192</v>
      </c>
      <c r="Q183" s="40">
        <f t="shared" si="180"/>
        <v>0.01584625759</v>
      </c>
      <c r="R183" s="40">
        <f t="shared" si="180"/>
        <v>0</v>
      </c>
      <c r="S183" s="40">
        <f t="shared" si="180"/>
        <v>0.01915708812</v>
      </c>
      <c r="T183" s="40">
        <f t="shared" si="180"/>
        <v>0.03565365025</v>
      </c>
    </row>
    <row r="184" ht="15.75" customHeight="1">
      <c r="N184" s="23"/>
      <c r="O184" s="19">
        <f>$G$14</f>
        <v>6</v>
      </c>
      <c r="P184" s="40">
        <f t="shared" ref="P184:T184" si="181">H196/A$213</f>
        <v>0.03826625387</v>
      </c>
      <c r="Q184" s="40">
        <f t="shared" si="181"/>
        <v>0.05461901551</v>
      </c>
      <c r="R184" s="40">
        <f t="shared" si="181"/>
        <v>0</v>
      </c>
      <c r="S184" s="40">
        <f t="shared" si="181"/>
        <v>0.02490421456</v>
      </c>
      <c r="T184" s="40">
        <f t="shared" si="181"/>
        <v>0.03565365025</v>
      </c>
    </row>
    <row r="185" ht="15.75" customHeight="1">
      <c r="A185" s="26">
        <f t="shared" ref="A185:E185" si="182">SUM(H152:H175)</f>
        <v>16243</v>
      </c>
      <c r="B185" s="26">
        <f t="shared" si="182"/>
        <v>4325</v>
      </c>
      <c r="C185" s="26">
        <f t="shared" si="182"/>
        <v>168</v>
      </c>
      <c r="D185" s="26">
        <f t="shared" si="182"/>
        <v>126</v>
      </c>
      <c r="E185" s="26">
        <f t="shared" si="182"/>
        <v>55</v>
      </c>
      <c r="N185" s="23"/>
      <c r="O185" s="19">
        <f>$G$15</f>
        <v>7</v>
      </c>
      <c r="P185" s="40">
        <f t="shared" ref="P185:T185" si="183">H197/A$213</f>
        <v>0.05126934985</v>
      </c>
      <c r="Q185" s="40">
        <f t="shared" si="183"/>
        <v>0.05023600809</v>
      </c>
      <c r="R185" s="40">
        <f t="shared" si="183"/>
        <v>0.04255319149</v>
      </c>
      <c r="S185" s="40">
        <f t="shared" si="183"/>
        <v>0.03256704981</v>
      </c>
      <c r="T185" s="40">
        <f t="shared" si="183"/>
        <v>0.03735144312</v>
      </c>
    </row>
    <row r="186" ht="15.75" customHeight="1">
      <c r="N186" s="23"/>
      <c r="O186" s="19">
        <f>$G$16</f>
        <v>8</v>
      </c>
      <c r="P186" s="40">
        <f t="shared" ref="P186:T186" si="184">H198/A$213</f>
        <v>0.04247678019</v>
      </c>
      <c r="Q186" s="40">
        <f t="shared" si="184"/>
        <v>0.04855023601</v>
      </c>
      <c r="R186" s="40">
        <f t="shared" si="184"/>
        <v>0.04255319149</v>
      </c>
      <c r="S186" s="40">
        <f t="shared" si="184"/>
        <v>0.04406130268</v>
      </c>
      <c r="T186" s="40">
        <f t="shared" si="184"/>
        <v>0.08658743633</v>
      </c>
    </row>
    <row r="187" ht="15.75" customHeight="1">
      <c r="N187" s="23"/>
      <c r="O187" s="19">
        <f>$G$17</f>
        <v>9</v>
      </c>
      <c r="P187" s="40">
        <f t="shared" ref="P187:T187" si="185">H199/A$213</f>
        <v>0.04160990712</v>
      </c>
      <c r="Q187" s="40">
        <f t="shared" si="185"/>
        <v>0.04888739042</v>
      </c>
      <c r="R187" s="40">
        <f t="shared" si="185"/>
        <v>0.06382978723</v>
      </c>
      <c r="S187" s="40">
        <f t="shared" si="185"/>
        <v>0.06896551724</v>
      </c>
      <c r="T187" s="40">
        <f t="shared" si="185"/>
        <v>0.09337860781</v>
      </c>
    </row>
    <row r="188" ht="15.75" customHeight="1">
      <c r="F188" s="41"/>
      <c r="G188" s="16"/>
      <c r="N188" s="23"/>
      <c r="O188" s="19">
        <f>$G$18</f>
        <v>10</v>
      </c>
      <c r="P188" s="40">
        <f t="shared" ref="P188:T188" si="186">H200/A$213</f>
        <v>0.0520123839</v>
      </c>
      <c r="Q188" s="40">
        <f t="shared" si="186"/>
        <v>0.05596763318</v>
      </c>
      <c r="R188" s="40">
        <f t="shared" si="186"/>
        <v>0.04255319149</v>
      </c>
      <c r="S188" s="40">
        <f t="shared" si="186"/>
        <v>0.06704980843</v>
      </c>
      <c r="T188" s="40">
        <f t="shared" si="186"/>
        <v>0.06451612903</v>
      </c>
    </row>
    <row r="189" ht="15.75" customHeight="1">
      <c r="G189" s="16"/>
      <c r="H189" s="17">
        <f>$H$7</f>
        <v>31</v>
      </c>
      <c r="I189" s="17">
        <f>$I$7</f>
        <v>32</v>
      </c>
      <c r="J189" s="17">
        <f>$J$7</f>
        <v>41</v>
      </c>
      <c r="K189" s="17">
        <f>$K$7</f>
        <v>42</v>
      </c>
      <c r="L189" s="17">
        <f>$L$7</f>
        <v>5</v>
      </c>
      <c r="N189" s="23"/>
      <c r="O189" s="19">
        <f>$G$19</f>
        <v>11</v>
      </c>
      <c r="P189" s="40">
        <f t="shared" ref="P189:T189" si="187">H201/A$213</f>
        <v>0.04879256966</v>
      </c>
      <c r="Q189" s="40">
        <f t="shared" si="187"/>
        <v>0.05933917734</v>
      </c>
      <c r="R189" s="40">
        <f t="shared" si="187"/>
        <v>0.06382978723</v>
      </c>
      <c r="S189" s="40">
        <f t="shared" si="187"/>
        <v>0.07088122605</v>
      </c>
      <c r="T189" s="40">
        <f t="shared" si="187"/>
        <v>0.0662139219</v>
      </c>
    </row>
    <row r="190" ht="15.75" customHeight="1">
      <c r="F190" s="39">
        <v>45201.0</v>
      </c>
      <c r="G190" s="19">
        <f>$G$8</f>
        <v>0</v>
      </c>
      <c r="H190" s="42">
        <v>118.0</v>
      </c>
      <c r="I190" s="42">
        <v>46.0</v>
      </c>
      <c r="J190" s="42">
        <v>2.0</v>
      </c>
      <c r="K190" s="42">
        <v>2.0</v>
      </c>
      <c r="L190" s="42">
        <v>4.0</v>
      </c>
      <c r="N190" s="23"/>
      <c r="O190" s="19">
        <f>$G$20</f>
        <v>12</v>
      </c>
      <c r="P190" s="40">
        <f t="shared" ref="P190:T190" si="188">H202/A$213</f>
        <v>0.0679876161</v>
      </c>
      <c r="Q190" s="40">
        <f t="shared" si="188"/>
        <v>0.05866486851</v>
      </c>
      <c r="R190" s="40">
        <f t="shared" si="188"/>
        <v>0.05319148936</v>
      </c>
      <c r="S190" s="40">
        <f t="shared" si="188"/>
        <v>0.0632183908</v>
      </c>
      <c r="T190" s="40">
        <f t="shared" si="188"/>
        <v>0.06451612903</v>
      </c>
    </row>
    <row r="191" ht="15.75" customHeight="1">
      <c r="F191" s="23"/>
      <c r="G191" s="19">
        <f>$G$9</f>
        <v>1</v>
      </c>
      <c r="H191" s="16">
        <v>88.0</v>
      </c>
      <c r="I191" s="16">
        <v>25.0</v>
      </c>
      <c r="J191" s="16">
        <v>1.0</v>
      </c>
      <c r="K191" s="16">
        <v>6.0</v>
      </c>
      <c r="L191" s="16">
        <v>3.0</v>
      </c>
      <c r="N191" s="23"/>
      <c r="O191" s="19">
        <f>$G$21</f>
        <v>13</v>
      </c>
      <c r="P191" s="40">
        <f t="shared" ref="P191:T191" si="189">H203/A$213</f>
        <v>0.06897832817</v>
      </c>
      <c r="Q191" s="40">
        <f t="shared" si="189"/>
        <v>0.06473364801</v>
      </c>
      <c r="R191" s="40">
        <f t="shared" si="189"/>
        <v>0.07446808511</v>
      </c>
      <c r="S191" s="40">
        <f t="shared" si="189"/>
        <v>0.07279693487</v>
      </c>
      <c r="T191" s="40">
        <f t="shared" si="189"/>
        <v>0.06281833616</v>
      </c>
    </row>
    <row r="192" ht="15.75" customHeight="1">
      <c r="F192" s="23"/>
      <c r="G192" s="19">
        <f>$G$10</f>
        <v>2</v>
      </c>
      <c r="H192" s="16">
        <v>57.0</v>
      </c>
      <c r="I192" s="16">
        <v>9.0</v>
      </c>
      <c r="J192" s="16">
        <v>1.0</v>
      </c>
      <c r="K192" s="16">
        <v>10.0</v>
      </c>
      <c r="L192" s="16">
        <v>5.0</v>
      </c>
      <c r="N192" s="23"/>
      <c r="O192" s="19">
        <f>$G$22</f>
        <v>14</v>
      </c>
      <c r="P192" s="40">
        <f t="shared" ref="P192:T192" si="190">H204/A$213</f>
        <v>0.07925696594</v>
      </c>
      <c r="Q192" s="40">
        <f t="shared" si="190"/>
        <v>0.08530006743</v>
      </c>
      <c r="R192" s="40">
        <f t="shared" si="190"/>
        <v>0.08510638298</v>
      </c>
      <c r="S192" s="40">
        <f t="shared" si="190"/>
        <v>0.07279693487</v>
      </c>
      <c r="T192" s="40">
        <f t="shared" si="190"/>
        <v>0.06281833616</v>
      </c>
    </row>
    <row r="193" ht="15.75" customHeight="1">
      <c r="F193" s="23"/>
      <c r="G193" s="19">
        <f>$G$11</f>
        <v>3</v>
      </c>
      <c r="H193" s="16">
        <v>42.0</v>
      </c>
      <c r="I193" s="16">
        <v>19.0</v>
      </c>
      <c r="J193" s="16">
        <v>0.0</v>
      </c>
      <c r="K193" s="16">
        <v>5.0</v>
      </c>
      <c r="L193" s="16">
        <v>8.0</v>
      </c>
      <c r="N193" s="23"/>
      <c r="O193" s="19">
        <f>$G$23</f>
        <v>15</v>
      </c>
      <c r="P193" s="40">
        <f t="shared" ref="P193:T193" si="191">H205/A$213</f>
        <v>0.08606811146</v>
      </c>
      <c r="Q193" s="40">
        <f t="shared" si="191"/>
        <v>0.08900876601</v>
      </c>
      <c r="R193" s="40">
        <f t="shared" si="191"/>
        <v>0.07446808511</v>
      </c>
      <c r="S193" s="40">
        <f t="shared" si="191"/>
        <v>0.08620689655</v>
      </c>
      <c r="T193" s="40">
        <f t="shared" si="191"/>
        <v>0.06960950764</v>
      </c>
    </row>
    <row r="194" ht="15.75" customHeight="1">
      <c r="F194" s="23"/>
      <c r="G194" s="19">
        <f>$G$12</f>
        <v>4</v>
      </c>
      <c r="H194" s="16">
        <v>41.0</v>
      </c>
      <c r="I194" s="16">
        <v>23.0</v>
      </c>
      <c r="J194" s="16">
        <v>4.0</v>
      </c>
      <c r="K194" s="16">
        <v>5.0</v>
      </c>
      <c r="L194" s="16">
        <v>9.0</v>
      </c>
      <c r="N194" s="23"/>
      <c r="O194" s="19">
        <f>$G$24</f>
        <v>16</v>
      </c>
      <c r="P194" s="40">
        <f t="shared" ref="P194:T194" si="192">H206/A$213</f>
        <v>0.08842105263</v>
      </c>
      <c r="Q194" s="40">
        <f t="shared" si="192"/>
        <v>0.08799730276</v>
      </c>
      <c r="R194" s="40">
        <f t="shared" si="192"/>
        <v>0.1170212766</v>
      </c>
      <c r="S194" s="40">
        <f t="shared" si="192"/>
        <v>0.08045977011</v>
      </c>
      <c r="T194" s="40">
        <f t="shared" si="192"/>
        <v>0.07470288625</v>
      </c>
    </row>
    <row r="195" ht="15.75" customHeight="1">
      <c r="F195" s="23"/>
      <c r="G195" s="19">
        <f>$G$13</f>
        <v>5</v>
      </c>
      <c r="H195" s="16">
        <v>99.0</v>
      </c>
      <c r="I195" s="16">
        <v>47.0</v>
      </c>
      <c r="J195" s="16">
        <v>0.0</v>
      </c>
      <c r="K195" s="16">
        <v>10.0</v>
      </c>
      <c r="L195" s="16">
        <v>21.0</v>
      </c>
      <c r="N195" s="23"/>
      <c r="O195" s="19">
        <f>$G$25</f>
        <v>17</v>
      </c>
      <c r="P195" s="40">
        <f t="shared" ref="P195:T195" si="193">H207/A$213</f>
        <v>0.09040247678</v>
      </c>
      <c r="Q195" s="40">
        <f t="shared" si="193"/>
        <v>0.07956844235</v>
      </c>
      <c r="R195" s="40">
        <f t="shared" si="193"/>
        <v>0.1382978723</v>
      </c>
      <c r="S195" s="40">
        <f t="shared" si="193"/>
        <v>0.04980842912</v>
      </c>
      <c r="T195" s="40">
        <f t="shared" si="193"/>
        <v>0.03904923599</v>
      </c>
    </row>
    <row r="196" ht="15.75" customHeight="1">
      <c r="F196" s="23"/>
      <c r="G196" s="19">
        <f>$G$14</f>
        <v>6</v>
      </c>
      <c r="H196" s="16">
        <v>309.0</v>
      </c>
      <c r="I196" s="16">
        <v>162.0</v>
      </c>
      <c r="J196" s="16">
        <v>0.0</v>
      </c>
      <c r="K196" s="16">
        <v>13.0</v>
      </c>
      <c r="L196" s="16">
        <v>21.0</v>
      </c>
      <c r="N196" s="23"/>
      <c r="O196" s="19">
        <f>$G$26</f>
        <v>18</v>
      </c>
      <c r="P196" s="40">
        <f t="shared" ref="P196:T196" si="194">H208/A$213</f>
        <v>0.06526315789</v>
      </c>
      <c r="Q196" s="40">
        <f t="shared" si="194"/>
        <v>0.05664194201</v>
      </c>
      <c r="R196" s="40">
        <f t="shared" si="194"/>
        <v>0.04255319149</v>
      </c>
      <c r="S196" s="40">
        <f t="shared" si="194"/>
        <v>0.05938697318</v>
      </c>
      <c r="T196" s="40">
        <f t="shared" si="194"/>
        <v>0.04074702886</v>
      </c>
    </row>
    <row r="197" ht="15.75" customHeight="1">
      <c r="F197" s="23"/>
      <c r="G197" s="19">
        <f>$G$15</f>
        <v>7</v>
      </c>
      <c r="H197" s="16">
        <v>414.0</v>
      </c>
      <c r="I197" s="16">
        <v>149.0</v>
      </c>
      <c r="J197" s="16">
        <v>4.0</v>
      </c>
      <c r="K197" s="16">
        <v>17.0</v>
      </c>
      <c r="L197" s="16">
        <v>22.0</v>
      </c>
      <c r="N197" s="23"/>
      <c r="O197" s="19">
        <f>$G$27</f>
        <v>19</v>
      </c>
      <c r="P197" s="40">
        <f t="shared" ref="P197:T197" si="195">H209/A$213</f>
        <v>0.04111455108</v>
      </c>
      <c r="Q197" s="40">
        <f t="shared" si="195"/>
        <v>0.03472690492</v>
      </c>
      <c r="R197" s="40">
        <f t="shared" si="195"/>
        <v>0.06382978723</v>
      </c>
      <c r="S197" s="40">
        <f t="shared" si="195"/>
        <v>0.02681992337</v>
      </c>
      <c r="T197" s="40">
        <f t="shared" si="195"/>
        <v>0.02716468591</v>
      </c>
    </row>
    <row r="198" ht="15.75" customHeight="1">
      <c r="F198" s="23"/>
      <c r="G198" s="19">
        <f>$G$16</f>
        <v>8</v>
      </c>
      <c r="H198" s="16">
        <v>343.0</v>
      </c>
      <c r="I198" s="16">
        <v>144.0</v>
      </c>
      <c r="J198" s="16">
        <v>4.0</v>
      </c>
      <c r="K198" s="16">
        <v>23.0</v>
      </c>
      <c r="L198" s="16">
        <v>51.0</v>
      </c>
      <c r="N198" s="23"/>
      <c r="O198" s="19">
        <f>$G$28</f>
        <v>20</v>
      </c>
      <c r="P198" s="40">
        <f t="shared" ref="P198:T198" si="196">H210/A$213</f>
        <v>0.03318885449</v>
      </c>
      <c r="Q198" s="40">
        <f t="shared" si="196"/>
        <v>0.03068105192</v>
      </c>
      <c r="R198" s="40">
        <f t="shared" si="196"/>
        <v>0.01063829787</v>
      </c>
      <c r="S198" s="40">
        <f t="shared" si="196"/>
        <v>0.03256704981</v>
      </c>
      <c r="T198" s="40">
        <f t="shared" si="196"/>
        <v>0.02716468591</v>
      </c>
    </row>
    <row r="199" ht="15.75" customHeight="1">
      <c r="F199" s="23"/>
      <c r="G199" s="19">
        <f>$G$17</f>
        <v>9</v>
      </c>
      <c r="H199" s="16">
        <v>336.0</v>
      </c>
      <c r="I199" s="16">
        <v>145.0</v>
      </c>
      <c r="J199" s="16">
        <v>6.0</v>
      </c>
      <c r="K199" s="16">
        <v>36.0</v>
      </c>
      <c r="L199" s="16">
        <v>55.0</v>
      </c>
      <c r="N199" s="23"/>
      <c r="O199" s="19">
        <f>$G$29</f>
        <v>21</v>
      </c>
      <c r="P199" s="40">
        <f t="shared" ref="P199:T199" si="197">H211/A$213</f>
        <v>0.0213003096</v>
      </c>
      <c r="Q199" s="40">
        <f t="shared" si="197"/>
        <v>0.01584625759</v>
      </c>
      <c r="R199" s="40">
        <f t="shared" si="197"/>
        <v>0</v>
      </c>
      <c r="S199" s="40">
        <f t="shared" si="197"/>
        <v>0.04789272031</v>
      </c>
      <c r="T199" s="40">
        <f t="shared" si="197"/>
        <v>0.01188455008</v>
      </c>
    </row>
    <row r="200" ht="15.75" customHeight="1">
      <c r="F200" s="23"/>
      <c r="G200" s="19">
        <f>$G$18</f>
        <v>10</v>
      </c>
      <c r="H200" s="16">
        <v>420.0</v>
      </c>
      <c r="I200" s="16">
        <v>166.0</v>
      </c>
      <c r="J200" s="16">
        <v>4.0</v>
      </c>
      <c r="K200" s="16">
        <v>35.0</v>
      </c>
      <c r="L200" s="16">
        <v>38.0</v>
      </c>
      <c r="N200" s="23"/>
      <c r="O200" s="19">
        <f>$G$30</f>
        <v>22</v>
      </c>
      <c r="P200" s="40">
        <f t="shared" ref="P200:T200" si="198">H212/A$213</f>
        <v>0.01919504644</v>
      </c>
      <c r="Q200" s="40">
        <f t="shared" si="198"/>
        <v>0.01146325017</v>
      </c>
      <c r="R200" s="40">
        <f t="shared" si="198"/>
        <v>0</v>
      </c>
      <c r="S200" s="40">
        <f t="shared" si="198"/>
        <v>0.01340996169</v>
      </c>
      <c r="T200" s="40">
        <f t="shared" si="198"/>
        <v>0.02037351443</v>
      </c>
    </row>
    <row r="201" ht="15.75" customHeight="1">
      <c r="F201" s="23"/>
      <c r="G201" s="19">
        <f>$G$19</f>
        <v>11</v>
      </c>
      <c r="H201" s="16">
        <v>394.0</v>
      </c>
      <c r="I201" s="16">
        <v>176.0</v>
      </c>
      <c r="J201" s="16">
        <v>6.0</v>
      </c>
      <c r="K201" s="16">
        <v>37.0</v>
      </c>
      <c r="L201" s="16">
        <v>39.0</v>
      </c>
      <c r="N201" s="27"/>
      <c r="O201" s="19">
        <f>$G$31</f>
        <v>23</v>
      </c>
      <c r="P201" s="40">
        <f t="shared" ref="P201:T201" si="199">H213/A$213</f>
        <v>0.009287925697</v>
      </c>
      <c r="Q201" s="40">
        <f t="shared" si="199"/>
        <v>0.01078894134</v>
      </c>
      <c r="R201" s="40">
        <f t="shared" si="199"/>
        <v>0</v>
      </c>
      <c r="S201" s="40">
        <f t="shared" si="199"/>
        <v>0.01340996169</v>
      </c>
      <c r="T201" s="40">
        <f t="shared" si="199"/>
        <v>0.03056027165</v>
      </c>
    </row>
    <row r="202" ht="15.75" customHeight="1">
      <c r="F202" s="23"/>
      <c r="G202" s="19">
        <f>$G$20</f>
        <v>12</v>
      </c>
      <c r="H202" s="16">
        <v>549.0</v>
      </c>
      <c r="I202" s="16">
        <v>174.0</v>
      </c>
      <c r="J202" s="16">
        <v>5.0</v>
      </c>
      <c r="K202" s="16">
        <v>33.0</v>
      </c>
      <c r="L202" s="16">
        <v>38.0</v>
      </c>
      <c r="N202" s="39">
        <v>45202.0</v>
      </c>
      <c r="O202" s="19">
        <f>$G$8</f>
        <v>0</v>
      </c>
      <c r="P202" s="40">
        <f t="shared" ref="P202:T202" si="200">H214/A$239</f>
        <v>0.008705580134</v>
      </c>
      <c r="Q202" s="40">
        <f t="shared" si="200"/>
        <v>0.005880318229</v>
      </c>
      <c r="R202" s="40">
        <f t="shared" si="200"/>
        <v>0.009259259259</v>
      </c>
      <c r="S202" s="40">
        <f t="shared" si="200"/>
        <v>0.01444622793</v>
      </c>
      <c r="T202" s="40">
        <f t="shared" si="200"/>
        <v>0.01158301158</v>
      </c>
    </row>
    <row r="203" ht="15.75" customHeight="1">
      <c r="F203" s="23"/>
      <c r="G203" s="19">
        <f>$G$21</f>
        <v>13</v>
      </c>
      <c r="H203" s="16">
        <v>557.0</v>
      </c>
      <c r="I203" s="16">
        <v>192.0</v>
      </c>
      <c r="J203" s="16">
        <v>7.0</v>
      </c>
      <c r="K203" s="16">
        <v>38.0</v>
      </c>
      <c r="L203" s="16">
        <v>37.0</v>
      </c>
      <c r="N203" s="23"/>
      <c r="O203" s="19">
        <f>$G$9</f>
        <v>1</v>
      </c>
      <c r="P203" s="40">
        <f t="shared" ref="P203:T203" si="201">H215/A$239</f>
        <v>0.006136720422</v>
      </c>
      <c r="Q203" s="40">
        <f t="shared" si="201"/>
        <v>0.004842615012</v>
      </c>
      <c r="R203" s="40">
        <f t="shared" si="201"/>
        <v>0.009259259259</v>
      </c>
      <c r="S203" s="40">
        <f t="shared" si="201"/>
        <v>0.01284109149</v>
      </c>
      <c r="T203" s="40">
        <f t="shared" si="201"/>
        <v>0.01737451737</v>
      </c>
    </row>
    <row r="204" ht="15.75" customHeight="1">
      <c r="F204" s="23"/>
      <c r="G204" s="19">
        <f>$G$22</f>
        <v>14</v>
      </c>
      <c r="H204" s="16">
        <v>640.0</v>
      </c>
      <c r="I204" s="16">
        <v>253.0</v>
      </c>
      <c r="J204" s="16">
        <v>8.0</v>
      </c>
      <c r="K204" s="16">
        <v>38.0</v>
      </c>
      <c r="L204" s="16">
        <v>37.0</v>
      </c>
      <c r="N204" s="23"/>
      <c r="O204" s="19">
        <f>$G$10</f>
        <v>2</v>
      </c>
      <c r="P204" s="40">
        <f t="shared" ref="P204:T204" si="202">H216/A$239</f>
        <v>0.003853289568</v>
      </c>
      <c r="Q204" s="40">
        <f t="shared" si="202"/>
        <v>0.005534417157</v>
      </c>
      <c r="R204" s="40">
        <f t="shared" si="202"/>
        <v>0</v>
      </c>
      <c r="S204" s="40">
        <f t="shared" si="202"/>
        <v>0.00963081862</v>
      </c>
      <c r="T204" s="40">
        <f t="shared" si="202"/>
        <v>0.01737451737</v>
      </c>
    </row>
    <row r="205" ht="15.75" customHeight="1">
      <c r="F205" s="23"/>
      <c r="G205" s="19">
        <f>$G$23</f>
        <v>15</v>
      </c>
      <c r="H205" s="16">
        <v>695.0</v>
      </c>
      <c r="I205" s="16">
        <v>264.0</v>
      </c>
      <c r="J205" s="16">
        <v>7.0</v>
      </c>
      <c r="K205" s="16">
        <v>45.0</v>
      </c>
      <c r="L205" s="16">
        <v>41.0</v>
      </c>
      <c r="N205" s="23"/>
      <c r="O205" s="19">
        <f>$G$11</f>
        <v>3</v>
      </c>
      <c r="P205" s="40">
        <f t="shared" ref="P205:T205" si="203">H217/A$239</f>
        <v>0.003425146282</v>
      </c>
      <c r="Q205" s="40">
        <f t="shared" si="203"/>
        <v>0.00449671394</v>
      </c>
      <c r="R205" s="40">
        <f t="shared" si="203"/>
        <v>0</v>
      </c>
      <c r="S205" s="40">
        <f t="shared" si="203"/>
        <v>0.00481540931</v>
      </c>
      <c r="T205" s="40">
        <f t="shared" si="203"/>
        <v>0.01930501931</v>
      </c>
    </row>
    <row r="206" ht="15.75" customHeight="1">
      <c r="F206" s="23"/>
      <c r="G206" s="19">
        <f>$G$24</f>
        <v>16</v>
      </c>
      <c r="H206" s="16">
        <v>714.0</v>
      </c>
      <c r="I206" s="16">
        <v>261.0</v>
      </c>
      <c r="J206" s="16">
        <v>11.0</v>
      </c>
      <c r="K206" s="16">
        <v>42.0</v>
      </c>
      <c r="L206" s="16">
        <v>44.0</v>
      </c>
      <c r="N206" s="23"/>
      <c r="O206" s="19">
        <f>$G$12</f>
        <v>4</v>
      </c>
      <c r="P206" s="40">
        <f t="shared" ref="P206:T206" si="204">H218/A$239</f>
        <v>0.004709576138</v>
      </c>
      <c r="Q206" s="40">
        <f t="shared" si="204"/>
        <v>0.004842615012</v>
      </c>
      <c r="R206" s="40">
        <f t="shared" si="204"/>
        <v>0.009259259259</v>
      </c>
      <c r="S206" s="40">
        <f t="shared" si="204"/>
        <v>0.00963081862</v>
      </c>
      <c r="T206" s="40">
        <f t="shared" si="204"/>
        <v>0.003861003861</v>
      </c>
    </row>
    <row r="207" ht="15.75" customHeight="1">
      <c r="F207" s="23"/>
      <c r="G207" s="19">
        <f>$G$25</f>
        <v>17</v>
      </c>
      <c r="H207" s="16">
        <v>730.0</v>
      </c>
      <c r="I207" s="16">
        <v>236.0</v>
      </c>
      <c r="J207" s="16">
        <v>13.0</v>
      </c>
      <c r="K207" s="16">
        <v>26.0</v>
      </c>
      <c r="L207" s="16">
        <v>23.0</v>
      </c>
      <c r="N207" s="23"/>
      <c r="O207" s="19">
        <f>$G$13</f>
        <v>5</v>
      </c>
      <c r="P207" s="40">
        <f t="shared" ref="P207:T207" si="205">H219/A$239</f>
        <v>0.009276437848</v>
      </c>
      <c r="Q207" s="40">
        <f t="shared" si="205"/>
        <v>0.01106883431</v>
      </c>
      <c r="R207" s="40">
        <f t="shared" si="205"/>
        <v>0</v>
      </c>
      <c r="S207" s="40">
        <f t="shared" si="205"/>
        <v>0.01123595506</v>
      </c>
      <c r="T207" s="40">
        <f t="shared" si="205"/>
        <v>0.04054054054</v>
      </c>
    </row>
    <row r="208" ht="15.75" customHeight="1">
      <c r="F208" s="23"/>
      <c r="G208" s="19">
        <f>$G$26</f>
        <v>18</v>
      </c>
      <c r="H208" s="16">
        <v>527.0</v>
      </c>
      <c r="I208" s="16">
        <v>168.0</v>
      </c>
      <c r="J208" s="16">
        <v>4.0</v>
      </c>
      <c r="K208" s="16">
        <v>31.0</v>
      </c>
      <c r="L208" s="16">
        <v>24.0</v>
      </c>
      <c r="N208" s="23"/>
      <c r="O208" s="19">
        <f>$G$14</f>
        <v>6</v>
      </c>
      <c r="P208" s="40">
        <f t="shared" ref="P208:T208" si="206">H220/A$239</f>
        <v>0.03453689168</v>
      </c>
      <c r="Q208" s="40">
        <f t="shared" si="206"/>
        <v>0.05430646835</v>
      </c>
      <c r="R208" s="40">
        <f t="shared" si="206"/>
        <v>0.009259259259</v>
      </c>
      <c r="S208" s="40">
        <f t="shared" si="206"/>
        <v>0.02247191011</v>
      </c>
      <c r="T208" s="40">
        <f t="shared" si="206"/>
        <v>0.02702702703</v>
      </c>
    </row>
    <row r="209" ht="15.75" customHeight="1">
      <c r="F209" s="23"/>
      <c r="G209" s="19">
        <f>$G$27</f>
        <v>19</v>
      </c>
      <c r="H209" s="16">
        <v>332.0</v>
      </c>
      <c r="I209" s="16">
        <v>103.0</v>
      </c>
      <c r="J209" s="16">
        <v>6.0</v>
      </c>
      <c r="K209" s="16">
        <v>14.0</v>
      </c>
      <c r="L209" s="16">
        <v>16.0</v>
      </c>
      <c r="N209" s="23"/>
      <c r="O209" s="19">
        <f>$G$15</f>
        <v>7</v>
      </c>
      <c r="P209" s="40">
        <f t="shared" ref="P209:T209" si="207">H221/A$239</f>
        <v>0.05294705295</v>
      </c>
      <c r="Q209" s="40">
        <f t="shared" si="207"/>
        <v>0.04911795227</v>
      </c>
      <c r="R209" s="40">
        <f t="shared" si="207"/>
        <v>0</v>
      </c>
      <c r="S209" s="40">
        <f t="shared" si="207"/>
        <v>0.02568218299</v>
      </c>
      <c r="T209" s="40">
        <f t="shared" si="207"/>
        <v>0.04633204633</v>
      </c>
    </row>
    <row r="210" ht="15.75" customHeight="1">
      <c r="F210" s="23"/>
      <c r="G210" s="19">
        <f>$G$28</f>
        <v>20</v>
      </c>
      <c r="H210" s="16">
        <v>268.0</v>
      </c>
      <c r="I210" s="16">
        <v>91.0</v>
      </c>
      <c r="J210" s="16">
        <v>1.0</v>
      </c>
      <c r="K210" s="16">
        <v>17.0</v>
      </c>
      <c r="L210" s="16">
        <v>16.0</v>
      </c>
      <c r="N210" s="23"/>
      <c r="O210" s="19">
        <f>$G$16</f>
        <v>8</v>
      </c>
      <c r="P210" s="40">
        <f t="shared" ref="P210:T210" si="208">H222/A$239</f>
        <v>0.04053089767</v>
      </c>
      <c r="Q210" s="40">
        <f t="shared" si="208"/>
        <v>0.04877205119</v>
      </c>
      <c r="R210" s="40">
        <f t="shared" si="208"/>
        <v>0.09259259259</v>
      </c>
      <c r="S210" s="40">
        <f t="shared" si="208"/>
        <v>0.04975922953</v>
      </c>
      <c r="T210" s="40">
        <f t="shared" si="208"/>
        <v>0.08301158301</v>
      </c>
    </row>
    <row r="211" ht="15.75" customHeight="1">
      <c r="F211" s="23"/>
      <c r="G211" s="19">
        <f>$G$29</f>
        <v>21</v>
      </c>
      <c r="H211" s="16">
        <v>172.0</v>
      </c>
      <c r="I211" s="16">
        <v>47.0</v>
      </c>
      <c r="J211" s="16">
        <v>0.0</v>
      </c>
      <c r="K211" s="16">
        <v>25.0</v>
      </c>
      <c r="L211" s="16">
        <v>7.0</v>
      </c>
      <c r="N211" s="23"/>
      <c r="O211" s="19">
        <f>$G$17</f>
        <v>9</v>
      </c>
      <c r="P211" s="40">
        <f t="shared" ref="P211:T211" si="209">H223/A$239</f>
        <v>0.04324247181</v>
      </c>
      <c r="Q211" s="40">
        <f t="shared" si="209"/>
        <v>0.05153925977</v>
      </c>
      <c r="R211" s="40">
        <f t="shared" si="209"/>
        <v>0.0462962963</v>
      </c>
      <c r="S211" s="40">
        <f t="shared" si="209"/>
        <v>0.07062600321</v>
      </c>
      <c r="T211" s="40">
        <f t="shared" si="209"/>
        <v>0.09073359073</v>
      </c>
    </row>
    <row r="212" ht="15.75" customHeight="1">
      <c r="F212" s="23"/>
      <c r="G212" s="19">
        <f>$G$30</f>
        <v>22</v>
      </c>
      <c r="H212" s="16">
        <v>155.0</v>
      </c>
      <c r="I212" s="16">
        <v>34.0</v>
      </c>
      <c r="J212" s="16">
        <v>0.0</v>
      </c>
      <c r="K212" s="16">
        <v>7.0</v>
      </c>
      <c r="L212" s="16">
        <v>12.0</v>
      </c>
      <c r="N212" s="23"/>
      <c r="O212" s="19">
        <f>$G$18</f>
        <v>10</v>
      </c>
      <c r="P212" s="40">
        <f t="shared" ref="P212:T212" si="210">H224/A$239</f>
        <v>0.04581133153</v>
      </c>
      <c r="Q212" s="40">
        <f t="shared" si="210"/>
        <v>0.04808024905</v>
      </c>
      <c r="R212" s="40">
        <f t="shared" si="210"/>
        <v>0.03703703704</v>
      </c>
      <c r="S212" s="40">
        <f t="shared" si="210"/>
        <v>0.06099518459</v>
      </c>
      <c r="T212" s="40">
        <f t="shared" si="210"/>
        <v>0.07722007722</v>
      </c>
    </row>
    <row r="213" ht="15.75" customHeight="1">
      <c r="A213" s="26">
        <f t="shared" ref="A213:E213" si="211">SUM(H190:H213)</f>
        <v>8075</v>
      </c>
      <c r="B213" s="26">
        <f t="shared" si="211"/>
        <v>2966</v>
      </c>
      <c r="C213" s="26">
        <f t="shared" si="211"/>
        <v>94</v>
      </c>
      <c r="D213" s="26">
        <f t="shared" si="211"/>
        <v>522</v>
      </c>
      <c r="E213" s="26">
        <f t="shared" si="211"/>
        <v>589</v>
      </c>
      <c r="F213" s="27"/>
      <c r="G213" s="19">
        <f>$G$31</f>
        <v>23</v>
      </c>
      <c r="H213" s="43">
        <v>75.0</v>
      </c>
      <c r="I213" s="43">
        <v>32.0</v>
      </c>
      <c r="J213" s="43">
        <v>0.0</v>
      </c>
      <c r="K213" s="43">
        <v>7.0</v>
      </c>
      <c r="L213" s="43">
        <v>18.0</v>
      </c>
      <c r="N213" s="23"/>
      <c r="O213" s="19">
        <f>$G$19</f>
        <v>11</v>
      </c>
      <c r="P213" s="40">
        <f t="shared" ref="P213:T213" si="212">H225/A$239</f>
        <v>0.04966462109</v>
      </c>
      <c r="Q213" s="40">
        <f t="shared" si="212"/>
        <v>0.05984088551</v>
      </c>
      <c r="R213" s="40">
        <f t="shared" si="212"/>
        <v>0.1111111111</v>
      </c>
      <c r="S213" s="40">
        <f t="shared" si="212"/>
        <v>0.0963081862</v>
      </c>
      <c r="T213" s="40">
        <f t="shared" si="212"/>
        <v>0.07722007722</v>
      </c>
    </row>
    <row r="214" ht="15.75" customHeight="1">
      <c r="F214" s="39">
        <v>45202.0</v>
      </c>
      <c r="G214" s="19">
        <f>$G$8</f>
        <v>0</v>
      </c>
      <c r="H214" s="34">
        <v>61.0</v>
      </c>
      <c r="I214" s="34">
        <v>17.0</v>
      </c>
      <c r="J214" s="34">
        <v>1.0</v>
      </c>
      <c r="K214" s="34">
        <v>9.0</v>
      </c>
      <c r="L214" s="34">
        <v>6.0</v>
      </c>
      <c r="N214" s="23"/>
      <c r="O214" s="19">
        <f>$G$20</f>
        <v>12</v>
      </c>
      <c r="P214" s="40">
        <f t="shared" ref="P214:T214" si="213">H226/A$239</f>
        <v>0.07135721421</v>
      </c>
      <c r="Q214" s="40">
        <f t="shared" si="213"/>
        <v>0.06502940159</v>
      </c>
      <c r="R214" s="40">
        <f t="shared" si="213"/>
        <v>0.03703703704</v>
      </c>
      <c r="S214" s="40">
        <f t="shared" si="213"/>
        <v>0.08025682183</v>
      </c>
      <c r="T214" s="40">
        <f t="shared" si="213"/>
        <v>0.06177606178</v>
      </c>
    </row>
    <row r="215" ht="15.75" customHeight="1">
      <c r="F215" s="23"/>
      <c r="G215" s="19">
        <f>$G$9</f>
        <v>1</v>
      </c>
      <c r="H215" s="34">
        <v>43.0</v>
      </c>
      <c r="I215" s="34">
        <v>14.0</v>
      </c>
      <c r="J215" s="34">
        <v>1.0</v>
      </c>
      <c r="K215" s="34">
        <v>8.0</v>
      </c>
      <c r="L215" s="34">
        <v>9.0</v>
      </c>
      <c r="N215" s="23"/>
      <c r="O215" s="19">
        <f>$G$21</f>
        <v>13</v>
      </c>
      <c r="P215" s="40">
        <f t="shared" ref="P215:T215" si="214">H227/A$239</f>
        <v>0.0727843585</v>
      </c>
      <c r="Q215" s="40">
        <f t="shared" si="214"/>
        <v>0.06572120374</v>
      </c>
      <c r="R215" s="40">
        <f t="shared" si="214"/>
        <v>0.09259259259</v>
      </c>
      <c r="S215" s="40">
        <f t="shared" si="214"/>
        <v>0.08025682183</v>
      </c>
      <c r="T215" s="40">
        <f t="shared" si="214"/>
        <v>0.05598455598</v>
      </c>
      <c r="U215" s="17">
        <f>$H$7</f>
        <v>31</v>
      </c>
      <c r="V215" s="17">
        <f>$I$7</f>
        <v>32</v>
      </c>
      <c r="W215" s="17">
        <f>$J$7</f>
        <v>41</v>
      </c>
      <c r="X215" s="17">
        <f>$K$7</f>
        <v>42</v>
      </c>
      <c r="Y215" s="17">
        <f>$L$7</f>
        <v>5</v>
      </c>
    </row>
    <row r="216" ht="15.75" customHeight="1">
      <c r="F216" s="23"/>
      <c r="G216" s="19">
        <f>$G$10</f>
        <v>2</v>
      </c>
      <c r="H216" s="34">
        <v>27.0</v>
      </c>
      <c r="I216" s="34">
        <v>16.0</v>
      </c>
      <c r="J216" s="34">
        <v>0.0</v>
      </c>
      <c r="K216" s="34">
        <v>6.0</v>
      </c>
      <c r="L216" s="34">
        <v>9.0</v>
      </c>
      <c r="N216" s="23"/>
      <c r="O216" s="19">
        <f>$G$22</f>
        <v>14</v>
      </c>
      <c r="P216" s="40">
        <f t="shared" ref="P216:T216" si="215">H228/A$239</f>
        <v>0.07050092764</v>
      </c>
      <c r="Q216" s="40">
        <f t="shared" si="215"/>
        <v>0.07886544448</v>
      </c>
      <c r="R216" s="40">
        <f t="shared" si="215"/>
        <v>0.1018518519</v>
      </c>
      <c r="S216" s="40">
        <f t="shared" si="215"/>
        <v>0.05617977528</v>
      </c>
      <c r="T216" s="40">
        <f t="shared" si="215"/>
        <v>0.09266409266</v>
      </c>
    </row>
    <row r="217" ht="15.75" customHeight="1">
      <c r="F217" s="23"/>
      <c r="G217" s="19">
        <f>$G$11</f>
        <v>3</v>
      </c>
      <c r="H217" s="34">
        <v>24.0</v>
      </c>
      <c r="I217" s="34">
        <v>13.0</v>
      </c>
      <c r="J217" s="34">
        <v>0.0</v>
      </c>
      <c r="K217" s="34">
        <v>3.0</v>
      </c>
      <c r="L217" s="34">
        <v>10.0</v>
      </c>
      <c r="N217" s="23"/>
      <c r="O217" s="19">
        <f>$G$23</f>
        <v>15</v>
      </c>
      <c r="P217" s="40">
        <f t="shared" ref="P217:T217" si="216">H229/A$239</f>
        <v>0.07949193663</v>
      </c>
      <c r="Q217" s="40">
        <f t="shared" si="216"/>
        <v>0.08474576271</v>
      </c>
      <c r="R217" s="40">
        <f t="shared" si="216"/>
        <v>0.05555555556</v>
      </c>
      <c r="S217" s="40">
        <f t="shared" si="216"/>
        <v>0.08667736758</v>
      </c>
      <c r="T217" s="40">
        <f t="shared" si="216"/>
        <v>0.05984555985</v>
      </c>
    </row>
    <row r="218" ht="15.75" customHeight="1">
      <c r="F218" s="23"/>
      <c r="G218" s="19">
        <f>$G$12</f>
        <v>4</v>
      </c>
      <c r="H218" s="34">
        <v>33.0</v>
      </c>
      <c r="I218" s="34">
        <v>14.0</v>
      </c>
      <c r="J218" s="34">
        <v>1.0</v>
      </c>
      <c r="K218" s="34">
        <v>6.0</v>
      </c>
      <c r="L218" s="34">
        <v>2.0</v>
      </c>
      <c r="N218" s="23"/>
      <c r="O218" s="19">
        <f>$G$24</f>
        <v>16</v>
      </c>
      <c r="P218" s="40">
        <f t="shared" ref="P218:T218" si="217">H230/A$239</f>
        <v>0.08648494363</v>
      </c>
      <c r="Q218" s="40">
        <f t="shared" si="217"/>
        <v>0.09754410239</v>
      </c>
      <c r="R218" s="40">
        <f t="shared" si="217"/>
        <v>0.07407407407</v>
      </c>
      <c r="S218" s="40">
        <f t="shared" si="217"/>
        <v>0.07223113965</v>
      </c>
      <c r="T218" s="40">
        <f t="shared" si="217"/>
        <v>0.03861003861</v>
      </c>
    </row>
    <row r="219" ht="15.75" customHeight="1">
      <c r="F219" s="23"/>
      <c r="G219" s="19">
        <f>$G$13</f>
        <v>5</v>
      </c>
      <c r="H219" s="34">
        <v>65.0</v>
      </c>
      <c r="I219" s="34">
        <v>32.0</v>
      </c>
      <c r="J219" s="34">
        <v>0.0</v>
      </c>
      <c r="K219" s="34">
        <v>7.0</v>
      </c>
      <c r="L219" s="34">
        <v>21.0</v>
      </c>
      <c r="N219" s="23"/>
      <c r="O219" s="19">
        <f>$G$25</f>
        <v>17</v>
      </c>
      <c r="P219" s="40">
        <f t="shared" ref="P219:T219" si="218">H231/A$239</f>
        <v>0.09604681033</v>
      </c>
      <c r="Q219" s="40">
        <f t="shared" si="218"/>
        <v>0.08232445521</v>
      </c>
      <c r="R219" s="40">
        <f t="shared" si="218"/>
        <v>0.1666666667</v>
      </c>
      <c r="S219" s="40">
        <f t="shared" si="218"/>
        <v>0.05778491172</v>
      </c>
      <c r="T219" s="40">
        <f t="shared" si="218"/>
        <v>0.03861003861</v>
      </c>
    </row>
    <row r="220" ht="15.75" customHeight="1">
      <c r="F220" s="23"/>
      <c r="G220" s="19">
        <f>$G$14</f>
        <v>6</v>
      </c>
      <c r="H220" s="34">
        <v>242.0</v>
      </c>
      <c r="I220" s="34">
        <v>157.0</v>
      </c>
      <c r="J220" s="34">
        <v>1.0</v>
      </c>
      <c r="K220" s="34">
        <v>14.0</v>
      </c>
      <c r="L220" s="34">
        <v>14.0</v>
      </c>
      <c r="N220" s="23"/>
      <c r="O220" s="19">
        <f>$G$26</f>
        <v>18</v>
      </c>
      <c r="P220" s="40">
        <f t="shared" ref="P220:T220" si="219">H232/A$239</f>
        <v>0.07064364207</v>
      </c>
      <c r="Q220" s="40">
        <f t="shared" si="219"/>
        <v>0.06502940159</v>
      </c>
      <c r="R220" s="40">
        <f t="shared" si="219"/>
        <v>0.06481481481</v>
      </c>
      <c r="S220" s="40">
        <f t="shared" si="219"/>
        <v>0.04494382022</v>
      </c>
      <c r="T220" s="40">
        <f t="shared" si="219"/>
        <v>0.02702702703</v>
      </c>
    </row>
    <row r="221" ht="15.75" customHeight="1">
      <c r="F221" s="23"/>
      <c r="G221" s="19">
        <f>$G$15</f>
        <v>7</v>
      </c>
      <c r="H221" s="34">
        <v>371.0</v>
      </c>
      <c r="I221" s="34">
        <v>142.0</v>
      </c>
      <c r="J221" s="34">
        <v>0.0</v>
      </c>
      <c r="K221" s="34">
        <v>16.0</v>
      </c>
      <c r="L221" s="34">
        <v>24.0</v>
      </c>
      <c r="N221" s="23"/>
      <c r="O221" s="19">
        <f>$G$27</f>
        <v>19</v>
      </c>
      <c r="P221" s="40">
        <f t="shared" ref="P221:T221" si="220">H233/A$239</f>
        <v>0.05023547881</v>
      </c>
      <c r="Q221" s="40">
        <f t="shared" si="220"/>
        <v>0.04012452439</v>
      </c>
      <c r="R221" s="40">
        <f t="shared" si="220"/>
        <v>0.01851851852</v>
      </c>
      <c r="S221" s="40">
        <f t="shared" si="220"/>
        <v>0.02728731942</v>
      </c>
      <c r="T221" s="40">
        <f t="shared" si="220"/>
        <v>0.01930501931</v>
      </c>
    </row>
    <row r="222" ht="15.75" customHeight="1">
      <c r="F222" s="23"/>
      <c r="G222" s="19">
        <f>$G$16</f>
        <v>8</v>
      </c>
      <c r="H222" s="34">
        <v>284.0</v>
      </c>
      <c r="I222" s="34">
        <v>141.0</v>
      </c>
      <c r="J222" s="34">
        <v>10.0</v>
      </c>
      <c r="K222" s="34">
        <v>31.0</v>
      </c>
      <c r="L222" s="34">
        <v>43.0</v>
      </c>
      <c r="N222" s="23"/>
      <c r="O222" s="19">
        <f>$G$28</f>
        <v>20</v>
      </c>
      <c r="P222" s="40">
        <f t="shared" ref="P222:T222" si="221">H234/A$239</f>
        <v>0.03696303696</v>
      </c>
      <c r="Q222" s="40">
        <f t="shared" si="221"/>
        <v>0.02352127292</v>
      </c>
      <c r="R222" s="40">
        <f t="shared" si="221"/>
        <v>0.03703703704</v>
      </c>
      <c r="S222" s="40">
        <f t="shared" si="221"/>
        <v>0.03531300161</v>
      </c>
      <c r="T222" s="40">
        <f t="shared" si="221"/>
        <v>0.02702702703</v>
      </c>
    </row>
    <row r="223" ht="15.75" customHeight="1">
      <c r="F223" s="23"/>
      <c r="G223" s="19">
        <f>$G$17</f>
        <v>9</v>
      </c>
      <c r="H223" s="34">
        <v>303.0</v>
      </c>
      <c r="I223" s="34">
        <v>149.0</v>
      </c>
      <c r="J223" s="34">
        <v>5.0</v>
      </c>
      <c r="K223" s="34">
        <v>44.0</v>
      </c>
      <c r="L223" s="34">
        <v>47.0</v>
      </c>
      <c r="N223" s="23"/>
      <c r="O223" s="19">
        <f>$G$29</f>
        <v>21</v>
      </c>
      <c r="P223" s="40">
        <f t="shared" ref="P223:T223" si="222">H235/A$239</f>
        <v>0.02782931354</v>
      </c>
      <c r="Q223" s="40">
        <f t="shared" si="222"/>
        <v>0.02282947077</v>
      </c>
      <c r="R223" s="40">
        <f t="shared" si="222"/>
        <v>0.02777777778</v>
      </c>
      <c r="S223" s="40">
        <f t="shared" si="222"/>
        <v>0.03210272873</v>
      </c>
      <c r="T223" s="40">
        <f t="shared" si="222"/>
        <v>0.01930501931</v>
      </c>
    </row>
    <row r="224" ht="15.75" customHeight="1">
      <c r="F224" s="23"/>
      <c r="G224" s="19">
        <f>$G$18</f>
        <v>10</v>
      </c>
      <c r="H224" s="34">
        <v>321.0</v>
      </c>
      <c r="I224" s="34">
        <v>139.0</v>
      </c>
      <c r="J224" s="34">
        <v>4.0</v>
      </c>
      <c r="K224" s="34">
        <v>38.0</v>
      </c>
      <c r="L224" s="34">
        <v>40.0</v>
      </c>
      <c r="N224" s="23"/>
      <c r="O224" s="19">
        <f>$G$30</f>
        <v>22</v>
      </c>
      <c r="P224" s="40">
        <f t="shared" ref="P224:T224" si="223">H236/A$239</f>
        <v>0.02126444984</v>
      </c>
      <c r="Q224" s="40">
        <f t="shared" si="223"/>
        <v>0.01591144933</v>
      </c>
      <c r="R224" s="40">
        <f t="shared" si="223"/>
        <v>0</v>
      </c>
      <c r="S224" s="40">
        <f t="shared" si="223"/>
        <v>0.01444622793</v>
      </c>
      <c r="T224" s="40">
        <f t="shared" si="223"/>
        <v>0.02316602317</v>
      </c>
    </row>
    <row r="225" ht="15.75" customHeight="1">
      <c r="F225" s="23"/>
      <c r="G225" s="19">
        <f>$G$19</f>
        <v>11</v>
      </c>
      <c r="H225" s="34">
        <v>348.0</v>
      </c>
      <c r="I225" s="34">
        <v>173.0</v>
      </c>
      <c r="J225" s="34">
        <v>12.0</v>
      </c>
      <c r="K225" s="34">
        <v>60.0</v>
      </c>
      <c r="L225" s="34">
        <v>40.0</v>
      </c>
      <c r="N225" s="27"/>
      <c r="O225" s="19">
        <f>$G$31</f>
        <v>23</v>
      </c>
      <c r="P225" s="40">
        <f t="shared" ref="P225:T225" si="224">H237/A$239</f>
        <v>0.0135578707</v>
      </c>
      <c r="Q225" s="40">
        <f t="shared" si="224"/>
        <v>0.0100311311</v>
      </c>
      <c r="R225" s="40">
        <f t="shared" si="224"/>
        <v>0</v>
      </c>
      <c r="S225" s="40">
        <f t="shared" si="224"/>
        <v>0.02407704655</v>
      </c>
      <c r="T225" s="40">
        <f t="shared" si="224"/>
        <v>0.0250965251</v>
      </c>
    </row>
    <row r="226" ht="15.75" customHeight="1">
      <c r="F226" s="23"/>
      <c r="G226" s="19">
        <f>$G$20</f>
        <v>12</v>
      </c>
      <c r="H226" s="34">
        <v>500.0</v>
      </c>
      <c r="I226" s="34">
        <v>188.0</v>
      </c>
      <c r="J226" s="34">
        <v>4.0</v>
      </c>
      <c r="K226" s="34">
        <v>50.0</v>
      </c>
      <c r="L226" s="34">
        <v>32.0</v>
      </c>
      <c r="N226" s="39">
        <v>45203.0</v>
      </c>
      <c r="O226" s="19">
        <f>$G$8</f>
        <v>0</v>
      </c>
      <c r="P226" s="40">
        <f t="shared" ref="P226:T226" si="225">H238/A$265</f>
        <v>0.007562736336</v>
      </c>
      <c r="Q226" s="40">
        <f t="shared" si="225"/>
        <v>0.00627090301</v>
      </c>
      <c r="R226" s="40">
        <f t="shared" si="225"/>
        <v>0.01298701299</v>
      </c>
      <c r="S226" s="40">
        <f t="shared" si="225"/>
        <v>0.00612244898</v>
      </c>
      <c r="T226" s="40">
        <f t="shared" si="225"/>
        <v>0.01174168297</v>
      </c>
    </row>
    <row r="227" ht="15.75" customHeight="1">
      <c r="F227" s="23"/>
      <c r="G227" s="19">
        <f>$G$21</f>
        <v>13</v>
      </c>
      <c r="H227" s="34">
        <v>510.0</v>
      </c>
      <c r="I227" s="34">
        <v>190.0</v>
      </c>
      <c r="J227" s="34">
        <v>10.0</v>
      </c>
      <c r="K227" s="34">
        <v>50.0</v>
      </c>
      <c r="L227" s="34">
        <v>29.0</v>
      </c>
      <c r="N227" s="23"/>
      <c r="O227" s="19">
        <f>$G$9</f>
        <v>1</v>
      </c>
      <c r="P227" s="40">
        <f t="shared" ref="P227:T227" si="226">H239/A$265</f>
        <v>0.003953248539</v>
      </c>
      <c r="Q227" s="40">
        <f t="shared" si="226"/>
        <v>0.006688963211</v>
      </c>
      <c r="R227" s="40">
        <f t="shared" si="226"/>
        <v>0</v>
      </c>
      <c r="S227" s="40">
        <f t="shared" si="226"/>
        <v>0.01428571429</v>
      </c>
      <c r="T227" s="40">
        <f t="shared" si="226"/>
        <v>0.01369863014</v>
      </c>
    </row>
    <row r="228" ht="15.75" customHeight="1">
      <c r="F228" s="23"/>
      <c r="G228" s="19">
        <f>$G$22</f>
        <v>14</v>
      </c>
      <c r="H228" s="34">
        <v>494.0</v>
      </c>
      <c r="I228" s="34">
        <v>228.0</v>
      </c>
      <c r="J228" s="34">
        <v>11.0</v>
      </c>
      <c r="K228" s="34">
        <v>35.0</v>
      </c>
      <c r="L228" s="34">
        <v>48.0</v>
      </c>
      <c r="N228" s="23"/>
      <c r="O228" s="19">
        <f>$G$10</f>
        <v>2</v>
      </c>
      <c r="P228" s="40">
        <f t="shared" ref="P228:T228" si="227">H240/A$265</f>
        <v>0.004297009282</v>
      </c>
      <c r="Q228" s="40">
        <f t="shared" si="227"/>
        <v>0.005852842809</v>
      </c>
      <c r="R228" s="40">
        <f t="shared" si="227"/>
        <v>0</v>
      </c>
      <c r="S228" s="40">
        <f t="shared" si="227"/>
        <v>0.008163265306</v>
      </c>
      <c r="T228" s="40">
        <f t="shared" si="227"/>
        <v>0.003913894325</v>
      </c>
    </row>
    <row r="229" ht="15.75" customHeight="1">
      <c r="F229" s="23"/>
      <c r="G229" s="19">
        <f>$G$23</f>
        <v>15</v>
      </c>
      <c r="H229" s="34">
        <v>557.0</v>
      </c>
      <c r="I229" s="34">
        <v>245.0</v>
      </c>
      <c r="J229" s="34">
        <v>6.0</v>
      </c>
      <c r="K229" s="34">
        <v>54.0</v>
      </c>
      <c r="L229" s="34">
        <v>31.0</v>
      </c>
      <c r="N229" s="23"/>
      <c r="O229" s="19">
        <f>$G$11</f>
        <v>3</v>
      </c>
      <c r="P229" s="40">
        <f t="shared" ref="P229:T229" si="228">H241/A$265</f>
        <v>0.003953248539</v>
      </c>
      <c r="Q229" s="40">
        <f t="shared" si="228"/>
        <v>0.007107023411</v>
      </c>
      <c r="R229" s="40">
        <f t="shared" si="228"/>
        <v>0</v>
      </c>
      <c r="S229" s="40">
        <f t="shared" si="228"/>
        <v>0</v>
      </c>
      <c r="T229" s="40">
        <f t="shared" si="228"/>
        <v>0.0313111546</v>
      </c>
    </row>
    <row r="230" ht="15.75" customHeight="1">
      <c r="F230" s="23"/>
      <c r="G230" s="19">
        <f>$G$24</f>
        <v>16</v>
      </c>
      <c r="H230" s="34">
        <v>606.0</v>
      </c>
      <c r="I230" s="34">
        <v>282.0</v>
      </c>
      <c r="J230" s="34">
        <v>8.0</v>
      </c>
      <c r="K230" s="34">
        <v>45.0</v>
      </c>
      <c r="L230" s="34">
        <v>20.0</v>
      </c>
      <c r="N230" s="23"/>
      <c r="O230" s="19">
        <f>$G$12</f>
        <v>4</v>
      </c>
      <c r="P230" s="40">
        <f t="shared" ref="P230:T230" si="229">H242/A$265</f>
        <v>0.00412512891</v>
      </c>
      <c r="Q230" s="40">
        <f t="shared" si="229"/>
        <v>0.005016722408</v>
      </c>
      <c r="R230" s="40">
        <f t="shared" si="229"/>
        <v>0</v>
      </c>
      <c r="S230" s="40">
        <f t="shared" si="229"/>
        <v>0.00612244898</v>
      </c>
      <c r="T230" s="40">
        <f t="shared" si="229"/>
        <v>0.0156555773</v>
      </c>
    </row>
    <row r="231" ht="15.75" customHeight="1">
      <c r="F231" s="23"/>
      <c r="G231" s="19">
        <f>$G$25</f>
        <v>17</v>
      </c>
      <c r="H231" s="34">
        <v>673.0</v>
      </c>
      <c r="I231" s="34">
        <v>238.0</v>
      </c>
      <c r="J231" s="34">
        <v>18.0</v>
      </c>
      <c r="K231" s="34">
        <v>36.0</v>
      </c>
      <c r="L231" s="34">
        <v>20.0</v>
      </c>
      <c r="N231" s="23"/>
      <c r="O231" s="19">
        <f>$G$13</f>
        <v>5</v>
      </c>
      <c r="P231" s="40">
        <f t="shared" ref="P231:T231" si="230">H243/A$265</f>
        <v>0.01100034376</v>
      </c>
      <c r="Q231" s="40">
        <f t="shared" si="230"/>
        <v>0.01337792642</v>
      </c>
      <c r="R231" s="40">
        <f t="shared" si="230"/>
        <v>0</v>
      </c>
      <c r="S231" s="40">
        <f t="shared" si="230"/>
        <v>0.01632653061</v>
      </c>
      <c r="T231" s="40">
        <f t="shared" si="230"/>
        <v>0.03522504892</v>
      </c>
    </row>
    <row r="232" ht="15.75" customHeight="1">
      <c r="F232" s="23"/>
      <c r="G232" s="19">
        <f>$G$26</f>
        <v>18</v>
      </c>
      <c r="H232" s="34">
        <v>495.0</v>
      </c>
      <c r="I232" s="34">
        <v>188.0</v>
      </c>
      <c r="J232" s="34">
        <v>7.0</v>
      </c>
      <c r="K232" s="34">
        <v>28.0</v>
      </c>
      <c r="L232" s="34">
        <v>14.0</v>
      </c>
      <c r="N232" s="23"/>
      <c r="O232" s="19">
        <f>$G$14</f>
        <v>6</v>
      </c>
      <c r="P232" s="40">
        <f t="shared" ref="P232:T232" si="231">H244/A$265</f>
        <v>0.03626675834</v>
      </c>
      <c r="Q232" s="40">
        <f t="shared" si="231"/>
        <v>0.0597826087</v>
      </c>
      <c r="R232" s="40">
        <f t="shared" si="231"/>
        <v>0</v>
      </c>
      <c r="S232" s="40">
        <f t="shared" si="231"/>
        <v>0.03265306122</v>
      </c>
      <c r="T232" s="40">
        <f t="shared" si="231"/>
        <v>0.05088062622</v>
      </c>
    </row>
    <row r="233" ht="15.75" customHeight="1">
      <c r="F233" s="23"/>
      <c r="G233" s="19">
        <f>$G$27</f>
        <v>19</v>
      </c>
      <c r="H233" s="34">
        <v>352.0</v>
      </c>
      <c r="I233" s="34">
        <v>116.0</v>
      </c>
      <c r="J233" s="34">
        <v>2.0</v>
      </c>
      <c r="K233" s="34">
        <v>17.0</v>
      </c>
      <c r="L233" s="34">
        <v>10.0</v>
      </c>
      <c r="N233" s="23"/>
      <c r="O233" s="19">
        <f>$G$15</f>
        <v>7</v>
      </c>
      <c r="P233" s="40">
        <f t="shared" ref="P233:T233" si="232">H245/A$265</f>
        <v>0.0622206944</v>
      </c>
      <c r="Q233" s="40">
        <f t="shared" si="232"/>
        <v>0.05351170569</v>
      </c>
      <c r="R233" s="40">
        <f t="shared" si="232"/>
        <v>0.02597402597</v>
      </c>
      <c r="S233" s="40">
        <f t="shared" si="232"/>
        <v>0.03265306122</v>
      </c>
      <c r="T233" s="40">
        <f t="shared" si="232"/>
        <v>0.0782778865</v>
      </c>
    </row>
    <row r="234" ht="15.75" customHeight="1">
      <c r="F234" s="23"/>
      <c r="G234" s="19">
        <f>$G$28</f>
        <v>20</v>
      </c>
      <c r="H234" s="34">
        <v>259.0</v>
      </c>
      <c r="I234" s="34">
        <v>68.0</v>
      </c>
      <c r="J234" s="34">
        <v>4.0</v>
      </c>
      <c r="K234" s="34">
        <v>22.0</v>
      </c>
      <c r="L234" s="34">
        <v>14.0</v>
      </c>
      <c r="N234" s="23"/>
      <c r="O234" s="19">
        <f>$G$16</f>
        <v>8</v>
      </c>
      <c r="P234" s="40">
        <f t="shared" ref="P234:T234" si="233">H246/A$265</f>
        <v>0.04451701616</v>
      </c>
      <c r="Q234" s="40">
        <f t="shared" si="233"/>
        <v>0.05602006689</v>
      </c>
      <c r="R234" s="40">
        <f t="shared" si="233"/>
        <v>0.06493506494</v>
      </c>
      <c r="S234" s="40">
        <f t="shared" si="233"/>
        <v>0.07142857143</v>
      </c>
      <c r="T234" s="40">
        <f t="shared" si="233"/>
        <v>0.08023483366</v>
      </c>
    </row>
    <row r="235" ht="15.75" customHeight="1">
      <c r="F235" s="23"/>
      <c r="G235" s="19">
        <f>$G$29</f>
        <v>21</v>
      </c>
      <c r="H235" s="34">
        <v>195.0</v>
      </c>
      <c r="I235" s="34">
        <v>66.0</v>
      </c>
      <c r="J235" s="34">
        <v>3.0</v>
      </c>
      <c r="K235" s="34">
        <v>20.0</v>
      </c>
      <c r="L235" s="34">
        <v>10.0</v>
      </c>
      <c r="N235" s="23"/>
      <c r="O235" s="19">
        <f>$G$17</f>
        <v>9</v>
      </c>
      <c r="P235" s="40">
        <f t="shared" ref="P235:T235" si="234">H247/A$265</f>
        <v>0.05070470952</v>
      </c>
      <c r="Q235" s="40">
        <f t="shared" si="234"/>
        <v>0.05476588629</v>
      </c>
      <c r="R235" s="40">
        <f t="shared" si="234"/>
        <v>0.05194805195</v>
      </c>
      <c r="S235" s="40">
        <f t="shared" si="234"/>
        <v>0.06326530612</v>
      </c>
      <c r="T235" s="40">
        <f t="shared" si="234"/>
        <v>0.1017612524</v>
      </c>
    </row>
    <row r="236" ht="15.75" customHeight="1">
      <c r="F236" s="23"/>
      <c r="G236" s="19">
        <f>$G$30</f>
        <v>22</v>
      </c>
      <c r="H236" s="34">
        <v>149.0</v>
      </c>
      <c r="I236" s="34">
        <v>46.0</v>
      </c>
      <c r="J236" s="34">
        <v>0.0</v>
      </c>
      <c r="K236" s="34">
        <v>9.0</v>
      </c>
      <c r="L236" s="34">
        <v>12.0</v>
      </c>
      <c r="N236" s="23"/>
      <c r="O236" s="19">
        <f>$G$18</f>
        <v>10</v>
      </c>
      <c r="P236" s="40">
        <f t="shared" ref="P236:T236" si="235">H248/A$265</f>
        <v>0.05482983843</v>
      </c>
      <c r="Q236" s="40">
        <f t="shared" si="235"/>
        <v>0.0597826087</v>
      </c>
      <c r="R236" s="40">
        <f t="shared" si="235"/>
        <v>0.05194805195</v>
      </c>
      <c r="S236" s="40">
        <f t="shared" si="235"/>
        <v>0.08775510204</v>
      </c>
      <c r="T236" s="40">
        <f t="shared" si="235"/>
        <v>0.0782778865</v>
      </c>
    </row>
    <row r="237" ht="15.75" customHeight="1">
      <c r="F237" s="27"/>
      <c r="G237" s="19">
        <f>$G$31</f>
        <v>23</v>
      </c>
      <c r="H237" s="34">
        <v>95.0</v>
      </c>
      <c r="I237" s="34">
        <v>29.0</v>
      </c>
      <c r="J237" s="34">
        <v>0.0</v>
      </c>
      <c r="K237" s="34">
        <v>15.0</v>
      </c>
      <c r="L237" s="34">
        <v>13.0</v>
      </c>
      <c r="N237" s="23"/>
      <c r="O237" s="19">
        <f>$G$19</f>
        <v>11</v>
      </c>
      <c r="P237" s="40">
        <f t="shared" ref="P237:T237" si="236">H249/A$265</f>
        <v>0.06118941217</v>
      </c>
      <c r="Q237" s="40">
        <f t="shared" si="236"/>
        <v>0.07274247492</v>
      </c>
      <c r="R237" s="40">
        <f t="shared" si="236"/>
        <v>0</v>
      </c>
      <c r="S237" s="40">
        <f t="shared" si="236"/>
        <v>0.07346938776</v>
      </c>
      <c r="T237" s="40">
        <f t="shared" si="236"/>
        <v>0.07436399217</v>
      </c>
    </row>
    <row r="238" ht="15.75" customHeight="1">
      <c r="F238" s="39">
        <v>45203.0</v>
      </c>
      <c r="G238" s="19">
        <f>$G$8</f>
        <v>0</v>
      </c>
      <c r="H238" s="20">
        <v>44.0</v>
      </c>
      <c r="I238" s="20">
        <v>15.0</v>
      </c>
      <c r="J238" s="20">
        <v>1.0</v>
      </c>
      <c r="K238" s="20">
        <v>3.0</v>
      </c>
      <c r="L238" s="20">
        <v>6.0</v>
      </c>
      <c r="N238" s="23"/>
      <c r="O238" s="19">
        <f>$G$20</f>
        <v>12</v>
      </c>
      <c r="P238" s="40">
        <f t="shared" ref="P238:T238" si="237">H250/A$265</f>
        <v>0.08336198006</v>
      </c>
      <c r="Q238" s="40">
        <f t="shared" si="237"/>
        <v>0.08277591973</v>
      </c>
      <c r="R238" s="40">
        <f t="shared" si="237"/>
        <v>0.03896103896</v>
      </c>
      <c r="S238" s="40">
        <f t="shared" si="237"/>
        <v>0.08571428571</v>
      </c>
      <c r="T238" s="40">
        <f t="shared" si="237"/>
        <v>0.05283757339</v>
      </c>
    </row>
    <row r="239" ht="15.75" customHeight="1">
      <c r="A239" s="26">
        <f t="shared" ref="A239:E239" si="238">SUM(H214:H237)</f>
        <v>7007</v>
      </c>
      <c r="B239" s="26">
        <f t="shared" si="238"/>
        <v>2891</v>
      </c>
      <c r="C239" s="26">
        <f t="shared" si="238"/>
        <v>108</v>
      </c>
      <c r="D239" s="26">
        <f t="shared" si="238"/>
        <v>623</v>
      </c>
      <c r="E239" s="26">
        <f t="shared" si="238"/>
        <v>518</v>
      </c>
      <c r="F239" s="23"/>
      <c r="G239" s="19">
        <f>$G$9</f>
        <v>1</v>
      </c>
      <c r="H239" s="20">
        <v>23.0</v>
      </c>
      <c r="I239" s="20">
        <v>16.0</v>
      </c>
      <c r="J239" s="20">
        <v>0.0</v>
      </c>
      <c r="K239" s="20">
        <v>7.0</v>
      </c>
      <c r="L239" s="20">
        <v>7.0</v>
      </c>
      <c r="N239" s="23"/>
      <c r="O239" s="19">
        <f>$G$21</f>
        <v>13</v>
      </c>
      <c r="P239" s="40">
        <f t="shared" ref="P239:T239" si="239">H251/A$265</f>
        <v>0.09659676865</v>
      </c>
      <c r="Q239" s="40">
        <f t="shared" si="239"/>
        <v>0.07566889632</v>
      </c>
      <c r="R239" s="40">
        <f t="shared" si="239"/>
        <v>0.1818181818</v>
      </c>
      <c r="S239" s="40">
        <f t="shared" si="239"/>
        <v>0.08367346939</v>
      </c>
      <c r="T239" s="40">
        <f t="shared" si="239"/>
        <v>0.05088062622</v>
      </c>
    </row>
    <row r="240" ht="15.75" customHeight="1">
      <c r="F240" s="23"/>
      <c r="G240" s="19">
        <f>$G$10</f>
        <v>2</v>
      </c>
      <c r="H240" s="16">
        <v>25.0</v>
      </c>
      <c r="I240" s="16">
        <v>14.0</v>
      </c>
      <c r="J240" s="16">
        <v>0.0</v>
      </c>
      <c r="K240" s="16">
        <v>4.0</v>
      </c>
      <c r="L240" s="16">
        <v>2.0</v>
      </c>
      <c r="N240" s="23"/>
      <c r="O240" s="19">
        <f>$G$22</f>
        <v>14</v>
      </c>
      <c r="P240" s="40">
        <f t="shared" ref="P240:T240" si="240">H252/A$265</f>
        <v>0.09539360605</v>
      </c>
      <c r="Q240" s="40">
        <f t="shared" si="240"/>
        <v>0.08862876254</v>
      </c>
      <c r="R240" s="40">
        <f t="shared" si="240"/>
        <v>0.1428571429</v>
      </c>
      <c r="S240" s="40">
        <f t="shared" si="240"/>
        <v>0.08163265306</v>
      </c>
      <c r="T240" s="40">
        <f t="shared" si="240"/>
        <v>0.0626223092</v>
      </c>
    </row>
    <row r="241" ht="15.75" customHeight="1">
      <c r="F241" s="23"/>
      <c r="G241" s="19">
        <f>$G$11</f>
        <v>3</v>
      </c>
      <c r="H241" s="20">
        <v>23.0</v>
      </c>
      <c r="I241" s="20">
        <v>17.0</v>
      </c>
      <c r="J241" s="20">
        <v>0.0</v>
      </c>
      <c r="K241" s="20">
        <v>0.0</v>
      </c>
      <c r="L241" s="20">
        <v>16.0</v>
      </c>
      <c r="N241" s="23"/>
      <c r="O241" s="19">
        <f>$G$23</f>
        <v>15</v>
      </c>
      <c r="P241" s="40">
        <f t="shared" ref="P241:T241" si="241">H253/A$265</f>
        <v>0.07940873152</v>
      </c>
      <c r="Q241" s="40">
        <f t="shared" si="241"/>
        <v>0.08444816054</v>
      </c>
      <c r="R241" s="40">
        <f t="shared" si="241"/>
        <v>0.1038961039</v>
      </c>
      <c r="S241" s="40">
        <f t="shared" si="241"/>
        <v>0.07755102041</v>
      </c>
      <c r="T241" s="40">
        <f t="shared" si="241"/>
        <v>0.04305283757</v>
      </c>
      <c r="U241" s="17">
        <f>$H$7</f>
        <v>31</v>
      </c>
      <c r="V241" s="17">
        <f>$I$7</f>
        <v>32</v>
      </c>
      <c r="W241" s="17">
        <f>$J$7</f>
        <v>41</v>
      </c>
      <c r="X241" s="17">
        <f>$K$7</f>
        <v>42</v>
      </c>
      <c r="Y241" s="17">
        <f>$L$7</f>
        <v>5</v>
      </c>
    </row>
    <row r="242" ht="15.75" customHeight="1">
      <c r="F242" s="23"/>
      <c r="G242" s="19">
        <f>$G$12</f>
        <v>4</v>
      </c>
      <c r="H242" s="20">
        <v>24.0</v>
      </c>
      <c r="I242" s="20">
        <v>12.0</v>
      </c>
      <c r="J242" s="20">
        <v>0.0</v>
      </c>
      <c r="K242" s="20">
        <v>3.0</v>
      </c>
      <c r="L242" s="20">
        <v>8.0</v>
      </c>
      <c r="N242" s="23"/>
      <c r="O242" s="19">
        <f>$G$24</f>
        <v>16</v>
      </c>
      <c r="P242" s="40">
        <f t="shared" ref="P242:T242" si="242">H254/A$265</f>
        <v>0.07889309041</v>
      </c>
      <c r="Q242" s="40">
        <f t="shared" si="242"/>
        <v>0.07859531773</v>
      </c>
      <c r="R242" s="40">
        <f t="shared" si="242"/>
        <v>0.1298701299</v>
      </c>
      <c r="S242" s="40">
        <f t="shared" si="242"/>
        <v>0.07959183673</v>
      </c>
      <c r="T242" s="40">
        <f t="shared" si="242"/>
        <v>0.03913894325</v>
      </c>
    </row>
    <row r="243" ht="15.75" customHeight="1">
      <c r="F243" s="23"/>
      <c r="G243" s="19">
        <f>$G$13</f>
        <v>5</v>
      </c>
      <c r="H243" s="20">
        <v>64.0</v>
      </c>
      <c r="I243" s="20">
        <v>32.0</v>
      </c>
      <c r="J243" s="20">
        <v>0.0</v>
      </c>
      <c r="K243" s="20">
        <v>8.0</v>
      </c>
      <c r="L243" s="20">
        <v>18.0</v>
      </c>
      <c r="N243" s="23"/>
      <c r="O243" s="19">
        <f>$G$25</f>
        <v>17</v>
      </c>
      <c r="P243" s="40">
        <f t="shared" ref="P243:T243" si="243">H255/A$265</f>
        <v>0.08026813338</v>
      </c>
      <c r="Q243" s="40">
        <f t="shared" si="243"/>
        <v>0.07984949833</v>
      </c>
      <c r="R243" s="40">
        <f t="shared" si="243"/>
        <v>0.1168831169</v>
      </c>
      <c r="S243" s="40">
        <f t="shared" si="243"/>
        <v>0.04081632653</v>
      </c>
      <c r="T243" s="40">
        <f t="shared" si="243"/>
        <v>0.0469667319</v>
      </c>
    </row>
    <row r="244" ht="15.75" customHeight="1">
      <c r="F244" s="23"/>
      <c r="G244" s="19">
        <f>$G$14</f>
        <v>6</v>
      </c>
      <c r="H244" s="20">
        <v>211.0</v>
      </c>
      <c r="I244" s="20">
        <v>143.0</v>
      </c>
      <c r="J244" s="20">
        <v>0.0</v>
      </c>
      <c r="K244" s="20">
        <v>16.0</v>
      </c>
      <c r="L244" s="20">
        <v>26.0</v>
      </c>
      <c r="N244" s="23"/>
      <c r="O244" s="19">
        <f>$G$26</f>
        <v>18</v>
      </c>
      <c r="P244" s="40">
        <f t="shared" ref="P244:T244" si="244">H256/A$265</f>
        <v>0.04898590581</v>
      </c>
      <c r="Q244" s="40">
        <f t="shared" si="244"/>
        <v>0.04306020067</v>
      </c>
      <c r="R244" s="40">
        <f t="shared" si="244"/>
        <v>0.03896103896</v>
      </c>
      <c r="S244" s="40">
        <f t="shared" si="244"/>
        <v>0.04081632653</v>
      </c>
      <c r="T244" s="40">
        <f t="shared" si="244"/>
        <v>0.03522504892</v>
      </c>
    </row>
    <row r="245" ht="15.75" customHeight="1">
      <c r="F245" s="23"/>
      <c r="G245" s="19">
        <f>$G$15</f>
        <v>7</v>
      </c>
      <c r="H245" s="20">
        <v>362.0</v>
      </c>
      <c r="I245" s="20">
        <v>128.0</v>
      </c>
      <c r="J245" s="20">
        <v>2.0</v>
      </c>
      <c r="K245" s="20">
        <v>16.0</v>
      </c>
      <c r="L245" s="20">
        <v>40.0</v>
      </c>
      <c r="N245" s="23"/>
      <c r="O245" s="19">
        <f>$G$27</f>
        <v>19</v>
      </c>
      <c r="P245" s="40">
        <f t="shared" ref="P245:T245" si="245">H257/A$265</f>
        <v>0.03317291165</v>
      </c>
      <c r="Q245" s="40">
        <f t="shared" si="245"/>
        <v>0.02090301003</v>
      </c>
      <c r="R245" s="40">
        <f t="shared" si="245"/>
        <v>0.01298701299</v>
      </c>
      <c r="S245" s="40">
        <f t="shared" si="245"/>
        <v>0.03469387755</v>
      </c>
      <c r="T245" s="40">
        <f t="shared" si="245"/>
        <v>0.02544031311</v>
      </c>
    </row>
    <row r="246" ht="15.75" customHeight="1">
      <c r="F246" s="23"/>
      <c r="G246" s="19">
        <f>$G$16</f>
        <v>8</v>
      </c>
      <c r="H246" s="20">
        <v>259.0</v>
      </c>
      <c r="I246" s="20">
        <v>134.0</v>
      </c>
      <c r="J246" s="20">
        <v>5.0</v>
      </c>
      <c r="K246" s="20">
        <v>35.0</v>
      </c>
      <c r="L246" s="20">
        <v>41.0</v>
      </c>
      <c r="N246" s="23"/>
      <c r="O246" s="19">
        <f>$G$28</f>
        <v>20</v>
      </c>
      <c r="P246" s="40">
        <f t="shared" ref="P246:T246" si="246">H258/A$265</f>
        <v>0.02200068752</v>
      </c>
      <c r="Q246" s="40">
        <f t="shared" si="246"/>
        <v>0.01881270903</v>
      </c>
      <c r="R246" s="40">
        <f t="shared" si="246"/>
        <v>0.01298701299</v>
      </c>
      <c r="S246" s="40">
        <f t="shared" si="246"/>
        <v>0.02857142857</v>
      </c>
      <c r="T246" s="40">
        <f t="shared" si="246"/>
        <v>0.02348336595</v>
      </c>
    </row>
    <row r="247" ht="15.75" customHeight="1">
      <c r="F247" s="23"/>
      <c r="G247" s="19">
        <f>$G$17</f>
        <v>9</v>
      </c>
      <c r="H247" s="20">
        <v>295.0</v>
      </c>
      <c r="I247" s="20">
        <v>131.0</v>
      </c>
      <c r="J247" s="20">
        <v>4.0</v>
      </c>
      <c r="K247" s="20">
        <v>31.0</v>
      </c>
      <c r="L247" s="20">
        <v>52.0</v>
      </c>
      <c r="N247" s="23"/>
      <c r="O247" s="19">
        <f>$G$29</f>
        <v>21</v>
      </c>
      <c r="P247" s="40">
        <f t="shared" ref="P247:T247" si="247">H259/A$265</f>
        <v>0.01684427638</v>
      </c>
      <c r="Q247" s="40">
        <f t="shared" si="247"/>
        <v>0.01086956522</v>
      </c>
      <c r="R247" s="40">
        <f t="shared" si="247"/>
        <v>0</v>
      </c>
      <c r="S247" s="40">
        <f t="shared" si="247"/>
        <v>0.01020408163</v>
      </c>
      <c r="T247" s="40">
        <f t="shared" si="247"/>
        <v>0.0156555773</v>
      </c>
    </row>
    <row r="248" ht="15.75" customHeight="1">
      <c r="F248" s="23"/>
      <c r="G248" s="19">
        <f>$G$18</f>
        <v>10</v>
      </c>
      <c r="H248" s="20">
        <v>319.0</v>
      </c>
      <c r="I248" s="20">
        <v>143.0</v>
      </c>
      <c r="J248" s="20">
        <v>4.0</v>
      </c>
      <c r="K248" s="20">
        <v>43.0</v>
      </c>
      <c r="L248" s="20">
        <v>40.0</v>
      </c>
      <c r="N248" s="23"/>
      <c r="O248" s="19">
        <f>$G$30</f>
        <v>22</v>
      </c>
      <c r="P248" s="40">
        <f t="shared" ref="P248:T248" si="248">H260/A$265</f>
        <v>0.0125472671</v>
      </c>
      <c r="Q248" s="40">
        <f t="shared" si="248"/>
        <v>0.01128762542</v>
      </c>
      <c r="R248" s="40">
        <f t="shared" si="248"/>
        <v>0.01298701299</v>
      </c>
      <c r="S248" s="40">
        <f t="shared" si="248"/>
        <v>0.01632653061</v>
      </c>
      <c r="T248" s="40">
        <f t="shared" si="248"/>
        <v>0.02739726027</v>
      </c>
    </row>
    <row r="249" ht="15.75" customHeight="1">
      <c r="F249" s="23"/>
      <c r="G249" s="19">
        <f>$G$19</f>
        <v>11</v>
      </c>
      <c r="H249" s="20">
        <v>356.0</v>
      </c>
      <c r="I249" s="20">
        <v>174.0</v>
      </c>
      <c r="J249" s="20">
        <v>0.0</v>
      </c>
      <c r="K249" s="20">
        <v>36.0</v>
      </c>
      <c r="L249" s="20">
        <v>38.0</v>
      </c>
      <c r="N249" s="27"/>
      <c r="O249" s="19">
        <f>$G$31</f>
        <v>23</v>
      </c>
      <c r="P249" s="40">
        <f t="shared" ref="P249:T249" si="249">H261/A$265</f>
        <v>0.007906497078</v>
      </c>
      <c r="Q249" s="40">
        <f t="shared" si="249"/>
        <v>0.004180602007</v>
      </c>
      <c r="R249" s="40">
        <f t="shared" si="249"/>
        <v>0</v>
      </c>
      <c r="S249" s="40">
        <f t="shared" si="249"/>
        <v>0.008163265306</v>
      </c>
      <c r="T249" s="40">
        <f t="shared" si="249"/>
        <v>0.001956947162</v>
      </c>
    </row>
    <row r="250" ht="15.75" customHeight="1">
      <c r="F250" s="23"/>
      <c r="G250" s="19">
        <f>$G$20</f>
        <v>12</v>
      </c>
      <c r="H250" s="20">
        <v>485.0</v>
      </c>
      <c r="I250" s="20">
        <v>198.0</v>
      </c>
      <c r="J250" s="20">
        <v>3.0</v>
      </c>
      <c r="K250" s="20">
        <v>42.0</v>
      </c>
      <c r="L250" s="20">
        <v>27.0</v>
      </c>
      <c r="N250" s="39">
        <v>45204.0</v>
      </c>
      <c r="O250" s="19">
        <f>$G$8</f>
        <v>0</v>
      </c>
      <c r="P250" s="40">
        <f t="shared" ref="P250:T250" si="250">H262/A$285</f>
        <v>0.01308793456</v>
      </c>
      <c r="Q250" s="40">
        <f t="shared" si="250"/>
        <v>0.009603841537</v>
      </c>
      <c r="R250" s="40">
        <f t="shared" si="250"/>
        <v>0.04761904762</v>
      </c>
      <c r="S250" s="40">
        <f t="shared" si="250"/>
        <v>0.01324503311</v>
      </c>
      <c r="T250" s="40">
        <f t="shared" si="250"/>
        <v>0.02105263158</v>
      </c>
    </row>
    <row r="251" ht="15.75" customHeight="1">
      <c r="F251" s="23"/>
      <c r="G251" s="19">
        <f>$G$21</f>
        <v>13</v>
      </c>
      <c r="H251" s="20">
        <v>562.0</v>
      </c>
      <c r="I251" s="20">
        <v>181.0</v>
      </c>
      <c r="J251" s="20">
        <v>14.0</v>
      </c>
      <c r="K251" s="20">
        <v>41.0</v>
      </c>
      <c r="L251" s="20">
        <v>26.0</v>
      </c>
      <c r="N251" s="23"/>
      <c r="O251" s="19">
        <f>$G$9</f>
        <v>1</v>
      </c>
      <c r="P251" s="40">
        <f t="shared" ref="P251:T251" si="251">H263/A$285</f>
        <v>0.00981595092</v>
      </c>
      <c r="Q251" s="40">
        <f t="shared" si="251"/>
        <v>0.01200480192</v>
      </c>
      <c r="R251" s="40">
        <f t="shared" si="251"/>
        <v>0</v>
      </c>
      <c r="S251" s="40">
        <f t="shared" si="251"/>
        <v>0.01986754967</v>
      </c>
      <c r="T251" s="40">
        <f t="shared" si="251"/>
        <v>0</v>
      </c>
    </row>
    <row r="252" ht="15.75" customHeight="1">
      <c r="F252" s="23"/>
      <c r="G252" s="19">
        <f>$G$22</f>
        <v>14</v>
      </c>
      <c r="H252" s="20">
        <v>555.0</v>
      </c>
      <c r="I252" s="20">
        <v>212.0</v>
      </c>
      <c r="J252" s="20">
        <v>11.0</v>
      </c>
      <c r="K252" s="20">
        <v>40.0</v>
      </c>
      <c r="L252" s="20">
        <v>32.0</v>
      </c>
      <c r="N252" s="23"/>
      <c r="O252" s="19">
        <f>$G$10</f>
        <v>2</v>
      </c>
      <c r="P252" s="40">
        <f t="shared" ref="P252:T252" si="252">H264/A$285</f>
        <v>0.007770961145</v>
      </c>
      <c r="Q252" s="40">
        <f t="shared" si="252"/>
        <v>0.002400960384</v>
      </c>
      <c r="R252" s="40">
        <f t="shared" si="252"/>
        <v>0</v>
      </c>
      <c r="S252" s="40">
        <f t="shared" si="252"/>
        <v>0.02649006623</v>
      </c>
      <c r="T252" s="40">
        <f t="shared" si="252"/>
        <v>0.04210526316</v>
      </c>
    </row>
    <row r="253" ht="15.75" customHeight="1">
      <c r="F253" s="23"/>
      <c r="G253" s="19">
        <f>$G$23</f>
        <v>15</v>
      </c>
      <c r="H253" s="20">
        <v>462.0</v>
      </c>
      <c r="I253" s="20">
        <v>202.0</v>
      </c>
      <c r="J253" s="20">
        <v>8.0</v>
      </c>
      <c r="K253" s="20">
        <v>38.0</v>
      </c>
      <c r="L253" s="20">
        <v>22.0</v>
      </c>
      <c r="N253" s="23"/>
      <c r="O253" s="19">
        <f>$G$11</f>
        <v>3</v>
      </c>
      <c r="P253" s="40">
        <f t="shared" ref="P253:T253" si="253">H265/A$285</f>
        <v>0.006952965235</v>
      </c>
      <c r="Q253" s="40">
        <f t="shared" si="253"/>
        <v>0.003601440576</v>
      </c>
      <c r="R253" s="40">
        <f t="shared" si="253"/>
        <v>0</v>
      </c>
      <c r="S253" s="40">
        <f t="shared" si="253"/>
        <v>0.01324503311</v>
      </c>
      <c r="T253" s="40">
        <f t="shared" si="253"/>
        <v>0.03157894737</v>
      </c>
    </row>
    <row r="254" ht="15.75" customHeight="1">
      <c r="F254" s="23"/>
      <c r="G254" s="19">
        <f>$G$24</f>
        <v>16</v>
      </c>
      <c r="H254" s="20">
        <v>459.0</v>
      </c>
      <c r="I254" s="20">
        <v>188.0</v>
      </c>
      <c r="J254" s="20">
        <v>10.0</v>
      </c>
      <c r="K254" s="20">
        <v>39.0</v>
      </c>
      <c r="L254" s="20">
        <v>20.0</v>
      </c>
      <c r="N254" s="23"/>
      <c r="O254" s="19">
        <f>$G$12</f>
        <v>4</v>
      </c>
      <c r="P254" s="40">
        <f t="shared" ref="P254:T254" si="254">H266/A$285</f>
        <v>0.00490797546</v>
      </c>
      <c r="Q254" s="40">
        <f t="shared" si="254"/>
        <v>0.002400960384</v>
      </c>
      <c r="R254" s="40">
        <f t="shared" si="254"/>
        <v>0</v>
      </c>
      <c r="S254" s="40">
        <f t="shared" si="254"/>
        <v>0.01986754967</v>
      </c>
      <c r="T254" s="40">
        <f t="shared" si="254"/>
        <v>0</v>
      </c>
    </row>
    <row r="255" ht="15.75" customHeight="1">
      <c r="F255" s="23"/>
      <c r="G255" s="19">
        <f>$G$25</f>
        <v>17</v>
      </c>
      <c r="H255" s="20">
        <v>467.0</v>
      </c>
      <c r="I255" s="20">
        <v>191.0</v>
      </c>
      <c r="J255" s="20">
        <v>9.0</v>
      </c>
      <c r="K255" s="20">
        <v>20.0</v>
      </c>
      <c r="L255" s="20">
        <v>24.0</v>
      </c>
      <c r="N255" s="23"/>
      <c r="O255" s="19">
        <f>$G$13</f>
        <v>5</v>
      </c>
      <c r="P255" s="40">
        <f t="shared" ref="P255:T255" si="255">H267/A$285</f>
        <v>0.007770961145</v>
      </c>
      <c r="Q255" s="40">
        <f t="shared" si="255"/>
        <v>0.01080432173</v>
      </c>
      <c r="R255" s="40">
        <f t="shared" si="255"/>
        <v>0</v>
      </c>
      <c r="S255" s="40">
        <f t="shared" si="255"/>
        <v>0.006622516556</v>
      </c>
      <c r="T255" s="40">
        <f t="shared" si="255"/>
        <v>0.04210526316</v>
      </c>
    </row>
    <row r="256" ht="15.75" customHeight="1">
      <c r="F256" s="23"/>
      <c r="G256" s="19">
        <f>$G$26</f>
        <v>18</v>
      </c>
      <c r="H256" s="20">
        <v>285.0</v>
      </c>
      <c r="I256" s="20">
        <v>103.0</v>
      </c>
      <c r="J256" s="20">
        <v>3.0</v>
      </c>
      <c r="K256" s="20">
        <v>20.0</v>
      </c>
      <c r="L256" s="20">
        <v>18.0</v>
      </c>
      <c r="N256" s="23"/>
      <c r="O256" s="19">
        <f>$G$14</f>
        <v>6</v>
      </c>
      <c r="P256" s="40">
        <f t="shared" ref="P256:T256" si="256">H268/A$285</f>
        <v>0.01431492843</v>
      </c>
      <c r="Q256" s="40">
        <f t="shared" si="256"/>
        <v>0.02521008403</v>
      </c>
      <c r="R256" s="40">
        <f t="shared" si="256"/>
        <v>0</v>
      </c>
      <c r="S256" s="40">
        <f t="shared" si="256"/>
        <v>0.03311258278</v>
      </c>
      <c r="T256" s="40">
        <f t="shared" si="256"/>
        <v>0</v>
      </c>
    </row>
    <row r="257" ht="15.75" customHeight="1">
      <c r="F257" s="23"/>
      <c r="G257" s="19">
        <f>$G$27</f>
        <v>19</v>
      </c>
      <c r="H257" s="20">
        <v>193.0</v>
      </c>
      <c r="I257" s="20">
        <v>50.0</v>
      </c>
      <c r="J257" s="20">
        <v>1.0</v>
      </c>
      <c r="K257" s="20">
        <v>17.0</v>
      </c>
      <c r="L257" s="20">
        <v>13.0</v>
      </c>
      <c r="N257" s="23"/>
      <c r="O257" s="19">
        <f>$G$15</f>
        <v>7</v>
      </c>
      <c r="P257" s="40">
        <f t="shared" ref="P257:T257" si="257">H269/A$285</f>
        <v>0.02658486708</v>
      </c>
      <c r="Q257" s="40">
        <f t="shared" si="257"/>
        <v>0.02761104442</v>
      </c>
      <c r="R257" s="40">
        <f t="shared" si="257"/>
        <v>0</v>
      </c>
      <c r="S257" s="40">
        <f t="shared" si="257"/>
        <v>0.03311258278</v>
      </c>
      <c r="T257" s="40">
        <f t="shared" si="257"/>
        <v>0.04210526316</v>
      </c>
    </row>
    <row r="258" ht="15.75" customHeight="1">
      <c r="F258" s="23"/>
      <c r="G258" s="19">
        <f>$G$28</f>
        <v>20</v>
      </c>
      <c r="H258" s="20">
        <v>128.0</v>
      </c>
      <c r="I258" s="20">
        <v>45.0</v>
      </c>
      <c r="J258" s="20">
        <v>1.0</v>
      </c>
      <c r="K258" s="20">
        <v>14.0</v>
      </c>
      <c r="L258" s="20">
        <v>12.0</v>
      </c>
      <c r="N258" s="23"/>
      <c r="O258" s="19">
        <f>$G$16</f>
        <v>8</v>
      </c>
      <c r="P258" s="40">
        <f t="shared" ref="P258:T258" si="258">H270/A$285</f>
        <v>0.02658486708</v>
      </c>
      <c r="Q258" s="40">
        <f t="shared" si="258"/>
        <v>0.02400960384</v>
      </c>
      <c r="R258" s="40">
        <f t="shared" si="258"/>
        <v>0.09523809524</v>
      </c>
      <c r="S258" s="40">
        <f t="shared" si="258"/>
        <v>0.06622516556</v>
      </c>
      <c r="T258" s="40">
        <f t="shared" si="258"/>
        <v>0.1368421053</v>
      </c>
    </row>
    <row r="259" ht="15.75" customHeight="1">
      <c r="F259" s="23"/>
      <c r="G259" s="19">
        <f>$G$29</f>
        <v>21</v>
      </c>
      <c r="H259" s="20">
        <v>98.0</v>
      </c>
      <c r="I259" s="20">
        <v>26.0</v>
      </c>
      <c r="J259" s="20">
        <v>0.0</v>
      </c>
      <c r="K259" s="20">
        <v>5.0</v>
      </c>
      <c r="L259" s="20">
        <v>8.0</v>
      </c>
      <c r="N259" s="23"/>
      <c r="O259" s="19">
        <f>$G$17</f>
        <v>9</v>
      </c>
      <c r="P259" s="40">
        <f t="shared" ref="P259:T259" si="259">H271/A$285</f>
        <v>0.02617586912</v>
      </c>
      <c r="Q259" s="40">
        <f t="shared" si="259"/>
        <v>0.03841536615</v>
      </c>
      <c r="R259" s="40">
        <f t="shared" si="259"/>
        <v>0</v>
      </c>
      <c r="S259" s="40">
        <f t="shared" si="259"/>
        <v>0.06622516556</v>
      </c>
      <c r="T259" s="40">
        <f t="shared" si="259"/>
        <v>0.07368421053</v>
      </c>
    </row>
    <row r="260" ht="15.75" customHeight="1">
      <c r="F260" s="23"/>
      <c r="G260" s="19">
        <f>$G$30</f>
        <v>22</v>
      </c>
      <c r="H260" s="20">
        <v>73.0</v>
      </c>
      <c r="I260" s="20">
        <v>27.0</v>
      </c>
      <c r="J260" s="20">
        <v>1.0</v>
      </c>
      <c r="K260" s="20">
        <v>8.0</v>
      </c>
      <c r="L260" s="20">
        <v>14.0</v>
      </c>
      <c r="N260" s="23"/>
      <c r="O260" s="19">
        <f>$G$18</f>
        <v>10</v>
      </c>
      <c r="P260" s="40">
        <f t="shared" ref="P260:T260" si="260">H272/A$285</f>
        <v>0.03967280164</v>
      </c>
      <c r="Q260" s="40">
        <f t="shared" si="260"/>
        <v>0.04801920768</v>
      </c>
      <c r="R260" s="40">
        <f t="shared" si="260"/>
        <v>0.04761904762</v>
      </c>
      <c r="S260" s="40">
        <f t="shared" si="260"/>
        <v>0.09933774834</v>
      </c>
      <c r="T260" s="40">
        <f t="shared" si="260"/>
        <v>0.1157894737</v>
      </c>
    </row>
    <row r="261" ht="15.75" customHeight="1">
      <c r="F261" s="27"/>
      <c r="G261" s="19">
        <f>$G$31</f>
        <v>23</v>
      </c>
      <c r="H261" s="20">
        <v>46.0</v>
      </c>
      <c r="I261" s="20">
        <v>10.0</v>
      </c>
      <c r="J261" s="20">
        <v>0.0</v>
      </c>
      <c r="K261" s="20">
        <v>4.0</v>
      </c>
      <c r="L261" s="20">
        <v>1.0</v>
      </c>
      <c r="N261" s="23"/>
      <c r="O261" s="19">
        <f>$G$19</f>
        <v>11</v>
      </c>
      <c r="P261" s="40">
        <f t="shared" ref="P261:T261" si="261">H273/A$285</f>
        <v>0.04335378323</v>
      </c>
      <c r="Q261" s="40">
        <f t="shared" si="261"/>
        <v>0.05762304922</v>
      </c>
      <c r="R261" s="40">
        <f t="shared" si="261"/>
        <v>0.2380952381</v>
      </c>
      <c r="S261" s="40">
        <f t="shared" si="261"/>
        <v>0.09933774834</v>
      </c>
      <c r="T261" s="40">
        <f t="shared" si="261"/>
        <v>0.01052631579</v>
      </c>
    </row>
    <row r="262" ht="15.75" customHeight="1">
      <c r="F262" s="39">
        <v>45204.0</v>
      </c>
      <c r="G262" s="19">
        <f>$G$8</f>
        <v>0</v>
      </c>
      <c r="H262" s="20">
        <v>32.0</v>
      </c>
      <c r="I262" s="20">
        <v>8.0</v>
      </c>
      <c r="J262" s="20">
        <v>1.0</v>
      </c>
      <c r="K262" s="20">
        <v>2.0</v>
      </c>
      <c r="L262" s="20">
        <v>2.0</v>
      </c>
      <c r="N262" s="23"/>
      <c r="O262" s="19">
        <f>$G$20</f>
        <v>12</v>
      </c>
      <c r="P262" s="40">
        <f t="shared" ref="P262:T262" si="262">H274/A$285</f>
        <v>0.0490797546</v>
      </c>
      <c r="Q262" s="40">
        <f t="shared" si="262"/>
        <v>0.06602641056</v>
      </c>
      <c r="R262" s="40">
        <f t="shared" si="262"/>
        <v>0.09523809524</v>
      </c>
      <c r="S262" s="40">
        <f t="shared" si="262"/>
        <v>0.04635761589</v>
      </c>
      <c r="T262" s="40">
        <f t="shared" si="262"/>
        <v>0.02105263158</v>
      </c>
    </row>
    <row r="263" ht="15.75" customHeight="1">
      <c r="F263" s="23"/>
      <c r="G263" s="19">
        <f>$G$9</f>
        <v>1</v>
      </c>
      <c r="H263" s="20">
        <v>24.0</v>
      </c>
      <c r="I263" s="20">
        <v>10.0</v>
      </c>
      <c r="J263" s="20">
        <v>0.0</v>
      </c>
      <c r="K263" s="20">
        <v>3.0</v>
      </c>
      <c r="L263" s="20">
        <v>0.0</v>
      </c>
      <c r="N263" s="23"/>
      <c r="O263" s="19">
        <f>$G$21</f>
        <v>13</v>
      </c>
      <c r="P263" s="40">
        <f t="shared" ref="P263:T263" si="263">H275/A$285</f>
        <v>0.06175869121</v>
      </c>
      <c r="Q263" s="40">
        <f t="shared" si="263"/>
        <v>0.05402160864</v>
      </c>
      <c r="R263" s="40">
        <f t="shared" si="263"/>
        <v>0</v>
      </c>
      <c r="S263" s="40">
        <f t="shared" si="263"/>
        <v>0.04635761589</v>
      </c>
      <c r="T263" s="40">
        <f t="shared" si="263"/>
        <v>0.05263157895</v>
      </c>
    </row>
    <row r="264" ht="15.75" customHeight="1">
      <c r="F264" s="23"/>
      <c r="G264" s="19">
        <f>$G$10</f>
        <v>2</v>
      </c>
      <c r="H264" s="16">
        <v>19.0</v>
      </c>
      <c r="I264" s="16">
        <v>2.0</v>
      </c>
      <c r="J264" s="16">
        <v>0.0</v>
      </c>
      <c r="K264" s="16">
        <v>4.0</v>
      </c>
      <c r="L264" s="16">
        <v>4.0</v>
      </c>
      <c r="N264" s="23"/>
      <c r="O264" s="19">
        <f>$G$22</f>
        <v>14</v>
      </c>
      <c r="P264" s="40">
        <f t="shared" ref="P264:T264" si="264">H276/A$285</f>
        <v>0.0981595092</v>
      </c>
      <c r="Q264" s="40">
        <f t="shared" si="264"/>
        <v>0.08163265306</v>
      </c>
      <c r="R264" s="40">
        <f t="shared" si="264"/>
        <v>0.04761904762</v>
      </c>
      <c r="S264" s="40">
        <f t="shared" si="264"/>
        <v>0.04635761589</v>
      </c>
      <c r="T264" s="40">
        <f t="shared" si="264"/>
        <v>0.02105263158</v>
      </c>
    </row>
    <row r="265" ht="15.75" customHeight="1">
      <c r="A265" s="26">
        <f t="shared" ref="A265:E265" si="265">SUM(H238:H261)</f>
        <v>5818</v>
      </c>
      <c r="B265" s="26">
        <f t="shared" si="265"/>
        <v>2392</v>
      </c>
      <c r="C265" s="26">
        <f t="shared" si="265"/>
        <v>77</v>
      </c>
      <c r="D265" s="26">
        <f t="shared" si="265"/>
        <v>490</v>
      </c>
      <c r="E265" s="26">
        <f t="shared" si="265"/>
        <v>511</v>
      </c>
      <c r="F265" s="23"/>
      <c r="G265" s="19">
        <f>$G$11</f>
        <v>3</v>
      </c>
      <c r="H265" s="20">
        <v>17.0</v>
      </c>
      <c r="I265" s="20">
        <v>3.0</v>
      </c>
      <c r="J265" s="20">
        <v>0.0</v>
      </c>
      <c r="K265" s="20">
        <v>2.0</v>
      </c>
      <c r="L265" s="20">
        <v>3.0</v>
      </c>
      <c r="N265" s="23"/>
      <c r="O265" s="19">
        <f>$G$23</f>
        <v>15</v>
      </c>
      <c r="P265" s="40">
        <f t="shared" ref="P265:T265" si="266">H277/A$285</f>
        <v>0.08220858896</v>
      </c>
      <c r="Q265" s="40">
        <f t="shared" si="266"/>
        <v>0.07923169268</v>
      </c>
      <c r="R265" s="40">
        <f t="shared" si="266"/>
        <v>0.04761904762</v>
      </c>
      <c r="S265" s="40">
        <f t="shared" si="266"/>
        <v>0.02649006623</v>
      </c>
      <c r="T265" s="40">
        <f t="shared" si="266"/>
        <v>0.05263157895</v>
      </c>
    </row>
    <row r="266" ht="15.75" customHeight="1">
      <c r="F266" s="23"/>
      <c r="G266" s="19">
        <f>$G$12</f>
        <v>4</v>
      </c>
      <c r="H266" s="20">
        <v>12.0</v>
      </c>
      <c r="I266" s="20">
        <v>2.0</v>
      </c>
      <c r="J266" s="20">
        <v>0.0</v>
      </c>
      <c r="K266" s="20">
        <v>3.0</v>
      </c>
      <c r="L266" s="20">
        <v>0.0</v>
      </c>
      <c r="N266" s="23"/>
      <c r="O266" s="19">
        <f>$G$24</f>
        <v>16</v>
      </c>
      <c r="P266" s="40">
        <f t="shared" ref="P266:T266" si="267">H278/A$285</f>
        <v>0.08916155419</v>
      </c>
      <c r="Q266" s="40">
        <f t="shared" si="267"/>
        <v>0.07923169268</v>
      </c>
      <c r="R266" s="40">
        <f t="shared" si="267"/>
        <v>0.1428571429</v>
      </c>
      <c r="S266" s="40">
        <f t="shared" si="267"/>
        <v>0.07284768212</v>
      </c>
      <c r="T266" s="40">
        <f t="shared" si="267"/>
        <v>0.02105263158</v>
      </c>
      <c r="V266" s="17">
        <f>$H$7</f>
        <v>31</v>
      </c>
      <c r="W266" s="17">
        <f>$I$7</f>
        <v>32</v>
      </c>
      <c r="X266" s="17">
        <f>$J$7</f>
        <v>41</v>
      </c>
      <c r="Y266" s="17">
        <f>$K$7</f>
        <v>42</v>
      </c>
      <c r="Z266" s="17">
        <f>$L$7</f>
        <v>5</v>
      </c>
    </row>
    <row r="267" ht="15.75" customHeight="1">
      <c r="F267" s="23"/>
      <c r="G267" s="19">
        <f>$G$13</f>
        <v>5</v>
      </c>
      <c r="H267" s="20">
        <v>19.0</v>
      </c>
      <c r="I267" s="20">
        <v>9.0</v>
      </c>
      <c r="J267" s="20">
        <v>0.0</v>
      </c>
      <c r="K267" s="20">
        <v>1.0</v>
      </c>
      <c r="L267" s="20">
        <v>4.0</v>
      </c>
      <c r="N267" s="23"/>
      <c r="O267" s="19">
        <f>$G$25</f>
        <v>17</v>
      </c>
      <c r="P267" s="40">
        <f t="shared" ref="P267:T267" si="268">H279/A$285</f>
        <v>0.08220858896</v>
      </c>
      <c r="Q267" s="40">
        <f t="shared" si="268"/>
        <v>0.09483793517</v>
      </c>
      <c r="R267" s="40">
        <f t="shared" si="268"/>
        <v>0.04761904762</v>
      </c>
      <c r="S267" s="40">
        <f t="shared" si="268"/>
        <v>0.02649006623</v>
      </c>
      <c r="T267" s="40">
        <f t="shared" si="268"/>
        <v>0.04210526316</v>
      </c>
    </row>
    <row r="268" ht="15.75" customHeight="1">
      <c r="F268" s="23"/>
      <c r="G268" s="19">
        <f>$G$14</f>
        <v>6</v>
      </c>
      <c r="H268" s="20">
        <v>35.0</v>
      </c>
      <c r="I268" s="20">
        <v>21.0</v>
      </c>
      <c r="J268" s="20">
        <v>0.0</v>
      </c>
      <c r="K268" s="20">
        <v>5.0</v>
      </c>
      <c r="L268" s="20">
        <v>0.0</v>
      </c>
      <c r="N268" s="23"/>
      <c r="O268" s="19">
        <f>$G$26</f>
        <v>18</v>
      </c>
      <c r="P268" s="40">
        <f t="shared" ref="P268:T268" si="269">H280/A$285</f>
        <v>0.07484662577</v>
      </c>
      <c r="Q268" s="40">
        <f t="shared" si="269"/>
        <v>0.08403361345</v>
      </c>
      <c r="R268" s="40">
        <f t="shared" si="269"/>
        <v>0.09523809524</v>
      </c>
      <c r="S268" s="40">
        <f t="shared" si="269"/>
        <v>0.01986754967</v>
      </c>
      <c r="T268" s="40">
        <f t="shared" si="269"/>
        <v>0.04210526316</v>
      </c>
    </row>
    <row r="269" ht="15.75" customHeight="1">
      <c r="F269" s="23"/>
      <c r="G269" s="19">
        <f>$G$15</f>
        <v>7</v>
      </c>
      <c r="H269" s="20">
        <v>65.0</v>
      </c>
      <c r="I269" s="20">
        <v>23.0</v>
      </c>
      <c r="J269" s="20">
        <v>0.0</v>
      </c>
      <c r="K269" s="20">
        <v>5.0</v>
      </c>
      <c r="L269" s="20">
        <v>4.0</v>
      </c>
      <c r="N269" s="23"/>
      <c r="O269" s="19">
        <f>$G$27</f>
        <v>19</v>
      </c>
      <c r="P269" s="40">
        <f t="shared" ref="P269:T269" si="270">H281/A$285</f>
        <v>0.06830265849</v>
      </c>
      <c r="Q269" s="40">
        <f t="shared" si="270"/>
        <v>0.05762304922</v>
      </c>
      <c r="R269" s="40">
        <f t="shared" si="270"/>
        <v>0.04761904762</v>
      </c>
      <c r="S269" s="40">
        <f t="shared" si="270"/>
        <v>0.03973509934</v>
      </c>
      <c r="T269" s="40">
        <f t="shared" si="270"/>
        <v>0.05263157895</v>
      </c>
    </row>
    <row r="270" ht="15.75" customHeight="1">
      <c r="F270" s="23"/>
      <c r="G270" s="19">
        <f>$G$16</f>
        <v>8</v>
      </c>
      <c r="H270" s="20">
        <v>65.0</v>
      </c>
      <c r="I270" s="20">
        <v>20.0</v>
      </c>
      <c r="J270" s="20">
        <v>2.0</v>
      </c>
      <c r="K270" s="20">
        <v>10.0</v>
      </c>
      <c r="L270" s="20">
        <v>13.0</v>
      </c>
      <c r="N270" s="23"/>
      <c r="O270" s="19">
        <f>$G$28</f>
        <v>20</v>
      </c>
      <c r="P270" s="40">
        <f t="shared" ref="P270:T270" si="271">H282/A$285</f>
        <v>0.06053169734</v>
      </c>
      <c r="Q270" s="40">
        <f t="shared" si="271"/>
        <v>0.04201680672</v>
      </c>
      <c r="R270" s="40">
        <f t="shared" si="271"/>
        <v>0.04761904762</v>
      </c>
      <c r="S270" s="40">
        <f t="shared" si="271"/>
        <v>0.05960264901</v>
      </c>
      <c r="T270" s="40">
        <f t="shared" si="271"/>
        <v>0.02105263158</v>
      </c>
    </row>
    <row r="271" ht="15.75" customHeight="1">
      <c r="F271" s="23"/>
      <c r="G271" s="19">
        <f>$G$17</f>
        <v>9</v>
      </c>
      <c r="H271" s="20">
        <v>64.0</v>
      </c>
      <c r="I271" s="20">
        <v>32.0</v>
      </c>
      <c r="J271" s="20">
        <v>0.0</v>
      </c>
      <c r="K271" s="20">
        <v>10.0</v>
      </c>
      <c r="L271" s="20">
        <v>7.0</v>
      </c>
      <c r="N271" s="23"/>
      <c r="O271" s="19">
        <f>$G$29</f>
        <v>21</v>
      </c>
      <c r="P271" s="40">
        <f t="shared" ref="P271:T271" si="272">H283/A$285</f>
        <v>0.03885480573</v>
      </c>
      <c r="Q271" s="40">
        <f t="shared" si="272"/>
        <v>0.04201680672</v>
      </c>
      <c r="R271" s="40">
        <f t="shared" si="272"/>
        <v>0</v>
      </c>
      <c r="S271" s="40">
        <f t="shared" si="272"/>
        <v>0.02649006623</v>
      </c>
      <c r="T271" s="40">
        <f t="shared" si="272"/>
        <v>0.04210526316</v>
      </c>
    </row>
    <row r="272" ht="15.75" customHeight="1">
      <c r="F272" s="23"/>
      <c r="G272" s="19">
        <f>$G$18</f>
        <v>10</v>
      </c>
      <c r="H272" s="20">
        <v>97.0</v>
      </c>
      <c r="I272" s="20">
        <v>40.0</v>
      </c>
      <c r="J272" s="20">
        <v>1.0</v>
      </c>
      <c r="K272" s="20">
        <v>15.0</v>
      </c>
      <c r="L272" s="20">
        <v>11.0</v>
      </c>
      <c r="N272" s="23"/>
      <c r="O272" s="19">
        <f>$G$30</f>
        <v>22</v>
      </c>
      <c r="P272" s="40">
        <f t="shared" ref="P272:T272" si="273">H284/A$285</f>
        <v>0.03803680982</v>
      </c>
      <c r="Q272" s="40">
        <f t="shared" si="273"/>
        <v>0.03121248499</v>
      </c>
      <c r="R272" s="40">
        <f t="shared" si="273"/>
        <v>0</v>
      </c>
      <c r="S272" s="40">
        <f t="shared" si="273"/>
        <v>0.02649006623</v>
      </c>
      <c r="T272" s="40">
        <f t="shared" si="273"/>
        <v>0.05263157895</v>
      </c>
    </row>
    <row r="273" ht="15.75" customHeight="1">
      <c r="F273" s="23"/>
      <c r="G273" s="19">
        <f>$G$19</f>
        <v>11</v>
      </c>
      <c r="H273" s="20">
        <v>106.0</v>
      </c>
      <c r="I273" s="20">
        <v>48.0</v>
      </c>
      <c r="J273" s="20">
        <v>5.0</v>
      </c>
      <c r="K273" s="20">
        <v>15.0</v>
      </c>
      <c r="L273" s="20">
        <v>1.0</v>
      </c>
      <c r="N273" s="27"/>
      <c r="O273" s="19">
        <f>$G$31</f>
        <v>23</v>
      </c>
      <c r="P273" s="40">
        <f t="shared" ref="P273:T273" si="274">H285/A$285</f>
        <v>0.02985685072</v>
      </c>
      <c r="Q273" s="40">
        <f t="shared" si="274"/>
        <v>0.02641056423</v>
      </c>
      <c r="R273" s="40">
        <f t="shared" si="274"/>
        <v>0</v>
      </c>
      <c r="S273" s="40">
        <f t="shared" si="274"/>
        <v>0.06622516556</v>
      </c>
      <c r="T273" s="40">
        <f t="shared" si="274"/>
        <v>0.06315789474</v>
      </c>
    </row>
    <row r="274" ht="15.75" customHeight="1">
      <c r="F274" s="23"/>
      <c r="G274" s="19">
        <f>$G$20</f>
        <v>12</v>
      </c>
      <c r="H274" s="20">
        <v>120.0</v>
      </c>
      <c r="I274" s="20">
        <v>55.0</v>
      </c>
      <c r="J274" s="20">
        <v>2.0</v>
      </c>
      <c r="K274" s="20">
        <v>7.0</v>
      </c>
      <c r="L274" s="20">
        <v>2.0</v>
      </c>
      <c r="N274" s="39">
        <v>45205.0</v>
      </c>
      <c r="O274" s="19">
        <f>$G$8</f>
        <v>0</v>
      </c>
      <c r="P274" s="44">
        <f t="shared" ref="P274:T274" si="275">H286/A$309</f>
        <v>0.00660987074</v>
      </c>
      <c r="Q274" s="44">
        <f t="shared" si="275"/>
        <v>0.002901704752</v>
      </c>
      <c r="R274" s="44">
        <f t="shared" si="275"/>
        <v>0.02040816327</v>
      </c>
      <c r="S274" s="44">
        <f t="shared" si="275"/>
        <v>0.02213279678</v>
      </c>
      <c r="T274" s="44">
        <f t="shared" si="275"/>
        <v>0.008639308855</v>
      </c>
    </row>
    <row r="275" ht="15.75" customHeight="1">
      <c r="F275" s="23"/>
      <c r="G275" s="19">
        <f>$G$21</f>
        <v>13</v>
      </c>
      <c r="H275" s="20">
        <v>151.0</v>
      </c>
      <c r="I275" s="20">
        <v>45.0</v>
      </c>
      <c r="J275" s="20">
        <v>0.0</v>
      </c>
      <c r="K275" s="20">
        <v>7.0</v>
      </c>
      <c r="L275" s="20">
        <v>5.0</v>
      </c>
      <c r="N275" s="23"/>
      <c r="O275" s="19">
        <f>$G$9</f>
        <v>1</v>
      </c>
      <c r="P275" s="44">
        <f t="shared" ref="P275:T275" si="276">H287/A$309</f>
        <v>0.002790834313</v>
      </c>
      <c r="Q275" s="44">
        <f t="shared" si="276"/>
        <v>0.002176278564</v>
      </c>
      <c r="R275" s="44">
        <f t="shared" si="276"/>
        <v>0</v>
      </c>
      <c r="S275" s="44">
        <f t="shared" si="276"/>
        <v>0.01006036217</v>
      </c>
      <c r="T275" s="44">
        <f t="shared" si="276"/>
        <v>0.01727861771</v>
      </c>
    </row>
    <row r="276" ht="15.75" customHeight="1">
      <c r="F276" s="23"/>
      <c r="G276" s="19">
        <f>$G$22</f>
        <v>14</v>
      </c>
      <c r="H276" s="20">
        <v>240.0</v>
      </c>
      <c r="I276" s="20">
        <v>68.0</v>
      </c>
      <c r="J276" s="20">
        <v>1.0</v>
      </c>
      <c r="K276" s="20">
        <v>7.0</v>
      </c>
      <c r="L276" s="20">
        <v>2.0</v>
      </c>
      <c r="N276" s="23"/>
      <c r="O276" s="19">
        <f>$G$10</f>
        <v>2</v>
      </c>
      <c r="P276" s="44">
        <f t="shared" ref="P276:T276" si="277">H288/A$309</f>
        <v>0.003084606345</v>
      </c>
      <c r="Q276" s="44">
        <f t="shared" si="277"/>
        <v>0.003627130939</v>
      </c>
      <c r="R276" s="44">
        <f t="shared" si="277"/>
        <v>0</v>
      </c>
      <c r="S276" s="44">
        <f t="shared" si="277"/>
        <v>0.008048289738</v>
      </c>
      <c r="T276" s="44">
        <f t="shared" si="277"/>
        <v>0.01079913607</v>
      </c>
    </row>
    <row r="277" ht="15.75" customHeight="1">
      <c r="F277" s="23"/>
      <c r="G277" s="19">
        <f>$G$23</f>
        <v>15</v>
      </c>
      <c r="H277" s="20">
        <v>201.0</v>
      </c>
      <c r="I277" s="20">
        <v>66.0</v>
      </c>
      <c r="J277" s="20">
        <v>1.0</v>
      </c>
      <c r="K277" s="20">
        <v>4.0</v>
      </c>
      <c r="L277" s="20">
        <v>5.0</v>
      </c>
      <c r="N277" s="23"/>
      <c r="O277" s="19">
        <f>$G$11</f>
        <v>3</v>
      </c>
      <c r="P277" s="44">
        <f t="shared" ref="P277:T277" si="278">H289/A$309</f>
        <v>0.003084606345</v>
      </c>
      <c r="Q277" s="44">
        <f t="shared" si="278"/>
        <v>0.004352557127</v>
      </c>
      <c r="R277" s="44">
        <f t="shared" si="278"/>
        <v>0</v>
      </c>
      <c r="S277" s="44">
        <f t="shared" si="278"/>
        <v>0.01207243461</v>
      </c>
      <c r="T277" s="44">
        <f t="shared" si="278"/>
        <v>0.008639308855</v>
      </c>
    </row>
    <row r="278" ht="15.75" customHeight="1">
      <c r="F278" s="23"/>
      <c r="G278" s="19">
        <f>$G$24</f>
        <v>16</v>
      </c>
      <c r="H278" s="20">
        <v>218.0</v>
      </c>
      <c r="I278" s="20">
        <v>66.0</v>
      </c>
      <c r="J278" s="20">
        <v>3.0</v>
      </c>
      <c r="K278" s="20">
        <v>11.0</v>
      </c>
      <c r="L278" s="20">
        <v>2.0</v>
      </c>
      <c r="N278" s="23"/>
      <c r="O278" s="19">
        <f>$G$12</f>
        <v>4</v>
      </c>
      <c r="P278" s="44">
        <f t="shared" ref="P278:T278" si="279">H290/A$309</f>
        <v>0.003819036428</v>
      </c>
      <c r="Q278" s="44">
        <f t="shared" si="279"/>
        <v>0.003264417845</v>
      </c>
      <c r="R278" s="44">
        <f t="shared" si="279"/>
        <v>0</v>
      </c>
      <c r="S278" s="44">
        <f t="shared" si="279"/>
        <v>0.008048289738</v>
      </c>
      <c r="T278" s="44">
        <f t="shared" si="279"/>
        <v>0.01943844492</v>
      </c>
    </row>
    <row r="279" ht="15.75" customHeight="1">
      <c r="F279" s="23"/>
      <c r="G279" s="19">
        <f>$G$25</f>
        <v>17</v>
      </c>
      <c r="H279" s="20">
        <v>201.0</v>
      </c>
      <c r="I279" s="20">
        <v>79.0</v>
      </c>
      <c r="J279" s="20">
        <v>1.0</v>
      </c>
      <c r="K279" s="20">
        <v>4.0</v>
      </c>
      <c r="L279" s="20">
        <v>4.0</v>
      </c>
      <c r="N279" s="23"/>
      <c r="O279" s="19">
        <f>$G$13</f>
        <v>5</v>
      </c>
      <c r="P279" s="44">
        <f t="shared" ref="P279:T279" si="280">H291/A$309</f>
        <v>0.007784958872</v>
      </c>
      <c r="Q279" s="44">
        <f t="shared" si="280"/>
        <v>0.01305767138</v>
      </c>
      <c r="R279" s="44">
        <f t="shared" si="280"/>
        <v>0.0306122449</v>
      </c>
      <c r="S279" s="44">
        <f t="shared" si="280"/>
        <v>0.01609657948</v>
      </c>
      <c r="T279" s="44">
        <f t="shared" si="280"/>
        <v>0.03887688985</v>
      </c>
    </row>
    <row r="280" ht="15.75" customHeight="1">
      <c r="F280" s="23"/>
      <c r="G280" s="19">
        <f>$G$26</f>
        <v>18</v>
      </c>
      <c r="H280" s="20">
        <v>183.0</v>
      </c>
      <c r="I280" s="20">
        <v>70.0</v>
      </c>
      <c r="J280" s="20">
        <v>2.0</v>
      </c>
      <c r="K280" s="20">
        <v>3.0</v>
      </c>
      <c r="L280" s="20">
        <v>4.0</v>
      </c>
      <c r="N280" s="23"/>
      <c r="O280" s="19">
        <f>$G$14</f>
        <v>6</v>
      </c>
      <c r="P280" s="44">
        <f t="shared" ref="P280:T280" si="281">H292/A$309</f>
        <v>0.02996474736</v>
      </c>
      <c r="Q280" s="44">
        <f t="shared" si="281"/>
        <v>0.04860355459</v>
      </c>
      <c r="R280" s="44">
        <f t="shared" si="281"/>
        <v>0</v>
      </c>
      <c r="S280" s="44">
        <f t="shared" si="281"/>
        <v>0.02213279678</v>
      </c>
      <c r="T280" s="44">
        <f t="shared" si="281"/>
        <v>0.04319654428</v>
      </c>
    </row>
    <row r="281" ht="15.75" customHeight="1">
      <c r="F281" s="23"/>
      <c r="G281" s="19">
        <f>$G$27</f>
        <v>19</v>
      </c>
      <c r="H281" s="20">
        <v>167.0</v>
      </c>
      <c r="I281" s="20">
        <v>48.0</v>
      </c>
      <c r="J281" s="20">
        <v>1.0</v>
      </c>
      <c r="K281" s="20">
        <v>6.0</v>
      </c>
      <c r="L281" s="20">
        <v>5.0</v>
      </c>
      <c r="N281" s="23"/>
      <c r="O281" s="19">
        <f>$G$15</f>
        <v>7</v>
      </c>
      <c r="P281" s="44">
        <f t="shared" ref="P281:T281" si="282">H293/A$309</f>
        <v>0.04773795535</v>
      </c>
      <c r="Q281" s="44">
        <f t="shared" si="282"/>
        <v>0.04388828437</v>
      </c>
      <c r="R281" s="44">
        <f t="shared" si="282"/>
        <v>0.0306122449</v>
      </c>
      <c r="S281" s="44">
        <f t="shared" si="282"/>
        <v>0.03219315895</v>
      </c>
      <c r="T281" s="44">
        <f t="shared" si="282"/>
        <v>0.05183585313</v>
      </c>
    </row>
    <row r="282" ht="15.75" customHeight="1">
      <c r="F282" s="23"/>
      <c r="G282" s="19">
        <f>$G$28</f>
        <v>20</v>
      </c>
      <c r="H282" s="20">
        <v>148.0</v>
      </c>
      <c r="I282" s="20">
        <v>35.0</v>
      </c>
      <c r="J282" s="20">
        <v>1.0</v>
      </c>
      <c r="K282" s="20">
        <v>9.0</v>
      </c>
      <c r="L282" s="20">
        <v>2.0</v>
      </c>
      <c r="N282" s="23"/>
      <c r="O282" s="19">
        <f>$G$16</f>
        <v>8</v>
      </c>
      <c r="P282" s="44">
        <f t="shared" ref="P282:T282" si="283">H294/A$309</f>
        <v>0.04480023502</v>
      </c>
      <c r="Q282" s="44">
        <f t="shared" si="283"/>
        <v>0.04026115343</v>
      </c>
      <c r="R282" s="44">
        <f t="shared" si="283"/>
        <v>0.0612244898</v>
      </c>
      <c r="S282" s="44">
        <f t="shared" si="283"/>
        <v>0.06237424547</v>
      </c>
      <c r="T282" s="44">
        <f t="shared" si="283"/>
        <v>0.06695464363</v>
      </c>
    </row>
    <row r="283" ht="15.75" customHeight="1">
      <c r="F283" s="23"/>
      <c r="G283" s="19">
        <f>$G$29</f>
        <v>21</v>
      </c>
      <c r="H283" s="20">
        <v>95.0</v>
      </c>
      <c r="I283" s="20">
        <v>35.0</v>
      </c>
      <c r="J283" s="20">
        <v>0.0</v>
      </c>
      <c r="K283" s="20">
        <v>4.0</v>
      </c>
      <c r="L283" s="20">
        <v>4.0</v>
      </c>
      <c r="N283" s="23"/>
      <c r="O283" s="19">
        <f>$G$17</f>
        <v>9</v>
      </c>
      <c r="P283" s="44">
        <f t="shared" ref="P283:T283" si="284">H295/A$309</f>
        <v>0.04494712103</v>
      </c>
      <c r="Q283" s="44">
        <f t="shared" si="284"/>
        <v>0.04570184984</v>
      </c>
      <c r="R283" s="44">
        <f t="shared" si="284"/>
        <v>0.0612244898</v>
      </c>
      <c r="S283" s="44">
        <f t="shared" si="284"/>
        <v>0.06438631791</v>
      </c>
      <c r="T283" s="44">
        <f t="shared" si="284"/>
        <v>0.0777537797</v>
      </c>
    </row>
    <row r="284" ht="15.75" customHeight="1">
      <c r="F284" s="23"/>
      <c r="G284" s="19">
        <f>$G$30</f>
        <v>22</v>
      </c>
      <c r="H284" s="20">
        <v>93.0</v>
      </c>
      <c r="I284" s="20">
        <v>26.0</v>
      </c>
      <c r="J284" s="20">
        <v>0.0</v>
      </c>
      <c r="K284" s="20">
        <v>4.0</v>
      </c>
      <c r="L284" s="20">
        <v>5.0</v>
      </c>
      <c r="N284" s="23"/>
      <c r="O284" s="19">
        <f>$G$18</f>
        <v>10</v>
      </c>
      <c r="P284" s="44">
        <f t="shared" ref="P284:T284" si="285">H296/A$309</f>
        <v>0.04215628672</v>
      </c>
      <c r="Q284" s="44">
        <f t="shared" si="285"/>
        <v>0.05150525934</v>
      </c>
      <c r="R284" s="44">
        <f t="shared" si="285"/>
        <v>0.04081632653</v>
      </c>
      <c r="S284" s="44">
        <f t="shared" si="285"/>
        <v>0.06237424547</v>
      </c>
      <c r="T284" s="44">
        <f t="shared" si="285"/>
        <v>0.09287257019</v>
      </c>
    </row>
    <row r="285" ht="15.75" customHeight="1">
      <c r="A285" s="26">
        <f t="shared" ref="A285:E285" si="286">SUM(H262:H285)</f>
        <v>2445</v>
      </c>
      <c r="B285" s="26">
        <f t="shared" si="286"/>
        <v>833</v>
      </c>
      <c r="C285" s="26">
        <f t="shared" si="286"/>
        <v>21</v>
      </c>
      <c r="D285" s="26">
        <f t="shared" si="286"/>
        <v>151</v>
      </c>
      <c r="E285" s="26">
        <f t="shared" si="286"/>
        <v>95</v>
      </c>
      <c r="F285" s="27"/>
      <c r="G285" s="19">
        <f>$G$31</f>
        <v>23</v>
      </c>
      <c r="H285" s="20">
        <v>73.0</v>
      </c>
      <c r="I285" s="20">
        <v>22.0</v>
      </c>
      <c r="J285" s="20">
        <v>0.0</v>
      </c>
      <c r="K285" s="20">
        <v>10.0</v>
      </c>
      <c r="L285" s="20">
        <v>6.0</v>
      </c>
      <c r="N285" s="23"/>
      <c r="O285" s="19">
        <f>$G$19</f>
        <v>11</v>
      </c>
      <c r="P285" s="44">
        <f t="shared" ref="P285:T285" si="287">H297/A$309</f>
        <v>0.04715041128</v>
      </c>
      <c r="Q285" s="44">
        <f t="shared" si="287"/>
        <v>0.05839680812</v>
      </c>
      <c r="R285" s="44">
        <f t="shared" si="287"/>
        <v>0.07142857143</v>
      </c>
      <c r="S285" s="44">
        <f t="shared" si="287"/>
        <v>0.07243460765</v>
      </c>
      <c r="T285" s="44">
        <f t="shared" si="287"/>
        <v>0.07559395248</v>
      </c>
    </row>
    <row r="286" ht="15.75" customHeight="1">
      <c r="F286" s="39">
        <v>45205.0</v>
      </c>
      <c r="G286" s="19">
        <f>$G$8</f>
        <v>0</v>
      </c>
      <c r="H286" s="19">
        <v>45.0</v>
      </c>
      <c r="I286" s="19">
        <v>8.0</v>
      </c>
      <c r="J286" s="19">
        <v>2.0</v>
      </c>
      <c r="K286" s="19">
        <v>11.0</v>
      </c>
      <c r="L286" s="19">
        <v>4.0</v>
      </c>
      <c r="N286" s="23"/>
      <c r="O286" s="19">
        <f>$G$20</f>
        <v>12</v>
      </c>
      <c r="P286" s="44">
        <f t="shared" ref="P286:T286" si="288">H298/A$309</f>
        <v>0.05317273796</v>
      </c>
      <c r="Q286" s="44">
        <f t="shared" si="288"/>
        <v>0.05513239028</v>
      </c>
      <c r="R286" s="44">
        <f t="shared" si="288"/>
        <v>0.1326530612</v>
      </c>
      <c r="S286" s="44">
        <f t="shared" si="288"/>
        <v>0.05432595573</v>
      </c>
      <c r="T286" s="44">
        <f t="shared" si="288"/>
        <v>0.06911447084</v>
      </c>
    </row>
    <row r="287" ht="15.75" customHeight="1">
      <c r="F287" s="23"/>
      <c r="G287" s="19">
        <f>$G$9</f>
        <v>1</v>
      </c>
      <c r="H287" s="45">
        <v>19.0</v>
      </c>
      <c r="I287" s="45">
        <v>6.0</v>
      </c>
      <c r="J287" s="45">
        <v>0.0</v>
      </c>
      <c r="K287" s="45">
        <v>5.0</v>
      </c>
      <c r="L287" s="45">
        <v>8.0</v>
      </c>
      <c r="N287" s="23"/>
      <c r="O287" s="19">
        <f>$G$21</f>
        <v>13</v>
      </c>
      <c r="P287" s="44">
        <f t="shared" ref="P287:T287" si="289">H299/A$309</f>
        <v>0.06580493537</v>
      </c>
      <c r="Q287" s="44">
        <f t="shared" si="289"/>
        <v>0.06782734857</v>
      </c>
      <c r="R287" s="44">
        <f t="shared" si="289"/>
        <v>0.07142857143</v>
      </c>
      <c r="S287" s="44">
        <f t="shared" si="289"/>
        <v>0.07847082495</v>
      </c>
      <c r="T287" s="44">
        <f t="shared" si="289"/>
        <v>0.06695464363</v>
      </c>
    </row>
    <row r="288" ht="15.75" customHeight="1">
      <c r="F288" s="23"/>
      <c r="G288" s="19">
        <f>$G$10</f>
        <v>2</v>
      </c>
      <c r="H288" s="45">
        <v>21.0</v>
      </c>
      <c r="I288" s="45">
        <v>10.0</v>
      </c>
      <c r="J288" s="45">
        <v>0.0</v>
      </c>
      <c r="K288" s="45">
        <v>4.0</v>
      </c>
      <c r="L288" s="45">
        <v>5.0</v>
      </c>
      <c r="N288" s="23"/>
      <c r="O288" s="19">
        <f>$G$22</f>
        <v>14</v>
      </c>
      <c r="P288" s="44">
        <f t="shared" ref="P288:T288" si="290">H300/A$309</f>
        <v>0.06374853114</v>
      </c>
      <c r="Q288" s="44">
        <f t="shared" si="290"/>
        <v>0.06456293072</v>
      </c>
      <c r="R288" s="44">
        <f t="shared" si="290"/>
        <v>0.02040816327</v>
      </c>
      <c r="S288" s="44">
        <f t="shared" si="290"/>
        <v>0.06841046278</v>
      </c>
      <c r="T288" s="44">
        <f t="shared" si="290"/>
        <v>0.08207343413</v>
      </c>
    </row>
    <row r="289" ht="15.75" customHeight="1">
      <c r="F289" s="23"/>
      <c r="G289" s="19">
        <f>$G$11</f>
        <v>3</v>
      </c>
      <c r="H289" s="45">
        <v>21.0</v>
      </c>
      <c r="I289" s="45">
        <v>12.0</v>
      </c>
      <c r="J289" s="45">
        <v>0.0</v>
      </c>
      <c r="K289" s="45">
        <v>6.0</v>
      </c>
      <c r="L289" s="45">
        <v>4.0</v>
      </c>
      <c r="N289" s="23"/>
      <c r="O289" s="19">
        <f>$G$23</f>
        <v>15</v>
      </c>
      <c r="P289" s="44">
        <f t="shared" ref="P289:T289" si="291">H301/A$309</f>
        <v>0.07535252644</v>
      </c>
      <c r="Q289" s="44">
        <f t="shared" si="291"/>
        <v>0.08813928183</v>
      </c>
      <c r="R289" s="44">
        <f t="shared" si="291"/>
        <v>0.0612244898</v>
      </c>
      <c r="S289" s="44">
        <f t="shared" si="291"/>
        <v>0.07243460765</v>
      </c>
      <c r="T289" s="44">
        <f t="shared" si="291"/>
        <v>0.08207343413</v>
      </c>
    </row>
    <row r="290" ht="15.75" customHeight="1">
      <c r="F290" s="23"/>
      <c r="G290" s="19">
        <f>$G$12</f>
        <v>4</v>
      </c>
      <c r="H290" s="45">
        <v>26.0</v>
      </c>
      <c r="I290" s="45">
        <v>9.0</v>
      </c>
      <c r="J290" s="45">
        <v>0.0</v>
      </c>
      <c r="K290" s="45">
        <v>4.0</v>
      </c>
      <c r="L290" s="45">
        <v>9.0</v>
      </c>
      <c r="N290" s="23"/>
      <c r="O290" s="19">
        <f>$G$24</f>
        <v>16</v>
      </c>
      <c r="P290" s="44">
        <f t="shared" ref="P290:T290" si="292">H302/A$309</f>
        <v>0.07696827262</v>
      </c>
      <c r="Q290" s="44">
        <f t="shared" si="292"/>
        <v>0.08560029017</v>
      </c>
      <c r="R290" s="44">
        <f t="shared" si="292"/>
        <v>0.08163265306</v>
      </c>
      <c r="S290" s="44">
        <f t="shared" si="292"/>
        <v>0.09054325956</v>
      </c>
      <c r="T290" s="44">
        <f t="shared" si="292"/>
        <v>0.05183585313</v>
      </c>
    </row>
    <row r="291" ht="15.75" customHeight="1">
      <c r="F291" s="23"/>
      <c r="G291" s="19">
        <f>$G$13</f>
        <v>5</v>
      </c>
      <c r="H291" s="45">
        <v>53.0</v>
      </c>
      <c r="I291" s="45">
        <v>36.0</v>
      </c>
      <c r="J291" s="45">
        <v>3.0</v>
      </c>
      <c r="K291" s="45">
        <v>8.0</v>
      </c>
      <c r="L291" s="45">
        <v>18.0</v>
      </c>
      <c r="N291" s="23"/>
      <c r="O291" s="19">
        <f>$G$25</f>
        <v>17</v>
      </c>
      <c r="P291" s="44">
        <f t="shared" ref="P291:T291" si="293">H303/A$309</f>
        <v>0.09400705053</v>
      </c>
      <c r="Q291" s="44">
        <f t="shared" si="293"/>
        <v>0.09539354371</v>
      </c>
      <c r="R291" s="44">
        <f t="shared" si="293"/>
        <v>0.1326530612</v>
      </c>
      <c r="S291" s="44">
        <f t="shared" si="293"/>
        <v>0.05030181087</v>
      </c>
      <c r="T291" s="44">
        <f t="shared" si="293"/>
        <v>0.03455723542</v>
      </c>
    </row>
    <row r="292" ht="15.75" customHeight="1">
      <c r="F292" s="23"/>
      <c r="G292" s="19">
        <f>$G$14</f>
        <v>6</v>
      </c>
      <c r="H292" s="45">
        <v>204.0</v>
      </c>
      <c r="I292" s="45">
        <v>134.0</v>
      </c>
      <c r="J292" s="45">
        <v>0.0</v>
      </c>
      <c r="K292" s="45">
        <v>11.0</v>
      </c>
      <c r="L292" s="45">
        <v>20.0</v>
      </c>
      <c r="N292" s="23"/>
      <c r="O292" s="19">
        <f>$G$26</f>
        <v>18</v>
      </c>
      <c r="P292" s="44">
        <f t="shared" ref="P292:T292" si="294">H304/A$309</f>
        <v>0.08137485311</v>
      </c>
      <c r="Q292" s="44">
        <f t="shared" si="294"/>
        <v>0.06202393906</v>
      </c>
      <c r="R292" s="44">
        <f t="shared" si="294"/>
        <v>0.01020408163</v>
      </c>
      <c r="S292" s="44">
        <f t="shared" si="294"/>
        <v>0.04828973843</v>
      </c>
      <c r="T292" s="44">
        <f t="shared" si="294"/>
        <v>0.02807775378</v>
      </c>
    </row>
    <row r="293" ht="15.75" customHeight="1">
      <c r="F293" s="23"/>
      <c r="G293" s="19">
        <f>$G$15</f>
        <v>7</v>
      </c>
      <c r="H293" s="45">
        <v>325.0</v>
      </c>
      <c r="I293" s="45">
        <v>121.0</v>
      </c>
      <c r="J293" s="45">
        <v>3.0</v>
      </c>
      <c r="K293" s="45">
        <v>16.0</v>
      </c>
      <c r="L293" s="45">
        <v>24.0</v>
      </c>
      <c r="N293" s="23"/>
      <c r="O293" s="19">
        <f>$G$27</f>
        <v>19</v>
      </c>
      <c r="P293" s="44">
        <f t="shared" ref="P293:T293" si="295">H305/A$309</f>
        <v>0.06037015276</v>
      </c>
      <c r="Q293" s="44">
        <f t="shared" si="295"/>
        <v>0.05622052956</v>
      </c>
      <c r="R293" s="44">
        <f t="shared" si="295"/>
        <v>0.112244898</v>
      </c>
      <c r="S293" s="44">
        <f t="shared" si="295"/>
        <v>0.04426559356</v>
      </c>
      <c r="T293" s="44">
        <f t="shared" si="295"/>
        <v>0.01727861771</v>
      </c>
    </row>
    <row r="294" ht="15.75" customHeight="1">
      <c r="F294" s="23"/>
      <c r="G294" s="19">
        <f>$G$16</f>
        <v>8</v>
      </c>
      <c r="H294" s="45">
        <v>305.0</v>
      </c>
      <c r="I294" s="45">
        <v>111.0</v>
      </c>
      <c r="J294" s="45">
        <v>6.0</v>
      </c>
      <c r="K294" s="45">
        <v>31.0</v>
      </c>
      <c r="L294" s="45">
        <v>31.0</v>
      </c>
      <c r="N294" s="23"/>
      <c r="O294" s="19">
        <f>$G$28</f>
        <v>20</v>
      </c>
      <c r="P294" s="44">
        <f t="shared" ref="P294:T294" si="296">H306/A$309</f>
        <v>0.05170387779</v>
      </c>
      <c r="Q294" s="44">
        <f t="shared" si="296"/>
        <v>0.0420747189</v>
      </c>
      <c r="R294" s="44">
        <f t="shared" si="296"/>
        <v>0.01020408163</v>
      </c>
      <c r="S294" s="44">
        <f t="shared" si="296"/>
        <v>0.03621730382</v>
      </c>
      <c r="T294" s="44">
        <f t="shared" si="296"/>
        <v>0.01727861771</v>
      </c>
    </row>
    <row r="295" ht="15.75" customHeight="1">
      <c r="F295" s="23"/>
      <c r="G295" s="19">
        <f>$G$17</f>
        <v>9</v>
      </c>
      <c r="H295" s="45">
        <v>306.0</v>
      </c>
      <c r="I295" s="45">
        <v>126.0</v>
      </c>
      <c r="J295" s="45">
        <v>6.0</v>
      </c>
      <c r="K295" s="45">
        <v>32.0</v>
      </c>
      <c r="L295" s="45">
        <v>36.0</v>
      </c>
      <c r="N295" s="23"/>
      <c r="O295" s="19">
        <f>$G$29</f>
        <v>21</v>
      </c>
      <c r="P295" s="44">
        <f t="shared" ref="P295:T295" si="297">H307/A$309</f>
        <v>0.0365746181</v>
      </c>
      <c r="Q295" s="44">
        <f t="shared" si="297"/>
        <v>0.0297424737</v>
      </c>
      <c r="R295" s="44">
        <f t="shared" si="297"/>
        <v>0.0306122449</v>
      </c>
      <c r="S295" s="44">
        <f t="shared" si="297"/>
        <v>0.02414486922</v>
      </c>
      <c r="T295" s="44">
        <f t="shared" si="297"/>
        <v>0.02159827214</v>
      </c>
    </row>
    <row r="296" ht="15.75" customHeight="1">
      <c r="F296" s="23"/>
      <c r="G296" s="19">
        <f>$G$18</f>
        <v>10</v>
      </c>
      <c r="H296" s="45">
        <v>287.0</v>
      </c>
      <c r="I296" s="45">
        <v>142.0</v>
      </c>
      <c r="J296" s="45">
        <v>4.0</v>
      </c>
      <c r="K296" s="45">
        <v>31.0</v>
      </c>
      <c r="L296" s="45">
        <v>43.0</v>
      </c>
      <c r="N296" s="23"/>
      <c r="O296" s="19">
        <f>$G$30</f>
        <v>22</v>
      </c>
      <c r="P296" s="44">
        <f t="shared" ref="P296:T296" si="298">H308/A$309</f>
        <v>0.03143360752</v>
      </c>
      <c r="Q296" s="44">
        <f t="shared" si="298"/>
        <v>0.0181356547</v>
      </c>
      <c r="R296" s="44">
        <f t="shared" si="298"/>
        <v>0.01020408163</v>
      </c>
      <c r="S296" s="44">
        <f t="shared" si="298"/>
        <v>0.02012072435</v>
      </c>
      <c r="T296" s="44">
        <f t="shared" si="298"/>
        <v>0.01295896328</v>
      </c>
    </row>
    <row r="297" ht="15.75" customHeight="1">
      <c r="F297" s="23"/>
      <c r="G297" s="19">
        <f>$G$19</f>
        <v>11</v>
      </c>
      <c r="H297" s="45">
        <v>321.0</v>
      </c>
      <c r="I297" s="45">
        <v>161.0</v>
      </c>
      <c r="J297" s="45">
        <v>7.0</v>
      </c>
      <c r="K297" s="45">
        <v>36.0</v>
      </c>
      <c r="L297" s="45">
        <v>35.0</v>
      </c>
      <c r="N297" s="27"/>
      <c r="O297" s="19">
        <f>$G$31</f>
        <v>23</v>
      </c>
      <c r="P297" s="44">
        <f t="shared" ref="P297:T297" si="299">H309/A$309</f>
        <v>0.02555816686</v>
      </c>
      <c r="Q297" s="44">
        <f t="shared" si="299"/>
        <v>0.01741022851</v>
      </c>
      <c r="R297" s="44">
        <f t="shared" si="299"/>
        <v>0.01020408163</v>
      </c>
      <c r="S297" s="44">
        <f t="shared" si="299"/>
        <v>0.02012072435</v>
      </c>
      <c r="T297" s="44">
        <f t="shared" si="299"/>
        <v>0.004319654428</v>
      </c>
    </row>
    <row r="298" ht="15.75" customHeight="1">
      <c r="F298" s="23"/>
      <c r="G298" s="19">
        <f>$G$20</f>
        <v>12</v>
      </c>
      <c r="H298" s="45">
        <v>362.0</v>
      </c>
      <c r="I298" s="45">
        <v>152.0</v>
      </c>
      <c r="J298" s="45">
        <v>13.0</v>
      </c>
      <c r="K298" s="45">
        <v>27.0</v>
      </c>
      <c r="L298" s="45">
        <v>32.0</v>
      </c>
      <c r="N298" s="39">
        <v>45206.0</v>
      </c>
      <c r="O298" s="19">
        <f>$G$8</f>
        <v>0</v>
      </c>
      <c r="P298" s="40">
        <f t="shared" ref="P298:T298" si="300">H310/A$335</f>
        <v>0.01528188006</v>
      </c>
      <c r="Q298" s="40">
        <f t="shared" si="300"/>
        <v>0.01116902457</v>
      </c>
      <c r="R298" s="40">
        <f t="shared" si="300"/>
        <v>0.04210526316</v>
      </c>
      <c r="S298" s="40">
        <f t="shared" si="300"/>
        <v>0.027100271</v>
      </c>
      <c r="T298" s="40">
        <f t="shared" si="300"/>
        <v>0.02898550725</v>
      </c>
    </row>
    <row r="299" ht="15.75" customHeight="1">
      <c r="F299" s="23"/>
      <c r="G299" s="19">
        <f>$G$21</f>
        <v>13</v>
      </c>
      <c r="H299" s="45">
        <v>448.0</v>
      </c>
      <c r="I299" s="45">
        <v>187.0</v>
      </c>
      <c r="J299" s="45">
        <v>7.0</v>
      </c>
      <c r="K299" s="45">
        <v>39.0</v>
      </c>
      <c r="L299" s="45">
        <v>31.0</v>
      </c>
      <c r="N299" s="23"/>
      <c r="O299" s="19">
        <f>$G$9</f>
        <v>1</v>
      </c>
      <c r="P299" s="40">
        <f t="shared" ref="P299:T299" si="301">H311/A$335</f>
        <v>0.008347245409</v>
      </c>
      <c r="Q299" s="40">
        <f t="shared" si="301"/>
        <v>0.007073715562</v>
      </c>
      <c r="R299" s="40">
        <f t="shared" si="301"/>
        <v>0.03157894737</v>
      </c>
      <c r="S299" s="40">
        <f t="shared" si="301"/>
        <v>0.008130081301</v>
      </c>
      <c r="T299" s="40">
        <f t="shared" si="301"/>
        <v>0.007246376812</v>
      </c>
    </row>
    <row r="300" ht="15.75" customHeight="1">
      <c r="F300" s="23"/>
      <c r="G300" s="19">
        <f>$G$22</f>
        <v>14</v>
      </c>
      <c r="H300" s="45">
        <v>434.0</v>
      </c>
      <c r="I300" s="45">
        <v>178.0</v>
      </c>
      <c r="J300" s="45">
        <v>2.0</v>
      </c>
      <c r="K300" s="45">
        <v>34.0</v>
      </c>
      <c r="L300" s="45">
        <v>38.0</v>
      </c>
      <c r="N300" s="23"/>
      <c r="O300" s="19">
        <f>$G$10</f>
        <v>2</v>
      </c>
      <c r="P300" s="40">
        <f t="shared" ref="P300:T300" si="302">H312/A$335</f>
        <v>0.007191472968</v>
      </c>
      <c r="Q300" s="40">
        <f t="shared" si="302"/>
        <v>0.004839910648</v>
      </c>
      <c r="R300" s="40">
        <f t="shared" si="302"/>
        <v>0.03157894737</v>
      </c>
      <c r="S300" s="40">
        <f t="shared" si="302"/>
        <v>0.005420054201</v>
      </c>
      <c r="T300" s="40">
        <f t="shared" si="302"/>
        <v>0.02173913043</v>
      </c>
    </row>
    <row r="301" ht="15.75" customHeight="1">
      <c r="F301" s="23"/>
      <c r="G301" s="19">
        <f>$G$23</f>
        <v>15</v>
      </c>
      <c r="H301" s="45">
        <v>513.0</v>
      </c>
      <c r="I301" s="45">
        <v>243.0</v>
      </c>
      <c r="J301" s="45">
        <v>6.0</v>
      </c>
      <c r="K301" s="45">
        <v>36.0</v>
      </c>
      <c r="L301" s="45">
        <v>38.0</v>
      </c>
      <c r="N301" s="23"/>
      <c r="O301" s="19">
        <f>$G$11</f>
        <v>3</v>
      </c>
      <c r="P301" s="40">
        <f t="shared" ref="P301:T301" si="303">H313/A$335</f>
        <v>0.004366251445</v>
      </c>
      <c r="Q301" s="40">
        <f t="shared" si="303"/>
        <v>0.00409530901</v>
      </c>
      <c r="R301" s="40">
        <f t="shared" si="303"/>
        <v>0.01052631579</v>
      </c>
      <c r="S301" s="40">
        <f t="shared" si="303"/>
        <v>0.0135501355</v>
      </c>
      <c r="T301" s="40">
        <f t="shared" si="303"/>
        <v>0.03260869565</v>
      </c>
    </row>
    <row r="302" ht="15.75" customHeight="1">
      <c r="F302" s="23"/>
      <c r="G302" s="19">
        <f>$G$24</f>
        <v>16</v>
      </c>
      <c r="H302" s="45">
        <v>524.0</v>
      </c>
      <c r="I302" s="45">
        <v>236.0</v>
      </c>
      <c r="J302" s="45">
        <v>8.0</v>
      </c>
      <c r="K302" s="45">
        <v>45.0</v>
      </c>
      <c r="L302" s="45">
        <v>24.0</v>
      </c>
      <c r="N302" s="23"/>
      <c r="O302" s="19">
        <f>$G$12</f>
        <v>4</v>
      </c>
      <c r="P302" s="40">
        <f t="shared" ref="P302:T302" si="304">H314/A$335</f>
        <v>0.005650443046</v>
      </c>
      <c r="Q302" s="40">
        <f t="shared" si="304"/>
        <v>0.005212211467</v>
      </c>
      <c r="R302" s="40">
        <f t="shared" si="304"/>
        <v>0.03157894737</v>
      </c>
      <c r="S302" s="40">
        <f t="shared" si="304"/>
        <v>0.0108401084</v>
      </c>
      <c r="T302" s="40">
        <f t="shared" si="304"/>
        <v>0.02536231884</v>
      </c>
    </row>
    <row r="303" ht="15.75" customHeight="1">
      <c r="F303" s="23"/>
      <c r="G303" s="19">
        <f>$G$25</f>
        <v>17</v>
      </c>
      <c r="H303" s="45">
        <v>640.0</v>
      </c>
      <c r="I303" s="45">
        <v>263.0</v>
      </c>
      <c r="J303" s="45">
        <v>13.0</v>
      </c>
      <c r="K303" s="45">
        <v>25.0</v>
      </c>
      <c r="L303" s="45">
        <v>16.0</v>
      </c>
      <c r="N303" s="23"/>
      <c r="O303" s="19">
        <f>$G$13</f>
        <v>5</v>
      </c>
      <c r="P303" s="40">
        <f t="shared" ref="P303:T303" si="305">H315/A$335</f>
        <v>0.007576730448</v>
      </c>
      <c r="Q303" s="40">
        <f t="shared" si="305"/>
        <v>0.009307520477</v>
      </c>
      <c r="R303" s="40">
        <f t="shared" si="305"/>
        <v>0</v>
      </c>
      <c r="S303" s="40">
        <f t="shared" si="305"/>
        <v>0.0135501355</v>
      </c>
      <c r="T303" s="40">
        <f t="shared" si="305"/>
        <v>0.01449275362</v>
      </c>
    </row>
    <row r="304" ht="15.75" customHeight="1">
      <c r="F304" s="23"/>
      <c r="G304" s="19">
        <f>$G$26</f>
        <v>18</v>
      </c>
      <c r="H304" s="45">
        <v>554.0</v>
      </c>
      <c r="I304" s="45">
        <v>171.0</v>
      </c>
      <c r="J304" s="45">
        <v>1.0</v>
      </c>
      <c r="K304" s="45">
        <v>24.0</v>
      </c>
      <c r="L304" s="45">
        <v>13.0</v>
      </c>
      <c r="N304" s="23"/>
      <c r="O304" s="19">
        <f>$G$14</f>
        <v>6</v>
      </c>
      <c r="P304" s="40">
        <f t="shared" ref="P304:T304" si="306">H316/A$335</f>
        <v>0.0215744189</v>
      </c>
      <c r="Q304" s="40">
        <f t="shared" si="306"/>
        <v>0.04281459419</v>
      </c>
      <c r="R304" s="40">
        <f t="shared" si="306"/>
        <v>0.03157894737</v>
      </c>
      <c r="S304" s="40">
        <f t="shared" si="306"/>
        <v>0.027100271</v>
      </c>
      <c r="T304" s="40">
        <f t="shared" si="306"/>
        <v>0.03623188406</v>
      </c>
    </row>
    <row r="305" ht="15.75" customHeight="1">
      <c r="F305" s="23"/>
      <c r="G305" s="19">
        <f>$G$27</f>
        <v>19</v>
      </c>
      <c r="H305" s="45">
        <v>411.0</v>
      </c>
      <c r="I305" s="45">
        <v>155.0</v>
      </c>
      <c r="J305" s="45">
        <v>11.0</v>
      </c>
      <c r="K305" s="45">
        <v>22.0</v>
      </c>
      <c r="L305" s="45">
        <v>8.0</v>
      </c>
      <c r="N305" s="23"/>
      <c r="O305" s="19">
        <f>$G$15</f>
        <v>7</v>
      </c>
      <c r="P305" s="40">
        <f t="shared" ref="P305:T305" si="307">H317/A$335</f>
        <v>0.02748170027</v>
      </c>
      <c r="Q305" s="40">
        <f t="shared" si="307"/>
        <v>0.04169769173</v>
      </c>
      <c r="R305" s="40">
        <f t="shared" si="307"/>
        <v>0.03157894737</v>
      </c>
      <c r="S305" s="40">
        <f t="shared" si="307"/>
        <v>0.0189701897</v>
      </c>
      <c r="T305" s="40">
        <f t="shared" si="307"/>
        <v>0.09420289855</v>
      </c>
    </row>
    <row r="306" ht="15.75" customHeight="1">
      <c r="F306" s="23"/>
      <c r="G306" s="19">
        <f>$G$28</f>
        <v>20</v>
      </c>
      <c r="H306" s="45">
        <v>352.0</v>
      </c>
      <c r="I306" s="45">
        <v>116.0</v>
      </c>
      <c r="J306" s="45">
        <v>1.0</v>
      </c>
      <c r="K306" s="45">
        <v>18.0</v>
      </c>
      <c r="L306" s="45">
        <v>8.0</v>
      </c>
      <c r="N306" s="23"/>
      <c r="O306" s="19">
        <f>$G$16</f>
        <v>8</v>
      </c>
      <c r="P306" s="40">
        <f t="shared" ref="P306:T306" si="308">H318/A$335</f>
        <v>0.03454475408</v>
      </c>
      <c r="Q306" s="40">
        <f t="shared" si="308"/>
        <v>0.03723008191</v>
      </c>
      <c r="R306" s="40">
        <f t="shared" si="308"/>
        <v>0.04210526316</v>
      </c>
      <c r="S306" s="40">
        <f t="shared" si="308"/>
        <v>0.07046070461</v>
      </c>
      <c r="T306" s="40">
        <f t="shared" si="308"/>
        <v>0.05797101449</v>
      </c>
    </row>
    <row r="307" ht="15.75" customHeight="1">
      <c r="F307" s="23"/>
      <c r="G307" s="19">
        <f>$G$29</f>
        <v>21</v>
      </c>
      <c r="H307" s="45">
        <v>249.0</v>
      </c>
      <c r="I307" s="45">
        <v>82.0</v>
      </c>
      <c r="J307" s="45">
        <v>3.0</v>
      </c>
      <c r="K307" s="45">
        <v>12.0</v>
      </c>
      <c r="L307" s="45">
        <v>10.0</v>
      </c>
      <c r="N307" s="23"/>
      <c r="O307" s="19">
        <f>$G$17</f>
        <v>9</v>
      </c>
      <c r="P307" s="40">
        <f t="shared" ref="P307:T307" si="309">H319/A$335</f>
        <v>0.04764350841</v>
      </c>
      <c r="Q307" s="40">
        <f t="shared" si="309"/>
        <v>0.0547282204</v>
      </c>
      <c r="R307" s="40">
        <f t="shared" si="309"/>
        <v>0.02105263158</v>
      </c>
      <c r="S307" s="40">
        <f t="shared" si="309"/>
        <v>0.05691056911</v>
      </c>
      <c r="T307" s="40">
        <f t="shared" si="309"/>
        <v>0.07971014493</v>
      </c>
    </row>
    <row r="308" ht="15.75" customHeight="1">
      <c r="F308" s="23"/>
      <c r="G308" s="19">
        <f>$G$30</f>
        <v>22</v>
      </c>
      <c r="H308" s="45">
        <v>214.0</v>
      </c>
      <c r="I308" s="45">
        <v>50.0</v>
      </c>
      <c r="J308" s="45">
        <v>1.0</v>
      </c>
      <c r="K308" s="45">
        <v>10.0</v>
      </c>
      <c r="L308" s="45">
        <v>6.0</v>
      </c>
      <c r="N308" s="23"/>
      <c r="O308" s="19">
        <f>$G$18</f>
        <v>10</v>
      </c>
      <c r="P308" s="40">
        <f t="shared" ref="P308:T308" si="310">H320/A$335</f>
        <v>0.06382432259</v>
      </c>
      <c r="Q308" s="40">
        <f t="shared" si="310"/>
        <v>0.06329113924</v>
      </c>
      <c r="R308" s="40">
        <f t="shared" si="310"/>
        <v>0.01052631579</v>
      </c>
      <c r="S308" s="40">
        <f t="shared" si="310"/>
        <v>0.135501355</v>
      </c>
      <c r="T308" s="40">
        <f t="shared" si="310"/>
        <v>0.1086956522</v>
      </c>
    </row>
    <row r="309" ht="15.75" customHeight="1">
      <c r="A309" s="26">
        <f t="shared" ref="A309:E309" si="311">SUM(H286:H309)</f>
        <v>6808</v>
      </c>
      <c r="B309" s="26">
        <f t="shared" si="311"/>
        <v>2757</v>
      </c>
      <c r="C309" s="26">
        <f t="shared" si="311"/>
        <v>98</v>
      </c>
      <c r="D309" s="26">
        <f t="shared" si="311"/>
        <v>497</v>
      </c>
      <c r="E309" s="26">
        <f t="shared" si="311"/>
        <v>463</v>
      </c>
      <c r="F309" s="27"/>
      <c r="G309" s="19">
        <f>$G$31</f>
        <v>23</v>
      </c>
      <c r="H309" s="46">
        <v>174.0</v>
      </c>
      <c r="I309" s="46">
        <v>48.0</v>
      </c>
      <c r="J309" s="46">
        <v>1.0</v>
      </c>
      <c r="K309" s="46">
        <v>10.0</v>
      </c>
      <c r="L309" s="46">
        <v>2.0</v>
      </c>
      <c r="N309" s="23"/>
      <c r="O309" s="19">
        <f>$G$19</f>
        <v>11</v>
      </c>
      <c r="P309" s="40">
        <f t="shared" ref="P309:T309" si="312">H321/A$335</f>
        <v>0.0570181071</v>
      </c>
      <c r="Q309" s="40">
        <f t="shared" si="312"/>
        <v>0.06105733433</v>
      </c>
      <c r="R309" s="40">
        <f t="shared" si="312"/>
        <v>0.03157894737</v>
      </c>
      <c r="S309" s="40">
        <f t="shared" si="312"/>
        <v>0.07046070461</v>
      </c>
      <c r="T309" s="40">
        <f t="shared" si="312"/>
        <v>0.0652173913</v>
      </c>
    </row>
    <row r="310" ht="15.75" customHeight="1">
      <c r="F310" s="39">
        <v>45206.0</v>
      </c>
      <c r="G310" s="19">
        <f>$G$8</f>
        <v>0</v>
      </c>
      <c r="H310" s="20">
        <v>119.0</v>
      </c>
      <c r="I310" s="20">
        <v>30.0</v>
      </c>
      <c r="J310" s="20">
        <v>4.0</v>
      </c>
      <c r="K310" s="20">
        <v>10.0</v>
      </c>
      <c r="L310" s="20">
        <v>8.0</v>
      </c>
      <c r="N310" s="23"/>
      <c r="O310" s="19">
        <f>$G$20</f>
        <v>12</v>
      </c>
      <c r="P310" s="40">
        <f t="shared" ref="P310:T310" si="313">H322/A$335</f>
        <v>0.05778862206</v>
      </c>
      <c r="Q310" s="40">
        <f t="shared" si="313"/>
        <v>0.06105733433</v>
      </c>
      <c r="R310" s="40">
        <f t="shared" si="313"/>
        <v>0.09473684211</v>
      </c>
      <c r="S310" s="40">
        <f t="shared" si="313"/>
        <v>0.05962059621</v>
      </c>
      <c r="T310" s="40">
        <f t="shared" si="313"/>
        <v>0.0652173913</v>
      </c>
    </row>
    <row r="311" ht="15.75" customHeight="1">
      <c r="F311" s="23"/>
      <c r="G311" s="19">
        <f>$G$9</f>
        <v>1</v>
      </c>
      <c r="H311" s="20">
        <v>65.0</v>
      </c>
      <c r="I311" s="20">
        <v>19.0</v>
      </c>
      <c r="J311" s="20">
        <v>3.0</v>
      </c>
      <c r="K311" s="20">
        <v>3.0</v>
      </c>
      <c r="L311" s="20">
        <v>2.0</v>
      </c>
      <c r="N311" s="23"/>
      <c r="O311" s="19">
        <f>$G$21</f>
        <v>13</v>
      </c>
      <c r="P311" s="40">
        <f t="shared" ref="P311:T311" si="314">H323/A$335</f>
        <v>0.05881597534</v>
      </c>
      <c r="Q311" s="40">
        <f t="shared" si="314"/>
        <v>0.05361131794</v>
      </c>
      <c r="R311" s="40">
        <f t="shared" si="314"/>
        <v>0.1052631579</v>
      </c>
      <c r="S311" s="40">
        <f t="shared" si="314"/>
        <v>0.0352303523</v>
      </c>
      <c r="T311" s="40">
        <f t="shared" si="314"/>
        <v>0.05072463768</v>
      </c>
    </row>
    <row r="312" ht="15.75" customHeight="1">
      <c r="F312" s="23"/>
      <c r="G312" s="19">
        <f>$G$10</f>
        <v>2</v>
      </c>
      <c r="H312" s="16">
        <v>56.0</v>
      </c>
      <c r="I312" s="16">
        <v>13.0</v>
      </c>
      <c r="J312" s="16">
        <v>3.0</v>
      </c>
      <c r="K312" s="16">
        <v>2.0</v>
      </c>
      <c r="L312" s="16">
        <v>6.0</v>
      </c>
      <c r="N312" s="23"/>
      <c r="O312" s="19">
        <f>$G$22</f>
        <v>14</v>
      </c>
      <c r="P312" s="40">
        <f t="shared" ref="P312:T312" si="315">H324/A$335</f>
        <v>0.06767689739</v>
      </c>
      <c r="Q312" s="40">
        <f t="shared" si="315"/>
        <v>0.06664184661</v>
      </c>
      <c r="R312" s="40">
        <f t="shared" si="315"/>
        <v>0.09473684211</v>
      </c>
      <c r="S312" s="40">
        <f t="shared" si="315"/>
        <v>0.07046070461</v>
      </c>
      <c r="T312" s="40">
        <f t="shared" si="315"/>
        <v>0.09420289855</v>
      </c>
    </row>
    <row r="313" ht="15.75" customHeight="1">
      <c r="F313" s="23"/>
      <c r="G313" s="19">
        <f>$G$11</f>
        <v>3</v>
      </c>
      <c r="H313" s="20">
        <v>34.0</v>
      </c>
      <c r="I313" s="20">
        <v>11.0</v>
      </c>
      <c r="J313" s="20">
        <v>1.0</v>
      </c>
      <c r="K313" s="20">
        <v>5.0</v>
      </c>
      <c r="L313" s="20">
        <v>9.0</v>
      </c>
      <c r="N313" s="23"/>
      <c r="O313" s="19">
        <f>$G$23</f>
        <v>15</v>
      </c>
      <c r="P313" s="40">
        <f t="shared" ref="P313:T313" si="316">H325/A$335</f>
        <v>0.08937973546</v>
      </c>
      <c r="Q313" s="40">
        <f t="shared" si="316"/>
        <v>0.078183172</v>
      </c>
      <c r="R313" s="40">
        <f t="shared" si="316"/>
        <v>0.1052631579</v>
      </c>
      <c r="S313" s="40">
        <f t="shared" si="316"/>
        <v>0.07317073171</v>
      </c>
      <c r="T313" s="40">
        <f t="shared" si="316"/>
        <v>0.06884057971</v>
      </c>
    </row>
    <row r="314" ht="15.75" customHeight="1">
      <c r="F314" s="23"/>
      <c r="G314" s="19">
        <f>$G$12</f>
        <v>4</v>
      </c>
      <c r="H314" s="20">
        <v>44.0</v>
      </c>
      <c r="I314" s="20">
        <v>14.0</v>
      </c>
      <c r="J314" s="20">
        <v>3.0</v>
      </c>
      <c r="K314" s="20">
        <v>4.0</v>
      </c>
      <c r="L314" s="20">
        <v>7.0</v>
      </c>
      <c r="N314" s="23"/>
      <c r="O314" s="19">
        <f>$G$24</f>
        <v>16</v>
      </c>
      <c r="P314" s="40">
        <f t="shared" ref="P314:T314" si="317">H326/A$335</f>
        <v>0.08616925645</v>
      </c>
      <c r="Q314" s="40">
        <f t="shared" si="317"/>
        <v>0.09084139985</v>
      </c>
      <c r="R314" s="40">
        <f t="shared" si="317"/>
        <v>0.06315789474</v>
      </c>
      <c r="S314" s="40">
        <f t="shared" si="317"/>
        <v>0.05149051491</v>
      </c>
      <c r="T314" s="40">
        <f t="shared" si="317"/>
        <v>0.03260869565</v>
      </c>
    </row>
    <row r="315" ht="15.75" customHeight="1">
      <c r="F315" s="23"/>
      <c r="G315" s="19">
        <f>$G$13</f>
        <v>5</v>
      </c>
      <c r="H315" s="20">
        <v>59.0</v>
      </c>
      <c r="I315" s="20">
        <v>25.0</v>
      </c>
      <c r="J315" s="20">
        <v>0.0</v>
      </c>
      <c r="K315" s="20">
        <v>5.0</v>
      </c>
      <c r="L315" s="20">
        <v>4.0</v>
      </c>
      <c r="N315" s="23"/>
      <c r="O315" s="19">
        <f>$G$25</f>
        <v>17</v>
      </c>
      <c r="P315" s="40">
        <f t="shared" ref="P315:T315" si="318">H327/A$335</f>
        <v>0.08257351997</v>
      </c>
      <c r="Q315" s="40">
        <f t="shared" si="318"/>
        <v>0.07892777364</v>
      </c>
      <c r="R315" s="40">
        <f t="shared" si="318"/>
        <v>0.1052631579</v>
      </c>
      <c r="S315" s="40">
        <f t="shared" si="318"/>
        <v>0.0352303523</v>
      </c>
      <c r="T315" s="40">
        <f t="shared" si="318"/>
        <v>0.007246376812</v>
      </c>
    </row>
    <row r="316" ht="15.75" customHeight="1">
      <c r="F316" s="23"/>
      <c r="G316" s="19">
        <f>$G$14</f>
        <v>6</v>
      </c>
      <c r="H316" s="20">
        <v>168.0</v>
      </c>
      <c r="I316" s="20">
        <v>115.0</v>
      </c>
      <c r="J316" s="20">
        <v>3.0</v>
      </c>
      <c r="K316" s="20">
        <v>10.0</v>
      </c>
      <c r="L316" s="20">
        <v>10.0</v>
      </c>
      <c r="N316" s="23"/>
      <c r="O316" s="19">
        <f>$G$26</f>
        <v>18</v>
      </c>
      <c r="P316" s="40">
        <f t="shared" ref="P316:T316" si="319">H328/A$335</f>
        <v>0.06793373571</v>
      </c>
      <c r="Q316" s="40">
        <f t="shared" si="319"/>
        <v>0.0625465376</v>
      </c>
      <c r="R316" s="40">
        <f t="shared" si="319"/>
        <v>0.03157894737</v>
      </c>
      <c r="S316" s="40">
        <f t="shared" si="319"/>
        <v>0.0460704607</v>
      </c>
      <c r="T316" s="40">
        <f t="shared" si="319"/>
        <v>0.02173913043</v>
      </c>
    </row>
    <row r="317" ht="15.75" customHeight="1">
      <c r="F317" s="23"/>
      <c r="G317" s="19">
        <f>$G$15</f>
        <v>7</v>
      </c>
      <c r="H317" s="20">
        <v>214.0</v>
      </c>
      <c r="I317" s="20">
        <v>112.0</v>
      </c>
      <c r="J317" s="20">
        <v>3.0</v>
      </c>
      <c r="K317" s="20">
        <v>7.0</v>
      </c>
      <c r="L317" s="20">
        <v>26.0</v>
      </c>
      <c r="N317" s="23"/>
      <c r="O317" s="19">
        <f>$G$27</f>
        <v>19</v>
      </c>
      <c r="P317" s="40">
        <f t="shared" ref="P317:T317" si="320">H329/A$335</f>
        <v>0.05483498138</v>
      </c>
      <c r="Q317" s="40">
        <f t="shared" si="320"/>
        <v>0.04132539092</v>
      </c>
      <c r="R317" s="40">
        <f t="shared" si="320"/>
        <v>0.03157894737</v>
      </c>
      <c r="S317" s="40">
        <f t="shared" si="320"/>
        <v>0.0433604336</v>
      </c>
      <c r="T317" s="40">
        <f t="shared" si="320"/>
        <v>0.03623188406</v>
      </c>
    </row>
    <row r="318" ht="15.75" customHeight="1">
      <c r="F318" s="23"/>
      <c r="G318" s="19">
        <f>$G$16</f>
        <v>8</v>
      </c>
      <c r="H318" s="20">
        <v>269.0</v>
      </c>
      <c r="I318" s="20">
        <v>100.0</v>
      </c>
      <c r="J318" s="20">
        <v>4.0</v>
      </c>
      <c r="K318" s="20">
        <v>26.0</v>
      </c>
      <c r="L318" s="20">
        <v>16.0</v>
      </c>
      <c r="N318" s="23"/>
      <c r="O318" s="19">
        <f>$G$28</f>
        <v>20</v>
      </c>
      <c r="P318" s="40">
        <f t="shared" ref="P318:T318" si="321">H330/A$335</f>
        <v>0.04892770001</v>
      </c>
      <c r="Q318" s="40">
        <f t="shared" si="321"/>
        <v>0.04244229337</v>
      </c>
      <c r="R318" s="40">
        <f t="shared" si="321"/>
        <v>0.04210526316</v>
      </c>
      <c r="S318" s="40">
        <f t="shared" si="321"/>
        <v>0.0406504065</v>
      </c>
      <c r="T318" s="40">
        <f t="shared" si="321"/>
        <v>0.01811594203</v>
      </c>
    </row>
    <row r="319" ht="15.75" customHeight="1">
      <c r="F319" s="23"/>
      <c r="G319" s="19">
        <f>$G$17</f>
        <v>9</v>
      </c>
      <c r="H319" s="20">
        <v>371.0</v>
      </c>
      <c r="I319" s="20">
        <v>147.0</v>
      </c>
      <c r="J319" s="20">
        <v>2.0</v>
      </c>
      <c r="K319" s="20">
        <v>21.0</v>
      </c>
      <c r="L319" s="20">
        <v>22.0</v>
      </c>
      <c r="N319" s="23"/>
      <c r="O319" s="19">
        <f>$G$29</f>
        <v>21</v>
      </c>
      <c r="P319" s="40">
        <f t="shared" ref="P319:T319" si="322">H331/A$335</f>
        <v>0.03711313728</v>
      </c>
      <c r="Q319" s="40">
        <f t="shared" si="322"/>
        <v>0.03574087863</v>
      </c>
      <c r="R319" s="40">
        <f t="shared" si="322"/>
        <v>0</v>
      </c>
      <c r="S319" s="40">
        <f t="shared" si="322"/>
        <v>0.0325203252</v>
      </c>
      <c r="T319" s="40">
        <f t="shared" si="322"/>
        <v>0.01811594203</v>
      </c>
      <c r="U319" s="47">
        <f>$H$7</f>
        <v>31</v>
      </c>
      <c r="V319" s="47">
        <f>$I$7</f>
        <v>32</v>
      </c>
      <c r="W319" s="47">
        <f>$J$7</f>
        <v>41</v>
      </c>
      <c r="X319" s="47">
        <f>$K$7</f>
        <v>42</v>
      </c>
      <c r="Y319" s="47">
        <f>$L$7</f>
        <v>5</v>
      </c>
    </row>
    <row r="320" ht="15.75" customHeight="1">
      <c r="F320" s="23"/>
      <c r="G320" s="19">
        <f>$G$18</f>
        <v>10</v>
      </c>
      <c r="H320" s="20">
        <v>497.0</v>
      </c>
      <c r="I320" s="20">
        <v>170.0</v>
      </c>
      <c r="J320" s="20">
        <v>1.0</v>
      </c>
      <c r="K320" s="20">
        <v>50.0</v>
      </c>
      <c r="L320" s="20">
        <v>30.0</v>
      </c>
      <c r="N320" s="23"/>
      <c r="O320" s="19">
        <f>$G$30</f>
        <v>22</v>
      </c>
      <c r="P320" s="40">
        <f t="shared" ref="P320:T320" si="323">H332/A$335</f>
        <v>0.02632592783</v>
      </c>
      <c r="Q320" s="40">
        <f t="shared" si="323"/>
        <v>0.02829486225</v>
      </c>
      <c r="R320" s="40">
        <f t="shared" si="323"/>
        <v>0</v>
      </c>
      <c r="S320" s="40">
        <f t="shared" si="323"/>
        <v>0.0325203252</v>
      </c>
      <c r="T320" s="40">
        <f t="shared" si="323"/>
        <v>0.01086956522</v>
      </c>
    </row>
    <row r="321" ht="15.75" customHeight="1">
      <c r="F321" s="23"/>
      <c r="G321" s="19">
        <f>$G$19</f>
        <v>11</v>
      </c>
      <c r="H321" s="20">
        <v>444.0</v>
      </c>
      <c r="I321" s="20">
        <v>164.0</v>
      </c>
      <c r="J321" s="20">
        <v>3.0</v>
      </c>
      <c r="K321" s="20">
        <v>26.0</v>
      </c>
      <c r="L321" s="20">
        <v>18.0</v>
      </c>
      <c r="N321" s="27"/>
      <c r="O321" s="19">
        <f>$G$31</f>
        <v>23</v>
      </c>
      <c r="P321" s="40">
        <f t="shared" ref="P321:T321" si="324">H333/A$335</f>
        <v>0.02195967638</v>
      </c>
      <c r="Q321" s="40">
        <f t="shared" si="324"/>
        <v>0.01787043931</v>
      </c>
      <c r="R321" s="40">
        <f t="shared" si="324"/>
        <v>0.01052631579</v>
      </c>
      <c r="S321" s="40">
        <f t="shared" si="324"/>
        <v>0.0216802168</v>
      </c>
      <c r="T321" s="40">
        <f t="shared" si="324"/>
        <v>0.003623188406</v>
      </c>
    </row>
    <row r="322" ht="15.75" customHeight="1">
      <c r="F322" s="23"/>
      <c r="G322" s="19">
        <f>$G$20</f>
        <v>12</v>
      </c>
      <c r="H322" s="20">
        <v>450.0</v>
      </c>
      <c r="I322" s="20">
        <v>164.0</v>
      </c>
      <c r="J322" s="20">
        <v>9.0</v>
      </c>
      <c r="K322" s="20">
        <v>22.0</v>
      </c>
      <c r="L322" s="20">
        <v>18.0</v>
      </c>
      <c r="N322" s="39">
        <v>45207.0</v>
      </c>
      <c r="O322" s="19">
        <f>$G$8</f>
        <v>0</v>
      </c>
      <c r="P322" s="40">
        <f t="shared" ref="P322:T322" si="325">H334/H$364</f>
        <v>0.0111638757</v>
      </c>
      <c r="Q322" s="40">
        <f t="shared" si="325"/>
        <v>0.008074162679</v>
      </c>
      <c r="R322" s="40">
        <f t="shared" si="325"/>
        <v>0.024</v>
      </c>
      <c r="S322" s="40">
        <f t="shared" si="325"/>
        <v>0.00518134715</v>
      </c>
      <c r="T322" s="40">
        <f t="shared" si="325"/>
        <v>0.01086956522</v>
      </c>
    </row>
    <row r="323" ht="15.75" customHeight="1">
      <c r="F323" s="23"/>
      <c r="G323" s="19">
        <f>$G$21</f>
        <v>13</v>
      </c>
      <c r="H323" s="20">
        <v>458.0</v>
      </c>
      <c r="I323" s="20">
        <v>144.0</v>
      </c>
      <c r="J323" s="20">
        <v>10.0</v>
      </c>
      <c r="K323" s="20">
        <v>13.0</v>
      </c>
      <c r="L323" s="20">
        <v>14.0</v>
      </c>
      <c r="N323" s="23"/>
      <c r="O323" s="19">
        <f>$G$9</f>
        <v>1</v>
      </c>
      <c r="P323" s="40">
        <f t="shared" ref="P323:T323" si="326">H335/H$364</f>
        <v>0.007748062984</v>
      </c>
      <c r="Q323" s="40">
        <f t="shared" si="326"/>
        <v>0.00538277512</v>
      </c>
      <c r="R323" s="40">
        <f t="shared" si="326"/>
        <v>0</v>
      </c>
      <c r="S323" s="40">
        <f t="shared" si="326"/>
        <v>0.01554404145</v>
      </c>
      <c r="T323" s="40">
        <f t="shared" si="326"/>
        <v>0.02173913043</v>
      </c>
    </row>
    <row r="324" ht="15.75" customHeight="1">
      <c r="F324" s="23"/>
      <c r="G324" s="19">
        <f>$G$22</f>
        <v>14</v>
      </c>
      <c r="H324" s="20">
        <v>527.0</v>
      </c>
      <c r="I324" s="20">
        <v>179.0</v>
      </c>
      <c r="J324" s="20">
        <v>9.0</v>
      </c>
      <c r="K324" s="20">
        <v>26.0</v>
      </c>
      <c r="L324" s="20">
        <v>26.0</v>
      </c>
      <c r="N324" s="23"/>
      <c r="O324" s="19">
        <f>$G$10</f>
        <v>2</v>
      </c>
      <c r="P324" s="40">
        <f t="shared" ref="P324:T324" si="327">H336/H$364</f>
        <v>0.004665500292</v>
      </c>
      <c r="Q324" s="40">
        <f t="shared" si="327"/>
        <v>0.003588516746</v>
      </c>
      <c r="R324" s="40">
        <f t="shared" si="327"/>
        <v>0.024</v>
      </c>
      <c r="S324" s="40">
        <f t="shared" si="327"/>
        <v>0.0103626943</v>
      </c>
      <c r="T324" s="40">
        <f t="shared" si="327"/>
        <v>0.04347826087</v>
      </c>
    </row>
    <row r="325" ht="15.75" customHeight="1">
      <c r="F325" s="23"/>
      <c r="G325" s="19">
        <f>$G$23</f>
        <v>15</v>
      </c>
      <c r="H325" s="20">
        <v>696.0</v>
      </c>
      <c r="I325" s="20">
        <v>210.0</v>
      </c>
      <c r="J325" s="20">
        <v>10.0</v>
      </c>
      <c r="K325" s="20">
        <v>27.0</v>
      </c>
      <c r="L325" s="20">
        <v>19.0</v>
      </c>
      <c r="N325" s="23"/>
      <c r="O325" s="19">
        <f>$G$11</f>
        <v>3</v>
      </c>
      <c r="P325" s="40">
        <f t="shared" ref="P325:T325" si="328">H337/H$364</f>
        <v>0.00416562526</v>
      </c>
      <c r="Q325" s="40">
        <f t="shared" si="328"/>
        <v>0.002990430622</v>
      </c>
      <c r="R325" s="40">
        <f t="shared" si="328"/>
        <v>0</v>
      </c>
      <c r="S325" s="40">
        <f t="shared" si="328"/>
        <v>0.0103626943</v>
      </c>
      <c r="T325" s="40">
        <f t="shared" si="328"/>
        <v>0.02173913043</v>
      </c>
    </row>
    <row r="326" ht="15.75" customHeight="1">
      <c r="F326" s="23"/>
      <c r="G326" s="19">
        <f>$G$24</f>
        <v>16</v>
      </c>
      <c r="H326" s="20">
        <v>671.0</v>
      </c>
      <c r="I326" s="20">
        <v>244.0</v>
      </c>
      <c r="J326" s="20">
        <v>6.0</v>
      </c>
      <c r="K326" s="20">
        <v>19.0</v>
      </c>
      <c r="L326" s="20">
        <v>9.0</v>
      </c>
      <c r="N326" s="23"/>
      <c r="O326" s="19">
        <f>$G$12</f>
        <v>4</v>
      </c>
      <c r="P326" s="40">
        <f t="shared" ref="P326:T326" si="329">H338/H$364</f>
        <v>0.002832625177</v>
      </c>
      <c r="Q326" s="40">
        <f t="shared" si="329"/>
        <v>0.003289473684</v>
      </c>
      <c r="R326" s="40">
        <f t="shared" si="329"/>
        <v>0</v>
      </c>
      <c r="S326" s="40">
        <f t="shared" si="329"/>
        <v>0.0103626943</v>
      </c>
      <c r="T326" s="40">
        <f t="shared" si="329"/>
        <v>0</v>
      </c>
    </row>
    <row r="327" ht="15.75" customHeight="1">
      <c r="F327" s="23"/>
      <c r="G327" s="19">
        <f>$G$25</f>
        <v>17</v>
      </c>
      <c r="H327" s="20">
        <v>643.0</v>
      </c>
      <c r="I327" s="20">
        <v>212.0</v>
      </c>
      <c r="J327" s="20">
        <v>10.0</v>
      </c>
      <c r="K327" s="20">
        <v>13.0</v>
      </c>
      <c r="L327" s="20">
        <v>2.0</v>
      </c>
      <c r="N327" s="23"/>
      <c r="O327" s="19">
        <f>$G$13</f>
        <v>5</v>
      </c>
      <c r="P327" s="40">
        <f t="shared" ref="P327:T327" si="330">H339/H$364</f>
        <v>0.004665500292</v>
      </c>
      <c r="Q327" s="40">
        <f t="shared" si="330"/>
        <v>0.009868421053</v>
      </c>
      <c r="R327" s="40">
        <f t="shared" si="330"/>
        <v>0.032</v>
      </c>
      <c r="S327" s="40">
        <f t="shared" si="330"/>
        <v>0.02590673575</v>
      </c>
      <c r="T327" s="40">
        <f t="shared" si="330"/>
        <v>0.02173913043</v>
      </c>
    </row>
    <row r="328" ht="15.75" customHeight="1">
      <c r="F328" s="23"/>
      <c r="G328" s="19">
        <f>$G$26</f>
        <v>18</v>
      </c>
      <c r="H328" s="20">
        <v>529.0</v>
      </c>
      <c r="I328" s="20">
        <v>168.0</v>
      </c>
      <c r="J328" s="20">
        <v>3.0</v>
      </c>
      <c r="K328" s="20">
        <v>17.0</v>
      </c>
      <c r="L328" s="20">
        <v>6.0</v>
      </c>
      <c r="N328" s="23"/>
      <c r="O328" s="19">
        <f>$G$14</f>
        <v>6</v>
      </c>
      <c r="P328" s="40">
        <f t="shared" ref="P328:T328" si="331">H340/H$364</f>
        <v>0.01091393818</v>
      </c>
      <c r="Q328" s="40">
        <f t="shared" si="331"/>
        <v>0.02422248804</v>
      </c>
      <c r="R328" s="40">
        <f t="shared" si="331"/>
        <v>0.008</v>
      </c>
      <c r="S328" s="40">
        <f t="shared" si="331"/>
        <v>0.04663212435</v>
      </c>
      <c r="T328" s="40">
        <f t="shared" si="331"/>
        <v>0.0652173913</v>
      </c>
    </row>
    <row r="329" ht="15.75" customHeight="1">
      <c r="F329" s="23"/>
      <c r="G329" s="19">
        <f>$G$27</f>
        <v>19</v>
      </c>
      <c r="H329" s="20">
        <v>427.0</v>
      </c>
      <c r="I329" s="20">
        <v>111.0</v>
      </c>
      <c r="J329" s="20">
        <v>3.0</v>
      </c>
      <c r="K329" s="20">
        <v>16.0</v>
      </c>
      <c r="L329" s="20">
        <v>10.0</v>
      </c>
      <c r="N329" s="23"/>
      <c r="O329" s="19">
        <f>$G$15</f>
        <v>7</v>
      </c>
      <c r="P329" s="40">
        <f t="shared" ref="P329:T329" si="332">H341/H$364</f>
        <v>0.01541281346</v>
      </c>
      <c r="Q329" s="40">
        <f t="shared" si="332"/>
        <v>0.02362440191</v>
      </c>
      <c r="R329" s="40">
        <f t="shared" si="332"/>
        <v>0.048</v>
      </c>
      <c r="S329" s="40">
        <f t="shared" si="332"/>
        <v>0.05699481865</v>
      </c>
      <c r="T329" s="40">
        <f t="shared" si="332"/>
        <v>0.01086956522</v>
      </c>
    </row>
    <row r="330" ht="15.75" customHeight="1">
      <c r="F330" s="23"/>
      <c r="G330" s="19">
        <f>$G$28</f>
        <v>20</v>
      </c>
      <c r="H330" s="20">
        <v>381.0</v>
      </c>
      <c r="I330" s="20">
        <v>114.0</v>
      </c>
      <c r="J330" s="20">
        <v>4.0</v>
      </c>
      <c r="K330" s="20">
        <v>15.0</v>
      </c>
      <c r="L330" s="20">
        <v>5.0</v>
      </c>
      <c r="N330" s="23"/>
      <c r="O330" s="19">
        <f>$G$16</f>
        <v>8</v>
      </c>
      <c r="P330" s="40">
        <f t="shared" ref="P330:T330" si="333">H342/H$364</f>
        <v>0.02207781388</v>
      </c>
      <c r="Q330" s="40">
        <f t="shared" si="333"/>
        <v>0.02661483254</v>
      </c>
      <c r="R330" s="40">
        <f t="shared" si="333"/>
        <v>0.072</v>
      </c>
      <c r="S330" s="40">
        <f t="shared" si="333"/>
        <v>0.02590673575</v>
      </c>
      <c r="T330" s="40">
        <f t="shared" si="333"/>
        <v>0.07608695652</v>
      </c>
    </row>
    <row r="331" ht="15.75" customHeight="1">
      <c r="F331" s="23"/>
      <c r="G331" s="19">
        <f>$G$29</f>
        <v>21</v>
      </c>
      <c r="H331" s="20">
        <v>289.0</v>
      </c>
      <c r="I331" s="20">
        <v>96.0</v>
      </c>
      <c r="J331" s="20">
        <v>0.0</v>
      </c>
      <c r="K331" s="20">
        <v>12.0</v>
      </c>
      <c r="L331" s="20">
        <v>5.0</v>
      </c>
      <c r="N331" s="23"/>
      <c r="O331" s="19">
        <f>$G$17</f>
        <v>9</v>
      </c>
      <c r="P331" s="40">
        <f t="shared" ref="P331:T331" si="334">H343/H$364</f>
        <v>0.02924268933</v>
      </c>
      <c r="Q331" s="40">
        <f t="shared" si="334"/>
        <v>0.03738038278</v>
      </c>
      <c r="R331" s="40">
        <f t="shared" si="334"/>
        <v>0.048</v>
      </c>
      <c r="S331" s="40">
        <f t="shared" si="334"/>
        <v>0.0725388601</v>
      </c>
      <c r="T331" s="40">
        <f t="shared" si="334"/>
        <v>0.0652173913</v>
      </c>
    </row>
    <row r="332" ht="15.75" customHeight="1">
      <c r="F332" s="23"/>
      <c r="G332" s="19">
        <f>$G$30</f>
        <v>22</v>
      </c>
      <c r="H332" s="20">
        <v>205.0</v>
      </c>
      <c r="I332" s="20">
        <v>76.0</v>
      </c>
      <c r="J332" s="20">
        <v>0.0</v>
      </c>
      <c r="K332" s="20">
        <v>12.0</v>
      </c>
      <c r="L332" s="20">
        <v>3.0</v>
      </c>
      <c r="N332" s="23"/>
      <c r="O332" s="19">
        <f>$G$18</f>
        <v>10</v>
      </c>
      <c r="P332" s="40">
        <f t="shared" ref="P332:T332" si="335">H344/H$364</f>
        <v>0.03799050237</v>
      </c>
      <c r="Q332" s="40">
        <f t="shared" si="335"/>
        <v>0.03708133971</v>
      </c>
      <c r="R332" s="40">
        <f t="shared" si="335"/>
        <v>0.032</v>
      </c>
      <c r="S332" s="40">
        <f t="shared" si="335"/>
        <v>0.0932642487</v>
      </c>
      <c r="T332" s="40">
        <f t="shared" si="335"/>
        <v>0.02173913043</v>
      </c>
    </row>
    <row r="333" ht="15.75" customHeight="1">
      <c r="F333" s="27"/>
      <c r="G333" s="19">
        <f>$G$31</f>
        <v>23</v>
      </c>
      <c r="H333" s="20">
        <v>171.0</v>
      </c>
      <c r="I333" s="20">
        <v>48.0</v>
      </c>
      <c r="J333" s="20">
        <v>1.0</v>
      </c>
      <c r="K333" s="20">
        <v>8.0</v>
      </c>
      <c r="L333" s="20">
        <v>1.0</v>
      </c>
      <c r="N333" s="23"/>
      <c r="O333" s="19">
        <f>$G$19</f>
        <v>11</v>
      </c>
      <c r="P333" s="40">
        <f t="shared" ref="P333:T333" si="336">H345/H$364</f>
        <v>0.04565525285</v>
      </c>
      <c r="Q333" s="40">
        <f t="shared" si="336"/>
        <v>0.04455741627</v>
      </c>
      <c r="R333" s="40">
        <f t="shared" si="336"/>
        <v>0.056</v>
      </c>
      <c r="S333" s="40">
        <f t="shared" si="336"/>
        <v>0.103626943</v>
      </c>
      <c r="T333" s="40">
        <f t="shared" si="336"/>
        <v>0.08695652174</v>
      </c>
    </row>
    <row r="334" ht="15.75" customHeight="1">
      <c r="F334" s="39">
        <v>45207.0</v>
      </c>
      <c r="G334" s="19">
        <f>$G$8</f>
        <v>0</v>
      </c>
      <c r="H334" s="20">
        <v>134.0</v>
      </c>
      <c r="I334" s="20">
        <v>27.0</v>
      </c>
      <c r="J334" s="20">
        <v>3.0</v>
      </c>
      <c r="K334" s="20">
        <v>1.0</v>
      </c>
      <c r="L334" s="20">
        <v>1.0</v>
      </c>
      <c r="N334" s="23"/>
      <c r="O334" s="19">
        <f>$G$20</f>
        <v>12</v>
      </c>
      <c r="P334" s="40">
        <f t="shared" ref="P334:T334" si="337">H346/H$364</f>
        <v>0.0512371907</v>
      </c>
      <c r="Q334" s="40">
        <f t="shared" si="337"/>
        <v>0.04994019139</v>
      </c>
      <c r="R334" s="40">
        <f t="shared" si="337"/>
        <v>0.032</v>
      </c>
      <c r="S334" s="40">
        <f t="shared" si="337"/>
        <v>0.04663212435</v>
      </c>
      <c r="T334" s="40">
        <f t="shared" si="337"/>
        <v>0.0652173913</v>
      </c>
    </row>
    <row r="335" ht="15.75" customHeight="1">
      <c r="A335" s="48">
        <f t="shared" ref="A335:E335" si="338">SUM(H310:H333)</f>
        <v>7787</v>
      </c>
      <c r="B335" s="48">
        <f t="shared" si="338"/>
        <v>2686</v>
      </c>
      <c r="C335" s="48">
        <f t="shared" si="338"/>
        <v>95</v>
      </c>
      <c r="D335" s="48">
        <f t="shared" si="338"/>
        <v>369</v>
      </c>
      <c r="E335" s="48">
        <f t="shared" si="338"/>
        <v>276</v>
      </c>
      <c r="F335" s="23"/>
      <c r="G335" s="19">
        <f>$G$9</f>
        <v>1</v>
      </c>
      <c r="H335" s="20">
        <v>93.0</v>
      </c>
      <c r="I335" s="20">
        <v>18.0</v>
      </c>
      <c r="J335" s="20">
        <v>0.0</v>
      </c>
      <c r="K335" s="20">
        <v>3.0</v>
      </c>
      <c r="L335" s="20">
        <v>2.0</v>
      </c>
      <c r="N335" s="23"/>
      <c r="O335" s="19">
        <f>$G$21</f>
        <v>13</v>
      </c>
      <c r="P335" s="40">
        <f t="shared" ref="P335:T335" si="339">H347/H$364</f>
        <v>0.05548612847</v>
      </c>
      <c r="Q335" s="40">
        <f t="shared" si="339"/>
        <v>0.05891148325</v>
      </c>
      <c r="R335" s="40">
        <f t="shared" si="339"/>
        <v>0.04</v>
      </c>
      <c r="S335" s="40">
        <f t="shared" si="339"/>
        <v>0.0207253886</v>
      </c>
      <c r="T335" s="40">
        <f t="shared" si="339"/>
        <v>0.1086956522</v>
      </c>
    </row>
    <row r="336" ht="15.75" customHeight="1">
      <c r="F336" s="23"/>
      <c r="G336" s="19">
        <f>$G$10</f>
        <v>2</v>
      </c>
      <c r="H336" s="34">
        <v>56.0</v>
      </c>
      <c r="I336" s="34">
        <v>12.0</v>
      </c>
      <c r="J336" s="34">
        <v>3.0</v>
      </c>
      <c r="K336" s="34">
        <v>2.0</v>
      </c>
      <c r="L336" s="34">
        <v>4.0</v>
      </c>
      <c r="N336" s="23"/>
      <c r="O336" s="19">
        <f>$G$22</f>
        <v>14</v>
      </c>
      <c r="P336" s="40">
        <f t="shared" ref="P336:T336" si="340">H348/H$364</f>
        <v>0.07106556694</v>
      </c>
      <c r="Q336" s="40">
        <f t="shared" si="340"/>
        <v>0.07087320574</v>
      </c>
      <c r="R336" s="40">
        <f t="shared" si="340"/>
        <v>0.104</v>
      </c>
      <c r="S336" s="40">
        <f t="shared" si="340"/>
        <v>0.0414507772</v>
      </c>
      <c r="T336" s="40">
        <f t="shared" si="340"/>
        <v>0.07608695652</v>
      </c>
    </row>
    <row r="337" ht="15.75" customHeight="1">
      <c r="F337" s="23"/>
      <c r="G337" s="19">
        <f>$G$11</f>
        <v>3</v>
      </c>
      <c r="H337" s="20">
        <v>50.0</v>
      </c>
      <c r="I337" s="20">
        <v>10.0</v>
      </c>
      <c r="J337" s="20">
        <v>0.0</v>
      </c>
      <c r="K337" s="20">
        <v>2.0</v>
      </c>
      <c r="L337" s="20">
        <v>2.0</v>
      </c>
      <c r="N337" s="23"/>
      <c r="O337" s="19">
        <f>$G$23</f>
        <v>15</v>
      </c>
      <c r="P337" s="40">
        <f t="shared" ref="P337:T337" si="341">H349/H$364</f>
        <v>0.08189619262</v>
      </c>
      <c r="Q337" s="40">
        <f t="shared" si="341"/>
        <v>0.07057416268</v>
      </c>
      <c r="R337" s="40">
        <f t="shared" si="341"/>
        <v>0.104</v>
      </c>
      <c r="S337" s="40">
        <f t="shared" si="341"/>
        <v>0.07772020725</v>
      </c>
      <c r="T337" s="40">
        <f t="shared" si="341"/>
        <v>0.02173913043</v>
      </c>
    </row>
    <row r="338" ht="15.75" customHeight="1">
      <c r="F338" s="23"/>
      <c r="G338" s="19">
        <f>$G$12</f>
        <v>4</v>
      </c>
      <c r="H338" s="20">
        <v>34.0</v>
      </c>
      <c r="I338" s="20">
        <v>11.0</v>
      </c>
      <c r="J338" s="20">
        <v>0.0</v>
      </c>
      <c r="K338" s="20">
        <v>2.0</v>
      </c>
      <c r="L338" s="20">
        <v>0.0</v>
      </c>
      <c r="N338" s="23"/>
      <c r="O338" s="19">
        <f>$G$24</f>
        <v>16</v>
      </c>
      <c r="P338" s="40">
        <f t="shared" ref="P338:T338" si="342">H350/H$364</f>
        <v>0.09589269349</v>
      </c>
      <c r="Q338" s="40">
        <f t="shared" si="342"/>
        <v>0.08791866029</v>
      </c>
      <c r="R338" s="40">
        <f t="shared" si="342"/>
        <v>0.064</v>
      </c>
      <c r="S338" s="40">
        <f t="shared" si="342"/>
        <v>0.06735751295</v>
      </c>
      <c r="T338" s="40">
        <f t="shared" si="342"/>
        <v>0.02173913043</v>
      </c>
    </row>
    <row r="339" ht="15.75" customHeight="1">
      <c r="F339" s="23"/>
      <c r="G339" s="19">
        <f>$G$13</f>
        <v>5</v>
      </c>
      <c r="H339" s="20">
        <v>56.0</v>
      </c>
      <c r="I339" s="20">
        <v>33.0</v>
      </c>
      <c r="J339" s="20">
        <v>4.0</v>
      </c>
      <c r="K339" s="20">
        <v>5.0</v>
      </c>
      <c r="L339" s="20">
        <v>2.0</v>
      </c>
      <c r="N339" s="23"/>
      <c r="O339" s="19">
        <f>$G$25</f>
        <v>17</v>
      </c>
      <c r="P339" s="40">
        <f t="shared" ref="P339:T339" si="343">H351/H$364</f>
        <v>0.0944763809</v>
      </c>
      <c r="Q339" s="40">
        <f t="shared" si="343"/>
        <v>0.08522727273</v>
      </c>
      <c r="R339" s="40">
        <f t="shared" si="343"/>
        <v>0.12</v>
      </c>
      <c r="S339" s="40">
        <f t="shared" si="343"/>
        <v>0.0518134715</v>
      </c>
      <c r="T339" s="40">
        <f t="shared" si="343"/>
        <v>0.02173913043</v>
      </c>
    </row>
    <row r="340" ht="15.75" customHeight="1">
      <c r="F340" s="23"/>
      <c r="G340" s="19">
        <f>$G$14</f>
        <v>6</v>
      </c>
      <c r="H340" s="20">
        <v>131.0</v>
      </c>
      <c r="I340" s="20">
        <v>81.0</v>
      </c>
      <c r="J340" s="20">
        <v>1.0</v>
      </c>
      <c r="K340" s="20">
        <v>9.0</v>
      </c>
      <c r="L340" s="20">
        <v>6.0</v>
      </c>
      <c r="N340" s="23"/>
      <c r="O340" s="19">
        <f>$G$26</f>
        <v>18</v>
      </c>
      <c r="P340" s="40">
        <f t="shared" ref="P340:T340" si="344">H352/H$364</f>
        <v>0.09297675581</v>
      </c>
      <c r="Q340" s="40">
        <f t="shared" si="344"/>
        <v>0.08642344498</v>
      </c>
      <c r="R340" s="40">
        <f t="shared" si="344"/>
        <v>0.056</v>
      </c>
      <c r="S340" s="40">
        <f t="shared" si="344"/>
        <v>0.04663212435</v>
      </c>
      <c r="T340" s="40">
        <f t="shared" si="344"/>
        <v>0.03260869565</v>
      </c>
    </row>
    <row r="341" ht="15.75" customHeight="1">
      <c r="F341" s="23"/>
      <c r="G341" s="19">
        <f>$G$15</f>
        <v>7</v>
      </c>
      <c r="H341" s="20">
        <v>185.0</v>
      </c>
      <c r="I341" s="20">
        <v>79.0</v>
      </c>
      <c r="J341" s="20">
        <v>6.0</v>
      </c>
      <c r="K341" s="20">
        <v>11.0</v>
      </c>
      <c r="L341" s="20">
        <v>1.0</v>
      </c>
      <c r="N341" s="23"/>
      <c r="O341" s="19">
        <f>$G$27</f>
        <v>19</v>
      </c>
      <c r="P341" s="40">
        <f t="shared" ref="P341:T341" si="345">H353/H$364</f>
        <v>0.08747813047</v>
      </c>
      <c r="Q341" s="40">
        <f t="shared" si="345"/>
        <v>0.08492822967</v>
      </c>
      <c r="R341" s="40">
        <f t="shared" si="345"/>
        <v>0.056</v>
      </c>
      <c r="S341" s="40">
        <f t="shared" si="345"/>
        <v>0.0310880829</v>
      </c>
      <c r="T341" s="40">
        <f t="shared" si="345"/>
        <v>0.01086956522</v>
      </c>
    </row>
    <row r="342" ht="15.75" customHeight="1">
      <c r="F342" s="23"/>
      <c r="G342" s="19">
        <f>$G$16</f>
        <v>8</v>
      </c>
      <c r="H342" s="20">
        <v>265.0</v>
      </c>
      <c r="I342" s="20">
        <v>89.0</v>
      </c>
      <c r="J342" s="20">
        <v>9.0</v>
      </c>
      <c r="K342" s="20">
        <v>5.0</v>
      </c>
      <c r="L342" s="20">
        <v>7.0</v>
      </c>
      <c r="N342" s="23"/>
      <c r="O342" s="19">
        <f>$G$28</f>
        <v>20</v>
      </c>
      <c r="P342" s="40">
        <f t="shared" ref="P342:T342" si="346">H354/H$364</f>
        <v>0.06431725402</v>
      </c>
      <c r="Q342" s="40">
        <f t="shared" si="346"/>
        <v>0.06997607656</v>
      </c>
      <c r="R342" s="40">
        <f t="shared" si="346"/>
        <v>0.056</v>
      </c>
      <c r="S342" s="40">
        <f t="shared" si="346"/>
        <v>0.0518134715</v>
      </c>
      <c r="T342" s="40">
        <f t="shared" si="346"/>
        <v>0.04347826087</v>
      </c>
    </row>
    <row r="343" ht="15.75" customHeight="1">
      <c r="F343" s="23"/>
      <c r="G343" s="19">
        <f>$G$17</f>
        <v>9</v>
      </c>
      <c r="H343" s="20">
        <v>351.0</v>
      </c>
      <c r="I343" s="20">
        <v>125.0</v>
      </c>
      <c r="J343" s="20">
        <v>6.0</v>
      </c>
      <c r="K343" s="20">
        <v>14.0</v>
      </c>
      <c r="L343" s="20">
        <v>6.0</v>
      </c>
      <c r="N343" s="23"/>
      <c r="O343" s="19">
        <f>$G$29</f>
        <v>21</v>
      </c>
      <c r="P343" s="40">
        <f t="shared" ref="P343:T343" si="347">H355/H$364</f>
        <v>0.05240356578</v>
      </c>
      <c r="Q343" s="40">
        <f t="shared" si="347"/>
        <v>0.05083732057</v>
      </c>
      <c r="R343" s="40">
        <f t="shared" si="347"/>
        <v>0</v>
      </c>
      <c r="S343" s="40">
        <f t="shared" si="347"/>
        <v>0.0310880829</v>
      </c>
      <c r="T343" s="40">
        <f t="shared" si="347"/>
        <v>0.01086956522</v>
      </c>
    </row>
    <row r="344" ht="15.75" customHeight="1">
      <c r="F344" s="23"/>
      <c r="G344" s="19">
        <f>$G$18</f>
        <v>10</v>
      </c>
      <c r="H344" s="20">
        <v>456.0</v>
      </c>
      <c r="I344" s="20">
        <v>124.0</v>
      </c>
      <c r="J344" s="20">
        <v>4.0</v>
      </c>
      <c r="K344" s="20">
        <v>18.0</v>
      </c>
      <c r="L344" s="20">
        <v>2.0</v>
      </c>
      <c r="N344" s="23"/>
      <c r="O344" s="19">
        <f>$G$30</f>
        <v>22</v>
      </c>
      <c r="P344" s="40">
        <f t="shared" ref="P344:T344" si="348">H356/H$364</f>
        <v>0.03490793968</v>
      </c>
      <c r="Q344" s="40">
        <f t="shared" si="348"/>
        <v>0.03229665072</v>
      </c>
      <c r="R344" s="40">
        <f t="shared" si="348"/>
        <v>0.016</v>
      </c>
      <c r="S344" s="40">
        <f t="shared" si="348"/>
        <v>0.03626943005</v>
      </c>
      <c r="T344" s="40">
        <f t="shared" si="348"/>
        <v>0.1086956522</v>
      </c>
    </row>
    <row r="345" ht="15.75" customHeight="1">
      <c r="F345" s="23"/>
      <c r="G345" s="19">
        <f>$G$19</f>
        <v>11</v>
      </c>
      <c r="H345" s="20">
        <v>548.0</v>
      </c>
      <c r="I345" s="20">
        <v>149.0</v>
      </c>
      <c r="J345" s="20">
        <v>7.0</v>
      </c>
      <c r="K345" s="20">
        <v>20.0</v>
      </c>
      <c r="L345" s="20">
        <v>8.0</v>
      </c>
      <c r="N345" s="27"/>
      <c r="O345" s="19">
        <f>$G$31</f>
        <v>23</v>
      </c>
      <c r="P345" s="40">
        <f t="shared" ref="P345:T345" si="349">H357/H$364</f>
        <v>0.02132800133</v>
      </c>
      <c r="Q345" s="40">
        <f t="shared" si="349"/>
        <v>0.02541866029</v>
      </c>
      <c r="R345" s="40">
        <f t="shared" si="349"/>
        <v>0.008</v>
      </c>
      <c r="S345" s="40">
        <f t="shared" si="349"/>
        <v>0.0207253886</v>
      </c>
      <c r="T345" s="40">
        <f t="shared" si="349"/>
        <v>0.03260869565</v>
      </c>
    </row>
    <row r="346" ht="15.75" customHeight="1">
      <c r="F346" s="23"/>
      <c r="G346" s="19">
        <f>$G$20</f>
        <v>12</v>
      </c>
      <c r="H346" s="20">
        <v>615.0</v>
      </c>
      <c r="I346" s="20">
        <v>167.0</v>
      </c>
      <c r="J346" s="20">
        <v>4.0</v>
      </c>
      <c r="K346" s="20">
        <v>9.0</v>
      </c>
      <c r="L346" s="20">
        <v>6.0</v>
      </c>
    </row>
    <row r="347" ht="15.75" customHeight="1">
      <c r="F347" s="23"/>
      <c r="G347" s="19">
        <f>$G$21</f>
        <v>13</v>
      </c>
      <c r="H347" s="20">
        <v>666.0</v>
      </c>
      <c r="I347" s="20">
        <v>197.0</v>
      </c>
      <c r="J347" s="20">
        <v>5.0</v>
      </c>
      <c r="K347" s="20">
        <v>4.0</v>
      </c>
      <c r="L347" s="20">
        <v>10.0</v>
      </c>
    </row>
    <row r="348" ht="15.75" customHeight="1">
      <c r="F348" s="23"/>
      <c r="G348" s="19">
        <f>$G$22</f>
        <v>14</v>
      </c>
      <c r="H348" s="20">
        <v>853.0</v>
      </c>
      <c r="I348" s="20">
        <v>237.0</v>
      </c>
      <c r="J348" s="20">
        <v>13.0</v>
      </c>
      <c r="K348" s="20">
        <v>8.0</v>
      </c>
      <c r="L348" s="20">
        <v>7.0</v>
      </c>
    </row>
    <row r="349" ht="15.75" customHeight="1">
      <c r="F349" s="23"/>
      <c r="G349" s="19">
        <f>$G$23</f>
        <v>15</v>
      </c>
      <c r="H349" s="20">
        <v>983.0</v>
      </c>
      <c r="I349" s="20">
        <v>236.0</v>
      </c>
      <c r="J349" s="20">
        <v>13.0</v>
      </c>
      <c r="K349" s="20">
        <v>15.0</v>
      </c>
      <c r="L349" s="20">
        <v>2.0</v>
      </c>
    </row>
    <row r="350" ht="15.75" customHeight="1">
      <c r="F350" s="23"/>
      <c r="G350" s="19">
        <f>$G$24</f>
        <v>16</v>
      </c>
      <c r="H350" s="20">
        <v>1151.0</v>
      </c>
      <c r="I350" s="20">
        <v>294.0</v>
      </c>
      <c r="J350" s="20">
        <v>8.0</v>
      </c>
      <c r="K350" s="20">
        <v>13.0</v>
      </c>
      <c r="L350" s="20">
        <v>2.0</v>
      </c>
    </row>
    <row r="351" ht="15.75" customHeight="1">
      <c r="F351" s="23"/>
      <c r="G351" s="19">
        <f>$G$25</f>
        <v>17</v>
      </c>
      <c r="H351" s="20">
        <v>1134.0</v>
      </c>
      <c r="I351" s="20">
        <v>285.0</v>
      </c>
      <c r="J351" s="20">
        <v>15.0</v>
      </c>
      <c r="K351" s="20">
        <v>10.0</v>
      </c>
      <c r="L351" s="20">
        <v>2.0</v>
      </c>
    </row>
    <row r="352" ht="15.75" customHeight="1">
      <c r="F352" s="23"/>
      <c r="G352" s="19">
        <f>$G$26</f>
        <v>18</v>
      </c>
      <c r="H352" s="20">
        <v>1116.0</v>
      </c>
      <c r="I352" s="20">
        <v>289.0</v>
      </c>
      <c r="J352" s="20">
        <v>7.0</v>
      </c>
      <c r="K352" s="20">
        <v>9.0</v>
      </c>
      <c r="L352" s="20">
        <v>3.0</v>
      </c>
    </row>
    <row r="353" ht="15.75" customHeight="1">
      <c r="F353" s="23"/>
      <c r="G353" s="19">
        <f>$G$27</f>
        <v>19</v>
      </c>
      <c r="H353" s="20">
        <v>1050.0</v>
      </c>
      <c r="I353" s="20">
        <v>284.0</v>
      </c>
      <c r="J353" s="20">
        <v>7.0</v>
      </c>
      <c r="K353" s="20">
        <v>6.0</v>
      </c>
      <c r="L353" s="20">
        <v>1.0</v>
      </c>
    </row>
    <row r="354" ht="15.75" customHeight="1">
      <c r="F354" s="23"/>
      <c r="G354" s="19">
        <f>$G$28</f>
        <v>20</v>
      </c>
      <c r="H354" s="20">
        <v>772.0</v>
      </c>
      <c r="I354" s="20">
        <v>234.0</v>
      </c>
      <c r="J354" s="20">
        <v>7.0</v>
      </c>
      <c r="K354" s="20">
        <v>10.0</v>
      </c>
      <c r="L354" s="20">
        <v>4.0</v>
      </c>
    </row>
    <row r="355" ht="15.75" customHeight="1">
      <c r="F355" s="23"/>
      <c r="G355" s="19">
        <f>$G$29</f>
        <v>21</v>
      </c>
      <c r="H355" s="20">
        <v>629.0</v>
      </c>
      <c r="I355" s="20">
        <v>170.0</v>
      </c>
      <c r="J355" s="20">
        <v>0.0</v>
      </c>
      <c r="K355" s="20">
        <v>6.0</v>
      </c>
      <c r="L355" s="20">
        <v>1.0</v>
      </c>
    </row>
    <row r="356" ht="15.75" customHeight="1">
      <c r="F356" s="23"/>
      <c r="G356" s="19">
        <f>$G$30</f>
        <v>22</v>
      </c>
      <c r="H356" s="20">
        <v>419.0</v>
      </c>
      <c r="I356" s="20">
        <v>108.0</v>
      </c>
      <c r="J356" s="20">
        <v>2.0</v>
      </c>
      <c r="K356" s="20">
        <v>7.0</v>
      </c>
      <c r="L356" s="20">
        <v>10.0</v>
      </c>
    </row>
    <row r="357" ht="15.75" customHeight="1">
      <c r="F357" s="27"/>
      <c r="G357" s="19">
        <f>$G$31</f>
        <v>23</v>
      </c>
      <c r="H357" s="20">
        <v>256.0</v>
      </c>
      <c r="I357" s="20">
        <v>85.0</v>
      </c>
      <c r="J357" s="20">
        <v>1.0</v>
      </c>
      <c r="K357" s="20">
        <v>4.0</v>
      </c>
      <c r="L357" s="20">
        <v>3.0</v>
      </c>
    </row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>
      <c r="F364" s="41"/>
      <c r="G364" s="16"/>
      <c r="H364" s="26">
        <f t="shared" ref="H364:L364" si="350">SUM(H334:H357)</f>
        <v>12003</v>
      </c>
      <c r="I364" s="26">
        <f t="shared" si="350"/>
        <v>3344</v>
      </c>
      <c r="J364" s="26">
        <f t="shared" si="350"/>
        <v>125</v>
      </c>
      <c r="K364" s="26">
        <f t="shared" si="350"/>
        <v>193</v>
      </c>
      <c r="L364" s="26">
        <f t="shared" si="350"/>
        <v>92</v>
      </c>
    </row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>
      <c r="G371" s="16"/>
      <c r="H371" s="49"/>
      <c r="I371" s="49"/>
      <c r="J371" s="49"/>
      <c r="K371" s="49"/>
      <c r="L371" s="49"/>
      <c r="O371" s="16"/>
      <c r="P371" s="49"/>
      <c r="Q371" s="49"/>
      <c r="R371" s="49"/>
      <c r="S371" s="49"/>
      <c r="T371" s="49"/>
    </row>
    <row r="372" ht="15.75" customHeight="1">
      <c r="F372" s="50"/>
      <c r="G372" s="51"/>
      <c r="H372" s="16"/>
      <c r="I372" s="16"/>
      <c r="J372" s="16"/>
      <c r="K372" s="16"/>
      <c r="L372" s="16"/>
      <c r="N372" s="50"/>
      <c r="O372" s="51"/>
      <c r="P372" s="52"/>
      <c r="Q372" s="52"/>
      <c r="R372" s="52"/>
      <c r="S372" s="52"/>
      <c r="T372" s="52"/>
    </row>
    <row r="373" ht="15.75" customHeight="1">
      <c r="G373" s="51"/>
      <c r="H373" s="16"/>
      <c r="I373" s="16"/>
      <c r="J373" s="16"/>
      <c r="K373" s="16"/>
      <c r="L373" s="16"/>
      <c r="O373" s="51"/>
      <c r="P373" s="52"/>
      <c r="Q373" s="52"/>
      <c r="R373" s="52"/>
      <c r="S373" s="52"/>
      <c r="T373" s="52"/>
    </row>
    <row r="374" ht="15.75" customHeight="1">
      <c r="G374" s="51"/>
      <c r="H374" s="16"/>
      <c r="I374" s="16"/>
      <c r="J374" s="16"/>
      <c r="K374" s="16"/>
      <c r="L374" s="16"/>
      <c r="O374" s="51"/>
      <c r="P374" s="52"/>
      <c r="Q374" s="52"/>
      <c r="R374" s="52"/>
      <c r="S374" s="52"/>
      <c r="T374" s="52"/>
    </row>
    <row r="375" ht="15.75" customHeight="1">
      <c r="G375" s="51"/>
      <c r="H375" s="16"/>
      <c r="I375" s="16"/>
      <c r="J375" s="16"/>
      <c r="K375" s="16"/>
      <c r="L375" s="16"/>
      <c r="O375" s="51"/>
      <c r="P375" s="52"/>
      <c r="Q375" s="52"/>
      <c r="R375" s="52"/>
      <c r="S375" s="52"/>
      <c r="T375" s="52"/>
    </row>
    <row r="376" ht="15.75" customHeight="1">
      <c r="G376" s="51"/>
      <c r="H376" s="16"/>
      <c r="I376" s="16"/>
      <c r="J376" s="16"/>
      <c r="K376" s="16"/>
      <c r="L376" s="16"/>
      <c r="O376" s="51"/>
      <c r="P376" s="52"/>
      <c r="Q376" s="52"/>
      <c r="R376" s="52"/>
      <c r="S376" s="52"/>
      <c r="T376" s="52"/>
    </row>
    <row r="377" ht="15.75" customHeight="1">
      <c r="G377" s="51"/>
      <c r="H377" s="16"/>
      <c r="I377" s="16"/>
      <c r="J377" s="16"/>
      <c r="K377" s="16"/>
      <c r="L377" s="16"/>
      <c r="O377" s="51"/>
      <c r="P377" s="52"/>
      <c r="Q377" s="52"/>
      <c r="R377" s="52"/>
      <c r="S377" s="52"/>
      <c r="T377" s="52"/>
    </row>
    <row r="378" ht="15.75" customHeight="1">
      <c r="G378" s="51"/>
      <c r="H378" s="16"/>
      <c r="I378" s="16"/>
      <c r="J378" s="16"/>
      <c r="K378" s="16"/>
      <c r="L378" s="16"/>
      <c r="O378" s="51"/>
      <c r="P378" s="52"/>
      <c r="Q378" s="52"/>
      <c r="R378" s="52"/>
      <c r="S378" s="52"/>
      <c r="T378" s="52"/>
    </row>
    <row r="379" ht="15.75" customHeight="1">
      <c r="G379" s="51"/>
      <c r="H379" s="16"/>
      <c r="I379" s="16"/>
      <c r="J379" s="16"/>
      <c r="K379" s="16"/>
      <c r="L379" s="16"/>
      <c r="O379" s="51"/>
      <c r="P379" s="52"/>
      <c r="Q379" s="52"/>
      <c r="R379" s="52"/>
      <c r="S379" s="52"/>
      <c r="T379" s="52"/>
    </row>
    <row r="380" ht="15.75" customHeight="1">
      <c r="G380" s="51"/>
      <c r="H380" s="16"/>
      <c r="I380" s="16"/>
      <c r="J380" s="16"/>
      <c r="K380" s="16"/>
      <c r="L380" s="16"/>
      <c r="O380" s="51"/>
      <c r="P380" s="52"/>
      <c r="Q380" s="52"/>
      <c r="R380" s="52"/>
      <c r="S380" s="52"/>
      <c r="T380" s="52"/>
    </row>
    <row r="381" ht="15.75" customHeight="1">
      <c r="G381" s="51"/>
      <c r="H381" s="16"/>
      <c r="I381" s="16"/>
      <c r="J381" s="16"/>
      <c r="K381" s="16"/>
      <c r="L381" s="16"/>
      <c r="O381" s="51"/>
      <c r="P381" s="52"/>
      <c r="Q381" s="52"/>
      <c r="R381" s="52"/>
      <c r="S381" s="52"/>
      <c r="T381" s="52"/>
    </row>
    <row r="382" ht="15.75" customHeight="1">
      <c r="G382" s="51"/>
      <c r="H382" s="16"/>
      <c r="I382" s="16"/>
      <c r="J382" s="16"/>
      <c r="K382" s="16"/>
      <c r="L382" s="16"/>
      <c r="O382" s="51"/>
      <c r="P382" s="52"/>
      <c r="Q382" s="52"/>
      <c r="R382" s="52"/>
      <c r="S382" s="52"/>
      <c r="T382" s="52"/>
    </row>
    <row r="383" ht="15.75" customHeight="1">
      <c r="G383" s="51"/>
      <c r="H383" s="16"/>
      <c r="I383" s="16"/>
      <c r="J383" s="16"/>
      <c r="K383" s="16"/>
      <c r="L383" s="16"/>
      <c r="O383" s="51"/>
      <c r="P383" s="52"/>
      <c r="Q383" s="52"/>
      <c r="R383" s="52"/>
      <c r="S383" s="52"/>
      <c r="T383" s="52"/>
    </row>
    <row r="384" ht="15.75" customHeight="1">
      <c r="G384" s="51"/>
      <c r="H384" s="16"/>
      <c r="I384" s="16"/>
      <c r="J384" s="16"/>
      <c r="K384" s="16"/>
      <c r="L384" s="16"/>
      <c r="O384" s="51"/>
      <c r="P384" s="52"/>
      <c r="Q384" s="52"/>
      <c r="R384" s="52"/>
      <c r="S384" s="52"/>
      <c r="T384" s="52"/>
    </row>
    <row r="385" ht="15.75" customHeight="1">
      <c r="G385" s="51"/>
      <c r="H385" s="16"/>
      <c r="I385" s="16"/>
      <c r="J385" s="16"/>
      <c r="K385" s="16"/>
      <c r="L385" s="16"/>
      <c r="O385" s="51"/>
      <c r="P385" s="52"/>
      <c r="Q385" s="52"/>
      <c r="R385" s="52"/>
      <c r="S385" s="52"/>
      <c r="T385" s="52"/>
    </row>
    <row r="386" ht="15.75" customHeight="1">
      <c r="G386" s="51"/>
      <c r="H386" s="16"/>
      <c r="I386" s="16"/>
      <c r="J386" s="16"/>
      <c r="K386" s="16"/>
      <c r="L386" s="16"/>
      <c r="O386" s="51"/>
      <c r="P386" s="52"/>
      <c r="Q386" s="52"/>
      <c r="R386" s="52"/>
      <c r="S386" s="52"/>
      <c r="T386" s="52"/>
    </row>
    <row r="387" ht="15.75" customHeight="1">
      <c r="G387" s="51"/>
      <c r="H387" s="16"/>
      <c r="I387" s="16"/>
      <c r="J387" s="16"/>
      <c r="K387" s="16"/>
      <c r="L387" s="16"/>
      <c r="O387" s="51"/>
      <c r="P387" s="52"/>
      <c r="Q387" s="52"/>
      <c r="R387" s="52"/>
      <c r="S387" s="52"/>
      <c r="T387" s="52"/>
    </row>
    <row r="388" ht="15.75" customHeight="1">
      <c r="G388" s="51"/>
      <c r="H388" s="16"/>
      <c r="I388" s="16"/>
      <c r="J388" s="16"/>
      <c r="K388" s="16"/>
      <c r="L388" s="16"/>
      <c r="O388" s="51"/>
      <c r="P388" s="52"/>
      <c r="Q388" s="52"/>
      <c r="R388" s="52"/>
      <c r="S388" s="52"/>
      <c r="T388" s="52"/>
    </row>
    <row r="389" ht="15.75" customHeight="1">
      <c r="G389" s="51"/>
      <c r="H389" s="16"/>
      <c r="I389" s="16"/>
      <c r="J389" s="16"/>
      <c r="K389" s="16"/>
      <c r="L389" s="16"/>
      <c r="O389" s="51"/>
      <c r="P389" s="52"/>
      <c r="Q389" s="52"/>
      <c r="R389" s="52"/>
      <c r="S389" s="52"/>
      <c r="T389" s="52"/>
    </row>
    <row r="390" ht="15.75" customHeight="1">
      <c r="G390" s="51"/>
      <c r="H390" s="16"/>
      <c r="I390" s="16"/>
      <c r="J390" s="16"/>
      <c r="K390" s="16"/>
      <c r="L390" s="16"/>
      <c r="O390" s="51"/>
      <c r="P390" s="52"/>
      <c r="Q390" s="52"/>
      <c r="R390" s="52"/>
      <c r="S390" s="52"/>
      <c r="T390" s="52"/>
    </row>
    <row r="391" ht="15.75" customHeight="1">
      <c r="G391" s="51"/>
      <c r="H391" s="16"/>
      <c r="I391" s="16"/>
      <c r="J391" s="16"/>
      <c r="K391" s="16"/>
      <c r="L391" s="16"/>
      <c r="O391" s="51"/>
      <c r="P391" s="52"/>
      <c r="Q391" s="52"/>
      <c r="R391" s="52"/>
      <c r="S391" s="52"/>
      <c r="T391" s="52"/>
    </row>
    <row r="392" ht="15.75" customHeight="1">
      <c r="G392" s="51"/>
      <c r="H392" s="16"/>
      <c r="I392" s="16"/>
      <c r="J392" s="16"/>
      <c r="K392" s="16"/>
      <c r="L392" s="16"/>
      <c r="O392" s="51"/>
      <c r="P392" s="52"/>
      <c r="Q392" s="52"/>
      <c r="R392" s="52"/>
      <c r="S392" s="52"/>
      <c r="T392" s="52"/>
    </row>
    <row r="393" ht="15.75" customHeight="1">
      <c r="G393" s="51"/>
      <c r="H393" s="16"/>
      <c r="I393" s="16"/>
      <c r="J393" s="16"/>
      <c r="K393" s="16"/>
      <c r="L393" s="16"/>
      <c r="O393" s="51"/>
      <c r="P393" s="52"/>
      <c r="Q393" s="52"/>
      <c r="R393" s="52"/>
      <c r="S393" s="52"/>
      <c r="T393" s="52"/>
    </row>
    <row r="394" ht="15.75" customHeight="1">
      <c r="G394" s="51"/>
      <c r="H394" s="16"/>
      <c r="I394" s="16"/>
      <c r="J394" s="16"/>
      <c r="K394" s="16"/>
      <c r="L394" s="16"/>
      <c r="O394" s="51"/>
      <c r="P394" s="52"/>
      <c r="Q394" s="52"/>
      <c r="R394" s="52"/>
      <c r="S394" s="52"/>
      <c r="T394" s="52"/>
    </row>
    <row r="395" ht="15.75" customHeight="1">
      <c r="G395" s="51"/>
      <c r="H395" s="16"/>
      <c r="I395" s="16"/>
      <c r="J395" s="16"/>
      <c r="K395" s="16"/>
      <c r="L395" s="16"/>
      <c r="O395" s="51"/>
      <c r="P395" s="52"/>
      <c r="Q395" s="52"/>
      <c r="R395" s="52"/>
      <c r="S395" s="52"/>
      <c r="T395" s="52"/>
    </row>
    <row r="396" ht="15.75" customHeight="1">
      <c r="F396" s="53"/>
      <c r="G396" s="16"/>
      <c r="H396" s="26"/>
      <c r="I396" s="26"/>
      <c r="J396" s="26"/>
      <c r="K396" s="26"/>
      <c r="L396" s="26"/>
    </row>
    <row r="397" ht="15.75" customHeight="1">
      <c r="G397" s="16"/>
      <c r="H397" s="54"/>
      <c r="I397" s="54"/>
      <c r="J397" s="54"/>
      <c r="K397" s="54"/>
      <c r="L397" s="54"/>
    </row>
    <row r="398" ht="15.75" customHeight="1">
      <c r="F398" s="55"/>
      <c r="G398" s="51"/>
      <c r="H398" s="16"/>
      <c r="I398" s="16"/>
      <c r="J398" s="16"/>
      <c r="K398" s="16"/>
      <c r="L398" s="16"/>
      <c r="N398" s="55"/>
    </row>
    <row r="399" ht="15.75" customHeight="1">
      <c r="G399" s="51"/>
      <c r="H399" s="16"/>
      <c r="I399" s="16"/>
      <c r="J399" s="16"/>
      <c r="K399" s="16"/>
      <c r="L399" s="16"/>
    </row>
    <row r="400" ht="15.75" customHeight="1">
      <c r="G400" s="51"/>
      <c r="H400" s="16"/>
      <c r="I400" s="16"/>
      <c r="J400" s="16"/>
      <c r="K400" s="16"/>
      <c r="L400" s="16"/>
    </row>
    <row r="401" ht="15.75" customHeight="1">
      <c r="G401" s="51"/>
      <c r="H401" s="16"/>
      <c r="I401" s="16"/>
      <c r="J401" s="16"/>
      <c r="K401" s="16"/>
      <c r="L401" s="16"/>
    </row>
    <row r="402" ht="15.75" customHeight="1">
      <c r="G402" s="51"/>
      <c r="H402" s="16"/>
      <c r="I402" s="16"/>
      <c r="J402" s="16"/>
      <c r="K402" s="16"/>
      <c r="L402" s="16"/>
    </row>
    <row r="403" ht="15.75" customHeight="1">
      <c r="G403" s="51"/>
      <c r="H403" s="16"/>
      <c r="I403" s="16"/>
      <c r="J403" s="16"/>
      <c r="K403" s="16"/>
      <c r="L403" s="16"/>
    </row>
    <row r="404" ht="15.75" customHeight="1">
      <c r="G404" s="51"/>
      <c r="H404" s="16"/>
      <c r="I404" s="16"/>
      <c r="J404" s="16"/>
      <c r="K404" s="16"/>
      <c r="L404" s="16"/>
    </row>
    <row r="405" ht="15.75" customHeight="1">
      <c r="G405" s="51"/>
      <c r="H405" s="16"/>
      <c r="I405" s="16"/>
      <c r="J405" s="16"/>
      <c r="K405" s="16"/>
      <c r="L405" s="16"/>
    </row>
    <row r="406" ht="15.75" customHeight="1">
      <c r="G406" s="51"/>
      <c r="H406" s="16"/>
      <c r="I406" s="16"/>
      <c r="J406" s="16"/>
      <c r="K406" s="16"/>
      <c r="L406" s="16"/>
    </row>
    <row r="407" ht="15.75" customHeight="1">
      <c r="G407" s="51"/>
      <c r="H407" s="16"/>
      <c r="I407" s="16"/>
      <c r="J407" s="16"/>
      <c r="K407" s="16"/>
      <c r="L407" s="16"/>
    </row>
    <row r="408" ht="15.75" customHeight="1">
      <c r="G408" s="51"/>
      <c r="H408" s="16"/>
      <c r="I408" s="16"/>
      <c r="J408" s="16"/>
      <c r="K408" s="16"/>
      <c r="L408" s="16"/>
    </row>
    <row r="409" ht="15.75" customHeight="1">
      <c r="G409" s="51"/>
      <c r="H409" s="16"/>
      <c r="I409" s="16"/>
      <c r="J409" s="16"/>
      <c r="K409" s="16"/>
      <c r="L409" s="16"/>
    </row>
    <row r="410" ht="15.75" customHeight="1">
      <c r="G410" s="51"/>
      <c r="H410" s="16"/>
      <c r="I410" s="16"/>
      <c r="J410" s="16"/>
      <c r="K410" s="16"/>
      <c r="L410" s="16"/>
    </row>
    <row r="411" ht="15.75" customHeight="1">
      <c r="G411" s="51"/>
      <c r="H411" s="16"/>
      <c r="I411" s="16"/>
      <c r="J411" s="16"/>
      <c r="K411" s="16"/>
      <c r="L411" s="16"/>
    </row>
    <row r="412" ht="15.75" customHeight="1">
      <c r="G412" s="51"/>
      <c r="H412" s="16"/>
      <c r="I412" s="16"/>
      <c r="J412" s="16"/>
      <c r="K412" s="16"/>
      <c r="L412" s="16"/>
    </row>
    <row r="413" ht="15.75" customHeight="1">
      <c r="G413" s="51"/>
      <c r="H413" s="16"/>
      <c r="I413" s="16"/>
      <c r="J413" s="16"/>
      <c r="K413" s="16"/>
      <c r="L413" s="16"/>
    </row>
    <row r="414" ht="15.75" customHeight="1">
      <c r="G414" s="51"/>
      <c r="H414" s="16"/>
      <c r="I414" s="16"/>
      <c r="J414" s="16"/>
      <c r="K414" s="16"/>
      <c r="L414" s="16"/>
    </row>
    <row r="415" ht="15.75" customHeight="1">
      <c r="G415" s="51"/>
      <c r="H415" s="16"/>
      <c r="I415" s="16"/>
      <c r="J415" s="16"/>
      <c r="K415" s="16"/>
      <c r="L415" s="16"/>
    </row>
    <row r="416" ht="15.75" customHeight="1">
      <c r="G416" s="51"/>
      <c r="H416" s="16"/>
      <c r="I416" s="16"/>
      <c r="J416" s="16"/>
      <c r="K416" s="16"/>
      <c r="L416" s="16"/>
    </row>
    <row r="417" ht="15.75" customHeight="1">
      <c r="G417" s="51"/>
      <c r="H417" s="16"/>
      <c r="I417" s="16"/>
      <c r="J417" s="16"/>
      <c r="K417" s="16"/>
      <c r="L417" s="16"/>
    </row>
    <row r="418" ht="15.75" customHeight="1">
      <c r="G418" s="51"/>
      <c r="H418" s="16"/>
      <c r="I418" s="16"/>
      <c r="J418" s="16"/>
      <c r="K418" s="16"/>
      <c r="L418" s="16"/>
    </row>
    <row r="419" ht="15.75" customHeight="1">
      <c r="G419" s="51"/>
      <c r="H419" s="16"/>
      <c r="I419" s="16"/>
      <c r="J419" s="16"/>
      <c r="K419" s="16"/>
      <c r="L419" s="16"/>
    </row>
    <row r="420" ht="15.75" customHeight="1">
      <c r="G420" s="51"/>
      <c r="H420" s="16"/>
      <c r="I420" s="16"/>
      <c r="J420" s="16"/>
      <c r="K420" s="16"/>
      <c r="L420" s="16"/>
    </row>
    <row r="421" ht="15.75" customHeight="1">
      <c r="G421" s="51"/>
      <c r="H421" s="16"/>
      <c r="I421" s="16"/>
      <c r="J421" s="16"/>
      <c r="K421" s="16"/>
      <c r="L421" s="16"/>
    </row>
    <row r="422" ht="15.75" customHeight="1">
      <c r="F422" s="41"/>
      <c r="H422" s="26"/>
      <c r="I422" s="26"/>
      <c r="J422" s="26"/>
      <c r="K422" s="26"/>
      <c r="L422" s="26"/>
    </row>
    <row r="423" ht="15.75" customHeight="1">
      <c r="G423" s="16"/>
      <c r="H423" s="54"/>
      <c r="I423" s="54"/>
      <c r="J423" s="54"/>
      <c r="K423" s="54"/>
      <c r="L423" s="54"/>
    </row>
    <row r="424" ht="15.75" customHeight="1">
      <c r="F424" s="55"/>
      <c r="G424" s="51"/>
      <c r="H424" s="16"/>
      <c r="I424" s="16"/>
      <c r="J424" s="16"/>
      <c r="K424" s="16"/>
      <c r="L424" s="16"/>
      <c r="N424" s="55"/>
    </row>
    <row r="425" ht="15.75" customHeight="1">
      <c r="G425" s="51"/>
      <c r="H425" s="16"/>
      <c r="I425" s="16"/>
      <c r="J425" s="16"/>
      <c r="K425" s="16"/>
      <c r="L425" s="16"/>
    </row>
    <row r="426" ht="15.75" customHeight="1">
      <c r="G426" s="51"/>
      <c r="H426" s="16"/>
      <c r="I426" s="16"/>
      <c r="J426" s="16"/>
      <c r="K426" s="16"/>
      <c r="L426" s="16"/>
    </row>
    <row r="427" ht="15.75" customHeight="1">
      <c r="G427" s="51"/>
      <c r="H427" s="16"/>
      <c r="I427" s="16"/>
      <c r="J427" s="16"/>
      <c r="K427" s="16"/>
      <c r="L427" s="16"/>
    </row>
    <row r="428" ht="15.75" customHeight="1">
      <c r="G428" s="51"/>
      <c r="H428" s="16"/>
      <c r="I428" s="16"/>
      <c r="J428" s="16"/>
      <c r="K428" s="16"/>
      <c r="L428" s="16"/>
    </row>
    <row r="429" ht="15.75" customHeight="1">
      <c r="G429" s="51"/>
      <c r="H429" s="16"/>
      <c r="I429" s="16"/>
      <c r="J429" s="16"/>
      <c r="K429" s="16"/>
      <c r="L429" s="16"/>
    </row>
    <row r="430" ht="15.75" customHeight="1">
      <c r="G430" s="51"/>
      <c r="H430" s="16"/>
      <c r="I430" s="16"/>
      <c r="J430" s="16"/>
      <c r="K430" s="16"/>
      <c r="L430" s="16"/>
    </row>
    <row r="431" ht="15.75" customHeight="1">
      <c r="G431" s="51"/>
      <c r="H431" s="16"/>
      <c r="I431" s="16"/>
      <c r="J431" s="16"/>
      <c r="K431" s="16"/>
      <c r="L431" s="16"/>
    </row>
    <row r="432" ht="15.75" customHeight="1">
      <c r="G432" s="51"/>
      <c r="H432" s="16"/>
      <c r="I432" s="16"/>
      <c r="J432" s="16"/>
      <c r="K432" s="16"/>
      <c r="L432" s="16"/>
    </row>
    <row r="433" ht="15.75" customHeight="1">
      <c r="G433" s="51"/>
      <c r="H433" s="16"/>
      <c r="I433" s="16"/>
      <c r="J433" s="16"/>
      <c r="K433" s="16"/>
      <c r="L433" s="16"/>
    </row>
    <row r="434" ht="15.75" customHeight="1">
      <c r="G434" s="51"/>
      <c r="H434" s="16"/>
      <c r="I434" s="16"/>
      <c r="J434" s="16"/>
      <c r="K434" s="16"/>
      <c r="L434" s="16"/>
    </row>
    <row r="435" ht="15.75" customHeight="1">
      <c r="G435" s="51"/>
      <c r="H435" s="16"/>
      <c r="I435" s="16"/>
      <c r="J435" s="16"/>
      <c r="K435" s="16"/>
      <c r="L435" s="16"/>
    </row>
    <row r="436" ht="15.75" customHeight="1">
      <c r="G436" s="51"/>
      <c r="H436" s="16"/>
      <c r="I436" s="16"/>
      <c r="J436" s="16"/>
      <c r="K436" s="16"/>
      <c r="L436" s="16"/>
    </row>
    <row r="437" ht="15.75" customHeight="1">
      <c r="G437" s="51"/>
      <c r="H437" s="16"/>
      <c r="I437" s="16"/>
      <c r="J437" s="16"/>
      <c r="K437" s="16"/>
      <c r="L437" s="16"/>
    </row>
    <row r="438" ht="15.75" customHeight="1">
      <c r="G438" s="51"/>
      <c r="H438" s="16"/>
      <c r="I438" s="16"/>
      <c r="J438" s="16"/>
      <c r="K438" s="16"/>
      <c r="L438" s="16"/>
    </row>
    <row r="439" ht="15.75" customHeight="1">
      <c r="G439" s="51"/>
      <c r="H439" s="16"/>
      <c r="I439" s="16"/>
      <c r="J439" s="16"/>
      <c r="K439" s="16"/>
      <c r="L439" s="16"/>
    </row>
    <row r="440" ht="15.75" customHeight="1">
      <c r="G440" s="51"/>
      <c r="H440" s="16"/>
      <c r="I440" s="16"/>
      <c r="J440" s="16"/>
      <c r="K440" s="16"/>
      <c r="L440" s="16"/>
    </row>
    <row r="441" ht="15.75" customHeight="1">
      <c r="G441" s="51"/>
      <c r="H441" s="16"/>
      <c r="I441" s="16"/>
      <c r="J441" s="16"/>
      <c r="K441" s="16"/>
      <c r="L441" s="16"/>
    </row>
    <row r="442" ht="15.75" customHeight="1">
      <c r="G442" s="51"/>
      <c r="H442" s="16"/>
      <c r="I442" s="16"/>
      <c r="J442" s="16"/>
      <c r="K442" s="16"/>
      <c r="L442" s="16"/>
    </row>
    <row r="443" ht="15.75" customHeight="1">
      <c r="G443" s="51"/>
      <c r="H443" s="16"/>
      <c r="I443" s="16"/>
      <c r="J443" s="16"/>
      <c r="K443" s="16"/>
      <c r="L443" s="16"/>
    </row>
    <row r="444" ht="15.75" customHeight="1">
      <c r="G444" s="51"/>
      <c r="H444" s="16"/>
      <c r="I444" s="16"/>
      <c r="J444" s="16"/>
      <c r="K444" s="16"/>
      <c r="L444" s="16"/>
    </row>
    <row r="445" ht="15.75" customHeight="1">
      <c r="G445" s="51"/>
      <c r="H445" s="16"/>
      <c r="I445" s="16"/>
      <c r="J445" s="16"/>
      <c r="K445" s="16"/>
      <c r="L445" s="16"/>
    </row>
    <row r="446" ht="15.75" customHeight="1">
      <c r="G446" s="51"/>
      <c r="H446" s="16"/>
      <c r="I446" s="16"/>
      <c r="J446" s="16"/>
      <c r="K446" s="16"/>
      <c r="L446" s="16"/>
    </row>
    <row r="447" ht="15.75" customHeight="1">
      <c r="G447" s="51"/>
      <c r="H447" s="16"/>
      <c r="I447" s="16"/>
      <c r="J447" s="16"/>
      <c r="K447" s="16"/>
      <c r="L447" s="16"/>
    </row>
    <row r="448" ht="15.75" customHeight="1">
      <c r="F448" s="41"/>
      <c r="H448" s="26"/>
      <c r="I448" s="26"/>
      <c r="J448" s="26"/>
      <c r="K448" s="26"/>
      <c r="L448" s="26"/>
    </row>
    <row r="449" ht="15.75" customHeight="1">
      <c r="G449" s="16"/>
      <c r="H449" s="54"/>
      <c r="I449" s="54"/>
      <c r="J449" s="54"/>
      <c r="K449" s="54"/>
      <c r="L449" s="54"/>
    </row>
    <row r="450" ht="15.75" customHeight="1">
      <c r="F450" s="55"/>
      <c r="G450" s="51"/>
      <c r="H450" s="16"/>
      <c r="I450" s="16"/>
      <c r="J450" s="16"/>
      <c r="K450" s="16"/>
      <c r="L450" s="16"/>
      <c r="N450" s="55"/>
    </row>
    <row r="451" ht="15.75" customHeight="1">
      <c r="G451" s="51"/>
      <c r="H451" s="16"/>
      <c r="I451" s="16"/>
      <c r="J451" s="16"/>
      <c r="K451" s="16"/>
      <c r="L451" s="16"/>
    </row>
    <row r="452" ht="15.75" customHeight="1">
      <c r="G452" s="51"/>
      <c r="H452" s="16"/>
      <c r="I452" s="16"/>
      <c r="J452" s="16"/>
      <c r="K452" s="16"/>
      <c r="L452" s="16"/>
    </row>
    <row r="453" ht="15.75" customHeight="1">
      <c r="G453" s="51"/>
      <c r="H453" s="16"/>
      <c r="I453" s="16"/>
      <c r="J453" s="16"/>
      <c r="K453" s="16"/>
      <c r="L453" s="16"/>
    </row>
    <row r="454" ht="15.75" customHeight="1">
      <c r="G454" s="51"/>
      <c r="H454" s="16"/>
      <c r="I454" s="16"/>
      <c r="J454" s="16"/>
      <c r="K454" s="16"/>
      <c r="L454" s="16"/>
    </row>
    <row r="455" ht="15.75" customHeight="1">
      <c r="G455" s="51"/>
      <c r="H455" s="16"/>
      <c r="I455" s="16"/>
      <c r="J455" s="16"/>
      <c r="K455" s="16"/>
      <c r="L455" s="16"/>
    </row>
    <row r="456" ht="15.75" customHeight="1">
      <c r="G456" s="51"/>
      <c r="H456" s="16"/>
      <c r="I456" s="16"/>
      <c r="J456" s="16"/>
      <c r="K456" s="16"/>
      <c r="L456" s="16"/>
    </row>
    <row r="457" ht="15.75" customHeight="1">
      <c r="G457" s="51"/>
      <c r="H457" s="16"/>
      <c r="I457" s="16"/>
      <c r="J457" s="16"/>
      <c r="K457" s="16"/>
      <c r="L457" s="16"/>
    </row>
    <row r="458" ht="15.75" customHeight="1">
      <c r="G458" s="51"/>
      <c r="H458" s="16"/>
      <c r="I458" s="16"/>
      <c r="J458" s="16"/>
      <c r="K458" s="16"/>
      <c r="L458" s="16"/>
    </row>
    <row r="459" ht="15.75" customHeight="1">
      <c r="G459" s="51"/>
      <c r="H459" s="16"/>
      <c r="I459" s="16"/>
      <c r="J459" s="16"/>
      <c r="K459" s="16"/>
      <c r="L459" s="16"/>
    </row>
    <row r="460" ht="15.75" customHeight="1">
      <c r="G460" s="51"/>
      <c r="H460" s="16"/>
      <c r="I460" s="16"/>
      <c r="J460" s="16"/>
      <c r="K460" s="16"/>
      <c r="L460" s="16"/>
    </row>
    <row r="461" ht="15.75" customHeight="1">
      <c r="G461" s="51"/>
      <c r="H461" s="16"/>
      <c r="I461" s="16"/>
      <c r="J461" s="16"/>
      <c r="K461" s="16"/>
      <c r="L461" s="16"/>
    </row>
    <row r="462" ht="15.75" customHeight="1">
      <c r="G462" s="51"/>
      <c r="H462" s="16"/>
      <c r="I462" s="16"/>
      <c r="J462" s="16"/>
      <c r="K462" s="16"/>
      <c r="L462" s="16"/>
    </row>
    <row r="463" ht="15.75" customHeight="1">
      <c r="G463" s="51"/>
      <c r="H463" s="16"/>
      <c r="I463" s="16"/>
      <c r="J463" s="16"/>
      <c r="K463" s="16"/>
      <c r="L463" s="16"/>
    </row>
    <row r="464" ht="15.75" customHeight="1">
      <c r="G464" s="51"/>
      <c r="H464" s="16"/>
      <c r="I464" s="16"/>
      <c r="J464" s="16"/>
      <c r="K464" s="16"/>
      <c r="L464" s="16"/>
    </row>
    <row r="465" ht="15.75" customHeight="1">
      <c r="G465" s="51"/>
      <c r="H465" s="16"/>
      <c r="I465" s="16"/>
      <c r="J465" s="16"/>
      <c r="K465" s="16"/>
      <c r="L465" s="16"/>
    </row>
    <row r="466" ht="15.75" customHeight="1">
      <c r="G466" s="51"/>
      <c r="H466" s="16"/>
      <c r="I466" s="16"/>
      <c r="J466" s="16"/>
      <c r="K466" s="16"/>
      <c r="L466" s="16"/>
    </row>
    <row r="467" ht="15.75" customHeight="1">
      <c r="G467" s="51"/>
      <c r="H467" s="16"/>
      <c r="I467" s="16"/>
      <c r="J467" s="16"/>
      <c r="K467" s="16"/>
      <c r="L467" s="16"/>
    </row>
    <row r="468" ht="15.75" customHeight="1">
      <c r="G468" s="51"/>
      <c r="H468" s="16"/>
      <c r="I468" s="16"/>
      <c r="J468" s="16"/>
      <c r="K468" s="16"/>
      <c r="L468" s="16"/>
    </row>
    <row r="469" ht="15.75" customHeight="1">
      <c r="G469" s="51"/>
      <c r="H469" s="16"/>
      <c r="I469" s="16"/>
      <c r="J469" s="16"/>
      <c r="K469" s="16"/>
      <c r="L469" s="16"/>
    </row>
    <row r="470" ht="15.75" customHeight="1">
      <c r="G470" s="51"/>
      <c r="H470" s="16"/>
      <c r="I470" s="16"/>
      <c r="J470" s="16"/>
      <c r="K470" s="16"/>
      <c r="L470" s="16"/>
    </row>
    <row r="471" ht="15.75" customHeight="1">
      <c r="G471" s="51"/>
      <c r="H471" s="16"/>
      <c r="I471" s="16"/>
      <c r="J471" s="16"/>
      <c r="K471" s="16"/>
      <c r="L471" s="16"/>
    </row>
    <row r="472" ht="15.75" customHeight="1">
      <c r="G472" s="51"/>
      <c r="H472" s="16"/>
      <c r="I472" s="16"/>
      <c r="J472" s="16"/>
      <c r="K472" s="16"/>
      <c r="L472" s="16"/>
    </row>
    <row r="473" ht="15.75" customHeight="1">
      <c r="G473" s="51"/>
      <c r="H473" s="16"/>
      <c r="I473" s="16"/>
      <c r="J473" s="16"/>
      <c r="K473" s="16"/>
      <c r="L473" s="16"/>
    </row>
    <row r="474" ht="15.75" customHeight="1">
      <c r="F474" s="41"/>
      <c r="H474" s="26"/>
      <c r="I474" s="26"/>
      <c r="J474" s="26"/>
      <c r="K474" s="26"/>
      <c r="L474" s="26"/>
    </row>
    <row r="475" ht="15.75" customHeight="1">
      <c r="G475" s="16"/>
      <c r="H475" s="54"/>
      <c r="I475" s="54"/>
      <c r="J475" s="54"/>
      <c r="K475" s="54"/>
      <c r="L475" s="54"/>
    </row>
    <row r="476" ht="15.75" customHeight="1">
      <c r="F476" s="55"/>
      <c r="G476" s="51"/>
      <c r="H476" s="16"/>
      <c r="I476" s="16"/>
      <c r="J476" s="16"/>
      <c r="K476" s="16"/>
      <c r="L476" s="16"/>
      <c r="N476" s="55"/>
    </row>
    <row r="477" ht="15.75" customHeight="1">
      <c r="G477" s="51"/>
      <c r="H477" s="16"/>
      <c r="I477" s="16"/>
      <c r="J477" s="16"/>
      <c r="K477" s="16"/>
      <c r="L477" s="16"/>
    </row>
    <row r="478" ht="15.75" customHeight="1">
      <c r="G478" s="51"/>
      <c r="H478" s="16"/>
      <c r="I478" s="16"/>
      <c r="J478" s="16"/>
      <c r="K478" s="16"/>
      <c r="L478" s="16"/>
    </row>
    <row r="479" ht="15.75" customHeight="1">
      <c r="G479" s="51"/>
      <c r="H479" s="16"/>
      <c r="I479" s="16"/>
      <c r="J479" s="16"/>
      <c r="K479" s="16"/>
      <c r="L479" s="16"/>
    </row>
    <row r="480" ht="15.75" customHeight="1">
      <c r="G480" s="51"/>
      <c r="H480" s="16"/>
      <c r="I480" s="16"/>
      <c r="J480" s="16"/>
      <c r="K480" s="16"/>
      <c r="L480" s="16"/>
    </row>
    <row r="481" ht="15.75" customHeight="1">
      <c r="G481" s="51"/>
      <c r="H481" s="16"/>
      <c r="I481" s="16"/>
      <c r="J481" s="16"/>
      <c r="K481" s="16"/>
      <c r="L481" s="16"/>
    </row>
    <row r="482" ht="15.75" customHeight="1">
      <c r="G482" s="51"/>
      <c r="H482" s="16"/>
      <c r="I482" s="16"/>
      <c r="J482" s="16"/>
      <c r="K482" s="16"/>
      <c r="L482" s="16"/>
    </row>
    <row r="483" ht="15.75" customHeight="1">
      <c r="G483" s="51"/>
      <c r="H483" s="16"/>
      <c r="I483" s="16"/>
      <c r="J483" s="16"/>
      <c r="K483" s="16"/>
      <c r="L483" s="16"/>
    </row>
    <row r="484" ht="15.75" customHeight="1">
      <c r="G484" s="51"/>
      <c r="H484" s="16"/>
      <c r="I484" s="16"/>
      <c r="J484" s="16"/>
      <c r="K484" s="16"/>
      <c r="L484" s="16"/>
    </row>
    <row r="485" ht="15.75" customHeight="1">
      <c r="G485" s="51"/>
      <c r="H485" s="16"/>
      <c r="I485" s="16"/>
      <c r="J485" s="16"/>
      <c r="K485" s="16"/>
      <c r="L485" s="16"/>
    </row>
    <row r="486" ht="15.75" customHeight="1">
      <c r="G486" s="51"/>
      <c r="H486" s="16"/>
      <c r="I486" s="16"/>
      <c r="J486" s="16"/>
      <c r="K486" s="16"/>
      <c r="L486" s="16"/>
    </row>
    <row r="487" ht="15.75" customHeight="1">
      <c r="G487" s="51"/>
      <c r="H487" s="16"/>
      <c r="I487" s="16"/>
      <c r="J487" s="16"/>
      <c r="K487" s="16"/>
      <c r="L487" s="16"/>
    </row>
    <row r="488" ht="15.75" customHeight="1">
      <c r="G488" s="51"/>
      <c r="H488" s="16"/>
      <c r="I488" s="16"/>
      <c r="J488" s="16"/>
      <c r="K488" s="16"/>
      <c r="L488" s="16"/>
    </row>
    <row r="489" ht="15.75" customHeight="1">
      <c r="G489" s="51"/>
      <c r="H489" s="16"/>
      <c r="I489" s="16"/>
      <c r="J489" s="16"/>
      <c r="K489" s="16"/>
      <c r="L489" s="16"/>
    </row>
    <row r="490" ht="15.75" customHeight="1">
      <c r="G490" s="51"/>
      <c r="H490" s="16"/>
      <c r="I490" s="16"/>
      <c r="J490" s="16"/>
      <c r="K490" s="16"/>
      <c r="L490" s="16"/>
    </row>
    <row r="491" ht="15.75" customHeight="1">
      <c r="G491" s="51"/>
      <c r="H491" s="16"/>
      <c r="I491" s="16"/>
      <c r="J491" s="16"/>
      <c r="K491" s="16"/>
      <c r="L491" s="16"/>
    </row>
    <row r="492" ht="15.75" customHeight="1">
      <c r="G492" s="51"/>
      <c r="H492" s="16"/>
      <c r="I492" s="16"/>
      <c r="J492" s="16"/>
      <c r="K492" s="16"/>
      <c r="L492" s="16"/>
    </row>
    <row r="493" ht="15.75" customHeight="1">
      <c r="G493" s="51"/>
      <c r="H493" s="16"/>
      <c r="I493" s="16"/>
      <c r="J493" s="16"/>
      <c r="K493" s="16"/>
      <c r="L493" s="16"/>
    </row>
    <row r="494" ht="15.75" customHeight="1">
      <c r="G494" s="51"/>
      <c r="H494" s="16"/>
      <c r="I494" s="16"/>
      <c r="J494" s="16"/>
      <c r="K494" s="16"/>
      <c r="L494" s="16"/>
    </row>
    <row r="495" ht="15.75" customHeight="1">
      <c r="G495" s="51"/>
      <c r="H495" s="16"/>
      <c r="I495" s="16"/>
      <c r="J495" s="16"/>
      <c r="K495" s="16"/>
      <c r="L495" s="16"/>
    </row>
    <row r="496" ht="15.75" customHeight="1">
      <c r="G496" s="51"/>
      <c r="H496" s="16"/>
      <c r="I496" s="16"/>
      <c r="J496" s="16"/>
      <c r="K496" s="16"/>
      <c r="L496" s="16"/>
    </row>
    <row r="497" ht="15.75" customHeight="1">
      <c r="G497" s="51"/>
      <c r="H497" s="16"/>
      <c r="I497" s="16"/>
      <c r="J497" s="16"/>
      <c r="K497" s="16"/>
      <c r="L497" s="16"/>
    </row>
    <row r="498" ht="15.75" customHeight="1">
      <c r="G498" s="51"/>
      <c r="H498" s="16"/>
      <c r="I498" s="16"/>
      <c r="J498" s="16"/>
      <c r="K498" s="16"/>
      <c r="L498" s="16"/>
    </row>
    <row r="499" ht="15.75" customHeight="1">
      <c r="G499" s="51"/>
      <c r="H499" s="16"/>
      <c r="I499" s="16"/>
      <c r="J499" s="16"/>
      <c r="K499" s="16"/>
      <c r="L499" s="16"/>
    </row>
    <row r="500" ht="15.75" customHeight="1">
      <c r="F500" s="41"/>
      <c r="H500" s="26"/>
      <c r="I500" s="26"/>
      <c r="J500" s="26"/>
      <c r="K500" s="26"/>
      <c r="L500" s="26"/>
    </row>
    <row r="501" ht="15.75" customHeight="1">
      <c r="G501" s="16"/>
      <c r="H501" s="54"/>
      <c r="I501" s="54"/>
      <c r="J501" s="54"/>
      <c r="K501" s="54"/>
      <c r="L501" s="54"/>
    </row>
    <row r="502" ht="15.75" customHeight="1">
      <c r="F502" s="55"/>
      <c r="G502" s="51"/>
      <c r="H502" s="16"/>
      <c r="I502" s="16"/>
      <c r="J502" s="16"/>
      <c r="K502" s="16"/>
      <c r="L502" s="16"/>
      <c r="N502" s="55"/>
    </row>
    <row r="503" ht="15.75" customHeight="1">
      <c r="G503" s="51"/>
      <c r="H503" s="16"/>
      <c r="I503" s="16"/>
      <c r="J503" s="16"/>
      <c r="K503" s="16"/>
      <c r="L503" s="16"/>
    </row>
    <row r="504" ht="15.75" customHeight="1">
      <c r="G504" s="51"/>
      <c r="H504" s="16"/>
      <c r="I504" s="16"/>
      <c r="J504" s="16"/>
      <c r="K504" s="16"/>
      <c r="L504" s="16"/>
    </row>
    <row r="505" ht="15.75" customHeight="1">
      <c r="G505" s="51"/>
      <c r="H505" s="16"/>
      <c r="I505" s="16"/>
      <c r="J505" s="16"/>
      <c r="K505" s="16"/>
      <c r="L505" s="16"/>
    </row>
    <row r="506" ht="15.75" customHeight="1">
      <c r="G506" s="51"/>
      <c r="H506" s="16"/>
      <c r="I506" s="16"/>
      <c r="J506" s="16"/>
      <c r="K506" s="16"/>
      <c r="L506" s="16"/>
    </row>
    <row r="507" ht="15.75" customHeight="1">
      <c r="G507" s="51"/>
      <c r="H507" s="16"/>
      <c r="I507" s="16"/>
      <c r="J507" s="16"/>
      <c r="K507" s="16"/>
      <c r="L507" s="16"/>
    </row>
    <row r="508" ht="15.75" customHeight="1">
      <c r="G508" s="51"/>
      <c r="H508" s="16"/>
      <c r="I508" s="16"/>
      <c r="J508" s="16"/>
      <c r="K508" s="16"/>
      <c r="L508" s="16"/>
    </row>
    <row r="509" ht="15.75" customHeight="1">
      <c r="G509" s="51"/>
      <c r="H509" s="16"/>
      <c r="I509" s="16"/>
      <c r="J509" s="16"/>
      <c r="K509" s="16"/>
      <c r="L509" s="16"/>
    </row>
    <row r="510" ht="15.75" customHeight="1">
      <c r="G510" s="51"/>
      <c r="H510" s="16"/>
      <c r="I510" s="16"/>
      <c r="J510" s="16"/>
      <c r="K510" s="16"/>
      <c r="L510" s="16"/>
    </row>
    <row r="511" ht="15.75" customHeight="1">
      <c r="G511" s="51"/>
      <c r="H511" s="16"/>
      <c r="I511" s="16"/>
      <c r="J511" s="16"/>
      <c r="K511" s="16"/>
      <c r="L511" s="16"/>
    </row>
    <row r="512" ht="15.75" customHeight="1">
      <c r="G512" s="51"/>
      <c r="H512" s="16"/>
      <c r="I512" s="16"/>
      <c r="J512" s="16"/>
      <c r="K512" s="16"/>
      <c r="L512" s="16"/>
    </row>
    <row r="513" ht="15.75" customHeight="1">
      <c r="G513" s="51"/>
      <c r="H513" s="16"/>
      <c r="I513" s="16"/>
      <c r="J513" s="16"/>
      <c r="K513" s="16"/>
      <c r="L513" s="16"/>
    </row>
    <row r="514" ht="15.75" customHeight="1">
      <c r="G514" s="51"/>
      <c r="H514" s="16"/>
      <c r="I514" s="16"/>
      <c r="J514" s="16"/>
      <c r="K514" s="16"/>
      <c r="L514" s="16"/>
    </row>
    <row r="515" ht="15.75" customHeight="1">
      <c r="G515" s="51"/>
      <c r="H515" s="16"/>
      <c r="I515" s="16"/>
      <c r="J515" s="16"/>
      <c r="K515" s="16"/>
      <c r="L515" s="16"/>
    </row>
    <row r="516" ht="15.75" customHeight="1">
      <c r="G516" s="51"/>
      <c r="H516" s="16"/>
      <c r="I516" s="16"/>
      <c r="J516" s="16"/>
      <c r="K516" s="16"/>
      <c r="L516" s="16"/>
    </row>
    <row r="517" ht="15.75" customHeight="1">
      <c r="G517" s="51"/>
      <c r="H517" s="16"/>
      <c r="I517" s="16"/>
      <c r="J517" s="16"/>
      <c r="K517" s="16"/>
      <c r="L517" s="16"/>
    </row>
    <row r="518" ht="15.75" customHeight="1">
      <c r="G518" s="51"/>
      <c r="H518" s="16"/>
      <c r="I518" s="16"/>
      <c r="J518" s="16"/>
      <c r="K518" s="16"/>
      <c r="L518" s="16"/>
    </row>
    <row r="519" ht="15.75" customHeight="1">
      <c r="G519" s="51"/>
      <c r="H519" s="16"/>
      <c r="I519" s="16"/>
      <c r="J519" s="16"/>
      <c r="K519" s="16"/>
      <c r="L519" s="16"/>
    </row>
    <row r="520" ht="15.75" customHeight="1">
      <c r="G520" s="51"/>
      <c r="H520" s="16"/>
      <c r="I520" s="16"/>
      <c r="J520" s="16"/>
      <c r="K520" s="16"/>
      <c r="L520" s="16"/>
    </row>
    <row r="521" ht="15.75" customHeight="1">
      <c r="G521" s="51"/>
      <c r="H521" s="16"/>
      <c r="I521" s="16"/>
      <c r="J521" s="16"/>
      <c r="K521" s="16"/>
      <c r="L521" s="16"/>
    </row>
    <row r="522" ht="15.75" customHeight="1">
      <c r="G522" s="51"/>
      <c r="H522" s="16"/>
      <c r="I522" s="16"/>
      <c r="J522" s="16"/>
      <c r="K522" s="16"/>
      <c r="L522" s="16"/>
    </row>
    <row r="523" ht="15.75" customHeight="1">
      <c r="G523" s="51"/>
      <c r="H523" s="16"/>
      <c r="I523" s="16"/>
      <c r="J523" s="16"/>
      <c r="K523" s="16"/>
      <c r="L523" s="16"/>
    </row>
    <row r="524" ht="15.75" customHeight="1">
      <c r="G524" s="51"/>
      <c r="H524" s="16"/>
      <c r="I524" s="16"/>
      <c r="J524" s="16"/>
      <c r="K524" s="16"/>
      <c r="L524" s="16"/>
    </row>
    <row r="525" ht="15.75" customHeight="1">
      <c r="G525" s="51"/>
      <c r="H525" s="16"/>
      <c r="I525" s="16"/>
      <c r="J525" s="16"/>
      <c r="K525" s="16"/>
      <c r="L525" s="16"/>
    </row>
    <row r="526" ht="15.75" customHeight="1">
      <c r="F526" s="41"/>
      <c r="H526" s="26"/>
      <c r="I526" s="26"/>
      <c r="J526" s="26"/>
      <c r="K526" s="26"/>
      <c r="L526" s="26"/>
    </row>
    <row r="527" ht="15.75" customHeight="1">
      <c r="G527" s="16"/>
      <c r="H527" s="54"/>
      <c r="I527" s="54"/>
      <c r="J527" s="54"/>
      <c r="K527" s="54"/>
      <c r="L527" s="54"/>
    </row>
    <row r="528" ht="15.75" customHeight="1">
      <c r="F528" s="55"/>
      <c r="G528" s="51"/>
      <c r="H528" s="16"/>
      <c r="I528" s="16"/>
      <c r="J528" s="16"/>
      <c r="K528" s="16"/>
      <c r="L528" s="16"/>
      <c r="N528" s="55"/>
    </row>
    <row r="529" ht="15.75" customHeight="1">
      <c r="G529" s="51"/>
      <c r="H529" s="16"/>
      <c r="I529" s="16"/>
      <c r="J529" s="16"/>
      <c r="K529" s="16"/>
      <c r="L529" s="16"/>
    </row>
    <row r="530" ht="15.75" customHeight="1">
      <c r="G530" s="51"/>
      <c r="H530" s="16"/>
      <c r="I530" s="16"/>
      <c r="J530" s="16"/>
      <c r="K530" s="16"/>
      <c r="L530" s="16"/>
    </row>
    <row r="531" ht="15.75" customHeight="1">
      <c r="G531" s="51"/>
      <c r="H531" s="16"/>
      <c r="I531" s="16"/>
      <c r="J531" s="16"/>
      <c r="K531" s="16"/>
      <c r="L531" s="16"/>
    </row>
    <row r="532" ht="15.75" customHeight="1">
      <c r="G532" s="51"/>
      <c r="H532" s="16"/>
      <c r="I532" s="16"/>
      <c r="J532" s="16"/>
      <c r="K532" s="16"/>
      <c r="L532" s="16"/>
    </row>
    <row r="533" ht="15.75" customHeight="1">
      <c r="G533" s="51"/>
      <c r="H533" s="16"/>
      <c r="I533" s="16"/>
      <c r="J533" s="16"/>
      <c r="K533" s="16"/>
      <c r="L533" s="16"/>
    </row>
    <row r="534" ht="15.75" customHeight="1">
      <c r="G534" s="51"/>
      <c r="H534" s="16"/>
      <c r="I534" s="16"/>
      <c r="J534" s="16"/>
      <c r="K534" s="16"/>
      <c r="L534" s="16"/>
    </row>
    <row r="535" ht="15.75" customHeight="1">
      <c r="G535" s="51"/>
      <c r="H535" s="16"/>
      <c r="I535" s="16"/>
      <c r="J535" s="16"/>
      <c r="K535" s="16"/>
      <c r="L535" s="16"/>
    </row>
    <row r="536" ht="15.75" customHeight="1">
      <c r="G536" s="51"/>
      <c r="H536" s="16"/>
      <c r="I536" s="16"/>
      <c r="J536" s="16"/>
      <c r="K536" s="16"/>
      <c r="L536" s="16"/>
    </row>
    <row r="537" ht="15.75" customHeight="1">
      <c r="G537" s="51"/>
      <c r="H537" s="16"/>
      <c r="I537" s="16"/>
      <c r="J537" s="16"/>
      <c r="K537" s="16"/>
      <c r="L537" s="16"/>
    </row>
    <row r="538" ht="15.75" customHeight="1">
      <c r="G538" s="51"/>
      <c r="H538" s="16"/>
      <c r="I538" s="16"/>
      <c r="J538" s="16"/>
      <c r="K538" s="16"/>
      <c r="L538" s="16"/>
    </row>
    <row r="539" ht="15.75" customHeight="1">
      <c r="G539" s="51"/>
      <c r="H539" s="16"/>
      <c r="I539" s="16"/>
      <c r="J539" s="16"/>
      <c r="K539" s="16"/>
      <c r="L539" s="16"/>
    </row>
    <row r="540" ht="15.75" customHeight="1">
      <c r="G540" s="51"/>
      <c r="H540" s="16"/>
      <c r="I540" s="16"/>
      <c r="J540" s="16"/>
      <c r="K540" s="16"/>
      <c r="L540" s="16"/>
    </row>
    <row r="541" ht="15.75" customHeight="1">
      <c r="G541" s="51"/>
      <c r="H541" s="16"/>
      <c r="I541" s="16"/>
      <c r="J541" s="16"/>
      <c r="K541" s="16"/>
      <c r="L541" s="16"/>
    </row>
    <row r="542" ht="15.75" customHeight="1">
      <c r="G542" s="51"/>
      <c r="H542" s="16"/>
      <c r="I542" s="16"/>
      <c r="J542" s="16"/>
      <c r="K542" s="16"/>
      <c r="L542" s="16"/>
    </row>
    <row r="543" ht="15.75" customHeight="1">
      <c r="G543" s="51"/>
      <c r="H543" s="16"/>
      <c r="I543" s="16"/>
      <c r="J543" s="16"/>
      <c r="K543" s="16"/>
      <c r="L543" s="16"/>
    </row>
    <row r="544" ht="15.75" customHeight="1">
      <c r="G544" s="51"/>
      <c r="H544" s="16"/>
      <c r="I544" s="16"/>
      <c r="J544" s="16"/>
      <c r="K544" s="16"/>
      <c r="L544" s="16"/>
    </row>
    <row r="545" ht="15.75" customHeight="1">
      <c r="G545" s="51"/>
      <c r="H545" s="16"/>
      <c r="I545" s="16"/>
      <c r="J545" s="16"/>
      <c r="K545" s="16"/>
      <c r="L545" s="16"/>
    </row>
    <row r="546" ht="15.75" customHeight="1">
      <c r="G546" s="51"/>
      <c r="H546" s="16"/>
      <c r="I546" s="16"/>
      <c r="J546" s="16"/>
      <c r="K546" s="16"/>
      <c r="L546" s="16"/>
    </row>
    <row r="547" ht="15.75" customHeight="1">
      <c r="G547" s="51"/>
      <c r="H547" s="16"/>
      <c r="I547" s="16"/>
      <c r="J547" s="16"/>
      <c r="K547" s="16"/>
      <c r="L547" s="16"/>
    </row>
    <row r="548" ht="15.75" customHeight="1">
      <c r="G548" s="51"/>
      <c r="H548" s="16"/>
      <c r="I548" s="16"/>
      <c r="J548" s="16"/>
      <c r="K548" s="16"/>
      <c r="L548" s="16"/>
    </row>
    <row r="549" ht="15.75" customHeight="1">
      <c r="G549" s="51"/>
      <c r="H549" s="16"/>
      <c r="I549" s="16"/>
      <c r="J549" s="16"/>
      <c r="K549" s="16"/>
      <c r="L549" s="16"/>
    </row>
    <row r="550" ht="15.75" customHeight="1">
      <c r="G550" s="51"/>
      <c r="H550" s="16"/>
      <c r="I550" s="16"/>
      <c r="J550" s="16"/>
      <c r="K550" s="16"/>
      <c r="L550" s="16"/>
    </row>
    <row r="551" ht="15.75" customHeight="1">
      <c r="G551" s="51"/>
      <c r="H551" s="16"/>
      <c r="I551" s="16"/>
      <c r="J551" s="16"/>
      <c r="K551" s="16"/>
      <c r="L551" s="16"/>
    </row>
    <row r="552" ht="15.75" customHeight="1">
      <c r="F552" s="41"/>
      <c r="H552" s="26"/>
      <c r="I552" s="26"/>
      <c r="J552" s="26"/>
      <c r="K552" s="26"/>
      <c r="L552" s="26"/>
    </row>
    <row r="553" ht="15.75" customHeight="1">
      <c r="G553" s="16"/>
      <c r="H553" s="54"/>
      <c r="I553" s="54"/>
      <c r="J553" s="54"/>
      <c r="K553" s="54"/>
      <c r="L553" s="54"/>
    </row>
    <row r="554" ht="15.75" customHeight="1">
      <c r="F554" s="55"/>
      <c r="G554" s="51"/>
      <c r="H554" s="16"/>
      <c r="I554" s="16"/>
      <c r="J554" s="16"/>
      <c r="K554" s="16"/>
      <c r="L554" s="16"/>
      <c r="N554" s="55"/>
    </row>
    <row r="555" ht="15.75" customHeight="1">
      <c r="G555" s="51"/>
      <c r="H555" s="16"/>
      <c r="I555" s="16"/>
      <c r="J555" s="16"/>
      <c r="K555" s="16"/>
      <c r="L555" s="16"/>
    </row>
    <row r="556" ht="15.75" customHeight="1">
      <c r="G556" s="51"/>
      <c r="H556" s="16"/>
      <c r="I556" s="16"/>
      <c r="J556" s="16"/>
      <c r="K556" s="16"/>
      <c r="L556" s="16"/>
    </row>
    <row r="557" ht="15.75" customHeight="1">
      <c r="G557" s="51"/>
      <c r="H557" s="16"/>
      <c r="I557" s="16"/>
      <c r="J557" s="16"/>
      <c r="K557" s="16"/>
      <c r="L557" s="16"/>
    </row>
    <row r="558" ht="15.75" customHeight="1">
      <c r="G558" s="51"/>
      <c r="H558" s="16"/>
      <c r="I558" s="16"/>
      <c r="J558" s="16"/>
      <c r="K558" s="16"/>
      <c r="L558" s="16"/>
    </row>
    <row r="559" ht="15.75" customHeight="1">
      <c r="G559" s="51"/>
      <c r="H559" s="16"/>
      <c r="I559" s="16"/>
      <c r="J559" s="16"/>
      <c r="K559" s="16"/>
      <c r="L559" s="16"/>
    </row>
    <row r="560" ht="15.75" customHeight="1">
      <c r="G560" s="51"/>
      <c r="H560" s="16"/>
      <c r="I560" s="16"/>
      <c r="J560" s="16"/>
      <c r="K560" s="16"/>
      <c r="L560" s="16"/>
    </row>
    <row r="561" ht="15.75" customHeight="1">
      <c r="G561" s="51"/>
      <c r="H561" s="16"/>
      <c r="I561" s="16"/>
      <c r="J561" s="16"/>
      <c r="K561" s="16"/>
      <c r="L561" s="16"/>
    </row>
    <row r="562" ht="15.75" customHeight="1">
      <c r="G562" s="51"/>
      <c r="H562" s="16"/>
      <c r="I562" s="16"/>
      <c r="J562" s="16"/>
      <c r="K562" s="16"/>
      <c r="L562" s="16"/>
    </row>
    <row r="563" ht="15.75" customHeight="1">
      <c r="G563" s="51"/>
      <c r="H563" s="16"/>
      <c r="I563" s="16"/>
      <c r="J563" s="16"/>
      <c r="K563" s="16"/>
      <c r="L563" s="16"/>
    </row>
    <row r="564" ht="15.75" customHeight="1">
      <c r="G564" s="51"/>
      <c r="H564" s="16"/>
      <c r="I564" s="16"/>
      <c r="J564" s="16"/>
      <c r="K564" s="16"/>
      <c r="L564" s="16"/>
    </row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6">
    <mergeCell ref="B3:C3"/>
    <mergeCell ref="D3:E3"/>
    <mergeCell ref="H3:L3"/>
    <mergeCell ref="H4:L4"/>
    <mergeCell ref="H6:L6"/>
    <mergeCell ref="N8:N31"/>
    <mergeCell ref="N32:N55"/>
    <mergeCell ref="N528:N551"/>
    <mergeCell ref="N554:N564"/>
    <mergeCell ref="N56:N79"/>
    <mergeCell ref="N372:N395"/>
    <mergeCell ref="N398:N421"/>
    <mergeCell ref="N424:N447"/>
    <mergeCell ref="N450:N473"/>
    <mergeCell ref="N476:N499"/>
    <mergeCell ref="N502:N525"/>
  </mergeCells>
  <printOptions/>
  <pageMargins bottom="0.75" footer="0.0" header="0.0" left="0.7" right="0.7" top="0.75"/>
  <pageSetup orientation="landscape"/>
  <drawing r:id="rId1"/>
</worksheet>
</file>