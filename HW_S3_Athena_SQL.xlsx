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3_Athena" sheetId="1" r:id="rId4"/>
    <sheet state="visible" name="上(交流道)北上" sheetId="2" r:id="rId5"/>
    <sheet state="visible" name="上(交流道)南下" sheetId="3" r:id="rId6"/>
    <sheet state="visible" name="下(交流道)北上" sheetId="4" r:id="rId7"/>
    <sheet state="visible" name="下(交流道)南下" sheetId="5" r:id="rId8"/>
  </sheets>
  <definedNames/>
  <calcPr/>
  <extLst>
    <ext uri="GoogleSheetsCustomDataVersion2">
      <go:sheetsCustomData xmlns:go="http://customooxmlschemas.google.com/" r:id="rId9" roundtripDataChecksum="ojuUwMxTSOv/avBUf0BFLgYOhLPYiVLosTntdEDfqoU="/>
    </ext>
  </extLst>
</workbook>
</file>

<file path=xl/sharedStrings.xml><?xml version="1.0" encoding="utf-8"?>
<sst xmlns="http://schemas.openxmlformats.org/spreadsheetml/2006/main" count="193" uniqueCount="149">
  <si>
    <t>Score</t>
  </si>
  <si>
    <t>Checked 1</t>
  </si>
  <si>
    <t>Checked 2</t>
  </si>
  <si>
    <t>錯誤舉發（加分）（Check1&amp;2 都沒有問題）</t>
  </si>
  <si>
    <t>學號</t>
  </si>
  <si>
    <t>姓名</t>
  </si>
  <si>
    <t>交流道名稱 (Execl URL)</t>
  </si>
  <si>
    <t>北上</t>
  </si>
  <si>
    <t>南下</t>
  </si>
  <si>
    <t>Check (2 位)</t>
  </si>
  <si>
    <t>( 學號＿姓名)</t>
  </si>
  <si>
    <t xml:space="preserve">  Unknown Check（ID_Name）</t>
  </si>
  <si>
    <t>109021040</t>
  </si>
  <si>
    <t>李奇勳</t>
  </si>
  <si>
    <t>109021336</t>
  </si>
  <si>
    <t>林 威</t>
  </si>
  <si>
    <t>109021370</t>
  </si>
  <si>
    <t>黃裕睿</t>
  </si>
  <si>
    <t>109021402</t>
  </si>
  <si>
    <t>林亮宇</t>
  </si>
  <si>
    <t>109021480</t>
  </si>
  <si>
    <t>李明翰</t>
  </si>
  <si>
    <t>110021001</t>
  </si>
  <si>
    <t>賴建燁</t>
  </si>
  <si>
    <t>110021002</t>
  </si>
  <si>
    <t>林哲宇</t>
  </si>
  <si>
    <t>南港系統交流道</t>
  </si>
  <si>
    <t>110021006</t>
  </si>
  <si>
    <t>施柔謙</t>
  </si>
  <si>
    <t>110021007</t>
  </si>
  <si>
    <t>陳楷中</t>
  </si>
  <si>
    <t>110021008</t>
  </si>
  <si>
    <t>馮文郁</t>
  </si>
  <si>
    <t>110021011</t>
  </si>
  <si>
    <t>謝名泙</t>
  </si>
  <si>
    <t>110021015</t>
  </si>
  <si>
    <t>吳政育</t>
  </si>
  <si>
    <t>110021032</t>
  </si>
  <si>
    <t>陳宏遠</t>
  </si>
  <si>
    <t>110021034</t>
  </si>
  <si>
    <t>李志輝</t>
  </si>
  <si>
    <t>110021036</t>
  </si>
  <si>
    <t>陳奕辰</t>
  </si>
  <si>
    <t>110021038</t>
  </si>
  <si>
    <t>黃偉倫</t>
  </si>
  <si>
    <t>110021039</t>
  </si>
  <si>
    <t>黃柏翔</t>
  </si>
  <si>
    <t>110021047</t>
  </si>
  <si>
    <t>歐冠新</t>
  </si>
  <si>
    <t>110021052</t>
  </si>
  <si>
    <t>許聿萱</t>
  </si>
  <si>
    <t>110021053</t>
  </si>
  <si>
    <t>吳豐宇</t>
  </si>
  <si>
    <t>110021063</t>
  </si>
  <si>
    <t>林承翰</t>
  </si>
  <si>
    <t>110021064</t>
  </si>
  <si>
    <t>李洸劤</t>
  </si>
  <si>
    <t>110021065</t>
  </si>
  <si>
    <t>曾宇成</t>
  </si>
  <si>
    <t>110021066</t>
  </si>
  <si>
    <t>李侑誠</t>
  </si>
  <si>
    <t>110021070</t>
  </si>
  <si>
    <t>王翊驊</t>
  </si>
  <si>
    <t>110021075</t>
  </si>
  <si>
    <t>陳政翔</t>
  </si>
  <si>
    <t>110021083</t>
  </si>
  <si>
    <t>張秉暉</t>
  </si>
  <si>
    <t>110021088</t>
  </si>
  <si>
    <t>王昱宸</t>
  </si>
  <si>
    <t>110021095</t>
  </si>
  <si>
    <t>黃志峰</t>
  </si>
  <si>
    <t>110021098</t>
  </si>
  <si>
    <t>劉卜愷</t>
  </si>
  <si>
    <t>110021100</t>
  </si>
  <si>
    <t>賴雨安</t>
  </si>
  <si>
    <t>南州交流道</t>
  </si>
  <si>
    <t>110021101</t>
  </si>
  <si>
    <t>董亮杰</t>
  </si>
  <si>
    <t>110021105</t>
  </si>
  <si>
    <t>謝東霖</t>
  </si>
  <si>
    <t>110021106</t>
  </si>
  <si>
    <t>趙建核</t>
  </si>
  <si>
    <t>110021109</t>
  </si>
  <si>
    <t>洪紹棋</t>
  </si>
  <si>
    <t>110021110</t>
  </si>
  <si>
    <t>蔡宗侑</t>
  </si>
  <si>
    <t>110021111</t>
  </si>
  <si>
    <t>鄭博文</t>
  </si>
  <si>
    <t>110021113</t>
  </si>
  <si>
    <t>周晨峯</t>
  </si>
  <si>
    <t>110021115</t>
  </si>
  <si>
    <t>林家鋒</t>
  </si>
  <si>
    <t>110021128</t>
  </si>
  <si>
    <t>謝欣恩</t>
  </si>
  <si>
    <t>110021156</t>
  </si>
  <si>
    <t>王捷奕</t>
  </si>
  <si>
    <t>110021160</t>
  </si>
  <si>
    <t>林忠億</t>
  </si>
  <si>
    <t>110021162</t>
  </si>
  <si>
    <t>蔡詠鈞</t>
  </si>
  <si>
    <t>宜蘭交流道</t>
  </si>
  <si>
    <t>110021164</t>
  </si>
  <si>
    <t>葉禮盛</t>
  </si>
  <si>
    <t>110021165</t>
  </si>
  <si>
    <t>林瑋哲</t>
  </si>
  <si>
    <t>110021167</t>
  </si>
  <si>
    <t>連冠宇</t>
  </si>
  <si>
    <t>110021168</t>
  </si>
  <si>
    <t>謝博丞</t>
  </si>
  <si>
    <t>110021171</t>
  </si>
  <si>
    <t>傅澤雨</t>
  </si>
  <si>
    <t>110021172</t>
  </si>
  <si>
    <t>陳柏穎</t>
  </si>
  <si>
    <t>110021173</t>
  </si>
  <si>
    <t>黃毓庭</t>
  </si>
  <si>
    <t>110021176</t>
  </si>
  <si>
    <t>卓冠瑭</t>
  </si>
  <si>
    <t>110021178</t>
  </si>
  <si>
    <t>蔡松翰</t>
  </si>
  <si>
    <t>110021184</t>
  </si>
  <si>
    <t>劉妍群</t>
  </si>
  <si>
    <t>110021185</t>
  </si>
  <si>
    <t>江侑霖</t>
  </si>
  <si>
    <t>110021187</t>
  </si>
  <si>
    <t>張浩千</t>
  </si>
  <si>
    <t>110021190</t>
  </si>
  <si>
    <t>郭承勳</t>
  </si>
  <si>
    <t>110021208</t>
  </si>
  <si>
    <t>羅正旻</t>
  </si>
  <si>
    <t>111021144</t>
  </si>
  <si>
    <t>周耕弘</t>
  </si>
  <si>
    <t>111021148</t>
  </si>
  <si>
    <t>許茗竣</t>
  </si>
  <si>
    <t>上(交流道)(電子匝道代碼）
gantryid_o</t>
  </si>
  <si>
    <t>下(交流道)(電子匝道代碼）
gantryid_D</t>
  </si>
  <si>
    <r>
      <rPr>
        <rFont val="Arial"/>
        <color theme="1"/>
      </rPr>
      <t xml:space="preserve">Datatime = </t>
    </r>
    <r>
      <rPr>
        <rFont val="Arial"/>
        <color rgb="FFFF0000"/>
      </rPr>
      <t>2023/10/19</t>
    </r>
  </si>
  <si>
    <t>交流道名稱</t>
  </si>
  <si>
    <r>
      <rPr>
        <rFont val="Arial"/>
        <color theme="1"/>
      </rPr>
      <t>gantryid_o =</t>
    </r>
    <r>
      <rPr>
        <rFont val="Arial"/>
        <color rgb="FFFF0000"/>
      </rPr>
      <t xml:space="preserve"> '?N'</t>
    </r>
  </si>
  <si>
    <t>03F4232N</t>
  </si>
  <si>
    <t>VehicleType (VT)</t>
  </si>
  <si>
    <r>
      <rPr>
        <rFont val="Arial"/>
        <color theme="1"/>
      </rPr>
      <t xml:space="preserve">Datatime = </t>
    </r>
    <r>
      <rPr>
        <rFont val="Arial"/>
        <color rgb="FFFF0000"/>
      </rPr>
      <t>2023/10/19</t>
    </r>
  </si>
  <si>
    <t>gantryid_o = '03F4263S'</t>
  </si>
  <si>
    <t>03F4263S</t>
  </si>
  <si>
    <r>
      <rPr>
        <rFont val="Arial"/>
        <color theme="1"/>
      </rPr>
      <t xml:space="preserve">Datatime = </t>
    </r>
    <r>
      <rPr>
        <rFont val="Arial"/>
        <color rgb="FFFF0000"/>
      </rPr>
      <t>2023/10/19</t>
    </r>
  </si>
  <si>
    <r>
      <rPr>
        <rFont val="Arial"/>
        <color theme="1"/>
      </rPr>
      <t>gantryid_D =</t>
    </r>
    <r>
      <rPr>
        <rFont val="Arial"/>
        <color rgb="FFFF0000"/>
      </rPr>
      <t xml:space="preserve"> '*N'</t>
    </r>
  </si>
  <si>
    <t>03F4259N</t>
  </si>
  <si>
    <r>
      <rPr>
        <rFont val="Arial"/>
        <color theme="1"/>
      </rPr>
      <t xml:space="preserve">Datatime = </t>
    </r>
    <r>
      <rPr>
        <rFont val="Arial"/>
        <color rgb="FFFF0000"/>
      </rPr>
      <t>2023/10/18</t>
    </r>
  </si>
  <si>
    <t>gantryid_D = '03F4232SS'</t>
  </si>
  <si>
    <t>03F4232S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</si>
</sst>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4">
    <font>
      <sz val="10.0"/>
      <color rgb="FF000000"/>
      <name val="Arial"/>
      <scheme val="minor"/>
    </font>
    <font>
      <u/>
      <sz val="12.0"/>
      <color rgb="FF0000FF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2.0"/>
      <color theme="1"/>
      <name val="Arial"/>
    </font>
    <font/>
    <font>
      <sz val="12.0"/>
      <color theme="1"/>
      <name val="Microsoft JhengHei"/>
    </font>
    <font>
      <sz val="12.0"/>
      <color rgb="FFFF0000"/>
      <name val="Calibri"/>
    </font>
    <font>
      <b/>
      <sz val="15.0"/>
      <color rgb="FF0000FF"/>
      <name val="Arial"/>
    </font>
    <font>
      <b/>
      <sz val="14.0"/>
      <color rgb="FF008080"/>
      <name val="Arial"/>
    </font>
    <font>
      <sz val="12.0"/>
      <color theme="1"/>
      <name val="Roboto"/>
    </font>
    <font>
      <sz val="11.0"/>
      <color rgb="FFFF0000"/>
      <name val="Arial"/>
    </font>
    <font>
      <sz val="12.0"/>
      <color rgb="FF0000FF"/>
      <name val="Arial"/>
    </font>
    <font>
      <sz val="14.0"/>
      <color theme="1"/>
      <name val="Arial"/>
    </font>
    <font>
      <sz val="12.0"/>
      <color rgb="FF000000"/>
      <name val="Docs-Calibri"/>
    </font>
    <font>
      <b/>
      <sz val="12.0"/>
      <color theme="1"/>
      <name val="Roboto"/>
    </font>
    <font>
      <sz val="12.0"/>
      <color rgb="FF0563C1"/>
      <name val="Calibri"/>
    </font>
    <font>
      <sz val="11.0"/>
      <color theme="1"/>
      <name val="Roboto"/>
    </font>
    <font>
      <color theme="1"/>
      <name val="Arial"/>
    </font>
    <font>
      <sz val="12.0"/>
      <color rgb="FF1F1F1F"/>
      <name val="Arial"/>
    </font>
    <font>
      <sz val="12.0"/>
      <color rgb="FF000000"/>
      <name val="PMingLiu"/>
    </font>
    <font>
      <sz val="9.0"/>
      <color rgb="FF1F1F1F"/>
      <name val="Arial"/>
    </font>
    <font>
      <b/>
      <sz val="14.0"/>
      <color theme="1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8DDF2"/>
        <bgColor rgb="FFC8DDF2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1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9" xfId="0" applyAlignment="1" applyBorder="1" applyFont="1" applyNumberFormat="1">
      <alignment horizontal="center" vertical="bottom"/>
    </xf>
    <xf borderId="0" fillId="0" fontId="4" numFmtId="9" xfId="0" applyAlignment="1" applyFont="1" applyNumberFormat="1">
      <alignment horizontal="center" vertical="bottom"/>
    </xf>
    <xf borderId="3" fillId="0" fontId="3" numFmtId="9" xfId="0" applyAlignment="1" applyBorder="1" applyFont="1" applyNumberFormat="1">
      <alignment horizontal="center" vertical="bottom"/>
    </xf>
    <xf borderId="2" fillId="0" fontId="5" numFmtId="0" xfId="0" applyBorder="1" applyFont="1"/>
    <xf borderId="0" fillId="0" fontId="2" numFmtId="0" xfId="0" applyAlignment="1" applyFont="1">
      <alignment vertical="bottom"/>
    </xf>
    <xf borderId="4" fillId="0" fontId="2" numFmtId="0" xfId="0" applyAlignment="1" applyBorder="1" applyFont="1">
      <alignment vertical="bottom"/>
    </xf>
    <xf borderId="0" fillId="0" fontId="2" numFmtId="9" xfId="0" applyAlignment="1" applyFont="1" applyNumberFormat="1">
      <alignment vertical="bottom"/>
    </xf>
    <xf borderId="4" fillId="2" fontId="6" numFmtId="0" xfId="0" applyAlignment="1" applyBorder="1" applyFill="1" applyFont="1">
      <alignment horizontal="center" shrinkToFit="0" vertical="bottom" wrapText="1"/>
    </xf>
    <xf borderId="5" fillId="0" fontId="5" numFmtId="0" xfId="0" applyBorder="1" applyFont="1"/>
    <xf borderId="5" fillId="2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shrinkToFit="0" vertical="bottom" wrapText="1"/>
    </xf>
    <xf borderId="6" fillId="3" fontId="9" numFmtId="0" xfId="0" applyAlignment="1" applyBorder="1" applyFill="1" applyFont="1">
      <alignment shrinkToFit="0" vertical="bottom" wrapText="1"/>
    </xf>
    <xf borderId="5" fillId="3" fontId="9" numFmtId="0" xfId="0" applyAlignment="1" applyBorder="1" applyFont="1">
      <alignment shrinkToFit="0" vertical="bottom" wrapText="1"/>
    </xf>
    <xf borderId="5" fillId="2" fontId="2" numFmtId="9" xfId="0" applyAlignment="1" applyBorder="1" applyFont="1" applyNumberFormat="1">
      <alignment vertical="bottom"/>
    </xf>
    <xf borderId="5" fillId="2" fontId="10" numFmtId="0" xfId="0" applyAlignment="1" applyBorder="1" applyFont="1">
      <alignment horizontal="center" shrinkToFit="0" vertical="bottom" wrapText="1"/>
    </xf>
    <xf borderId="5" fillId="2" fontId="6" numFmtId="9" xfId="0" applyAlignment="1" applyBorder="1" applyFont="1" applyNumberFormat="1">
      <alignment horizontal="center" shrinkToFit="0" vertical="bottom" wrapText="1"/>
    </xf>
    <xf borderId="5" fillId="2" fontId="4" numFmtId="9" xfId="0" applyAlignment="1" applyBorder="1" applyFont="1" applyNumberFormat="1">
      <alignment horizontal="center" shrinkToFit="0" vertical="bottom" wrapText="1"/>
    </xf>
    <xf borderId="5" fillId="2" fontId="11" numFmtId="0" xfId="0" applyAlignment="1" applyBorder="1" applyFont="1">
      <alignment horizontal="center" shrinkToFit="0" vertical="bottom" wrapText="1"/>
    </xf>
    <xf borderId="5" fillId="0" fontId="11" numFmtId="0" xfId="0" applyAlignment="1" applyBorder="1" applyFont="1">
      <alignment horizontal="center" shrinkToFit="0" vertical="bottom" wrapText="1"/>
    </xf>
    <xf borderId="6" fillId="4" fontId="12" numFmtId="0" xfId="0" applyAlignment="1" applyBorder="1" applyFill="1" applyFont="1">
      <alignment horizontal="center" shrinkToFit="0" vertical="bottom" wrapText="1"/>
    </xf>
    <xf borderId="6" fillId="4" fontId="2" numFmtId="49" xfId="0" applyAlignment="1" applyBorder="1" applyFont="1" applyNumberFormat="1">
      <alignment vertical="bottom"/>
    </xf>
    <xf borderId="5" fillId="4" fontId="2" numFmtId="49" xfId="0" applyAlignment="1" applyBorder="1" applyFont="1" applyNumberFormat="1">
      <alignment vertical="bottom"/>
    </xf>
    <xf borderId="5" fillId="5" fontId="2" numFmtId="3" xfId="0" applyAlignment="1" applyBorder="1" applyFill="1" applyFont="1" applyNumberFormat="1">
      <alignment horizontal="right" vertical="bottom"/>
    </xf>
    <xf borderId="5" fillId="4" fontId="13" numFmtId="0" xfId="0" applyAlignment="1" applyBorder="1" applyFont="1">
      <alignment vertical="bottom"/>
    </xf>
    <xf borderId="2" fillId="0" fontId="3" numFmtId="3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5" fillId="0" fontId="2" numFmtId="49" xfId="0" applyAlignment="1" applyBorder="1" applyFont="1" applyNumberFormat="1">
      <alignment vertical="bottom"/>
    </xf>
    <xf borderId="4" fillId="4" fontId="2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5" fillId="4" fontId="2" numFmtId="0" xfId="0" applyAlignment="1" applyBorder="1" applyFont="1">
      <alignment vertical="bottom"/>
    </xf>
    <xf borderId="0" fillId="4" fontId="6" numFmtId="0" xfId="0" applyAlignment="1" applyFont="1">
      <alignment vertical="bottom"/>
    </xf>
    <xf borderId="5" fillId="4" fontId="10" numFmtId="0" xfId="0" applyAlignment="1" applyBorder="1" applyFont="1">
      <alignment vertical="bottom"/>
    </xf>
    <xf borderId="5" fillId="5" fontId="2" numFmtId="0" xfId="0" applyAlignment="1" applyBorder="1" applyFont="1">
      <alignment horizontal="right" vertical="bottom"/>
    </xf>
    <xf borderId="0" fillId="4" fontId="14" numFmtId="0" xfId="0" applyAlignment="1" applyFont="1">
      <alignment horizontal="left" readingOrder="0"/>
    </xf>
    <xf borderId="0" fillId="4" fontId="15" numFmtId="0" xfId="0" applyAlignment="1" applyFont="1">
      <alignment vertical="bottom"/>
    </xf>
    <xf borderId="4" fillId="0" fontId="16" numFmtId="0" xfId="0" applyAlignment="1" applyBorder="1" applyFont="1">
      <alignment vertical="bottom"/>
    </xf>
    <xf borderId="5" fillId="0" fontId="16" numFmtId="0" xfId="0" applyAlignment="1" applyBorder="1" applyFont="1">
      <alignment vertical="bottom"/>
    </xf>
    <xf borderId="5" fillId="0" fontId="17" numFmtId="0" xfId="0" applyAlignment="1" applyBorder="1" applyFont="1">
      <alignment vertical="bottom"/>
    </xf>
    <xf borderId="5" fillId="4" fontId="4" numFmtId="0" xfId="0" applyAlignment="1" applyBorder="1" applyFont="1">
      <alignment shrinkToFit="0" vertical="bottom" wrapText="1"/>
    </xf>
    <xf borderId="0" fillId="0" fontId="6" numFmtId="0" xfId="0" applyAlignment="1" applyFont="1">
      <alignment horizontal="center" shrinkToFit="0" vertical="bottom" wrapText="1"/>
    </xf>
    <xf borderId="7" fillId="0" fontId="18" numFmtId="0" xfId="0" applyAlignment="1" applyBorder="1" applyFont="1">
      <alignment horizontal="left"/>
    </xf>
    <xf borderId="7" fillId="2" fontId="18" numFmtId="0" xfId="0" applyAlignment="1" applyBorder="1" applyFont="1">
      <alignment horizontal="left" readingOrder="0"/>
    </xf>
    <xf borderId="4" fillId="0" fontId="6" numFmtId="0" xfId="0" applyAlignment="1" applyBorder="1" applyFont="1">
      <alignment horizontal="center" shrinkToFit="0" vertical="bottom" wrapText="1"/>
    </xf>
    <xf borderId="8" fillId="0" fontId="18" numFmtId="0" xfId="0" applyAlignment="1" applyBorder="1" applyFont="1">
      <alignment horizontal="left"/>
    </xf>
    <xf borderId="3" fillId="0" fontId="5" numFmtId="0" xfId="0" applyBorder="1" applyFont="1"/>
    <xf borderId="7" fillId="0" fontId="19" numFmtId="0" xfId="0" applyBorder="1" applyFont="1"/>
    <xf borderId="5" fillId="0" fontId="6" numFmtId="9" xfId="0" applyAlignment="1" applyBorder="1" applyFont="1" applyNumberFormat="1">
      <alignment horizontal="center" shrinkToFit="0" vertical="bottom" wrapText="1"/>
    </xf>
    <xf borderId="5" fillId="0" fontId="4" numFmtId="9" xfId="0" applyAlignment="1" applyBorder="1" applyFont="1" applyNumberFormat="1">
      <alignment horizontal="center" shrinkToFit="0" vertical="bottom" wrapText="1"/>
    </xf>
    <xf borderId="7" fillId="0" fontId="2" numFmtId="0" xfId="0" applyAlignment="1" applyBorder="1" applyFont="1">
      <alignment readingOrder="0" vertical="bottom"/>
    </xf>
    <xf borderId="7" fillId="2" fontId="2" numFmtId="0" xfId="0" applyAlignment="1" applyBorder="1" applyFont="1">
      <alignment readingOrder="0" shrinkToFit="0" wrapText="0"/>
    </xf>
    <xf borderId="8" fillId="0" fontId="18" numFmtId="0" xfId="0" applyAlignment="1" applyBorder="1" applyFont="1">
      <alignment horizontal="center"/>
    </xf>
    <xf borderId="0" fillId="0" fontId="18" numFmtId="0" xfId="0" applyAlignment="1" applyFont="1">
      <alignment vertical="bottom"/>
    </xf>
    <xf borderId="7" fillId="0" fontId="4" numFmtId="0" xfId="0" applyAlignment="1" applyBorder="1" applyFont="1">
      <alignment horizontal="right" vertical="bottom"/>
    </xf>
    <xf borderId="9" fillId="0" fontId="18" numFmtId="164" xfId="0" applyAlignment="1" applyBorder="1" applyFont="1" applyNumberFormat="1">
      <alignment vertical="center"/>
    </xf>
    <xf borderId="7" fillId="0" fontId="18" numFmtId="0" xfId="0" applyAlignment="1" applyBorder="1" applyFont="1">
      <alignment horizontal="right" vertical="bottom"/>
    </xf>
    <xf borderId="5" fillId="0" fontId="18" numFmtId="0" xfId="0" applyAlignment="1" applyBorder="1" applyFont="1">
      <alignment readingOrder="0" vertical="bottom"/>
    </xf>
    <xf borderId="10" fillId="0" fontId="5" numFmtId="0" xfId="0" applyBorder="1" applyFont="1"/>
    <xf borderId="5" fillId="0" fontId="18" numFmtId="0" xfId="0" applyAlignment="1" applyBorder="1" applyFont="1">
      <alignment vertical="bottom"/>
    </xf>
    <xf borderId="0" fillId="0" fontId="20" numFmtId="0" xfId="0" applyAlignment="1" applyFont="1">
      <alignment horizontal="right" shrinkToFit="0" wrapText="0"/>
    </xf>
    <xf borderId="6" fillId="0" fontId="5" numFmtId="0" xfId="0" applyBorder="1" applyFont="1"/>
    <xf borderId="7" fillId="0" fontId="20" numFmtId="0" xfId="0" applyAlignment="1" applyBorder="1" applyFont="1">
      <alignment horizontal="right" readingOrder="0" shrinkToFit="0" wrapText="0"/>
    </xf>
    <xf borderId="0" fillId="4" fontId="21" numFmtId="0" xfId="0" applyFont="1"/>
    <xf borderId="0" fillId="0" fontId="22" numFmtId="0" xfId="0" applyFont="1"/>
    <xf borderId="7" fillId="2" fontId="18" numFmtId="0" xfId="0" applyAlignment="1" applyBorder="1" applyFont="1">
      <alignment horizontal="left"/>
    </xf>
    <xf borderId="8" fillId="0" fontId="18" numFmtId="0" xfId="0" applyAlignment="1" applyBorder="1" applyFont="1">
      <alignment horizontal="left" readingOrder="0"/>
    </xf>
    <xf borderId="0" fillId="2" fontId="23" numFmtId="0" xfId="0" applyAlignment="1" applyFont="1">
      <alignment horizontal="center" readingOrder="0"/>
    </xf>
    <xf borderId="7" fillId="0" fontId="20" numFmtId="0" xfId="0" applyAlignment="1" applyBorder="1" applyFont="1">
      <alignment horizontal="right" shrinkToFit="0" wrapText="0"/>
    </xf>
    <xf borderId="0" fillId="0" fontId="20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PM0SBn3ThBk0HZo7ODD2-46oHw0vWNB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0"/>
    <col customWidth="1" min="3" max="3" width="8.0"/>
    <col customWidth="1" min="4" max="4" width="16.5"/>
    <col customWidth="1" min="5" max="6" width="12.63"/>
    <col customWidth="1" min="9" max="9" width="14.5"/>
    <col customWidth="1" min="10" max="10" width="20.63"/>
    <col customWidth="1" min="11" max="11" width="21.75"/>
    <col customWidth="1" min="12" max="12" width="24.0"/>
  </cols>
  <sheetData>
    <row r="1" ht="15.75" customHeight="1">
      <c r="A1" s="1" t="s">
        <v>0</v>
      </c>
      <c r="B1" s="2"/>
      <c r="C1" s="3">
        <f>SUM(D1:J1)</f>
        <v>0.05</v>
      </c>
      <c r="D1" s="4"/>
      <c r="E1" s="3">
        <v>0.01</v>
      </c>
      <c r="F1" s="3">
        <v>0.01</v>
      </c>
      <c r="G1" s="3">
        <v>0.01</v>
      </c>
      <c r="H1" s="3">
        <v>0.01</v>
      </c>
      <c r="I1" s="3">
        <v>0.01</v>
      </c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/>
      <c r="B2" s="8"/>
      <c r="C2" s="9"/>
      <c r="D2" s="7"/>
      <c r="E2" s="10"/>
      <c r="F2" s="11"/>
      <c r="G2" s="10"/>
      <c r="H2" s="11"/>
      <c r="I2" s="12"/>
      <c r="J2" s="13" t="s">
        <v>1</v>
      </c>
      <c r="K2" s="13" t="s">
        <v>2</v>
      </c>
      <c r="L2" s="14" t="s">
        <v>3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15" t="s">
        <v>4</v>
      </c>
      <c r="B3" s="16" t="s">
        <v>5</v>
      </c>
      <c r="C3" s="17"/>
      <c r="D3" s="18" t="s">
        <v>6</v>
      </c>
      <c r="E3" s="19" t="s">
        <v>7</v>
      </c>
      <c r="F3" s="20" t="s">
        <v>8</v>
      </c>
      <c r="G3" s="19" t="s">
        <v>7</v>
      </c>
      <c r="H3" s="20" t="s">
        <v>8</v>
      </c>
      <c r="I3" s="21" t="s">
        <v>9</v>
      </c>
      <c r="J3" s="22" t="s">
        <v>10</v>
      </c>
      <c r="K3" s="22" t="s">
        <v>10</v>
      </c>
      <c r="L3" s="23" t="s">
        <v>11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5.75" customHeight="1">
      <c r="A4" s="24" t="s">
        <v>12</v>
      </c>
      <c r="B4" s="25" t="s">
        <v>13</v>
      </c>
      <c r="C4" s="26">
        <f t="shared" ref="C4:C62" si="1">sum(E4:I4)</f>
        <v>1</v>
      </c>
      <c r="D4" s="27"/>
      <c r="E4" s="28">
        <v>1.0</v>
      </c>
      <c r="F4" s="28">
        <v>0.0</v>
      </c>
      <c r="G4" s="28">
        <v>0.0</v>
      </c>
      <c r="H4" s="28">
        <v>0.0</v>
      </c>
      <c r="I4" s="28">
        <v>0.0</v>
      </c>
      <c r="J4" s="29"/>
      <c r="K4" s="29"/>
      <c r="L4" s="30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75" customHeight="1">
      <c r="A5" s="24" t="s">
        <v>14</v>
      </c>
      <c r="B5" s="25" t="s">
        <v>15</v>
      </c>
      <c r="C5" s="26">
        <f t="shared" si="1"/>
        <v>0</v>
      </c>
      <c r="D5" s="29"/>
      <c r="E5" s="28">
        <v>0.0</v>
      </c>
      <c r="F5" s="28">
        <v>0.0</v>
      </c>
      <c r="G5" s="28">
        <v>0.0</v>
      </c>
      <c r="H5" s="28">
        <v>0.0</v>
      </c>
      <c r="I5" s="28">
        <v>0.0</v>
      </c>
      <c r="J5" s="29"/>
      <c r="K5" s="29"/>
      <c r="L5" s="30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5.75" customHeight="1">
      <c r="A6" s="24" t="s">
        <v>16</v>
      </c>
      <c r="B6" s="25" t="s">
        <v>17</v>
      </c>
      <c r="C6" s="26">
        <f t="shared" si="1"/>
        <v>0</v>
      </c>
      <c r="D6" s="29"/>
      <c r="E6" s="28">
        <v>0.0</v>
      </c>
      <c r="F6" s="28">
        <v>0.0</v>
      </c>
      <c r="G6" s="28">
        <v>0.0</v>
      </c>
      <c r="H6" s="28">
        <v>0.0</v>
      </c>
      <c r="I6" s="28">
        <v>0.0</v>
      </c>
      <c r="J6" s="29"/>
      <c r="K6" s="29"/>
      <c r="L6" s="30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24" t="s">
        <v>18</v>
      </c>
      <c r="B7" s="25" t="s">
        <v>19</v>
      </c>
      <c r="C7" s="26">
        <f t="shared" si="1"/>
        <v>0</v>
      </c>
      <c r="D7" s="29"/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9"/>
      <c r="K7" s="31"/>
      <c r="L7" s="30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24" t="s">
        <v>20</v>
      </c>
      <c r="B8" s="32" t="s">
        <v>21</v>
      </c>
      <c r="C8" s="26">
        <f t="shared" si="1"/>
        <v>0</v>
      </c>
      <c r="D8" s="29"/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9"/>
      <c r="K8" s="33"/>
      <c r="L8" s="30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24" t="s">
        <v>22</v>
      </c>
      <c r="B9" s="32" t="s">
        <v>23</v>
      </c>
      <c r="C9" s="26">
        <f t="shared" si="1"/>
        <v>0</v>
      </c>
      <c r="D9" s="34"/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9"/>
      <c r="K9" s="29"/>
      <c r="L9" s="30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24" t="s">
        <v>24</v>
      </c>
      <c r="B10" s="25" t="s">
        <v>25</v>
      </c>
      <c r="C10" s="26">
        <f t="shared" si="1"/>
        <v>0</v>
      </c>
      <c r="D10" s="29" t="s">
        <v>26</v>
      </c>
      <c r="E10" s="28">
        <v>0.0</v>
      </c>
      <c r="F10" s="28">
        <v>0.0</v>
      </c>
      <c r="G10" s="28">
        <v>0.0</v>
      </c>
      <c r="H10" s="28">
        <v>0.0</v>
      </c>
      <c r="I10" s="28">
        <v>0.0</v>
      </c>
      <c r="J10" s="29"/>
      <c r="K10" s="29"/>
      <c r="L10" s="30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24" t="s">
        <v>27</v>
      </c>
      <c r="B11" s="25" t="s">
        <v>28</v>
      </c>
      <c r="C11" s="26">
        <f t="shared" si="1"/>
        <v>0</v>
      </c>
      <c r="D11" s="29"/>
      <c r="E11" s="28">
        <v>0.0</v>
      </c>
      <c r="F11" s="28">
        <v>0.0</v>
      </c>
      <c r="G11" s="28">
        <v>0.0</v>
      </c>
      <c r="H11" s="28">
        <v>0.0</v>
      </c>
      <c r="I11" s="28">
        <v>0.0</v>
      </c>
      <c r="J11" s="29"/>
      <c r="K11" s="29"/>
      <c r="L11" s="30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24" t="s">
        <v>29</v>
      </c>
      <c r="B12" s="25" t="s">
        <v>30</v>
      </c>
      <c r="C12" s="26">
        <f t="shared" si="1"/>
        <v>0</v>
      </c>
      <c r="D12" s="29"/>
      <c r="E12" s="28">
        <v>0.0</v>
      </c>
      <c r="F12" s="28">
        <v>0.0</v>
      </c>
      <c r="G12" s="28">
        <v>0.0</v>
      </c>
      <c r="H12" s="28">
        <v>0.0</v>
      </c>
      <c r="I12" s="28">
        <v>0.0</v>
      </c>
      <c r="J12" s="29"/>
      <c r="K12" s="25"/>
      <c r="L12" s="30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24" t="s">
        <v>31</v>
      </c>
      <c r="B13" s="25" t="s">
        <v>32</v>
      </c>
      <c r="C13" s="26">
        <f t="shared" si="1"/>
        <v>0</v>
      </c>
      <c r="D13" s="29"/>
      <c r="E13" s="28">
        <v>0.0</v>
      </c>
      <c r="F13" s="28">
        <v>0.0</v>
      </c>
      <c r="G13" s="28">
        <v>0.0</v>
      </c>
      <c r="H13" s="28">
        <v>0.0</v>
      </c>
      <c r="I13" s="28">
        <v>0.0</v>
      </c>
      <c r="J13" s="29"/>
      <c r="K13" s="29"/>
      <c r="L13" s="30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24" t="s">
        <v>33</v>
      </c>
      <c r="B14" s="25" t="s">
        <v>34</v>
      </c>
      <c r="C14" s="26">
        <f t="shared" si="1"/>
        <v>0</v>
      </c>
      <c r="D14" s="29"/>
      <c r="E14" s="28">
        <v>0.0</v>
      </c>
      <c r="F14" s="28">
        <v>0.0</v>
      </c>
      <c r="G14" s="28">
        <v>0.0</v>
      </c>
      <c r="H14" s="28">
        <v>0.0</v>
      </c>
      <c r="I14" s="28">
        <v>0.0</v>
      </c>
      <c r="J14" s="29"/>
      <c r="K14" s="29"/>
      <c r="L14" s="30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24" t="s">
        <v>35</v>
      </c>
      <c r="B15" s="25" t="s">
        <v>36</v>
      </c>
      <c r="C15" s="26">
        <f t="shared" si="1"/>
        <v>0</v>
      </c>
      <c r="D15" s="29"/>
      <c r="E15" s="28">
        <v>0.0</v>
      </c>
      <c r="F15" s="28">
        <v>0.0</v>
      </c>
      <c r="G15" s="28">
        <v>0.0</v>
      </c>
      <c r="H15" s="28">
        <v>0.0</v>
      </c>
      <c r="I15" s="28">
        <v>0.0</v>
      </c>
      <c r="J15" s="29"/>
      <c r="K15" s="29"/>
      <c r="L15" s="30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24" t="s">
        <v>37</v>
      </c>
      <c r="B16" s="25" t="s">
        <v>38</v>
      </c>
      <c r="C16" s="26">
        <f t="shared" si="1"/>
        <v>0</v>
      </c>
      <c r="D16" s="25"/>
      <c r="E16" s="28">
        <v>0.0</v>
      </c>
      <c r="F16" s="28">
        <v>0.0</v>
      </c>
      <c r="G16" s="28">
        <v>0.0</v>
      </c>
      <c r="H16" s="28">
        <v>0.0</v>
      </c>
      <c r="I16" s="28">
        <v>0.0</v>
      </c>
      <c r="J16" s="29"/>
      <c r="K16" s="31"/>
      <c r="L16" s="30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24" t="s">
        <v>39</v>
      </c>
      <c r="B17" s="25" t="s">
        <v>40</v>
      </c>
      <c r="C17" s="26">
        <f t="shared" si="1"/>
        <v>0</v>
      </c>
      <c r="D17" s="29"/>
      <c r="E17" s="28">
        <v>0.0</v>
      </c>
      <c r="F17" s="28">
        <v>0.0</v>
      </c>
      <c r="G17" s="28">
        <v>0.0</v>
      </c>
      <c r="H17" s="28">
        <v>0.0</v>
      </c>
      <c r="I17" s="28">
        <v>0.0</v>
      </c>
      <c r="J17" s="29"/>
      <c r="K17" s="33"/>
      <c r="L17" s="30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24" t="s">
        <v>41</v>
      </c>
      <c r="B18" s="25" t="s">
        <v>42</v>
      </c>
      <c r="C18" s="26">
        <f t="shared" si="1"/>
        <v>0</v>
      </c>
      <c r="D18" s="29"/>
      <c r="E18" s="28">
        <v>0.0</v>
      </c>
      <c r="F18" s="28">
        <v>0.0</v>
      </c>
      <c r="G18" s="28">
        <v>0.0</v>
      </c>
      <c r="H18" s="28">
        <v>0.0</v>
      </c>
      <c r="I18" s="28">
        <v>0.0</v>
      </c>
      <c r="J18" s="29"/>
      <c r="K18" s="29"/>
      <c r="L18" s="30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24" t="s">
        <v>43</v>
      </c>
      <c r="B19" s="25" t="s">
        <v>44</v>
      </c>
      <c r="C19" s="26">
        <f t="shared" si="1"/>
        <v>0</v>
      </c>
      <c r="D19" s="29"/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9"/>
      <c r="K19" s="29"/>
      <c r="L19" s="30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24" t="s">
        <v>45</v>
      </c>
      <c r="B20" s="25" t="s">
        <v>46</v>
      </c>
      <c r="C20" s="26">
        <f t="shared" si="1"/>
        <v>0</v>
      </c>
      <c r="D20" s="29"/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  <c r="J20" s="29"/>
      <c r="K20" s="29"/>
      <c r="L20" s="30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24" t="s">
        <v>47</v>
      </c>
      <c r="B21" s="25" t="s">
        <v>48</v>
      </c>
      <c r="C21" s="26">
        <f t="shared" si="1"/>
        <v>0</v>
      </c>
      <c r="D21" s="29"/>
      <c r="E21" s="28">
        <v>0.0</v>
      </c>
      <c r="F21" s="28">
        <v>0.0</v>
      </c>
      <c r="G21" s="28">
        <v>0.0</v>
      </c>
      <c r="H21" s="28">
        <v>0.0</v>
      </c>
      <c r="I21" s="28">
        <v>0.0</v>
      </c>
      <c r="J21" s="29"/>
      <c r="K21" s="25"/>
      <c r="L21" s="30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24" t="s">
        <v>49</v>
      </c>
      <c r="B22" s="25" t="s">
        <v>50</v>
      </c>
      <c r="C22" s="26">
        <f t="shared" si="1"/>
        <v>0</v>
      </c>
      <c r="D22" s="29"/>
      <c r="E22" s="28">
        <v>0.0</v>
      </c>
      <c r="F22" s="28">
        <v>0.0</v>
      </c>
      <c r="G22" s="28">
        <v>0.0</v>
      </c>
      <c r="H22" s="28">
        <v>0.0</v>
      </c>
      <c r="I22" s="28">
        <v>0.0</v>
      </c>
      <c r="J22" s="29"/>
      <c r="K22" s="29"/>
      <c r="L22" s="30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24" t="s">
        <v>51</v>
      </c>
      <c r="B23" s="25" t="s">
        <v>52</v>
      </c>
      <c r="C23" s="26">
        <f t="shared" si="1"/>
        <v>0</v>
      </c>
      <c r="D23" s="29"/>
      <c r="E23" s="28">
        <v>0.0</v>
      </c>
      <c r="F23" s="28">
        <v>0.0</v>
      </c>
      <c r="G23" s="28">
        <v>0.0</v>
      </c>
      <c r="H23" s="28">
        <v>0.0</v>
      </c>
      <c r="I23" s="28">
        <v>0.0</v>
      </c>
      <c r="J23" s="29"/>
      <c r="K23" s="29"/>
      <c r="L23" s="30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24" t="s">
        <v>53</v>
      </c>
      <c r="B24" s="25" t="s">
        <v>54</v>
      </c>
      <c r="C24" s="26">
        <f t="shared" si="1"/>
        <v>0</v>
      </c>
      <c r="D24" s="29"/>
      <c r="E24" s="28">
        <v>0.0</v>
      </c>
      <c r="F24" s="28">
        <v>0.0</v>
      </c>
      <c r="G24" s="28">
        <v>0.0</v>
      </c>
      <c r="H24" s="28">
        <v>0.0</v>
      </c>
      <c r="I24" s="28">
        <v>0.0</v>
      </c>
      <c r="J24" s="29"/>
      <c r="K24" s="29"/>
      <c r="L24" s="30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24" t="s">
        <v>55</v>
      </c>
      <c r="B25" s="25" t="s">
        <v>56</v>
      </c>
      <c r="C25" s="26">
        <f t="shared" si="1"/>
        <v>0</v>
      </c>
      <c r="D25" s="35"/>
      <c r="E25" s="28">
        <v>0.0</v>
      </c>
      <c r="F25" s="28">
        <v>0.0</v>
      </c>
      <c r="G25" s="28">
        <v>0.0</v>
      </c>
      <c r="H25" s="28">
        <v>0.0</v>
      </c>
      <c r="I25" s="28">
        <v>0.0</v>
      </c>
      <c r="J25" s="29"/>
      <c r="K25" s="31"/>
      <c r="L25" s="30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24" t="s">
        <v>57</v>
      </c>
      <c r="B26" s="25" t="s">
        <v>58</v>
      </c>
      <c r="C26" s="26">
        <f t="shared" si="1"/>
        <v>0</v>
      </c>
      <c r="D26" s="29"/>
      <c r="E26" s="28">
        <v>0.0</v>
      </c>
      <c r="F26" s="28">
        <v>0.0</v>
      </c>
      <c r="G26" s="28">
        <v>0.0</v>
      </c>
      <c r="H26" s="28">
        <v>0.0</v>
      </c>
      <c r="I26" s="28">
        <v>0.0</v>
      </c>
      <c r="J26" s="29"/>
      <c r="K26" s="33"/>
      <c r="L26" s="30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24" t="s">
        <v>59</v>
      </c>
      <c r="B27" s="25" t="s">
        <v>60</v>
      </c>
      <c r="C27" s="26">
        <f t="shared" si="1"/>
        <v>0</v>
      </c>
      <c r="D27" s="36"/>
      <c r="E27" s="28">
        <v>0.0</v>
      </c>
      <c r="F27" s="28">
        <v>0.0</v>
      </c>
      <c r="G27" s="28">
        <v>0.0</v>
      </c>
      <c r="H27" s="28">
        <v>0.0</v>
      </c>
      <c r="I27" s="28">
        <v>0.0</v>
      </c>
      <c r="J27" s="29"/>
      <c r="K27" s="29"/>
      <c r="L27" s="30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24" t="s">
        <v>61</v>
      </c>
      <c r="B28" s="25" t="s">
        <v>62</v>
      </c>
      <c r="C28" s="26">
        <f t="shared" si="1"/>
        <v>0</v>
      </c>
      <c r="D28" s="37"/>
      <c r="E28" s="28">
        <v>0.0</v>
      </c>
      <c r="F28" s="28">
        <v>0.0</v>
      </c>
      <c r="G28" s="28">
        <v>0.0</v>
      </c>
      <c r="H28" s="28">
        <v>0.0</v>
      </c>
      <c r="I28" s="28">
        <v>0.0</v>
      </c>
      <c r="J28" s="29"/>
      <c r="K28" s="29"/>
      <c r="L28" s="30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24" t="s">
        <v>63</v>
      </c>
      <c r="B29" s="25" t="s">
        <v>64</v>
      </c>
      <c r="C29" s="26">
        <f t="shared" si="1"/>
        <v>0</v>
      </c>
      <c r="D29" s="29"/>
      <c r="E29" s="28">
        <v>0.0</v>
      </c>
      <c r="F29" s="28">
        <v>0.0</v>
      </c>
      <c r="G29" s="28">
        <v>0.0</v>
      </c>
      <c r="H29" s="28">
        <v>0.0</v>
      </c>
      <c r="I29" s="28">
        <v>0.0</v>
      </c>
      <c r="J29" s="29"/>
      <c r="K29" s="29"/>
      <c r="L29" s="30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24" t="s">
        <v>65</v>
      </c>
      <c r="B30" s="25" t="s">
        <v>66</v>
      </c>
      <c r="C30" s="26">
        <f t="shared" si="1"/>
        <v>0</v>
      </c>
      <c r="D30" s="29"/>
      <c r="E30" s="28">
        <v>0.0</v>
      </c>
      <c r="F30" s="28">
        <v>0.0</v>
      </c>
      <c r="G30" s="28">
        <v>0.0</v>
      </c>
      <c r="H30" s="28">
        <v>0.0</v>
      </c>
      <c r="I30" s="28">
        <v>0.0</v>
      </c>
      <c r="J30" s="29"/>
      <c r="K30" s="25"/>
      <c r="L30" s="30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24" t="s">
        <v>67</v>
      </c>
      <c r="B31" s="25" t="s">
        <v>68</v>
      </c>
      <c r="C31" s="26">
        <f t="shared" si="1"/>
        <v>0</v>
      </c>
      <c r="D31" s="29"/>
      <c r="E31" s="28">
        <v>0.0</v>
      </c>
      <c r="F31" s="28">
        <v>0.0</v>
      </c>
      <c r="G31" s="28">
        <v>0.0</v>
      </c>
      <c r="H31" s="28">
        <v>0.0</v>
      </c>
      <c r="I31" s="28">
        <v>0.0</v>
      </c>
      <c r="J31" s="29"/>
      <c r="K31" s="29"/>
      <c r="L31" s="30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24" t="s">
        <v>69</v>
      </c>
      <c r="B32" s="25" t="s">
        <v>70</v>
      </c>
      <c r="C32" s="26">
        <f t="shared" si="1"/>
        <v>0</v>
      </c>
      <c r="D32" s="29"/>
      <c r="E32" s="28">
        <v>0.0</v>
      </c>
      <c r="F32" s="28">
        <v>0.0</v>
      </c>
      <c r="G32" s="28">
        <v>0.0</v>
      </c>
      <c r="H32" s="28">
        <v>0.0</v>
      </c>
      <c r="I32" s="28">
        <v>0.0</v>
      </c>
      <c r="J32" s="29"/>
      <c r="K32" s="29"/>
      <c r="L32" s="30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24" t="s">
        <v>71</v>
      </c>
      <c r="B33" s="25" t="s">
        <v>72</v>
      </c>
      <c r="C33" s="38">
        <f t="shared" si="1"/>
        <v>0</v>
      </c>
      <c r="D33" s="38">
        <f t="shared" ref="D33:I33" si="2">sum(F33:J33)</f>
        <v>0</v>
      </c>
      <c r="E33" s="38">
        <f t="shared" si="2"/>
        <v>0</v>
      </c>
      <c r="F33" s="38">
        <f t="shared" si="2"/>
        <v>0</v>
      </c>
      <c r="G33" s="38">
        <f t="shared" si="2"/>
        <v>0</v>
      </c>
      <c r="H33" s="38">
        <f t="shared" si="2"/>
        <v>0</v>
      </c>
      <c r="I33" s="38">
        <f t="shared" si="2"/>
        <v>0</v>
      </c>
      <c r="J33" s="29"/>
      <c r="K33" s="29"/>
      <c r="L33" s="30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24" t="s">
        <v>73</v>
      </c>
      <c r="B34" s="25" t="s">
        <v>74</v>
      </c>
      <c r="C34" s="26">
        <f t="shared" si="1"/>
        <v>0</v>
      </c>
      <c r="D34" s="39" t="s">
        <v>75</v>
      </c>
      <c r="E34" s="28">
        <v>0.0</v>
      </c>
      <c r="F34" s="28">
        <v>0.0</v>
      </c>
      <c r="G34" s="28">
        <v>0.0</v>
      </c>
      <c r="H34" s="28">
        <v>0.0</v>
      </c>
      <c r="I34" s="28">
        <v>0.0</v>
      </c>
      <c r="J34" s="29"/>
      <c r="K34" s="31"/>
      <c r="L34" s="30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24" t="s">
        <v>76</v>
      </c>
      <c r="B35" s="25" t="s">
        <v>77</v>
      </c>
      <c r="C35" s="26">
        <f t="shared" si="1"/>
        <v>0</v>
      </c>
      <c r="D35" s="40"/>
      <c r="E35" s="28">
        <v>0.0</v>
      </c>
      <c r="F35" s="28">
        <v>0.0</v>
      </c>
      <c r="G35" s="28">
        <v>0.0</v>
      </c>
      <c r="H35" s="28">
        <v>0.0</v>
      </c>
      <c r="I35" s="28">
        <v>0.0</v>
      </c>
      <c r="J35" s="29"/>
      <c r="K35" s="33"/>
      <c r="L35" s="30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24" t="s">
        <v>78</v>
      </c>
      <c r="B36" s="25" t="s">
        <v>79</v>
      </c>
      <c r="C36" s="26">
        <f t="shared" si="1"/>
        <v>0</v>
      </c>
      <c r="D36" s="41"/>
      <c r="E36" s="28">
        <v>0.0</v>
      </c>
      <c r="F36" s="28">
        <v>0.0</v>
      </c>
      <c r="G36" s="28">
        <v>0.0</v>
      </c>
      <c r="H36" s="28">
        <v>0.0</v>
      </c>
      <c r="I36" s="28">
        <v>0.0</v>
      </c>
      <c r="J36" s="29"/>
      <c r="K36" s="29"/>
      <c r="L36" s="30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24" t="s">
        <v>80</v>
      </c>
      <c r="B37" s="25" t="s">
        <v>81</v>
      </c>
      <c r="C37" s="26">
        <f t="shared" si="1"/>
        <v>0</v>
      </c>
      <c r="D37" s="29"/>
      <c r="E37" s="28">
        <v>0.0</v>
      </c>
      <c r="F37" s="28">
        <v>0.0</v>
      </c>
      <c r="G37" s="28">
        <v>0.0</v>
      </c>
      <c r="H37" s="28">
        <v>0.0</v>
      </c>
      <c r="I37" s="28">
        <v>0.0</v>
      </c>
      <c r="J37" s="29"/>
      <c r="K37" s="29"/>
      <c r="L37" s="30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24" t="s">
        <v>82</v>
      </c>
      <c r="B38" s="25" t="s">
        <v>83</v>
      </c>
      <c r="C38" s="26">
        <f t="shared" si="1"/>
        <v>0</v>
      </c>
      <c r="D38" s="42"/>
      <c r="E38" s="28">
        <v>0.0</v>
      </c>
      <c r="F38" s="28">
        <v>0.0</v>
      </c>
      <c r="G38" s="28">
        <v>0.0</v>
      </c>
      <c r="H38" s="28">
        <v>0.0</v>
      </c>
      <c r="I38" s="28">
        <v>0.0</v>
      </c>
      <c r="J38" s="29"/>
      <c r="K38" s="29"/>
      <c r="L38" s="30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24" t="s">
        <v>84</v>
      </c>
      <c r="B39" s="25" t="s">
        <v>85</v>
      </c>
      <c r="C39" s="26">
        <f t="shared" si="1"/>
        <v>0</v>
      </c>
      <c r="D39" s="29"/>
      <c r="E39" s="28">
        <v>0.0</v>
      </c>
      <c r="F39" s="28">
        <v>0.0</v>
      </c>
      <c r="G39" s="28">
        <v>0.0</v>
      </c>
      <c r="H39" s="28">
        <v>0.0</v>
      </c>
      <c r="I39" s="28">
        <v>0.0</v>
      </c>
      <c r="J39" s="29"/>
      <c r="K39" s="25"/>
      <c r="L39" s="30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24" t="s">
        <v>86</v>
      </c>
      <c r="B40" s="25" t="s">
        <v>87</v>
      </c>
      <c r="C40" s="26">
        <f t="shared" si="1"/>
        <v>0</v>
      </c>
      <c r="D40" s="42"/>
      <c r="E40" s="28">
        <v>0.0</v>
      </c>
      <c r="F40" s="28">
        <v>0.0</v>
      </c>
      <c r="G40" s="28">
        <v>0.0</v>
      </c>
      <c r="H40" s="28">
        <v>0.0</v>
      </c>
      <c r="I40" s="28">
        <v>0.0</v>
      </c>
      <c r="J40" s="29"/>
      <c r="K40" s="29"/>
      <c r="L40" s="30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24" t="s">
        <v>88</v>
      </c>
      <c r="B41" s="25" t="s">
        <v>89</v>
      </c>
      <c r="C41" s="26">
        <f t="shared" si="1"/>
        <v>0</v>
      </c>
      <c r="D41" s="29"/>
      <c r="E41" s="28">
        <v>0.0</v>
      </c>
      <c r="F41" s="28">
        <v>0.0</v>
      </c>
      <c r="G41" s="28">
        <v>0.0</v>
      </c>
      <c r="H41" s="28">
        <v>0.0</v>
      </c>
      <c r="I41" s="28">
        <v>0.0</v>
      </c>
      <c r="J41" s="29"/>
      <c r="K41" s="29"/>
      <c r="L41" s="30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24" t="s">
        <v>90</v>
      </c>
      <c r="B42" s="25" t="s">
        <v>91</v>
      </c>
      <c r="C42" s="26">
        <f t="shared" si="1"/>
        <v>0</v>
      </c>
      <c r="D42" s="29"/>
      <c r="E42" s="28">
        <v>0.0</v>
      </c>
      <c r="F42" s="28">
        <v>0.0</v>
      </c>
      <c r="G42" s="28">
        <v>0.0</v>
      </c>
      <c r="H42" s="28">
        <v>0.0</v>
      </c>
      <c r="I42" s="28">
        <v>0.0</v>
      </c>
      <c r="J42" s="29"/>
      <c r="K42" s="29"/>
      <c r="L42" s="30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24" t="s">
        <v>92</v>
      </c>
      <c r="B43" s="25" t="s">
        <v>93</v>
      </c>
      <c r="C43" s="26">
        <f t="shared" si="1"/>
        <v>0</v>
      </c>
      <c r="D43" s="43"/>
      <c r="E43" s="28">
        <v>0.0</v>
      </c>
      <c r="F43" s="28">
        <v>0.0</v>
      </c>
      <c r="G43" s="28">
        <v>0.0</v>
      </c>
      <c r="H43" s="28">
        <v>0.0</v>
      </c>
      <c r="I43" s="28">
        <v>0.0</v>
      </c>
      <c r="J43" s="29"/>
      <c r="K43" s="31"/>
      <c r="L43" s="30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24" t="s">
        <v>94</v>
      </c>
      <c r="B44" s="25" t="s">
        <v>95</v>
      </c>
      <c r="C44" s="26">
        <f t="shared" si="1"/>
        <v>0</v>
      </c>
      <c r="D44" s="29"/>
      <c r="E44" s="28">
        <v>0.0</v>
      </c>
      <c r="F44" s="28">
        <v>0.0</v>
      </c>
      <c r="G44" s="28">
        <v>0.0</v>
      </c>
      <c r="H44" s="28">
        <v>0.0</v>
      </c>
      <c r="I44" s="28">
        <v>0.0</v>
      </c>
      <c r="J44" s="29"/>
      <c r="K44" s="33"/>
      <c r="L44" s="30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24" t="s">
        <v>96</v>
      </c>
      <c r="B45" s="25" t="s">
        <v>97</v>
      </c>
      <c r="C45" s="26">
        <f t="shared" si="1"/>
        <v>0</v>
      </c>
      <c r="D45" s="29"/>
      <c r="E45" s="28">
        <v>0.0</v>
      </c>
      <c r="F45" s="28">
        <v>0.0</v>
      </c>
      <c r="G45" s="28">
        <v>0.0</v>
      </c>
      <c r="H45" s="28">
        <v>0.0</v>
      </c>
      <c r="I45" s="28">
        <v>0.0</v>
      </c>
      <c r="J45" s="29"/>
      <c r="K45" s="29"/>
      <c r="L45" s="30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24" t="s">
        <v>98</v>
      </c>
      <c r="B46" s="25" t="s">
        <v>99</v>
      </c>
      <c r="C46" s="26">
        <f t="shared" si="1"/>
        <v>0</v>
      </c>
      <c r="D46" s="29" t="s">
        <v>100</v>
      </c>
      <c r="E46" s="28">
        <v>0.0</v>
      </c>
      <c r="F46" s="28">
        <v>0.0</v>
      </c>
      <c r="G46" s="28">
        <v>0.0</v>
      </c>
      <c r="H46" s="28">
        <v>0.0</v>
      </c>
      <c r="I46" s="28">
        <v>0.0</v>
      </c>
      <c r="J46" s="29"/>
      <c r="K46" s="29"/>
      <c r="L46" s="30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24" t="s">
        <v>101</v>
      </c>
      <c r="B47" s="25" t="s">
        <v>102</v>
      </c>
      <c r="C47" s="26">
        <f t="shared" si="1"/>
        <v>0</v>
      </c>
      <c r="D47" s="29"/>
      <c r="E47" s="28">
        <v>0.0</v>
      </c>
      <c r="F47" s="28">
        <v>0.0</v>
      </c>
      <c r="G47" s="28">
        <v>0.0</v>
      </c>
      <c r="H47" s="28">
        <v>0.0</v>
      </c>
      <c r="I47" s="28">
        <v>0.0</v>
      </c>
      <c r="J47" s="29"/>
      <c r="K47" s="29"/>
      <c r="L47" s="30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24" t="s">
        <v>103</v>
      </c>
      <c r="B48" s="25" t="s">
        <v>104</v>
      </c>
      <c r="C48" s="26">
        <f t="shared" si="1"/>
        <v>0</v>
      </c>
      <c r="D48" s="29"/>
      <c r="E48" s="28">
        <v>0.0</v>
      </c>
      <c r="F48" s="28">
        <v>0.0</v>
      </c>
      <c r="G48" s="28">
        <v>0.0</v>
      </c>
      <c r="H48" s="28">
        <v>0.0</v>
      </c>
      <c r="I48" s="28">
        <v>0.0</v>
      </c>
      <c r="J48" s="29"/>
      <c r="K48" s="25"/>
      <c r="L48" s="30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24" t="s">
        <v>105</v>
      </c>
      <c r="B49" s="25" t="s">
        <v>106</v>
      </c>
      <c r="C49" s="26">
        <f t="shared" si="1"/>
        <v>0</v>
      </c>
      <c r="D49" s="29"/>
      <c r="E49" s="28">
        <v>0.0</v>
      </c>
      <c r="F49" s="28">
        <v>0.0</v>
      </c>
      <c r="G49" s="28">
        <v>0.0</v>
      </c>
      <c r="H49" s="28">
        <v>0.0</v>
      </c>
      <c r="I49" s="28">
        <v>0.0</v>
      </c>
      <c r="J49" s="29"/>
      <c r="K49" s="29"/>
      <c r="L49" s="30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24" t="s">
        <v>107</v>
      </c>
      <c r="B50" s="25" t="s">
        <v>108</v>
      </c>
      <c r="C50" s="26">
        <f t="shared" si="1"/>
        <v>0</v>
      </c>
      <c r="D50" s="29"/>
      <c r="E50" s="28">
        <v>0.0</v>
      </c>
      <c r="F50" s="28">
        <v>0.0</v>
      </c>
      <c r="G50" s="28">
        <v>0.0</v>
      </c>
      <c r="H50" s="28">
        <v>0.0</v>
      </c>
      <c r="I50" s="28">
        <v>0.0</v>
      </c>
      <c r="J50" s="29"/>
      <c r="K50" s="29"/>
      <c r="L50" s="30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24" t="s">
        <v>109</v>
      </c>
      <c r="B51" s="25" t="s">
        <v>110</v>
      </c>
      <c r="C51" s="26">
        <f t="shared" si="1"/>
        <v>0</v>
      </c>
      <c r="D51" s="29"/>
      <c r="E51" s="28">
        <v>0.0</v>
      </c>
      <c r="F51" s="28">
        <v>0.0</v>
      </c>
      <c r="G51" s="28">
        <v>0.0</v>
      </c>
      <c r="H51" s="28">
        <v>0.0</v>
      </c>
      <c r="I51" s="28">
        <v>0.0</v>
      </c>
      <c r="J51" s="29"/>
      <c r="K51" s="29"/>
      <c r="L51" s="30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24" t="s">
        <v>111</v>
      </c>
      <c r="B52" s="25" t="s">
        <v>112</v>
      </c>
      <c r="C52" s="26">
        <f t="shared" si="1"/>
        <v>0</v>
      </c>
      <c r="D52" s="29"/>
      <c r="E52" s="28">
        <v>0.0</v>
      </c>
      <c r="F52" s="28">
        <v>0.0</v>
      </c>
      <c r="G52" s="28">
        <v>0.0</v>
      </c>
      <c r="H52" s="28">
        <v>0.0</v>
      </c>
      <c r="I52" s="28">
        <v>0.0</v>
      </c>
      <c r="J52" s="29"/>
      <c r="K52" s="31"/>
      <c r="L52" s="30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24" t="s">
        <v>113</v>
      </c>
      <c r="B53" s="25" t="s">
        <v>114</v>
      </c>
      <c r="C53" s="26">
        <f t="shared" si="1"/>
        <v>0</v>
      </c>
      <c r="D53" s="29"/>
      <c r="E53" s="28">
        <v>0.0</v>
      </c>
      <c r="F53" s="28">
        <v>0.0</v>
      </c>
      <c r="G53" s="28">
        <v>0.0</v>
      </c>
      <c r="H53" s="28">
        <v>0.0</v>
      </c>
      <c r="I53" s="28">
        <v>0.0</v>
      </c>
      <c r="J53" s="29"/>
      <c r="K53" s="33"/>
      <c r="L53" s="30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24" t="s">
        <v>115</v>
      </c>
      <c r="B54" s="25" t="s">
        <v>116</v>
      </c>
      <c r="C54" s="26">
        <f t="shared" si="1"/>
        <v>0</v>
      </c>
      <c r="D54" s="29"/>
      <c r="E54" s="28">
        <v>0.0</v>
      </c>
      <c r="F54" s="28">
        <v>0.0</v>
      </c>
      <c r="G54" s="28">
        <v>0.0</v>
      </c>
      <c r="H54" s="28">
        <v>0.0</v>
      </c>
      <c r="I54" s="28">
        <v>0.0</v>
      </c>
      <c r="J54" s="29"/>
      <c r="K54" s="29"/>
      <c r="L54" s="30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24" t="s">
        <v>117</v>
      </c>
      <c r="B55" s="25" t="s">
        <v>118</v>
      </c>
      <c r="C55" s="26">
        <f t="shared" si="1"/>
        <v>0</v>
      </c>
      <c r="D55" s="29"/>
      <c r="E55" s="28">
        <v>0.0</v>
      </c>
      <c r="F55" s="28">
        <v>0.0</v>
      </c>
      <c r="G55" s="28">
        <v>0.0</v>
      </c>
      <c r="H55" s="28">
        <v>0.0</v>
      </c>
      <c r="I55" s="28">
        <v>0.0</v>
      </c>
      <c r="J55" s="29"/>
      <c r="K55" s="29"/>
      <c r="L55" s="30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24" t="s">
        <v>119</v>
      </c>
      <c r="B56" s="25" t="s">
        <v>120</v>
      </c>
      <c r="C56" s="26">
        <f t="shared" si="1"/>
        <v>0</v>
      </c>
      <c r="D56" s="44"/>
      <c r="E56" s="28">
        <v>0.0</v>
      </c>
      <c r="F56" s="28">
        <v>0.0</v>
      </c>
      <c r="G56" s="28">
        <v>0.0</v>
      </c>
      <c r="H56" s="28">
        <v>0.0</v>
      </c>
      <c r="I56" s="28">
        <v>0.0</v>
      </c>
      <c r="J56" s="29"/>
      <c r="K56" s="29"/>
      <c r="L56" s="30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24" t="s">
        <v>121</v>
      </c>
      <c r="B57" s="25" t="s">
        <v>122</v>
      </c>
      <c r="C57" s="26">
        <f t="shared" si="1"/>
        <v>0</v>
      </c>
      <c r="D57" s="29"/>
      <c r="E57" s="28">
        <v>0.0</v>
      </c>
      <c r="F57" s="28">
        <v>0.0</v>
      </c>
      <c r="G57" s="28">
        <v>0.0</v>
      </c>
      <c r="H57" s="28">
        <v>0.0</v>
      </c>
      <c r="I57" s="28">
        <v>0.0</v>
      </c>
      <c r="J57" s="29"/>
      <c r="K57" s="25"/>
      <c r="L57" s="30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24" t="s">
        <v>123</v>
      </c>
      <c r="B58" s="25" t="s">
        <v>124</v>
      </c>
      <c r="C58" s="26">
        <f t="shared" si="1"/>
        <v>0</v>
      </c>
      <c r="D58" s="29"/>
      <c r="E58" s="28">
        <v>0.0</v>
      </c>
      <c r="F58" s="28">
        <v>0.0</v>
      </c>
      <c r="G58" s="28">
        <v>0.0</v>
      </c>
      <c r="H58" s="28">
        <v>0.0</v>
      </c>
      <c r="I58" s="28">
        <v>0.0</v>
      </c>
      <c r="J58" s="29"/>
      <c r="K58" s="29"/>
      <c r="L58" s="30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24" t="s">
        <v>125</v>
      </c>
      <c r="B59" s="25" t="s">
        <v>126</v>
      </c>
      <c r="C59" s="26">
        <f t="shared" si="1"/>
        <v>0</v>
      </c>
      <c r="D59" s="29"/>
      <c r="E59" s="28">
        <v>0.0</v>
      </c>
      <c r="F59" s="28">
        <v>0.0</v>
      </c>
      <c r="G59" s="28">
        <v>0.0</v>
      </c>
      <c r="H59" s="28">
        <v>0.0</v>
      </c>
      <c r="I59" s="28">
        <v>0.0</v>
      </c>
      <c r="J59" s="29"/>
      <c r="K59" s="29"/>
      <c r="L59" s="30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24" t="s">
        <v>127</v>
      </c>
      <c r="B60" s="25" t="s">
        <v>128</v>
      </c>
      <c r="C60" s="26">
        <f t="shared" si="1"/>
        <v>0</v>
      </c>
      <c r="D60" s="29"/>
      <c r="E60" s="28">
        <v>0.0</v>
      </c>
      <c r="F60" s="28">
        <v>0.0</v>
      </c>
      <c r="G60" s="28">
        <v>0.0</v>
      </c>
      <c r="H60" s="28">
        <v>0.0</v>
      </c>
      <c r="I60" s="28">
        <v>0.0</v>
      </c>
      <c r="J60" s="29"/>
      <c r="K60" s="29"/>
      <c r="L60" s="30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24" t="s">
        <v>129</v>
      </c>
      <c r="B61" s="25" t="s">
        <v>130</v>
      </c>
      <c r="C61" s="26">
        <f t="shared" si="1"/>
        <v>0</v>
      </c>
      <c r="D61" s="29"/>
      <c r="E61" s="28">
        <v>0.0</v>
      </c>
      <c r="F61" s="28">
        <v>0.0</v>
      </c>
      <c r="G61" s="28">
        <v>0.0</v>
      </c>
      <c r="H61" s="28">
        <v>0.0</v>
      </c>
      <c r="I61" s="28">
        <v>0.0</v>
      </c>
      <c r="J61" s="29"/>
      <c r="K61" s="31"/>
      <c r="L61" s="30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24" t="s">
        <v>131</v>
      </c>
      <c r="B62" s="25" t="s">
        <v>132</v>
      </c>
      <c r="C62" s="26">
        <f t="shared" si="1"/>
        <v>0</v>
      </c>
      <c r="D62" s="29"/>
      <c r="E62" s="28">
        <v>0.0</v>
      </c>
      <c r="F62" s="28">
        <v>0.0</v>
      </c>
      <c r="G62" s="28">
        <v>0.0</v>
      </c>
      <c r="H62" s="28">
        <v>0.0</v>
      </c>
      <c r="I62" s="28">
        <v>0.0</v>
      </c>
      <c r="J62" s="29"/>
      <c r="K62" s="33"/>
      <c r="L62" s="30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1:K1"/>
    <mergeCell ref="E2:F2"/>
    <mergeCell ref="G2:H2"/>
  </mergeCells>
  <hyperlinks>
    <hyperlink r:id="rId1" location="gid=2020111686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6.38"/>
  </cols>
  <sheetData>
    <row r="1" ht="15.75" customHeight="1">
      <c r="A1" s="45"/>
      <c r="B1" s="45"/>
      <c r="C1" s="45"/>
      <c r="D1" s="45"/>
      <c r="E1" s="45"/>
      <c r="H1" s="46" t="s">
        <v>4</v>
      </c>
      <c r="I1" s="47">
        <v>1.100211E8</v>
      </c>
      <c r="J1" s="46"/>
      <c r="K1" s="46"/>
      <c r="L1" s="46"/>
    </row>
    <row r="2" ht="15.75" customHeight="1">
      <c r="A2" s="45"/>
      <c r="B2" s="45"/>
      <c r="C2" s="45"/>
      <c r="D2" s="45"/>
      <c r="E2" s="45"/>
      <c r="H2" s="46" t="s">
        <v>5</v>
      </c>
      <c r="I2" s="47" t="s">
        <v>74</v>
      </c>
      <c r="J2" s="46"/>
      <c r="K2" s="46"/>
      <c r="L2" s="46"/>
    </row>
    <row r="3" ht="15.75" customHeight="1">
      <c r="A3" s="45"/>
      <c r="B3" s="48" t="s">
        <v>133</v>
      </c>
      <c r="C3" s="11"/>
      <c r="D3" s="48" t="s">
        <v>134</v>
      </c>
      <c r="E3" s="11"/>
      <c r="H3" s="49" t="s">
        <v>135</v>
      </c>
      <c r="I3" s="50"/>
      <c r="J3" s="50"/>
      <c r="K3" s="50"/>
      <c r="L3" s="6"/>
    </row>
    <row r="4" ht="15.75" customHeight="1">
      <c r="A4" s="51" t="s">
        <v>136</v>
      </c>
      <c r="B4" s="52" t="s">
        <v>7</v>
      </c>
      <c r="C4" s="53" t="s">
        <v>8</v>
      </c>
      <c r="D4" s="52" t="s">
        <v>7</v>
      </c>
      <c r="E4" s="53" t="s">
        <v>8</v>
      </c>
      <c r="H4" s="49" t="s">
        <v>137</v>
      </c>
      <c r="I4" s="50"/>
      <c r="J4" s="50"/>
      <c r="K4" s="50"/>
      <c r="L4" s="6"/>
    </row>
    <row r="5" ht="15.75" customHeight="1">
      <c r="A5" s="54" t="s">
        <v>75</v>
      </c>
      <c r="B5" s="55" t="s">
        <v>138</v>
      </c>
      <c r="D5" s="29"/>
      <c r="E5" s="29"/>
    </row>
    <row r="6" ht="15.75" customHeight="1">
      <c r="H6" s="56" t="s">
        <v>139</v>
      </c>
      <c r="I6" s="50"/>
      <c r="J6" s="50"/>
      <c r="K6" s="50"/>
      <c r="L6" s="6"/>
    </row>
    <row r="7" ht="15.75" customHeight="1">
      <c r="G7" s="57"/>
      <c r="H7" s="58">
        <v>31.0</v>
      </c>
      <c r="I7" s="58">
        <v>32.0</v>
      </c>
      <c r="J7" s="58">
        <v>41.0</v>
      </c>
      <c r="K7" s="58">
        <v>42.0</v>
      </c>
      <c r="L7" s="58">
        <v>5.0</v>
      </c>
    </row>
    <row r="8" ht="15.75" customHeight="1">
      <c r="F8" s="59">
        <v>45217.0</v>
      </c>
      <c r="G8" s="60">
        <v>0.0</v>
      </c>
      <c r="H8" s="61">
        <v>48.0</v>
      </c>
      <c r="I8" s="61">
        <v>17.0</v>
      </c>
      <c r="J8" s="61">
        <v>0.0</v>
      </c>
      <c r="K8" s="61">
        <v>3.0</v>
      </c>
      <c r="L8" s="61">
        <v>4.0</v>
      </c>
    </row>
    <row r="9" ht="15.75" customHeight="1">
      <c r="F9" s="62"/>
      <c r="G9" s="60">
        <v>1.0</v>
      </c>
      <c r="H9" s="61">
        <v>47.0</v>
      </c>
      <c r="I9" s="61">
        <v>14.0</v>
      </c>
      <c r="J9" s="61">
        <v>1.0</v>
      </c>
      <c r="K9" s="61">
        <v>2.0</v>
      </c>
      <c r="L9" s="61">
        <v>3.0</v>
      </c>
    </row>
    <row r="10" ht="15.75" customHeight="1">
      <c r="F10" s="62"/>
      <c r="G10" s="60">
        <v>2.0</v>
      </c>
      <c r="H10" s="61">
        <v>30.0</v>
      </c>
      <c r="I10" s="61">
        <v>15.0</v>
      </c>
      <c r="J10" s="63"/>
      <c r="K10" s="61">
        <v>5.0</v>
      </c>
      <c r="L10" s="61">
        <v>2.0</v>
      </c>
    </row>
    <row r="11" ht="15.75" customHeight="1">
      <c r="F11" s="62"/>
      <c r="G11" s="60">
        <v>3.0</v>
      </c>
      <c r="H11" s="61">
        <v>27.0</v>
      </c>
      <c r="I11" s="61">
        <v>10.0</v>
      </c>
      <c r="J11" s="61"/>
      <c r="K11" s="61">
        <v>3.0</v>
      </c>
      <c r="L11" s="61">
        <v>11.0</v>
      </c>
    </row>
    <row r="12" ht="15.75" customHeight="1">
      <c r="F12" s="62"/>
      <c r="G12" s="60">
        <v>4.0</v>
      </c>
      <c r="H12" s="61">
        <v>20.0</v>
      </c>
      <c r="I12" s="61">
        <v>19.0</v>
      </c>
      <c r="J12" s="61">
        <v>1.0</v>
      </c>
      <c r="K12" s="61">
        <v>5.0</v>
      </c>
      <c r="L12" s="61">
        <v>21.0</v>
      </c>
    </row>
    <row r="13" ht="15.75" customHeight="1">
      <c r="F13" s="62"/>
      <c r="G13" s="60">
        <v>5.0</v>
      </c>
      <c r="H13" s="61">
        <v>70.0</v>
      </c>
      <c r="I13" s="61">
        <v>32.0</v>
      </c>
      <c r="J13" s="61">
        <v>2.0</v>
      </c>
      <c r="K13" s="61">
        <v>8.0</v>
      </c>
      <c r="L13" s="61">
        <v>24.0</v>
      </c>
    </row>
    <row r="14" ht="15.75" customHeight="1">
      <c r="F14" s="62"/>
      <c r="G14" s="60">
        <v>6.0</v>
      </c>
      <c r="H14" s="61">
        <v>244.0</v>
      </c>
      <c r="I14" s="61">
        <v>135.0</v>
      </c>
      <c r="J14" s="61">
        <v>2.0</v>
      </c>
      <c r="K14" s="61">
        <v>23.0</v>
      </c>
      <c r="L14" s="61">
        <v>48.0</v>
      </c>
    </row>
    <row r="15" ht="15.75" customHeight="1">
      <c r="F15" s="62"/>
      <c r="G15" s="60">
        <v>7.0</v>
      </c>
      <c r="H15" s="61">
        <v>369.0</v>
      </c>
      <c r="I15" s="61">
        <v>171.0</v>
      </c>
      <c r="J15" s="61">
        <v>2.0</v>
      </c>
      <c r="K15" s="61">
        <v>21.0</v>
      </c>
      <c r="L15" s="61">
        <v>55.0</v>
      </c>
    </row>
    <row r="16" ht="15.75" customHeight="1">
      <c r="F16" s="62"/>
      <c r="G16" s="60">
        <v>8.0</v>
      </c>
      <c r="H16" s="61">
        <v>322.0</v>
      </c>
      <c r="I16" s="61">
        <v>132.0</v>
      </c>
      <c r="J16" s="61">
        <v>11.0</v>
      </c>
      <c r="K16" s="61">
        <v>26.0</v>
      </c>
      <c r="L16" s="61">
        <v>66.0</v>
      </c>
    </row>
    <row r="17" ht="15.75" customHeight="1">
      <c r="F17" s="62"/>
      <c r="G17" s="60">
        <v>9.0</v>
      </c>
      <c r="H17" s="61">
        <v>345.0</v>
      </c>
      <c r="I17" s="61">
        <v>95.0</v>
      </c>
      <c r="J17" s="61">
        <v>7.0</v>
      </c>
      <c r="K17" s="61">
        <v>37.0</v>
      </c>
      <c r="L17" s="61">
        <v>82.0</v>
      </c>
    </row>
    <row r="18" ht="15.75" customHeight="1">
      <c r="F18" s="62"/>
      <c r="G18" s="60">
        <v>10.0</v>
      </c>
      <c r="H18" s="61">
        <v>321.0</v>
      </c>
      <c r="I18" s="61">
        <v>150.0</v>
      </c>
      <c r="J18" s="61">
        <v>7.0</v>
      </c>
      <c r="K18" s="61">
        <v>42.0</v>
      </c>
      <c r="L18" s="61">
        <v>80.0</v>
      </c>
    </row>
    <row r="19" ht="15.75" customHeight="1">
      <c r="F19" s="62"/>
      <c r="G19" s="60">
        <v>11.0</v>
      </c>
      <c r="H19" s="61">
        <v>390.0</v>
      </c>
      <c r="I19" s="61">
        <v>148.0</v>
      </c>
      <c r="J19" s="61">
        <v>3.0</v>
      </c>
      <c r="K19" s="61">
        <v>37.0</v>
      </c>
      <c r="L19" s="61">
        <v>98.0</v>
      </c>
      <c r="P19" s="64">
        <v>86.0</v>
      </c>
    </row>
    <row r="20" ht="15.75" customHeight="1">
      <c r="F20" s="62"/>
      <c r="G20" s="60">
        <v>12.0</v>
      </c>
      <c r="H20" s="61">
        <v>422.0</v>
      </c>
      <c r="I20" s="61">
        <v>159.0</v>
      </c>
      <c r="J20" s="61">
        <v>4.0</v>
      </c>
      <c r="K20" s="61">
        <v>43.0</v>
      </c>
      <c r="L20" s="61">
        <v>61.0</v>
      </c>
      <c r="P20" s="64">
        <v>31.0</v>
      </c>
    </row>
    <row r="21" ht="15.75" customHeight="1">
      <c r="F21" s="62"/>
      <c r="G21" s="60">
        <v>13.0</v>
      </c>
      <c r="H21" s="61">
        <v>488.0</v>
      </c>
      <c r="I21" s="61">
        <v>201.0</v>
      </c>
      <c r="J21" s="61">
        <v>4.0</v>
      </c>
      <c r="K21" s="61">
        <v>42.0</v>
      </c>
      <c r="L21" s="61">
        <v>58.0</v>
      </c>
      <c r="P21" s="64">
        <v>2.0</v>
      </c>
    </row>
    <row r="22" ht="15.75" customHeight="1">
      <c r="F22" s="62"/>
      <c r="G22" s="60">
        <v>14.0</v>
      </c>
      <c r="H22" s="61">
        <v>506.0</v>
      </c>
      <c r="I22" s="61">
        <v>228.0</v>
      </c>
      <c r="J22" s="61">
        <v>12.0</v>
      </c>
      <c r="K22" s="61">
        <v>44.0</v>
      </c>
      <c r="L22" s="61">
        <v>64.0</v>
      </c>
      <c r="P22" s="64">
        <v>21.0</v>
      </c>
    </row>
    <row r="23" ht="15.75" customHeight="1">
      <c r="F23" s="62"/>
      <c r="G23" s="60">
        <v>15.0</v>
      </c>
      <c r="H23" s="61">
        <v>609.0</v>
      </c>
      <c r="I23" s="61">
        <v>246.0</v>
      </c>
      <c r="J23" s="61">
        <v>12.0</v>
      </c>
      <c r="K23" s="61">
        <v>46.0</v>
      </c>
      <c r="L23" s="61">
        <v>61.0</v>
      </c>
      <c r="P23" s="64">
        <v>13.0</v>
      </c>
    </row>
    <row r="24" ht="15.75" customHeight="1">
      <c r="F24" s="62"/>
      <c r="G24" s="60">
        <v>16.0</v>
      </c>
      <c r="H24" s="61">
        <v>658.0</v>
      </c>
      <c r="I24" s="61">
        <v>286.0</v>
      </c>
      <c r="J24" s="61">
        <v>13.0</v>
      </c>
      <c r="K24" s="61">
        <v>46.0</v>
      </c>
      <c r="L24" s="61">
        <v>51.0</v>
      </c>
    </row>
    <row r="25" ht="15.75" customHeight="1">
      <c r="F25" s="62"/>
      <c r="G25" s="60">
        <v>17.0</v>
      </c>
      <c r="H25" s="61">
        <v>815.0</v>
      </c>
      <c r="I25" s="61">
        <v>285.0</v>
      </c>
      <c r="J25" s="61">
        <v>15.0</v>
      </c>
      <c r="K25" s="61">
        <v>33.0</v>
      </c>
      <c r="L25" s="61">
        <v>27.0</v>
      </c>
    </row>
    <row r="26" ht="15.75" customHeight="1">
      <c r="F26" s="62"/>
      <c r="G26" s="60">
        <v>18.0</v>
      </c>
      <c r="H26" s="61">
        <v>571.0</v>
      </c>
      <c r="I26" s="61">
        <v>185.0</v>
      </c>
      <c r="J26" s="61">
        <v>10.0</v>
      </c>
      <c r="K26" s="61">
        <v>19.0</v>
      </c>
      <c r="L26" s="61">
        <v>16.0</v>
      </c>
    </row>
    <row r="27" ht="15.75" customHeight="1">
      <c r="F27" s="62"/>
      <c r="G27" s="60">
        <v>19.0</v>
      </c>
      <c r="H27" s="61">
        <v>376.0</v>
      </c>
      <c r="I27" s="61">
        <v>102.0</v>
      </c>
      <c r="J27" s="61">
        <v>5.0</v>
      </c>
      <c r="K27" s="61">
        <v>19.0</v>
      </c>
      <c r="L27" s="61">
        <v>17.0</v>
      </c>
    </row>
    <row r="28" ht="15.75" customHeight="1">
      <c r="F28" s="62"/>
      <c r="G28" s="60">
        <v>20.0</v>
      </c>
      <c r="H28" s="61">
        <v>264.0</v>
      </c>
      <c r="I28" s="61">
        <v>86.0</v>
      </c>
      <c r="J28" s="61">
        <v>3.0</v>
      </c>
      <c r="K28" s="61">
        <v>18.0</v>
      </c>
      <c r="L28" s="61">
        <v>11.0</v>
      </c>
    </row>
    <row r="29" ht="15.75" customHeight="1">
      <c r="F29" s="62"/>
      <c r="G29" s="60">
        <v>21.0</v>
      </c>
      <c r="H29" s="61">
        <v>184.0</v>
      </c>
      <c r="I29" s="61">
        <v>46.0</v>
      </c>
      <c r="J29" s="61">
        <v>4.0</v>
      </c>
      <c r="K29" s="61">
        <v>8.0</v>
      </c>
      <c r="L29" s="61">
        <v>10.0</v>
      </c>
    </row>
    <row r="30" ht="15.75" customHeight="1">
      <c r="F30" s="62"/>
      <c r="G30" s="60">
        <v>22.0</v>
      </c>
      <c r="H30" s="61">
        <v>139.0</v>
      </c>
      <c r="I30" s="61">
        <v>43.0</v>
      </c>
      <c r="J30" s="63"/>
      <c r="K30" s="61">
        <v>7.0</v>
      </c>
      <c r="L30" s="61">
        <v>7.0</v>
      </c>
    </row>
    <row r="31" ht="15.75" customHeight="1">
      <c r="F31" s="65"/>
      <c r="G31" s="60">
        <v>23.0</v>
      </c>
      <c r="H31" s="66">
        <v>77.0</v>
      </c>
      <c r="I31" s="66">
        <v>39.0</v>
      </c>
      <c r="J31" s="66">
        <v>1.0</v>
      </c>
      <c r="K31" s="66">
        <v>5.0</v>
      </c>
      <c r="L31" s="66">
        <v>6.0</v>
      </c>
    </row>
    <row r="32" ht="15.75" customHeight="1">
      <c r="F32" s="67"/>
      <c r="H32" s="68">
        <f t="shared" ref="H32:L32" si="1">sum(H8:H31)</f>
        <v>7342</v>
      </c>
      <c r="I32" s="68">
        <f t="shared" si="1"/>
        <v>2844</v>
      </c>
      <c r="J32" s="68">
        <f t="shared" si="1"/>
        <v>119</v>
      </c>
      <c r="K32" s="68">
        <f t="shared" si="1"/>
        <v>542</v>
      </c>
      <c r="L32" s="68">
        <f t="shared" si="1"/>
        <v>883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C3"/>
    <mergeCell ref="D3:E3"/>
    <mergeCell ref="H3:L3"/>
    <mergeCell ref="H4:L4"/>
    <mergeCell ref="H6:L6"/>
    <mergeCell ref="F8:F31"/>
    <mergeCell ref="F32:G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6.38"/>
  </cols>
  <sheetData>
    <row r="1" ht="15.75" customHeight="1">
      <c r="A1" s="45"/>
      <c r="B1" s="45"/>
      <c r="C1" s="45"/>
      <c r="D1" s="45"/>
      <c r="E1" s="45"/>
      <c r="H1" s="46" t="s">
        <v>4</v>
      </c>
      <c r="I1" s="69"/>
      <c r="J1" s="46"/>
      <c r="K1" s="46"/>
      <c r="L1" s="46"/>
    </row>
    <row r="2" ht="15.75" customHeight="1">
      <c r="A2" s="45"/>
      <c r="B2" s="45"/>
      <c r="C2" s="45"/>
      <c r="D2" s="45"/>
      <c r="E2" s="45"/>
      <c r="H2" s="46" t="s">
        <v>5</v>
      </c>
      <c r="I2" s="69"/>
      <c r="J2" s="46"/>
      <c r="K2" s="46"/>
      <c r="L2" s="46"/>
    </row>
    <row r="3" ht="15.75" customHeight="1">
      <c r="A3" s="45"/>
      <c r="B3" s="48" t="s">
        <v>133</v>
      </c>
      <c r="C3" s="11"/>
      <c r="D3" s="48" t="s">
        <v>134</v>
      </c>
      <c r="E3" s="11"/>
      <c r="H3" s="49" t="s">
        <v>140</v>
      </c>
      <c r="I3" s="50"/>
      <c r="J3" s="50"/>
      <c r="K3" s="50"/>
      <c r="L3" s="6"/>
    </row>
    <row r="4" ht="15.75" customHeight="1">
      <c r="A4" s="51" t="s">
        <v>136</v>
      </c>
      <c r="B4" s="52" t="s">
        <v>7</v>
      </c>
      <c r="C4" s="53" t="s">
        <v>8</v>
      </c>
      <c r="D4" s="52" t="s">
        <v>7</v>
      </c>
      <c r="E4" s="53" t="s">
        <v>8</v>
      </c>
      <c r="H4" s="70" t="s">
        <v>141</v>
      </c>
      <c r="I4" s="50"/>
      <c r="J4" s="50"/>
      <c r="K4" s="50"/>
      <c r="L4" s="6"/>
    </row>
    <row r="5" ht="15.75" customHeight="1">
      <c r="A5" s="39" t="s">
        <v>75</v>
      </c>
      <c r="B5" s="29"/>
      <c r="C5" s="71" t="s">
        <v>142</v>
      </c>
      <c r="D5" s="29"/>
      <c r="E5" s="29"/>
    </row>
    <row r="6" ht="15.75" customHeight="1">
      <c r="H6" s="56" t="s">
        <v>139</v>
      </c>
      <c r="I6" s="50"/>
      <c r="J6" s="50"/>
      <c r="K6" s="50"/>
      <c r="L6" s="6"/>
    </row>
    <row r="7" ht="15.75" customHeight="1">
      <c r="G7" s="57"/>
      <c r="H7" s="58">
        <v>31.0</v>
      </c>
      <c r="I7" s="58">
        <v>32.0</v>
      </c>
      <c r="J7" s="58">
        <v>41.0</v>
      </c>
      <c r="K7" s="58">
        <v>42.0</v>
      </c>
      <c r="L7" s="58">
        <v>5.0</v>
      </c>
    </row>
    <row r="8" ht="15.75" customHeight="1">
      <c r="F8" s="59">
        <v>45217.0</v>
      </c>
      <c r="G8" s="60">
        <v>0.0</v>
      </c>
      <c r="H8" s="61">
        <v>1.0</v>
      </c>
      <c r="I8" s="63"/>
      <c r="J8" s="63"/>
      <c r="K8" s="63"/>
      <c r="L8" s="63"/>
    </row>
    <row r="9" ht="15.75" customHeight="1">
      <c r="F9" s="62"/>
      <c r="G9" s="60">
        <v>1.0</v>
      </c>
      <c r="H9" s="61">
        <v>1.0</v>
      </c>
      <c r="I9" s="63"/>
      <c r="J9" s="63"/>
      <c r="K9" s="63"/>
      <c r="L9" s="63"/>
    </row>
    <row r="10" ht="15.75" customHeight="1">
      <c r="F10" s="62"/>
      <c r="G10" s="60">
        <v>2.0</v>
      </c>
      <c r="H10" s="61">
        <v>1.0</v>
      </c>
      <c r="I10" s="63"/>
      <c r="J10" s="63"/>
      <c r="K10" s="63"/>
      <c r="L10" s="63"/>
    </row>
    <row r="11" ht="15.75" customHeight="1">
      <c r="F11" s="62"/>
      <c r="G11" s="60">
        <v>3.0</v>
      </c>
      <c r="H11" s="61">
        <v>1.0</v>
      </c>
      <c r="I11" s="61">
        <v>1.0</v>
      </c>
      <c r="J11" s="63"/>
      <c r="K11" s="61">
        <v>1.0</v>
      </c>
      <c r="L11" s="63"/>
    </row>
    <row r="12" ht="15.75" customHeight="1">
      <c r="F12" s="62"/>
      <c r="G12" s="60">
        <v>4.0</v>
      </c>
      <c r="H12" s="61">
        <v>3.0</v>
      </c>
      <c r="I12" s="61">
        <v>2.0</v>
      </c>
      <c r="J12" s="63"/>
      <c r="K12" s="61">
        <v>1.0</v>
      </c>
      <c r="L12" s="61">
        <v>1.0</v>
      </c>
    </row>
    <row r="13" ht="15.75" customHeight="1">
      <c r="F13" s="62"/>
      <c r="G13" s="60">
        <v>5.0</v>
      </c>
      <c r="H13" s="61">
        <v>3.0</v>
      </c>
      <c r="I13" s="61">
        <v>2.0</v>
      </c>
      <c r="J13" s="63"/>
      <c r="K13" s="61">
        <v>1.0</v>
      </c>
      <c r="L13" s="63"/>
    </row>
    <row r="14" ht="15.75" customHeight="1">
      <c r="F14" s="62"/>
      <c r="G14" s="60">
        <v>6.0</v>
      </c>
      <c r="H14" s="61">
        <v>7.0</v>
      </c>
      <c r="I14" s="61">
        <v>6.0</v>
      </c>
      <c r="J14" s="63"/>
      <c r="K14" s="63"/>
      <c r="L14" s="61">
        <v>2.0</v>
      </c>
    </row>
    <row r="15" ht="15.75" customHeight="1">
      <c r="F15" s="62"/>
      <c r="G15" s="60">
        <v>7.0</v>
      </c>
      <c r="H15" s="61">
        <v>37.0</v>
      </c>
      <c r="I15" s="61">
        <v>6.0</v>
      </c>
      <c r="J15" s="63"/>
      <c r="K15" s="61">
        <v>1.0</v>
      </c>
      <c r="L15" s="61">
        <v>1.0</v>
      </c>
    </row>
    <row r="16" ht="15.75" customHeight="1">
      <c r="F16" s="62"/>
      <c r="G16" s="60">
        <v>8.0</v>
      </c>
      <c r="H16" s="61">
        <v>24.0</v>
      </c>
      <c r="I16" s="61">
        <v>11.0</v>
      </c>
      <c r="J16" s="61">
        <v>1.0</v>
      </c>
      <c r="K16" s="63"/>
      <c r="L16" s="61">
        <v>5.0</v>
      </c>
    </row>
    <row r="17" ht="15.75" customHeight="1">
      <c r="F17" s="62"/>
      <c r="G17" s="60">
        <v>9.0</v>
      </c>
      <c r="H17" s="61">
        <v>18.0</v>
      </c>
      <c r="I17" s="61">
        <v>9.0</v>
      </c>
      <c r="J17" s="61">
        <v>1.0</v>
      </c>
      <c r="K17" s="61">
        <v>2.0</v>
      </c>
      <c r="L17" s="61">
        <v>5.0</v>
      </c>
    </row>
    <row r="18" ht="15.75" customHeight="1">
      <c r="F18" s="62"/>
      <c r="G18" s="60">
        <v>10.0</v>
      </c>
      <c r="H18" s="61">
        <v>20.0</v>
      </c>
      <c r="I18" s="61">
        <v>6.0</v>
      </c>
      <c r="J18" s="61">
        <v>1.0</v>
      </c>
      <c r="K18" s="61">
        <v>2.0</v>
      </c>
      <c r="L18" s="61">
        <v>6.0</v>
      </c>
    </row>
    <row r="19" ht="15.75" customHeight="1">
      <c r="F19" s="62"/>
      <c r="G19" s="60">
        <v>11.0</v>
      </c>
      <c r="H19" s="61">
        <v>20.0</v>
      </c>
      <c r="I19" s="61">
        <v>9.0</v>
      </c>
      <c r="J19" s="61">
        <v>3.0</v>
      </c>
      <c r="K19" s="61">
        <v>4.0</v>
      </c>
      <c r="L19" s="61">
        <v>5.0</v>
      </c>
      <c r="P19" s="64">
        <v>86.0</v>
      </c>
    </row>
    <row r="20" ht="15.75" customHeight="1">
      <c r="F20" s="62"/>
      <c r="G20" s="60">
        <v>12.0</v>
      </c>
      <c r="H20" s="61">
        <v>18.0</v>
      </c>
      <c r="I20" s="61">
        <v>11.0</v>
      </c>
      <c r="J20" s="61">
        <v>1.0</v>
      </c>
      <c r="K20" s="61">
        <v>1.0</v>
      </c>
      <c r="L20" s="61">
        <v>4.0</v>
      </c>
      <c r="P20" s="64">
        <v>31.0</v>
      </c>
    </row>
    <row r="21" ht="15.75" customHeight="1">
      <c r="F21" s="62"/>
      <c r="G21" s="60">
        <v>13.0</v>
      </c>
      <c r="H21" s="61">
        <v>18.0</v>
      </c>
      <c r="I21" s="61">
        <v>9.0</v>
      </c>
      <c r="J21" s="61">
        <v>1.0</v>
      </c>
      <c r="K21" s="61">
        <v>7.0</v>
      </c>
      <c r="L21" s="61">
        <v>7.0</v>
      </c>
      <c r="P21" s="64">
        <v>2.0</v>
      </c>
    </row>
    <row r="22" ht="15.75" customHeight="1">
      <c r="F22" s="62"/>
      <c r="G22" s="60">
        <v>14.0</v>
      </c>
      <c r="H22" s="61">
        <v>21.0</v>
      </c>
      <c r="I22" s="61">
        <v>8.0</v>
      </c>
      <c r="J22" s="63"/>
      <c r="K22" s="61">
        <v>3.0</v>
      </c>
      <c r="L22" s="61">
        <v>2.0</v>
      </c>
      <c r="P22" s="64">
        <v>21.0</v>
      </c>
    </row>
    <row r="23" ht="15.75" customHeight="1">
      <c r="F23" s="62"/>
      <c r="G23" s="60">
        <v>15.0</v>
      </c>
      <c r="H23" s="61">
        <v>18.0</v>
      </c>
      <c r="I23" s="61">
        <v>8.0</v>
      </c>
      <c r="J23" s="63"/>
      <c r="K23" s="61">
        <v>6.0</v>
      </c>
      <c r="L23" s="61">
        <v>5.0</v>
      </c>
      <c r="P23" s="64">
        <v>13.0</v>
      </c>
    </row>
    <row r="24" ht="15.75" customHeight="1">
      <c r="F24" s="62"/>
      <c r="G24" s="60">
        <v>16.0</v>
      </c>
      <c r="H24" s="61">
        <v>20.0</v>
      </c>
      <c r="I24" s="61">
        <v>10.0</v>
      </c>
      <c r="J24" s="63"/>
      <c r="K24" s="61">
        <v>2.0</v>
      </c>
      <c r="L24" s="61">
        <v>6.0</v>
      </c>
    </row>
    <row r="25" ht="15.75" customHeight="1">
      <c r="F25" s="62"/>
      <c r="G25" s="60">
        <v>17.0</v>
      </c>
      <c r="H25" s="61">
        <v>23.0</v>
      </c>
      <c r="I25" s="61">
        <v>9.0</v>
      </c>
      <c r="J25" s="61">
        <v>2.0</v>
      </c>
      <c r="K25" s="61">
        <v>3.0</v>
      </c>
      <c r="L25" s="61">
        <v>1.0</v>
      </c>
    </row>
    <row r="26" ht="15.75" customHeight="1">
      <c r="F26" s="62"/>
      <c r="G26" s="60">
        <v>18.0</v>
      </c>
      <c r="H26" s="61">
        <v>19.0</v>
      </c>
      <c r="I26" s="61">
        <v>7.0</v>
      </c>
      <c r="J26" s="63"/>
      <c r="K26" s="61">
        <v>1.0</v>
      </c>
      <c r="L26" s="61">
        <v>1.0</v>
      </c>
    </row>
    <row r="27" ht="15.75" customHeight="1">
      <c r="F27" s="62"/>
      <c r="G27" s="60">
        <v>19.0</v>
      </c>
      <c r="H27" s="61">
        <v>17.0</v>
      </c>
      <c r="I27" s="61">
        <v>5.0</v>
      </c>
      <c r="J27" s="63"/>
      <c r="K27" s="61">
        <v>2.0</v>
      </c>
      <c r="L27" s="61">
        <v>1.0</v>
      </c>
    </row>
    <row r="28" ht="15.75" customHeight="1">
      <c r="F28" s="62"/>
      <c r="G28" s="60">
        <v>20.0</v>
      </c>
      <c r="H28" s="61">
        <v>12.0</v>
      </c>
      <c r="I28" s="61">
        <v>6.0</v>
      </c>
      <c r="J28" s="63"/>
      <c r="K28" s="63"/>
      <c r="L28" s="63"/>
    </row>
    <row r="29" ht="15.75" customHeight="1">
      <c r="F29" s="62"/>
      <c r="G29" s="60">
        <v>21.0</v>
      </c>
      <c r="H29" s="61">
        <v>6.0</v>
      </c>
      <c r="I29" s="63"/>
      <c r="J29" s="63"/>
      <c r="K29" s="63"/>
      <c r="L29" s="63"/>
    </row>
    <row r="30" ht="15.75" customHeight="1">
      <c r="F30" s="62"/>
      <c r="G30" s="60">
        <v>22.0</v>
      </c>
      <c r="H30" s="61">
        <v>3.0</v>
      </c>
      <c r="I30" s="61">
        <v>1.0</v>
      </c>
      <c r="J30" s="63"/>
      <c r="K30" s="61">
        <v>1.0</v>
      </c>
      <c r="L30" s="63"/>
    </row>
    <row r="31" ht="15.75" customHeight="1">
      <c r="F31" s="65"/>
      <c r="G31" s="60">
        <v>23.0</v>
      </c>
      <c r="H31" s="66">
        <v>6.0</v>
      </c>
      <c r="I31" s="72"/>
      <c r="J31" s="72"/>
      <c r="K31" s="72"/>
      <c r="L31" s="72"/>
    </row>
    <row r="32" ht="15.75" customHeight="1">
      <c r="F32" s="67"/>
      <c r="H32" s="68">
        <f t="shared" ref="H32:L32" si="1">sum(H8:H31)</f>
        <v>317</v>
      </c>
      <c r="I32" s="68">
        <f t="shared" si="1"/>
        <v>126</v>
      </c>
      <c r="J32" s="68">
        <f t="shared" si="1"/>
        <v>10</v>
      </c>
      <c r="K32" s="68">
        <f t="shared" si="1"/>
        <v>38</v>
      </c>
      <c r="L32" s="68">
        <f t="shared" si="1"/>
        <v>52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C3"/>
    <mergeCell ref="D3:E3"/>
    <mergeCell ref="H3:L3"/>
    <mergeCell ref="H4:L4"/>
    <mergeCell ref="H6:L6"/>
    <mergeCell ref="F8:F31"/>
    <mergeCell ref="F32:G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6.38"/>
  </cols>
  <sheetData>
    <row r="1" ht="15.75" customHeight="1">
      <c r="A1" s="45"/>
      <c r="B1" s="45"/>
      <c r="C1" s="45"/>
      <c r="D1" s="45"/>
      <c r="E1" s="45"/>
      <c r="H1" s="46" t="s">
        <v>4</v>
      </c>
      <c r="I1" s="69"/>
      <c r="J1" s="46"/>
      <c r="K1" s="46"/>
      <c r="L1" s="46"/>
    </row>
    <row r="2" ht="15.75" customHeight="1">
      <c r="A2" s="45"/>
      <c r="B2" s="45"/>
      <c r="C2" s="45"/>
      <c r="D2" s="45"/>
      <c r="E2" s="45"/>
      <c r="H2" s="46" t="s">
        <v>5</v>
      </c>
      <c r="I2" s="69"/>
      <c r="J2" s="46"/>
      <c r="K2" s="46"/>
      <c r="L2" s="46"/>
    </row>
    <row r="3" ht="15.75" customHeight="1">
      <c r="A3" s="45"/>
      <c r="B3" s="48" t="s">
        <v>133</v>
      </c>
      <c r="C3" s="11"/>
      <c r="D3" s="48" t="s">
        <v>134</v>
      </c>
      <c r="E3" s="11"/>
      <c r="H3" s="49" t="s">
        <v>143</v>
      </c>
      <c r="I3" s="50"/>
      <c r="J3" s="50"/>
      <c r="K3" s="50"/>
      <c r="L3" s="6"/>
    </row>
    <row r="4" ht="15.75" customHeight="1">
      <c r="A4" s="51" t="s">
        <v>136</v>
      </c>
      <c r="B4" s="52" t="s">
        <v>7</v>
      </c>
      <c r="C4" s="53" t="s">
        <v>8</v>
      </c>
      <c r="D4" s="52" t="s">
        <v>7</v>
      </c>
      <c r="E4" s="53" t="s">
        <v>8</v>
      </c>
      <c r="H4" s="49" t="s">
        <v>144</v>
      </c>
      <c r="I4" s="50"/>
      <c r="J4" s="50"/>
      <c r="K4" s="50"/>
      <c r="L4" s="6"/>
    </row>
    <row r="5" ht="15.75" customHeight="1">
      <c r="A5" s="39" t="s">
        <v>75</v>
      </c>
      <c r="B5" s="29"/>
      <c r="D5" s="71" t="s">
        <v>145</v>
      </c>
      <c r="E5" s="29"/>
    </row>
    <row r="6" ht="15.75" customHeight="1">
      <c r="H6" s="56" t="s">
        <v>139</v>
      </c>
      <c r="I6" s="50"/>
      <c r="J6" s="50"/>
      <c r="K6" s="50"/>
      <c r="L6" s="6"/>
    </row>
    <row r="7" ht="15.75" customHeight="1">
      <c r="G7" s="57"/>
      <c r="H7" s="58">
        <v>31.0</v>
      </c>
      <c r="I7" s="58">
        <v>32.0</v>
      </c>
      <c r="J7" s="58">
        <v>41.0</v>
      </c>
      <c r="K7" s="58">
        <v>42.0</v>
      </c>
      <c r="L7" s="58">
        <v>5.0</v>
      </c>
    </row>
    <row r="8" ht="15.75" customHeight="1">
      <c r="F8" s="59">
        <v>45217.0</v>
      </c>
      <c r="G8" s="60">
        <v>0.0</v>
      </c>
      <c r="H8" s="61">
        <v>2.0</v>
      </c>
      <c r="I8" s="61">
        <v>2.0</v>
      </c>
      <c r="J8" s="63"/>
      <c r="K8" s="63"/>
      <c r="L8" s="63"/>
    </row>
    <row r="9" ht="15.75" customHeight="1">
      <c r="F9" s="62"/>
      <c r="G9" s="60">
        <v>1.0</v>
      </c>
      <c r="H9" s="63"/>
      <c r="I9" s="61">
        <v>1.0</v>
      </c>
      <c r="J9" s="63"/>
      <c r="K9" s="61">
        <v>1.0</v>
      </c>
      <c r="L9" s="63"/>
    </row>
    <row r="10" ht="15.75" customHeight="1">
      <c r="F10" s="62"/>
      <c r="G10" s="60">
        <v>2.0</v>
      </c>
      <c r="H10" s="61">
        <v>2.0</v>
      </c>
      <c r="I10" s="61">
        <v>1.0</v>
      </c>
      <c r="J10" s="63"/>
      <c r="K10" s="63"/>
      <c r="L10" s="63"/>
    </row>
    <row r="11" ht="15.75" customHeight="1">
      <c r="F11" s="62"/>
      <c r="G11" s="60">
        <v>3.0</v>
      </c>
      <c r="H11" s="61">
        <v>1.0</v>
      </c>
      <c r="I11" s="61">
        <v>1.0</v>
      </c>
      <c r="J11" s="63"/>
      <c r="K11" s="63"/>
      <c r="L11" s="63"/>
    </row>
    <row r="12" ht="15.75" customHeight="1">
      <c r="F12" s="62"/>
      <c r="G12" s="60">
        <v>4.0</v>
      </c>
      <c r="H12" s="61">
        <v>1.0</v>
      </c>
      <c r="I12" s="63"/>
      <c r="J12" s="63"/>
      <c r="K12" s="63"/>
      <c r="L12" s="63"/>
    </row>
    <row r="13" ht="15.75" customHeight="1">
      <c r="F13" s="62"/>
      <c r="G13" s="60">
        <v>5.0</v>
      </c>
      <c r="H13" s="61">
        <v>8.0</v>
      </c>
      <c r="I13" s="61">
        <v>2.0</v>
      </c>
      <c r="J13" s="63"/>
      <c r="K13" s="61">
        <v>2.0</v>
      </c>
      <c r="L13" s="63"/>
    </row>
    <row r="14" ht="15.75" customHeight="1">
      <c r="F14" s="62"/>
      <c r="G14" s="60">
        <v>6.0</v>
      </c>
      <c r="H14" s="61">
        <v>16.0</v>
      </c>
      <c r="I14" s="61">
        <v>5.0</v>
      </c>
      <c r="J14" s="63"/>
      <c r="K14" s="61">
        <v>1.0</v>
      </c>
      <c r="L14" s="61">
        <v>4.0</v>
      </c>
    </row>
    <row r="15" ht="15.75" customHeight="1">
      <c r="F15" s="62"/>
      <c r="G15" s="60">
        <v>7.0</v>
      </c>
      <c r="H15" s="61">
        <v>39.0</v>
      </c>
      <c r="I15" s="61">
        <v>11.0</v>
      </c>
      <c r="J15" s="63"/>
      <c r="K15" s="61">
        <v>1.0</v>
      </c>
      <c r="L15" s="61">
        <v>4.0</v>
      </c>
    </row>
    <row r="16" ht="15.75" customHeight="1">
      <c r="F16" s="62"/>
      <c r="G16" s="60">
        <v>8.0</v>
      </c>
      <c r="H16" s="61">
        <v>21.0</v>
      </c>
      <c r="I16" s="61">
        <v>13.0</v>
      </c>
      <c r="J16" s="63"/>
      <c r="K16" s="61">
        <v>2.0</v>
      </c>
      <c r="L16" s="61">
        <v>1.0</v>
      </c>
    </row>
    <row r="17" ht="15.75" customHeight="1">
      <c r="F17" s="62"/>
      <c r="G17" s="60">
        <v>9.0</v>
      </c>
      <c r="H17" s="61">
        <v>27.0</v>
      </c>
      <c r="I17" s="61">
        <v>9.0</v>
      </c>
      <c r="J17" s="61">
        <v>1.0</v>
      </c>
      <c r="K17" s="61">
        <v>2.0</v>
      </c>
      <c r="L17" s="61">
        <v>6.0</v>
      </c>
    </row>
    <row r="18" ht="15.75" customHeight="1">
      <c r="F18" s="62"/>
      <c r="G18" s="60">
        <v>10.0</v>
      </c>
      <c r="H18" s="61">
        <v>22.0</v>
      </c>
      <c r="I18" s="61">
        <v>10.0</v>
      </c>
      <c r="J18" s="61">
        <v>1.0</v>
      </c>
      <c r="K18" s="61">
        <v>2.0</v>
      </c>
      <c r="L18" s="61">
        <v>6.0</v>
      </c>
    </row>
    <row r="19" ht="15.75" customHeight="1">
      <c r="F19" s="62"/>
      <c r="G19" s="60">
        <v>11.0</v>
      </c>
      <c r="H19" s="61">
        <v>21.0</v>
      </c>
      <c r="I19" s="61">
        <v>10.0</v>
      </c>
      <c r="J19" s="61">
        <v>1.0</v>
      </c>
      <c r="K19" s="61">
        <v>2.0</v>
      </c>
      <c r="L19" s="61">
        <v>6.0</v>
      </c>
      <c r="P19" s="64">
        <v>86.0</v>
      </c>
    </row>
    <row r="20" ht="15.75" customHeight="1">
      <c r="F20" s="62"/>
      <c r="G20" s="60">
        <v>12.0</v>
      </c>
      <c r="H20" s="61">
        <v>20.0</v>
      </c>
      <c r="I20" s="61">
        <v>9.0</v>
      </c>
      <c r="J20" s="63"/>
      <c r="K20" s="61">
        <v>1.0</v>
      </c>
      <c r="L20" s="61">
        <v>6.0</v>
      </c>
      <c r="P20" s="64">
        <v>31.0</v>
      </c>
    </row>
    <row r="21" ht="15.75" customHeight="1">
      <c r="F21" s="62"/>
      <c r="G21" s="60">
        <v>13.0</v>
      </c>
      <c r="H21" s="61">
        <v>14.0</v>
      </c>
      <c r="I21" s="61">
        <v>11.0</v>
      </c>
      <c r="J21" s="61">
        <v>2.0</v>
      </c>
      <c r="K21" s="61">
        <v>2.0</v>
      </c>
      <c r="L21" s="61">
        <v>5.0</v>
      </c>
      <c r="P21" s="64">
        <v>2.0</v>
      </c>
    </row>
    <row r="22" ht="15.75" customHeight="1">
      <c r="F22" s="62"/>
      <c r="G22" s="60">
        <v>14.0</v>
      </c>
      <c r="H22" s="61">
        <v>25.0</v>
      </c>
      <c r="I22" s="61">
        <v>7.0</v>
      </c>
      <c r="J22" s="63"/>
      <c r="K22" s="61">
        <v>4.0</v>
      </c>
      <c r="L22" s="61">
        <v>10.0</v>
      </c>
      <c r="P22" s="64">
        <v>21.0</v>
      </c>
    </row>
    <row r="23" ht="15.75" customHeight="1">
      <c r="F23" s="62"/>
      <c r="G23" s="60">
        <v>15.0</v>
      </c>
      <c r="H23" s="61">
        <v>32.0</v>
      </c>
      <c r="I23" s="61">
        <v>15.0</v>
      </c>
      <c r="J23" s="63"/>
      <c r="K23" s="61">
        <v>3.0</v>
      </c>
      <c r="L23" s="61">
        <v>4.0</v>
      </c>
      <c r="P23" s="64">
        <v>13.0</v>
      </c>
    </row>
    <row r="24" ht="15.75" customHeight="1">
      <c r="F24" s="62"/>
      <c r="G24" s="60">
        <v>16.0</v>
      </c>
      <c r="H24" s="61">
        <v>33.0</v>
      </c>
      <c r="I24" s="61">
        <v>15.0</v>
      </c>
      <c r="J24" s="61">
        <v>1.0</v>
      </c>
      <c r="K24" s="61">
        <v>2.0</v>
      </c>
      <c r="L24" s="61">
        <v>6.0</v>
      </c>
    </row>
    <row r="25" ht="15.75" customHeight="1">
      <c r="F25" s="62"/>
      <c r="G25" s="60">
        <v>17.0</v>
      </c>
      <c r="H25" s="61">
        <v>42.0</v>
      </c>
      <c r="I25" s="61">
        <v>18.0</v>
      </c>
      <c r="J25" s="63"/>
      <c r="K25" s="63"/>
      <c r="L25" s="61">
        <v>5.0</v>
      </c>
    </row>
    <row r="26" ht="15.75" customHeight="1">
      <c r="F26" s="62"/>
      <c r="G26" s="60">
        <v>18.0</v>
      </c>
      <c r="H26" s="61">
        <v>19.0</v>
      </c>
      <c r="I26" s="61">
        <v>3.0</v>
      </c>
      <c r="J26" s="63"/>
      <c r="K26" s="61">
        <v>1.0</v>
      </c>
      <c r="L26" s="61">
        <v>1.0</v>
      </c>
    </row>
    <row r="27" ht="15.75" customHeight="1">
      <c r="F27" s="62"/>
      <c r="G27" s="60">
        <v>19.0</v>
      </c>
      <c r="H27" s="61">
        <v>17.0</v>
      </c>
      <c r="I27" s="61">
        <v>7.0</v>
      </c>
      <c r="J27" s="61">
        <v>1.0</v>
      </c>
      <c r="K27" s="61"/>
      <c r="L27" s="61"/>
    </row>
    <row r="28" ht="15.75" customHeight="1">
      <c r="F28" s="62"/>
      <c r="G28" s="60">
        <v>20.0</v>
      </c>
      <c r="H28" s="61">
        <v>17.0</v>
      </c>
      <c r="I28" s="61">
        <v>9.0</v>
      </c>
      <c r="J28" s="63"/>
      <c r="K28" s="63"/>
      <c r="L28" s="61">
        <v>1.0</v>
      </c>
    </row>
    <row r="29" ht="15.75" customHeight="1">
      <c r="F29" s="62"/>
      <c r="G29" s="60">
        <v>21.0</v>
      </c>
      <c r="H29" s="61">
        <v>11.0</v>
      </c>
      <c r="I29" s="61">
        <v>5.0</v>
      </c>
      <c r="J29" s="61">
        <v>1.0</v>
      </c>
      <c r="K29" s="63"/>
      <c r="L29" s="63"/>
    </row>
    <row r="30" ht="15.75" customHeight="1">
      <c r="F30" s="62"/>
      <c r="G30" s="60">
        <v>22.0</v>
      </c>
      <c r="H30" s="73">
        <v>8.0</v>
      </c>
      <c r="I30" s="73">
        <v>5.0</v>
      </c>
      <c r="J30" s="64"/>
      <c r="K30" s="64"/>
      <c r="L30" s="64"/>
    </row>
    <row r="31" ht="15.75" customHeight="1">
      <c r="F31" s="65"/>
      <c r="G31" s="60">
        <v>23.0</v>
      </c>
      <c r="H31" s="66">
        <v>8.0</v>
      </c>
      <c r="I31" s="66">
        <v>1.0</v>
      </c>
      <c r="J31" s="72"/>
      <c r="K31" s="72"/>
      <c r="L31" s="72"/>
    </row>
    <row r="32" ht="15.75" customHeight="1">
      <c r="F32" s="67"/>
      <c r="H32" s="68">
        <f t="shared" ref="H32:L32" si="1">sum(H8:H31)</f>
        <v>406</v>
      </c>
      <c r="I32" s="68">
        <f t="shared" si="1"/>
        <v>170</v>
      </c>
      <c r="J32" s="68">
        <f t="shared" si="1"/>
        <v>8</v>
      </c>
      <c r="K32" s="68">
        <f t="shared" si="1"/>
        <v>26</v>
      </c>
      <c r="L32" s="68">
        <f t="shared" si="1"/>
        <v>65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C3"/>
    <mergeCell ref="D3:E3"/>
    <mergeCell ref="H3:L3"/>
    <mergeCell ref="H4:L4"/>
    <mergeCell ref="H6:L6"/>
    <mergeCell ref="F8:F31"/>
    <mergeCell ref="F32:G3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6.38"/>
  </cols>
  <sheetData>
    <row r="1" ht="15.75" customHeight="1">
      <c r="A1" s="45"/>
      <c r="B1" s="45"/>
      <c r="C1" s="45"/>
      <c r="D1" s="45"/>
      <c r="E1" s="45"/>
      <c r="H1" s="46" t="s">
        <v>4</v>
      </c>
      <c r="I1" s="69"/>
      <c r="J1" s="46"/>
      <c r="K1" s="46"/>
      <c r="L1" s="46"/>
    </row>
    <row r="2" ht="15.75" customHeight="1">
      <c r="A2" s="45"/>
      <c r="B2" s="45"/>
      <c r="C2" s="45"/>
      <c r="D2" s="45"/>
      <c r="E2" s="45"/>
      <c r="H2" s="46" t="s">
        <v>5</v>
      </c>
      <c r="I2" s="69"/>
      <c r="J2" s="46"/>
      <c r="K2" s="46"/>
      <c r="L2" s="46"/>
    </row>
    <row r="3" ht="15.75" customHeight="1">
      <c r="A3" s="45"/>
      <c r="B3" s="48" t="s">
        <v>133</v>
      </c>
      <c r="C3" s="11"/>
      <c r="D3" s="48" t="s">
        <v>134</v>
      </c>
      <c r="E3" s="11"/>
      <c r="H3" s="49" t="s">
        <v>146</v>
      </c>
      <c r="I3" s="50"/>
      <c r="J3" s="50"/>
      <c r="K3" s="50"/>
      <c r="L3" s="6"/>
    </row>
    <row r="4" ht="15.75" customHeight="1">
      <c r="A4" s="51" t="s">
        <v>136</v>
      </c>
      <c r="B4" s="52" t="s">
        <v>7</v>
      </c>
      <c r="C4" s="53" t="s">
        <v>8</v>
      </c>
      <c r="D4" s="52" t="s">
        <v>7</v>
      </c>
      <c r="E4" s="53" t="s">
        <v>8</v>
      </c>
      <c r="H4" s="70" t="s">
        <v>147</v>
      </c>
      <c r="I4" s="50"/>
      <c r="J4" s="50"/>
      <c r="K4" s="50"/>
      <c r="L4" s="6"/>
    </row>
    <row r="5" ht="15.75" customHeight="1">
      <c r="A5" s="39" t="s">
        <v>75</v>
      </c>
      <c r="B5" s="29"/>
      <c r="E5" s="71" t="s">
        <v>148</v>
      </c>
    </row>
    <row r="6" ht="15.75" customHeight="1">
      <c r="H6" s="56" t="s">
        <v>139</v>
      </c>
      <c r="I6" s="50"/>
      <c r="J6" s="50"/>
      <c r="K6" s="50"/>
      <c r="L6" s="6"/>
    </row>
    <row r="7" ht="15.75" customHeight="1">
      <c r="G7" s="57"/>
      <c r="H7" s="58">
        <v>31.0</v>
      </c>
      <c r="I7" s="58">
        <v>32.0</v>
      </c>
      <c r="J7" s="58">
        <v>41.0</v>
      </c>
      <c r="K7" s="58">
        <v>42.0</v>
      </c>
      <c r="L7" s="58">
        <v>5.0</v>
      </c>
    </row>
    <row r="8" ht="15.75" customHeight="1">
      <c r="F8" s="59">
        <v>45217.0</v>
      </c>
      <c r="G8" s="60">
        <v>0.0</v>
      </c>
      <c r="H8" s="61">
        <v>46.0</v>
      </c>
      <c r="I8" s="61">
        <v>22.0</v>
      </c>
      <c r="J8" s="61">
        <v>1.0</v>
      </c>
      <c r="K8" s="61">
        <v>6.0</v>
      </c>
      <c r="L8" s="61">
        <v>8.0</v>
      </c>
    </row>
    <row r="9" ht="15.75" customHeight="1">
      <c r="F9" s="62"/>
      <c r="G9" s="60">
        <v>1.0</v>
      </c>
      <c r="H9" s="61">
        <v>33.0</v>
      </c>
      <c r="I9" s="61">
        <v>12.0</v>
      </c>
      <c r="J9" s="61">
        <v>1.0</v>
      </c>
      <c r="K9" s="61">
        <v>3.0</v>
      </c>
      <c r="L9" s="61">
        <v>8.0</v>
      </c>
    </row>
    <row r="10" ht="15.75" customHeight="1">
      <c r="F10" s="62"/>
      <c r="G10" s="60">
        <v>2.0</v>
      </c>
      <c r="H10" s="61">
        <v>34.0</v>
      </c>
      <c r="I10" s="61">
        <v>9.0</v>
      </c>
      <c r="J10" s="63"/>
      <c r="K10" s="61">
        <v>14.0</v>
      </c>
      <c r="L10" s="61">
        <v>13.0</v>
      </c>
    </row>
    <row r="11" ht="15.75" customHeight="1">
      <c r="F11" s="62"/>
      <c r="G11" s="60">
        <v>3.0</v>
      </c>
      <c r="H11" s="61">
        <v>27.0</v>
      </c>
      <c r="I11" s="61">
        <v>18.0</v>
      </c>
      <c r="J11" s="63"/>
      <c r="K11" s="61">
        <v>7.0</v>
      </c>
      <c r="L11" s="61">
        <v>15.0</v>
      </c>
    </row>
    <row r="12" ht="15.75" customHeight="1">
      <c r="F12" s="62"/>
      <c r="G12" s="60">
        <v>4.0</v>
      </c>
      <c r="H12" s="61">
        <v>65.0</v>
      </c>
      <c r="I12" s="61">
        <v>42.0</v>
      </c>
      <c r="J12" s="61">
        <v>2.0</v>
      </c>
      <c r="K12" s="61">
        <v>25.0</v>
      </c>
      <c r="L12" s="61">
        <v>24.0</v>
      </c>
    </row>
    <row r="13" ht="15.75" customHeight="1">
      <c r="F13" s="62"/>
      <c r="G13" s="60">
        <v>5.0</v>
      </c>
      <c r="H13" s="61">
        <v>147.0</v>
      </c>
      <c r="I13" s="61">
        <v>76.0</v>
      </c>
      <c r="J13" s="61">
        <v>7.0</v>
      </c>
      <c r="K13" s="61">
        <v>27.0</v>
      </c>
      <c r="L13" s="61">
        <v>33.0</v>
      </c>
    </row>
    <row r="14" ht="15.75" customHeight="1">
      <c r="F14" s="62"/>
      <c r="G14" s="60">
        <v>6.0</v>
      </c>
      <c r="H14" s="61">
        <v>36.0</v>
      </c>
      <c r="I14" s="61">
        <v>145.0</v>
      </c>
      <c r="J14" s="61">
        <v>11.0</v>
      </c>
      <c r="K14" s="61">
        <v>40.0</v>
      </c>
      <c r="L14" s="61">
        <v>49.0</v>
      </c>
    </row>
    <row r="15" ht="15.75" customHeight="1">
      <c r="F15" s="62"/>
      <c r="G15" s="60">
        <v>7.0</v>
      </c>
      <c r="H15" s="61">
        <v>624.0</v>
      </c>
      <c r="I15" s="61">
        <v>220.0</v>
      </c>
      <c r="J15" s="61">
        <v>22.0</v>
      </c>
      <c r="K15" s="61">
        <v>54.0</v>
      </c>
      <c r="L15" s="61">
        <v>67.0</v>
      </c>
    </row>
    <row r="16" ht="15.75" customHeight="1">
      <c r="F16" s="62"/>
      <c r="G16" s="60">
        <v>8.0</v>
      </c>
      <c r="H16" s="61">
        <v>596.0</v>
      </c>
      <c r="I16" s="61">
        <v>305.0</v>
      </c>
      <c r="J16" s="61">
        <v>14.0</v>
      </c>
      <c r="K16" s="61">
        <v>48.0</v>
      </c>
      <c r="L16" s="61">
        <v>91.0</v>
      </c>
    </row>
    <row r="17" ht="15.75" customHeight="1">
      <c r="F17" s="62"/>
      <c r="G17" s="60">
        <v>9.0</v>
      </c>
      <c r="H17" s="61">
        <v>637.0</v>
      </c>
      <c r="I17" s="61">
        <v>280.0</v>
      </c>
      <c r="J17" s="61">
        <v>19.0</v>
      </c>
      <c r="K17" s="61">
        <v>66.0</v>
      </c>
      <c r="L17" s="61">
        <v>91.0</v>
      </c>
    </row>
    <row r="18" ht="15.75" customHeight="1">
      <c r="F18" s="62"/>
      <c r="G18" s="60">
        <v>10.0</v>
      </c>
      <c r="H18" s="61">
        <v>610.0</v>
      </c>
      <c r="I18" s="61">
        <v>230.0</v>
      </c>
      <c r="J18" s="61">
        <v>7.0</v>
      </c>
      <c r="K18" s="61">
        <v>50.0</v>
      </c>
      <c r="L18" s="61">
        <v>96.0</v>
      </c>
    </row>
    <row r="19" ht="15.75" customHeight="1">
      <c r="F19" s="62"/>
      <c r="G19" s="60">
        <v>11.0</v>
      </c>
      <c r="H19" s="61">
        <v>480.0</v>
      </c>
      <c r="I19" s="61">
        <v>157.0</v>
      </c>
      <c r="J19" s="61">
        <v>20.0</v>
      </c>
      <c r="K19" s="61">
        <v>40.0</v>
      </c>
      <c r="L19" s="61">
        <v>76.0</v>
      </c>
      <c r="P19" s="64">
        <v>86.0</v>
      </c>
    </row>
    <row r="20" ht="15.75" customHeight="1">
      <c r="F20" s="62"/>
      <c r="G20" s="60">
        <v>12.0</v>
      </c>
      <c r="H20" s="61">
        <v>389.0</v>
      </c>
      <c r="I20" s="61">
        <v>136.0</v>
      </c>
      <c r="J20" s="61">
        <v>7.0</v>
      </c>
      <c r="K20" s="61">
        <v>34.0</v>
      </c>
      <c r="L20" s="61">
        <v>77.0</v>
      </c>
      <c r="P20" s="64">
        <v>31.0</v>
      </c>
    </row>
    <row r="21" ht="15.75" customHeight="1">
      <c r="F21" s="62"/>
      <c r="G21" s="60">
        <v>13.0</v>
      </c>
      <c r="H21" s="61">
        <v>395.0</v>
      </c>
      <c r="I21" s="61">
        <v>135.0</v>
      </c>
      <c r="J21" s="61">
        <v>11.0</v>
      </c>
      <c r="K21" s="61">
        <v>36.0</v>
      </c>
      <c r="L21" s="61">
        <v>83.0</v>
      </c>
      <c r="P21" s="64">
        <v>2.0</v>
      </c>
    </row>
    <row r="22" ht="15.75" customHeight="1">
      <c r="F22" s="62"/>
      <c r="G22" s="60">
        <v>14.0</v>
      </c>
      <c r="H22" s="61">
        <v>416.0</v>
      </c>
      <c r="I22" s="61">
        <v>155.0</v>
      </c>
      <c r="J22" s="61">
        <v>13.0</v>
      </c>
      <c r="K22" s="61">
        <v>35.0</v>
      </c>
      <c r="L22" s="61">
        <v>63.0</v>
      </c>
      <c r="P22" s="64">
        <v>21.0</v>
      </c>
    </row>
    <row r="23" ht="15.75" customHeight="1">
      <c r="F23" s="62"/>
      <c r="G23" s="60">
        <v>15.0</v>
      </c>
      <c r="H23" s="61">
        <v>395.0</v>
      </c>
      <c r="I23" s="61">
        <v>151.0</v>
      </c>
      <c r="J23" s="61">
        <v>17.0</v>
      </c>
      <c r="K23" s="61">
        <v>33.0</v>
      </c>
      <c r="L23" s="61">
        <v>51.0</v>
      </c>
      <c r="P23" s="64">
        <v>13.0</v>
      </c>
    </row>
    <row r="24" ht="15.75" customHeight="1">
      <c r="F24" s="62"/>
      <c r="G24" s="60">
        <v>16.0</v>
      </c>
      <c r="H24" s="61">
        <v>375.0</v>
      </c>
      <c r="I24" s="61">
        <v>168.0</v>
      </c>
      <c r="J24" s="61">
        <v>10.0</v>
      </c>
      <c r="K24" s="61">
        <v>28.0</v>
      </c>
      <c r="L24" s="61">
        <v>34.0</v>
      </c>
    </row>
    <row r="25" ht="15.75" customHeight="1">
      <c r="F25" s="62"/>
      <c r="G25" s="60">
        <v>17.0</v>
      </c>
      <c r="H25" s="61">
        <v>414.0</v>
      </c>
      <c r="I25" s="61">
        <v>179.0</v>
      </c>
      <c r="J25" s="61">
        <v>1.0</v>
      </c>
      <c r="K25" s="61">
        <v>19.0</v>
      </c>
      <c r="L25" s="61">
        <v>17.0</v>
      </c>
    </row>
    <row r="26" ht="15.75" customHeight="1">
      <c r="F26" s="62"/>
      <c r="G26" s="60">
        <v>18.0</v>
      </c>
      <c r="H26" s="61">
        <v>336.0</v>
      </c>
      <c r="I26" s="61">
        <v>120.0</v>
      </c>
      <c r="J26" s="61">
        <v>2.0</v>
      </c>
      <c r="K26" s="61">
        <v>9.0</v>
      </c>
      <c r="L26" s="61">
        <v>12.0</v>
      </c>
    </row>
    <row r="27" ht="15.75" customHeight="1">
      <c r="F27" s="62"/>
      <c r="G27" s="60">
        <v>19.0</v>
      </c>
      <c r="H27" s="61">
        <v>243.0</v>
      </c>
      <c r="I27" s="61">
        <v>83.0</v>
      </c>
      <c r="J27" s="61">
        <v>5.0</v>
      </c>
      <c r="K27" s="61">
        <v>18.0</v>
      </c>
      <c r="L27" s="61">
        <v>13.0</v>
      </c>
    </row>
    <row r="28" ht="15.75" customHeight="1">
      <c r="F28" s="62"/>
      <c r="G28" s="60">
        <v>20.0</v>
      </c>
      <c r="H28" s="61">
        <v>225.0</v>
      </c>
      <c r="I28" s="61">
        <v>62.0</v>
      </c>
      <c r="J28" s="63"/>
      <c r="K28" s="61">
        <v>10.0</v>
      </c>
      <c r="L28" s="61">
        <v>10.0</v>
      </c>
    </row>
    <row r="29" ht="15.75" customHeight="1">
      <c r="F29" s="62"/>
      <c r="G29" s="60">
        <v>21.0</v>
      </c>
      <c r="H29" s="61">
        <v>192.0</v>
      </c>
      <c r="I29" s="61">
        <v>58.0</v>
      </c>
      <c r="J29" s="63"/>
      <c r="K29" s="61">
        <v>4.0</v>
      </c>
      <c r="L29" s="61">
        <v>14.0</v>
      </c>
    </row>
    <row r="30" ht="15.75" customHeight="1">
      <c r="F30" s="62"/>
      <c r="G30" s="60">
        <v>22.0</v>
      </c>
      <c r="H30" s="61">
        <v>137.0</v>
      </c>
      <c r="I30" s="61">
        <v>38.0</v>
      </c>
      <c r="J30" s="61">
        <v>2.0</v>
      </c>
      <c r="K30" s="61">
        <v>9.0</v>
      </c>
      <c r="L30" s="61">
        <v>10.0</v>
      </c>
    </row>
    <row r="31" ht="15.75" customHeight="1">
      <c r="F31" s="65"/>
      <c r="G31" s="60">
        <v>23.0</v>
      </c>
      <c r="H31" s="66">
        <v>65.0</v>
      </c>
      <c r="I31" s="66">
        <v>24.0</v>
      </c>
      <c r="J31" s="72"/>
      <c r="K31" s="66">
        <v>14.0</v>
      </c>
      <c r="L31" s="66">
        <v>8.0</v>
      </c>
    </row>
    <row r="32" ht="15.75" customHeight="1">
      <c r="F32" s="67"/>
      <c r="H32" s="68">
        <f t="shared" ref="H32:L32" si="1">sum(H8:H31)</f>
        <v>6917</v>
      </c>
      <c r="I32" s="68">
        <f t="shared" si="1"/>
        <v>2825</v>
      </c>
      <c r="J32" s="68">
        <f t="shared" si="1"/>
        <v>172</v>
      </c>
      <c r="K32" s="68">
        <f t="shared" si="1"/>
        <v>629</v>
      </c>
      <c r="L32" s="68">
        <f t="shared" si="1"/>
        <v>963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C3"/>
    <mergeCell ref="D3:E3"/>
    <mergeCell ref="H3:L3"/>
    <mergeCell ref="H4:L4"/>
    <mergeCell ref="H6:L6"/>
    <mergeCell ref="F8:F31"/>
    <mergeCell ref="F32:G32"/>
  </mergeCells>
  <drawing r:id="rId1"/>
</worksheet>
</file>